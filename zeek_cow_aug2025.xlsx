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ميع الملفات/"/>
    </mc:Choice>
  </mc:AlternateContent>
  <xr:revisionPtr revIDLastSave="47" documentId="13_ncr:1_{DD14FBD9-F8A3-440C-BC0F-CDD7DE085743}" xr6:coauthVersionLast="47" xr6:coauthVersionMax="47" xr10:uidLastSave="{64FC81B3-9986-41B9-9C3A-C7ED012856C2}"/>
  <bookViews>
    <workbookView xWindow="-120" yWindow="-120" windowWidth="29040" windowHeight="15720" tabRatio="908" firstSheet="5" activeTab="9" xr2:uid="{9DA20210-9944-4065-881A-F42918DE2BB0}"/>
  </bookViews>
  <sheets>
    <sheet name="center-Aug" sheetId="5" state="hidden" r:id="rId1"/>
    <sheet name="center-Sept" sheetId="6" state="hidden" r:id="rId2"/>
    <sheet name="center-Oct" sheetId="7" state="hidden" r:id="rId3"/>
    <sheet name="center-Nov" sheetId="11" state="hidden" r:id="rId4"/>
    <sheet name="center-dec" sheetId="12" state="hidden" r:id="rId5"/>
    <sheet name="Aug 25" sheetId="20" r:id="rId6"/>
    <sheet name="SEP-25" sheetId="21" r:id="rId7"/>
    <sheet name="oct25" sheetId="22" r:id="rId8"/>
    <sheet name="nov-25" sheetId="23" r:id="rId9"/>
    <sheet name="Dec-25" sheetId="24" r:id="rId10"/>
  </sheets>
  <definedNames>
    <definedName name="_xlnm._FilterDatabase" localSheetId="2" hidden="1">'center-Oct'!$A$2:$I$134</definedName>
    <definedName name="_xlnm._FilterDatabase" localSheetId="6" hidden="1">'SEP-25'!$A$3:$F$262</definedName>
    <definedName name="_xlnm.Print_Area" localSheetId="5">'Aug 25'!$A$1:$M$137</definedName>
    <definedName name="_xlnm.Print_Area" localSheetId="0">'center-Aug'!$A$1:$N$137</definedName>
    <definedName name="_xlnm.Print_Area" localSheetId="4">'center-dec'!$A$1:$J$133</definedName>
    <definedName name="_xlnm.Print_Area" localSheetId="3">'center-Nov'!$A$1:$N$134</definedName>
    <definedName name="_xlnm.Print_Area" localSheetId="2">'center-Oct'!$A$1:$N$136</definedName>
    <definedName name="_xlnm.Print_Area" localSheetId="1">'center-Sept'!$A$1:$J$137</definedName>
    <definedName name="_xlnm.Print_Area" localSheetId="8">'nov-25'!$A$1:$K$281</definedName>
    <definedName name="_xlnm.Print_Area" localSheetId="7">'oct25'!$A$1:$M$274</definedName>
    <definedName name="_xlnm.Print_Area" localSheetId="6">'SEP-25'!$A$1:$M$262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8" i="24" l="1"/>
  <c r="A259" i="24" s="1"/>
  <c r="A260" i="24" s="1"/>
  <c r="A261" i="24" s="1"/>
  <c r="A262" i="24" s="1"/>
  <c r="A263" i="24" s="1"/>
  <c r="A264" i="24" s="1"/>
  <c r="A265" i="24" s="1"/>
  <c r="A266" i="24" s="1"/>
  <c r="A267" i="24" s="1"/>
  <c r="A268" i="24" s="1"/>
  <c r="A269" i="24" s="1"/>
  <c r="A270" i="24" s="1"/>
  <c r="A271" i="24" s="1"/>
  <c r="A272" i="24" s="1"/>
  <c r="F276" i="24"/>
  <c r="E5" i="24"/>
  <c r="G5" i="24" s="1"/>
  <c r="E6" i="24"/>
  <c r="G6" i="24" s="1"/>
  <c r="E7" i="24"/>
  <c r="G7" i="24" s="1"/>
  <c r="E8" i="24"/>
  <c r="G8" i="24" s="1"/>
  <c r="E9" i="24"/>
  <c r="G9" i="24" s="1"/>
  <c r="E10" i="24"/>
  <c r="G10" i="24" s="1"/>
  <c r="E11" i="24"/>
  <c r="G11" i="24" s="1"/>
  <c r="E12" i="24"/>
  <c r="G12" i="24" s="1"/>
  <c r="E13" i="24"/>
  <c r="G13" i="24" s="1"/>
  <c r="E14" i="24"/>
  <c r="G14" i="24" s="1"/>
  <c r="E15" i="24"/>
  <c r="G15" i="24" s="1"/>
  <c r="E16" i="24"/>
  <c r="G16" i="24" s="1"/>
  <c r="E17" i="24"/>
  <c r="G17" i="24" s="1"/>
  <c r="E18" i="24"/>
  <c r="G18" i="24" s="1"/>
  <c r="E19" i="24"/>
  <c r="G19" i="24" s="1"/>
  <c r="E20" i="24"/>
  <c r="G20" i="24" s="1"/>
  <c r="E21" i="24"/>
  <c r="G21" i="24" s="1"/>
  <c r="E22" i="24"/>
  <c r="G22" i="24" s="1"/>
  <c r="E23" i="24"/>
  <c r="G23" i="24" s="1"/>
  <c r="E24" i="24"/>
  <c r="G24" i="24" s="1"/>
  <c r="E25" i="24"/>
  <c r="G25" i="24" s="1"/>
  <c r="E26" i="24"/>
  <c r="G26" i="24" s="1"/>
  <c r="E27" i="24"/>
  <c r="G27" i="24" s="1"/>
  <c r="E28" i="24"/>
  <c r="G28" i="24" s="1"/>
  <c r="E29" i="24"/>
  <c r="G29" i="24" s="1"/>
  <c r="E30" i="24"/>
  <c r="G30" i="24" s="1"/>
  <c r="E31" i="24"/>
  <c r="G31" i="24" s="1"/>
  <c r="E32" i="24"/>
  <c r="G32" i="24" s="1"/>
  <c r="E33" i="24"/>
  <c r="G33" i="24" s="1"/>
  <c r="E34" i="24"/>
  <c r="G34" i="24" s="1"/>
  <c r="E35" i="24"/>
  <c r="G35" i="24" s="1"/>
  <c r="E36" i="24"/>
  <c r="G36" i="24" s="1"/>
  <c r="E37" i="24"/>
  <c r="G37" i="24" s="1"/>
  <c r="E38" i="24"/>
  <c r="G38" i="24" s="1"/>
  <c r="E39" i="24"/>
  <c r="G39" i="24" s="1"/>
  <c r="E40" i="24"/>
  <c r="G40" i="24" s="1"/>
  <c r="E41" i="24"/>
  <c r="G41" i="24" s="1"/>
  <c r="E42" i="24"/>
  <c r="G42" i="24" s="1"/>
  <c r="E43" i="24"/>
  <c r="G43" i="24" s="1"/>
  <c r="E44" i="24"/>
  <c r="G44" i="24" s="1"/>
  <c r="E45" i="24"/>
  <c r="G45" i="24" s="1"/>
  <c r="E46" i="24"/>
  <c r="G46" i="24" s="1"/>
  <c r="E47" i="24"/>
  <c r="G47" i="24" s="1"/>
  <c r="E48" i="24"/>
  <c r="G48" i="24" s="1"/>
  <c r="E49" i="24"/>
  <c r="G49" i="24" s="1"/>
  <c r="E50" i="24"/>
  <c r="G50" i="24" s="1"/>
  <c r="E51" i="24"/>
  <c r="G51" i="24" s="1"/>
  <c r="E52" i="24"/>
  <c r="G52" i="24" s="1"/>
  <c r="E53" i="24"/>
  <c r="G53" i="24" s="1"/>
  <c r="E54" i="24"/>
  <c r="G54" i="24" s="1"/>
  <c r="E55" i="24"/>
  <c r="G55" i="24" s="1"/>
  <c r="E56" i="24"/>
  <c r="G56" i="24" s="1"/>
  <c r="E57" i="24"/>
  <c r="G57" i="24" s="1"/>
  <c r="E58" i="24"/>
  <c r="G58" i="24" s="1"/>
  <c r="E59" i="24"/>
  <c r="G59" i="24" s="1"/>
  <c r="E60" i="24"/>
  <c r="G60" i="24" s="1"/>
  <c r="E61" i="24"/>
  <c r="G61" i="24" s="1"/>
  <c r="E62" i="24"/>
  <c r="G62" i="24" s="1"/>
  <c r="E63" i="24"/>
  <c r="G63" i="24" s="1"/>
  <c r="E64" i="24"/>
  <c r="G64" i="24" s="1"/>
  <c r="E65" i="24"/>
  <c r="G65" i="24" s="1"/>
  <c r="E66" i="24"/>
  <c r="G66" i="24" s="1"/>
  <c r="E67" i="24"/>
  <c r="G67" i="24" s="1"/>
  <c r="E68" i="24"/>
  <c r="G68" i="24" s="1"/>
  <c r="E69" i="24"/>
  <c r="G69" i="24" s="1"/>
  <c r="E70" i="24"/>
  <c r="G70" i="24" s="1"/>
  <c r="E71" i="24"/>
  <c r="G71" i="24" s="1"/>
  <c r="E72" i="24"/>
  <c r="G72" i="24" s="1"/>
  <c r="E73" i="24"/>
  <c r="G73" i="24" s="1"/>
  <c r="E74" i="24"/>
  <c r="G74" i="24" s="1"/>
  <c r="E75" i="24"/>
  <c r="G75" i="24" s="1"/>
  <c r="E76" i="24"/>
  <c r="G76" i="24" s="1"/>
  <c r="E77" i="24"/>
  <c r="G77" i="24" s="1"/>
  <c r="E78" i="24"/>
  <c r="G78" i="24" s="1"/>
  <c r="E79" i="24"/>
  <c r="G79" i="24" s="1"/>
  <c r="E80" i="24"/>
  <c r="G80" i="24" s="1"/>
  <c r="E81" i="24"/>
  <c r="G81" i="24" s="1"/>
  <c r="E82" i="24"/>
  <c r="G82" i="24" s="1"/>
  <c r="E83" i="24"/>
  <c r="G83" i="24" s="1"/>
  <c r="E84" i="24"/>
  <c r="G84" i="24" s="1"/>
  <c r="E85" i="24"/>
  <c r="G85" i="24" s="1"/>
  <c r="E86" i="24"/>
  <c r="G86" i="24" s="1"/>
  <c r="E87" i="24"/>
  <c r="G87" i="24" s="1"/>
  <c r="E88" i="24"/>
  <c r="G88" i="24" s="1"/>
  <c r="E89" i="24"/>
  <c r="G89" i="24" s="1"/>
  <c r="E90" i="24"/>
  <c r="G90" i="24" s="1"/>
  <c r="E91" i="24"/>
  <c r="G91" i="24" s="1"/>
  <c r="E92" i="24"/>
  <c r="G92" i="24" s="1"/>
  <c r="E93" i="24"/>
  <c r="G93" i="24" s="1"/>
  <c r="E94" i="24"/>
  <c r="G94" i="24" s="1"/>
  <c r="E95" i="24"/>
  <c r="G95" i="24" s="1"/>
  <c r="E96" i="24"/>
  <c r="G96" i="24" s="1"/>
  <c r="E97" i="24"/>
  <c r="G97" i="24" s="1"/>
  <c r="E98" i="24"/>
  <c r="G98" i="24" s="1"/>
  <c r="E99" i="24"/>
  <c r="G99" i="24" s="1"/>
  <c r="E100" i="24"/>
  <c r="G100" i="24" s="1"/>
  <c r="E101" i="24"/>
  <c r="G101" i="24" s="1"/>
  <c r="E102" i="24"/>
  <c r="G102" i="24" s="1"/>
  <c r="E103" i="24"/>
  <c r="G103" i="24" s="1"/>
  <c r="E104" i="24"/>
  <c r="G104" i="24" s="1"/>
  <c r="E105" i="24"/>
  <c r="G105" i="24" s="1"/>
  <c r="E106" i="24"/>
  <c r="G106" i="24" s="1"/>
  <c r="E107" i="24"/>
  <c r="G107" i="24" s="1"/>
  <c r="E108" i="24"/>
  <c r="G108" i="24" s="1"/>
  <c r="E109" i="24"/>
  <c r="G109" i="24" s="1"/>
  <c r="E110" i="24"/>
  <c r="G110" i="24" s="1"/>
  <c r="E111" i="24"/>
  <c r="G111" i="24" s="1"/>
  <c r="E112" i="24"/>
  <c r="G112" i="24" s="1"/>
  <c r="E113" i="24"/>
  <c r="G113" i="24" s="1"/>
  <c r="E114" i="24"/>
  <c r="G114" i="24" s="1"/>
  <c r="E115" i="24"/>
  <c r="G115" i="24" s="1"/>
  <c r="E116" i="24"/>
  <c r="G116" i="24" s="1"/>
  <c r="E117" i="24"/>
  <c r="G117" i="24" s="1"/>
  <c r="E118" i="24"/>
  <c r="G118" i="24" s="1"/>
  <c r="E119" i="24"/>
  <c r="G119" i="24" s="1"/>
  <c r="E120" i="24"/>
  <c r="G120" i="24" s="1"/>
  <c r="E121" i="24"/>
  <c r="G121" i="24" s="1"/>
  <c r="E122" i="24"/>
  <c r="G122" i="24" s="1"/>
  <c r="E123" i="24"/>
  <c r="G123" i="24" s="1"/>
  <c r="E124" i="24"/>
  <c r="G124" i="24" s="1"/>
  <c r="E125" i="24"/>
  <c r="G125" i="24" s="1"/>
  <c r="E126" i="24"/>
  <c r="G126" i="24" s="1"/>
  <c r="E127" i="24"/>
  <c r="G127" i="24" s="1"/>
  <c r="E128" i="24"/>
  <c r="G128" i="24" s="1"/>
  <c r="E129" i="24"/>
  <c r="G129" i="24" s="1"/>
  <c r="E130" i="24"/>
  <c r="G130" i="24" s="1"/>
  <c r="E131" i="24"/>
  <c r="G131" i="24" s="1"/>
  <c r="E132" i="24"/>
  <c r="G132" i="24" s="1"/>
  <c r="E133" i="24"/>
  <c r="G133" i="24" s="1"/>
  <c r="E134" i="24"/>
  <c r="G134" i="24" s="1"/>
  <c r="E135" i="24"/>
  <c r="G135" i="24" s="1"/>
  <c r="E136" i="24"/>
  <c r="G136" i="24" s="1"/>
  <c r="E137" i="24"/>
  <c r="G137" i="24" s="1"/>
  <c r="E138" i="24"/>
  <c r="G138" i="24" s="1"/>
  <c r="E139" i="24"/>
  <c r="G139" i="24" s="1"/>
  <c r="E140" i="24"/>
  <c r="G140" i="24" s="1"/>
  <c r="E141" i="24"/>
  <c r="G141" i="24" s="1"/>
  <c r="E142" i="24"/>
  <c r="G142" i="24" s="1"/>
  <c r="E143" i="24"/>
  <c r="G143" i="24" s="1"/>
  <c r="E144" i="24"/>
  <c r="G144" i="24" s="1"/>
  <c r="E145" i="24"/>
  <c r="G145" i="24" s="1"/>
  <c r="E146" i="24"/>
  <c r="G146" i="24" s="1"/>
  <c r="E147" i="24"/>
  <c r="G147" i="24" s="1"/>
  <c r="E148" i="24"/>
  <c r="G148" i="24" s="1"/>
  <c r="E149" i="24"/>
  <c r="G149" i="24" s="1"/>
  <c r="E150" i="24"/>
  <c r="G150" i="24" s="1"/>
  <c r="E151" i="24"/>
  <c r="G151" i="24" s="1"/>
  <c r="E152" i="24"/>
  <c r="G152" i="24" s="1"/>
  <c r="E153" i="24"/>
  <c r="G153" i="24" s="1"/>
  <c r="E154" i="24"/>
  <c r="G154" i="24" s="1"/>
  <c r="E155" i="24"/>
  <c r="G155" i="24" s="1"/>
  <c r="E156" i="24"/>
  <c r="G156" i="24" s="1"/>
  <c r="E157" i="24"/>
  <c r="G157" i="24" s="1"/>
  <c r="E158" i="24"/>
  <c r="G158" i="24" s="1"/>
  <c r="E159" i="24"/>
  <c r="G159" i="24" s="1"/>
  <c r="E160" i="24"/>
  <c r="G160" i="24" s="1"/>
  <c r="E161" i="24"/>
  <c r="G161" i="24" s="1"/>
  <c r="E162" i="24"/>
  <c r="G162" i="24" s="1"/>
  <c r="E163" i="24"/>
  <c r="G163" i="24" s="1"/>
  <c r="E164" i="24"/>
  <c r="G164" i="24" s="1"/>
  <c r="E165" i="24"/>
  <c r="G165" i="24" s="1"/>
  <c r="E166" i="24"/>
  <c r="G166" i="24" s="1"/>
  <c r="E167" i="24"/>
  <c r="G167" i="24" s="1"/>
  <c r="E168" i="24"/>
  <c r="G168" i="24" s="1"/>
  <c r="E169" i="24"/>
  <c r="G169" i="24" s="1"/>
  <c r="E170" i="24"/>
  <c r="G170" i="24" s="1"/>
  <c r="E171" i="24"/>
  <c r="G171" i="24" s="1"/>
  <c r="E172" i="24"/>
  <c r="G172" i="24" s="1"/>
  <c r="E173" i="24"/>
  <c r="G173" i="24" s="1"/>
  <c r="E174" i="24"/>
  <c r="G174" i="24" s="1"/>
  <c r="E175" i="24"/>
  <c r="G175" i="24" s="1"/>
  <c r="E176" i="24"/>
  <c r="G176" i="24" s="1"/>
  <c r="E177" i="24"/>
  <c r="G177" i="24" s="1"/>
  <c r="E178" i="24"/>
  <c r="G178" i="24" s="1"/>
  <c r="E179" i="24"/>
  <c r="G179" i="24" s="1"/>
  <c r="E180" i="24"/>
  <c r="G180" i="24" s="1"/>
  <c r="E181" i="24"/>
  <c r="G181" i="24" s="1"/>
  <c r="E182" i="24"/>
  <c r="G182" i="24" s="1"/>
  <c r="E183" i="24"/>
  <c r="G183" i="24" s="1"/>
  <c r="E184" i="24"/>
  <c r="G184" i="24" s="1"/>
  <c r="E185" i="24"/>
  <c r="G185" i="24" s="1"/>
  <c r="E186" i="24"/>
  <c r="G186" i="24" s="1"/>
  <c r="E187" i="24"/>
  <c r="G187" i="24" s="1"/>
  <c r="E188" i="24"/>
  <c r="G188" i="24" s="1"/>
  <c r="E189" i="24"/>
  <c r="G189" i="24" s="1"/>
  <c r="E190" i="24"/>
  <c r="G190" i="24" s="1"/>
  <c r="E191" i="24"/>
  <c r="G191" i="24" s="1"/>
  <c r="E192" i="24"/>
  <c r="G192" i="24" s="1"/>
  <c r="E193" i="24"/>
  <c r="G193" i="24" s="1"/>
  <c r="E194" i="24"/>
  <c r="G194" i="24" s="1"/>
  <c r="E195" i="24"/>
  <c r="G195" i="24" s="1"/>
  <c r="E196" i="24"/>
  <c r="G196" i="24" s="1"/>
  <c r="E197" i="24"/>
  <c r="G197" i="24" s="1"/>
  <c r="E198" i="24"/>
  <c r="G198" i="24" s="1"/>
  <c r="E199" i="24"/>
  <c r="G199" i="24" s="1"/>
  <c r="E200" i="24"/>
  <c r="G200" i="24" s="1"/>
  <c r="E201" i="24"/>
  <c r="G201" i="24" s="1"/>
  <c r="E202" i="24"/>
  <c r="G202" i="24" s="1"/>
  <c r="E203" i="24"/>
  <c r="G203" i="24" s="1"/>
  <c r="E204" i="24"/>
  <c r="G204" i="24" s="1"/>
  <c r="E205" i="24"/>
  <c r="G205" i="24" s="1"/>
  <c r="E206" i="24"/>
  <c r="G206" i="24" s="1"/>
  <c r="E207" i="24"/>
  <c r="G207" i="24" s="1"/>
  <c r="E208" i="24"/>
  <c r="G208" i="24" s="1"/>
  <c r="E209" i="24"/>
  <c r="G209" i="24" s="1"/>
  <c r="E210" i="24"/>
  <c r="G210" i="24" s="1"/>
  <c r="E211" i="24"/>
  <c r="G211" i="24" s="1"/>
  <c r="E212" i="24"/>
  <c r="G212" i="24" s="1"/>
  <c r="E213" i="24"/>
  <c r="G213" i="24" s="1"/>
  <c r="E214" i="24"/>
  <c r="G214" i="24" s="1"/>
  <c r="E215" i="24"/>
  <c r="G215" i="24" s="1"/>
  <c r="E216" i="24"/>
  <c r="G216" i="24" s="1"/>
  <c r="E217" i="24"/>
  <c r="G217" i="24" s="1"/>
  <c r="E218" i="24"/>
  <c r="G218" i="24" s="1"/>
  <c r="E219" i="24"/>
  <c r="G219" i="24" s="1"/>
  <c r="E220" i="24"/>
  <c r="G220" i="24" s="1"/>
  <c r="E221" i="24"/>
  <c r="G221" i="24" s="1"/>
  <c r="E222" i="24"/>
  <c r="G222" i="24" s="1"/>
  <c r="E223" i="24"/>
  <c r="G223" i="24" s="1"/>
  <c r="E224" i="24"/>
  <c r="G224" i="24" s="1"/>
  <c r="E225" i="24"/>
  <c r="G225" i="24" s="1"/>
  <c r="E226" i="24"/>
  <c r="G226" i="24" s="1"/>
  <c r="E227" i="24"/>
  <c r="G227" i="24" s="1"/>
  <c r="E228" i="24"/>
  <c r="G228" i="24" s="1"/>
  <c r="E229" i="24"/>
  <c r="G229" i="24" s="1"/>
  <c r="E230" i="24"/>
  <c r="G230" i="24" s="1"/>
  <c r="E231" i="24"/>
  <c r="G231" i="24" s="1"/>
  <c r="E232" i="24"/>
  <c r="G232" i="24" s="1"/>
  <c r="E233" i="24"/>
  <c r="G233" i="24" s="1"/>
  <c r="E234" i="24"/>
  <c r="G234" i="24" s="1"/>
  <c r="E235" i="24"/>
  <c r="G235" i="24" s="1"/>
  <c r="E236" i="24"/>
  <c r="G236" i="24" s="1"/>
  <c r="E237" i="24"/>
  <c r="G237" i="24" s="1"/>
  <c r="E238" i="24"/>
  <c r="G238" i="24" s="1"/>
  <c r="E239" i="24"/>
  <c r="G239" i="24" s="1"/>
  <c r="E240" i="24"/>
  <c r="G240" i="24" s="1"/>
  <c r="E241" i="24"/>
  <c r="G241" i="24" s="1"/>
  <c r="E242" i="24"/>
  <c r="G242" i="24" s="1"/>
  <c r="E243" i="24"/>
  <c r="G243" i="24" s="1"/>
  <c r="E244" i="24"/>
  <c r="G244" i="24" s="1"/>
  <c r="E245" i="24"/>
  <c r="G245" i="24" s="1"/>
  <c r="E246" i="24"/>
  <c r="G246" i="24" s="1"/>
  <c r="E247" i="24"/>
  <c r="G247" i="24" s="1"/>
  <c r="E248" i="24"/>
  <c r="G248" i="24" s="1"/>
  <c r="E249" i="24"/>
  <c r="G249" i="24" s="1"/>
  <c r="E250" i="24"/>
  <c r="G250" i="24" s="1"/>
  <c r="E251" i="24"/>
  <c r="G251" i="24" s="1"/>
  <c r="E252" i="24"/>
  <c r="G252" i="24" s="1"/>
  <c r="E253" i="24"/>
  <c r="G253" i="24" s="1"/>
  <c r="E254" i="24"/>
  <c r="G254" i="24" s="1"/>
  <c r="E255" i="24"/>
  <c r="G255" i="24" s="1"/>
  <c r="E256" i="24"/>
  <c r="G256" i="24" s="1"/>
  <c r="E257" i="24"/>
  <c r="G257" i="24" s="1"/>
  <c r="E258" i="24"/>
  <c r="G258" i="24" s="1"/>
  <c r="E259" i="24"/>
  <c r="G259" i="24" s="1"/>
  <c r="E260" i="24"/>
  <c r="G260" i="24" s="1"/>
  <c r="E261" i="24"/>
  <c r="G261" i="24" s="1"/>
  <c r="E262" i="24"/>
  <c r="G262" i="24" s="1"/>
  <c r="E263" i="24"/>
  <c r="G263" i="24" s="1"/>
  <c r="E264" i="24"/>
  <c r="G264" i="24" s="1"/>
  <c r="E265" i="24"/>
  <c r="G265" i="24" s="1"/>
  <c r="E266" i="24"/>
  <c r="G266" i="24" s="1"/>
  <c r="E267" i="24"/>
  <c r="G267" i="24" s="1"/>
  <c r="E268" i="24"/>
  <c r="G268" i="24" s="1"/>
  <c r="E269" i="24"/>
  <c r="G269" i="24" s="1"/>
  <c r="E270" i="24"/>
  <c r="G270" i="24" s="1"/>
  <c r="E271" i="24"/>
  <c r="G271" i="24" s="1"/>
  <c r="E272" i="24"/>
  <c r="G272" i="24" s="1"/>
  <c r="E273" i="24"/>
  <c r="G273" i="24" s="1"/>
  <c r="E274" i="24"/>
  <c r="G274" i="24" s="1"/>
  <c r="E275" i="24"/>
  <c r="G275" i="24" s="1"/>
  <c r="C276" i="24"/>
  <c r="G276" i="24" l="1"/>
  <c r="E276" i="24"/>
  <c r="E280" i="24" s="1"/>
  <c r="F203" i="22" l="1"/>
  <c r="E178" i="23"/>
  <c r="E179" i="23"/>
  <c r="E180" i="23"/>
  <c r="E112" i="23"/>
  <c r="E98" i="21"/>
  <c r="E88" i="21"/>
  <c r="E82" i="21"/>
  <c r="C262" i="21"/>
  <c r="C264" i="21" s="1"/>
  <c r="F148" i="22"/>
  <c r="F57" i="21" l="1"/>
  <c r="F35" i="20"/>
  <c r="F143" i="22"/>
  <c r="F19" i="21" l="1"/>
  <c r="F174" i="21"/>
  <c r="F37" i="22"/>
  <c r="F193" i="21"/>
  <c r="F21" i="21"/>
  <c r="E99" i="22" l="1"/>
  <c r="E172" i="22"/>
  <c r="E173" i="22"/>
  <c r="E201" i="22"/>
  <c r="E202" i="22"/>
  <c r="E203" i="22"/>
  <c r="F191" i="21"/>
  <c r="F95" i="21"/>
  <c r="F169" i="22" l="1"/>
  <c r="F13" i="22"/>
  <c r="E13" i="22"/>
  <c r="F22" i="21" l="1"/>
  <c r="F12" i="21"/>
  <c r="F111" i="21"/>
  <c r="F26" i="21"/>
  <c r="F63" i="21"/>
  <c r="F68" i="20"/>
  <c r="F47" i="21"/>
  <c r="F128" i="21"/>
  <c r="F18" i="21"/>
  <c r="F145" i="22"/>
  <c r="F44" i="21"/>
  <c r="F59" i="21"/>
  <c r="F93" i="21"/>
  <c r="F56" i="21"/>
  <c r="F225" i="21"/>
  <c r="F108" i="21"/>
  <c r="F75" i="21"/>
  <c r="F40" i="21"/>
  <c r="F76" i="21"/>
  <c r="F78" i="21"/>
  <c r="F172" i="21"/>
  <c r="F10" i="21"/>
  <c r="G13" i="22"/>
  <c r="G83" i="22"/>
  <c r="G89" i="22"/>
  <c r="G99" i="22"/>
  <c r="G172" i="22"/>
  <c r="G173" i="22"/>
  <c r="G174" i="22"/>
  <c r="G175" i="22"/>
  <c r="G176" i="22"/>
  <c r="G201" i="22"/>
  <c r="G203" i="22"/>
  <c r="G269" i="22"/>
  <c r="G270" i="22"/>
  <c r="F29" i="21" l="1"/>
  <c r="F11" i="21"/>
  <c r="F60" i="21"/>
  <c r="F30" i="21"/>
  <c r="F91" i="21"/>
  <c r="F188" i="21"/>
  <c r="F70" i="22" l="1"/>
  <c r="F5" i="21"/>
  <c r="F5" i="23"/>
  <c r="F276" i="23" s="1"/>
  <c r="G112" i="23"/>
  <c r="G178" i="23"/>
  <c r="G179" i="23"/>
  <c r="G180" i="23"/>
  <c r="G208" i="23"/>
  <c r="G218" i="23"/>
  <c r="G239" i="23"/>
  <c r="C276" i="23"/>
  <c r="E275" i="23"/>
  <c r="G275" i="23" s="1"/>
  <c r="E274" i="23"/>
  <c r="G274" i="23" s="1"/>
  <c r="E273" i="23"/>
  <c r="G273" i="23" s="1"/>
  <c r="E272" i="23"/>
  <c r="G272" i="23" s="1"/>
  <c r="E271" i="23"/>
  <c r="G271" i="23" s="1"/>
  <c r="E270" i="23"/>
  <c r="G270" i="23" s="1"/>
  <c r="E269" i="23"/>
  <c r="G269" i="23" s="1"/>
  <c r="E268" i="23"/>
  <c r="G268" i="23" s="1"/>
  <c r="E267" i="23"/>
  <c r="G267" i="23" s="1"/>
  <c r="E266" i="23"/>
  <c r="G266" i="23" s="1"/>
  <c r="E265" i="23"/>
  <c r="G265" i="23" s="1"/>
  <c r="E264" i="23"/>
  <c r="G264" i="23" s="1"/>
  <c r="E263" i="23"/>
  <c r="G263" i="23" s="1"/>
  <c r="E262" i="23"/>
  <c r="G262" i="23" s="1"/>
  <c r="E261" i="23"/>
  <c r="G261" i="23" s="1"/>
  <c r="E260" i="23"/>
  <c r="G260" i="23" s="1"/>
  <c r="E259" i="23"/>
  <c r="G259" i="23" s="1"/>
  <c r="E258" i="23"/>
  <c r="G258" i="23" s="1"/>
  <c r="A258" i="23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E257" i="23"/>
  <c r="G257" i="23" s="1"/>
  <c r="E256" i="23"/>
  <c r="G256" i="23" s="1"/>
  <c r="E255" i="23"/>
  <c r="G255" i="23" s="1"/>
  <c r="E254" i="23"/>
  <c r="G254" i="23" s="1"/>
  <c r="E253" i="23"/>
  <c r="G253" i="23" s="1"/>
  <c r="E252" i="23"/>
  <c r="G252" i="23" s="1"/>
  <c r="E251" i="23"/>
  <c r="G251" i="23" s="1"/>
  <c r="E250" i="23"/>
  <c r="G250" i="23" s="1"/>
  <c r="E249" i="23"/>
  <c r="G249" i="23" s="1"/>
  <c r="E248" i="23"/>
  <c r="G248" i="23" s="1"/>
  <c r="E247" i="23"/>
  <c r="G247" i="23" s="1"/>
  <c r="E246" i="23"/>
  <c r="G246" i="23" s="1"/>
  <c r="E245" i="23"/>
  <c r="G245" i="23" s="1"/>
  <c r="E244" i="23"/>
  <c r="G244" i="23" s="1"/>
  <c r="E243" i="23"/>
  <c r="G243" i="23" s="1"/>
  <c r="E242" i="23"/>
  <c r="G242" i="23" s="1"/>
  <c r="E241" i="23"/>
  <c r="G241" i="23" s="1"/>
  <c r="E240" i="23"/>
  <c r="G240" i="23" s="1"/>
  <c r="E239" i="23"/>
  <c r="E238" i="23"/>
  <c r="G238" i="23" s="1"/>
  <c r="E237" i="23"/>
  <c r="G237" i="23" s="1"/>
  <c r="E236" i="23"/>
  <c r="G236" i="23" s="1"/>
  <c r="E235" i="23"/>
  <c r="G235" i="23" s="1"/>
  <c r="E234" i="23"/>
  <c r="G234" i="23" s="1"/>
  <c r="E233" i="23"/>
  <c r="G233" i="23" s="1"/>
  <c r="E232" i="23"/>
  <c r="G232" i="23" s="1"/>
  <c r="E231" i="23"/>
  <c r="G231" i="23" s="1"/>
  <c r="E230" i="23"/>
  <c r="G230" i="23" s="1"/>
  <c r="E229" i="23"/>
  <c r="G229" i="23" s="1"/>
  <c r="E228" i="23"/>
  <c r="G228" i="23" s="1"/>
  <c r="E227" i="23"/>
  <c r="G227" i="23" s="1"/>
  <c r="E226" i="23"/>
  <c r="G226" i="23" s="1"/>
  <c r="E225" i="23"/>
  <c r="G225" i="23" s="1"/>
  <c r="E224" i="23"/>
  <c r="G224" i="23" s="1"/>
  <c r="E223" i="23"/>
  <c r="G223" i="23" s="1"/>
  <c r="E222" i="23"/>
  <c r="G222" i="23" s="1"/>
  <c r="E221" i="23"/>
  <c r="G221" i="23" s="1"/>
  <c r="E220" i="23"/>
  <c r="G220" i="23" s="1"/>
  <c r="E219" i="23"/>
  <c r="G219" i="23" s="1"/>
  <c r="E218" i="23"/>
  <c r="E217" i="23"/>
  <c r="G217" i="23" s="1"/>
  <c r="E216" i="23"/>
  <c r="G216" i="23" s="1"/>
  <c r="E215" i="23"/>
  <c r="G215" i="23" s="1"/>
  <c r="E214" i="23"/>
  <c r="G214" i="23" s="1"/>
  <c r="E213" i="23"/>
  <c r="G213" i="23" s="1"/>
  <c r="E212" i="23"/>
  <c r="G212" i="23" s="1"/>
  <c r="E211" i="23"/>
  <c r="G211" i="23" s="1"/>
  <c r="E210" i="23"/>
  <c r="G210" i="23" s="1"/>
  <c r="E209" i="23"/>
  <c r="G209" i="23" s="1"/>
  <c r="E208" i="23"/>
  <c r="E207" i="23"/>
  <c r="G207" i="23" s="1"/>
  <c r="E206" i="23"/>
  <c r="G206" i="23" s="1"/>
  <c r="E205" i="23"/>
  <c r="G205" i="23" s="1"/>
  <c r="E204" i="23"/>
  <c r="G204" i="23" s="1"/>
  <c r="E203" i="23"/>
  <c r="G203" i="23" s="1"/>
  <c r="E202" i="23"/>
  <c r="G202" i="23" s="1"/>
  <c r="E201" i="23"/>
  <c r="G201" i="23" s="1"/>
  <c r="E200" i="23"/>
  <c r="G200" i="23" s="1"/>
  <c r="E199" i="23"/>
  <c r="G199" i="23" s="1"/>
  <c r="E198" i="23"/>
  <c r="G198" i="23" s="1"/>
  <c r="E197" i="23"/>
  <c r="G197" i="23" s="1"/>
  <c r="E196" i="23"/>
  <c r="G196" i="23" s="1"/>
  <c r="E195" i="23"/>
  <c r="G195" i="23" s="1"/>
  <c r="E194" i="23"/>
  <c r="G194" i="23" s="1"/>
  <c r="E193" i="23"/>
  <c r="G193" i="23" s="1"/>
  <c r="E192" i="23"/>
  <c r="G192" i="23" s="1"/>
  <c r="E191" i="23"/>
  <c r="G191" i="23" s="1"/>
  <c r="E190" i="23"/>
  <c r="G190" i="23" s="1"/>
  <c r="E189" i="23"/>
  <c r="G189" i="23" s="1"/>
  <c r="E188" i="23"/>
  <c r="G188" i="23" s="1"/>
  <c r="E187" i="23"/>
  <c r="G187" i="23" s="1"/>
  <c r="E186" i="23"/>
  <c r="G186" i="23" s="1"/>
  <c r="E185" i="23"/>
  <c r="G185" i="23" s="1"/>
  <c r="E184" i="23"/>
  <c r="G184" i="23" s="1"/>
  <c r="E183" i="23"/>
  <c r="G183" i="23" s="1"/>
  <c r="E182" i="23"/>
  <c r="G182" i="23" s="1"/>
  <c r="E181" i="23"/>
  <c r="G181" i="23" s="1"/>
  <c r="E177" i="23"/>
  <c r="G177" i="23" s="1"/>
  <c r="E176" i="23"/>
  <c r="G176" i="23" s="1"/>
  <c r="E175" i="23"/>
  <c r="G175" i="23" s="1"/>
  <c r="E174" i="23"/>
  <c r="G174" i="23" s="1"/>
  <c r="E173" i="23"/>
  <c r="G173" i="23" s="1"/>
  <c r="E172" i="23"/>
  <c r="G172" i="23" s="1"/>
  <c r="E171" i="23"/>
  <c r="G171" i="23" s="1"/>
  <c r="E170" i="23"/>
  <c r="G170" i="23" s="1"/>
  <c r="E169" i="23"/>
  <c r="G169" i="23" s="1"/>
  <c r="E168" i="23"/>
  <c r="G168" i="23" s="1"/>
  <c r="E167" i="23"/>
  <c r="G167" i="23" s="1"/>
  <c r="E166" i="23"/>
  <c r="G166" i="23" s="1"/>
  <c r="E165" i="23"/>
  <c r="G165" i="23" s="1"/>
  <c r="E164" i="23"/>
  <c r="G164" i="23" s="1"/>
  <c r="E163" i="23"/>
  <c r="G163" i="23" s="1"/>
  <c r="E162" i="23"/>
  <c r="G162" i="23" s="1"/>
  <c r="E161" i="23"/>
  <c r="G161" i="23" s="1"/>
  <c r="E160" i="23"/>
  <c r="G160" i="23" s="1"/>
  <c r="E159" i="23"/>
  <c r="G159" i="23" s="1"/>
  <c r="E158" i="23"/>
  <c r="G158" i="23" s="1"/>
  <c r="E157" i="23"/>
  <c r="G157" i="23" s="1"/>
  <c r="E156" i="23"/>
  <c r="G156" i="23" s="1"/>
  <c r="E155" i="23"/>
  <c r="G155" i="23" s="1"/>
  <c r="E154" i="23"/>
  <c r="G154" i="23" s="1"/>
  <c r="E153" i="23"/>
  <c r="G153" i="23" s="1"/>
  <c r="E152" i="23"/>
  <c r="G152" i="23" s="1"/>
  <c r="E151" i="23"/>
  <c r="G151" i="23" s="1"/>
  <c r="E150" i="23"/>
  <c r="G150" i="23" s="1"/>
  <c r="E149" i="23"/>
  <c r="G149" i="23" s="1"/>
  <c r="E148" i="23"/>
  <c r="G148" i="23" s="1"/>
  <c r="E147" i="23"/>
  <c r="G147" i="23" s="1"/>
  <c r="E146" i="23"/>
  <c r="G146" i="23" s="1"/>
  <c r="E145" i="23"/>
  <c r="G145" i="23" s="1"/>
  <c r="E144" i="23"/>
  <c r="G144" i="23" s="1"/>
  <c r="E143" i="23"/>
  <c r="G143" i="23" s="1"/>
  <c r="E142" i="23"/>
  <c r="G142" i="23" s="1"/>
  <c r="E141" i="23"/>
  <c r="G141" i="23" s="1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30" i="23"/>
  <c r="G130" i="23" s="1"/>
  <c r="E129" i="23"/>
  <c r="G129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23" i="23"/>
  <c r="G123" i="23" s="1"/>
  <c r="E122" i="23"/>
  <c r="G122" i="23" s="1"/>
  <c r="E121" i="23"/>
  <c r="G121" i="23" s="1"/>
  <c r="E120" i="23"/>
  <c r="G120" i="23" s="1"/>
  <c r="E119" i="23"/>
  <c r="G119" i="23" s="1"/>
  <c r="E118" i="23"/>
  <c r="G118" i="23" s="1"/>
  <c r="E117" i="23"/>
  <c r="G117" i="23" s="1"/>
  <c r="E116" i="23"/>
  <c r="G116" i="23" s="1"/>
  <c r="E115" i="23"/>
  <c r="G115" i="23" s="1"/>
  <c r="E114" i="23"/>
  <c r="G114" i="23" s="1"/>
  <c r="E113" i="23"/>
  <c r="G113" i="23" s="1"/>
  <c r="E111" i="23"/>
  <c r="G111" i="23" s="1"/>
  <c r="E110" i="23"/>
  <c r="G110" i="23" s="1"/>
  <c r="E109" i="23"/>
  <c r="G109" i="23" s="1"/>
  <c r="E108" i="23"/>
  <c r="G108" i="23" s="1"/>
  <c r="E107" i="23"/>
  <c r="G107" i="23" s="1"/>
  <c r="E106" i="23"/>
  <c r="G106" i="23" s="1"/>
  <c r="E105" i="23"/>
  <c r="G105" i="23" s="1"/>
  <c r="E104" i="23"/>
  <c r="G104" i="23" s="1"/>
  <c r="E103" i="23"/>
  <c r="G103" i="23" s="1"/>
  <c r="E102" i="23"/>
  <c r="G102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G95" i="23" s="1"/>
  <c r="E94" i="23"/>
  <c r="G94" i="23" s="1"/>
  <c r="E93" i="23"/>
  <c r="G93" i="23" s="1"/>
  <c r="E92" i="23"/>
  <c r="G92" i="23" s="1"/>
  <c r="E91" i="23"/>
  <c r="G91" i="23" s="1"/>
  <c r="E90" i="23"/>
  <c r="G90" i="23" s="1"/>
  <c r="E89" i="23"/>
  <c r="G89" i="23" s="1"/>
  <c r="E88" i="23"/>
  <c r="G88" i="23" s="1"/>
  <c r="E87" i="23"/>
  <c r="G87" i="23" s="1"/>
  <c r="E86" i="23"/>
  <c r="G86" i="23" s="1"/>
  <c r="E85" i="23"/>
  <c r="G85" i="23" s="1"/>
  <c r="E84" i="23"/>
  <c r="G84" i="23" s="1"/>
  <c r="E83" i="23"/>
  <c r="G83" i="23" s="1"/>
  <c r="E82" i="23"/>
  <c r="G82" i="23" s="1"/>
  <c r="E81" i="23"/>
  <c r="G81" i="23" s="1"/>
  <c r="E80" i="23"/>
  <c r="G80" i="23" s="1"/>
  <c r="E79" i="23"/>
  <c r="G79" i="23" s="1"/>
  <c r="E78" i="23"/>
  <c r="G78" i="23" s="1"/>
  <c r="E77" i="23"/>
  <c r="G77" i="23" s="1"/>
  <c r="E76" i="23"/>
  <c r="G76" i="23" s="1"/>
  <c r="E75" i="23"/>
  <c r="G75" i="23" s="1"/>
  <c r="E74" i="23"/>
  <c r="G74" i="23" s="1"/>
  <c r="E73" i="23"/>
  <c r="G73" i="23" s="1"/>
  <c r="E72" i="23"/>
  <c r="G72" i="23" s="1"/>
  <c r="E71" i="23"/>
  <c r="G71" i="23" s="1"/>
  <c r="E70" i="23"/>
  <c r="G70" i="23" s="1"/>
  <c r="E69" i="23"/>
  <c r="G69" i="23" s="1"/>
  <c r="E68" i="23"/>
  <c r="G68" i="23" s="1"/>
  <c r="E67" i="23"/>
  <c r="G67" i="23" s="1"/>
  <c r="E66" i="23"/>
  <c r="G66" i="23" s="1"/>
  <c r="E65" i="23"/>
  <c r="G65" i="23" s="1"/>
  <c r="E64" i="23"/>
  <c r="G64" i="23" s="1"/>
  <c r="E63" i="23"/>
  <c r="G63" i="23" s="1"/>
  <c r="E62" i="23"/>
  <c r="G62" i="23" s="1"/>
  <c r="E61" i="23"/>
  <c r="G61" i="23" s="1"/>
  <c r="E60" i="23"/>
  <c r="G60" i="23" s="1"/>
  <c r="E59" i="23"/>
  <c r="G59" i="23" s="1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E50" i="23"/>
  <c r="G50" i="23" s="1"/>
  <c r="E49" i="23"/>
  <c r="G49" i="23" s="1"/>
  <c r="E48" i="23"/>
  <c r="G48" i="23" s="1"/>
  <c r="E47" i="23"/>
  <c r="G47" i="23" s="1"/>
  <c r="E46" i="23"/>
  <c r="G46" i="23" s="1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E8" i="23"/>
  <c r="G8" i="23" s="1"/>
  <c r="E7" i="23"/>
  <c r="G7" i="23" s="1"/>
  <c r="E6" i="23"/>
  <c r="G6" i="23" s="1"/>
  <c r="E5" i="23"/>
  <c r="G5" i="23" s="1"/>
  <c r="G276" i="23" l="1"/>
  <c r="E276" i="23"/>
  <c r="E279" i="23" s="1"/>
  <c r="F51" i="21"/>
  <c r="F171" i="21" l="1"/>
  <c r="F217" i="21"/>
  <c r="F49" i="22" l="1"/>
  <c r="F226" i="21" l="1"/>
  <c r="F119" i="20"/>
  <c r="F24" i="20" l="1"/>
  <c r="F42" i="20"/>
  <c r="F128" i="20"/>
  <c r="F38" i="20" l="1"/>
  <c r="F87" i="20"/>
  <c r="F20" i="21" l="1"/>
  <c r="F256" i="21" l="1"/>
  <c r="F108" i="22"/>
  <c r="F107" i="21"/>
  <c r="F24" i="21" l="1"/>
  <c r="P66" i="20" l="1"/>
  <c r="F61" i="20"/>
  <c r="F15" i="20" l="1"/>
  <c r="F32" i="22"/>
  <c r="F86" i="21"/>
  <c r="E5" i="22"/>
  <c r="E6" i="22"/>
  <c r="G6" i="22" s="1"/>
  <c r="E7" i="22"/>
  <c r="G7" i="22" s="1"/>
  <c r="E8" i="22"/>
  <c r="G8" i="22"/>
  <c r="E9" i="22"/>
  <c r="G9" i="22" s="1"/>
  <c r="E10" i="22"/>
  <c r="G10" i="22" s="1"/>
  <c r="E11" i="22"/>
  <c r="G11" i="22" s="1"/>
  <c r="E12" i="22"/>
  <c r="G12" i="22" s="1"/>
  <c r="E14" i="22"/>
  <c r="G14" i="22" s="1"/>
  <c r="E15" i="22"/>
  <c r="G15" i="22" s="1"/>
  <c r="E16" i="22"/>
  <c r="G16" i="22" s="1"/>
  <c r="E17" i="22"/>
  <c r="G17" i="22" s="1"/>
  <c r="E18" i="22"/>
  <c r="G18" i="22" s="1"/>
  <c r="E19" i="22"/>
  <c r="G19" i="22" s="1"/>
  <c r="E20" i="22"/>
  <c r="G20" i="22" s="1"/>
  <c r="E21" i="22"/>
  <c r="G21" i="22" s="1"/>
  <c r="E22" i="22"/>
  <c r="G22" i="22" s="1"/>
  <c r="E23" i="22"/>
  <c r="G23" i="22" s="1"/>
  <c r="E24" i="22"/>
  <c r="G24" i="22" s="1"/>
  <c r="E25" i="22"/>
  <c r="G25" i="22" s="1"/>
  <c r="E26" i="22"/>
  <c r="G26" i="22" s="1"/>
  <c r="E27" i="22"/>
  <c r="G27" i="22" s="1"/>
  <c r="E28" i="22"/>
  <c r="G28" i="22" s="1"/>
  <c r="E29" i="22"/>
  <c r="G29" i="22" s="1"/>
  <c r="E30" i="22"/>
  <c r="G30" i="22" s="1"/>
  <c r="E31" i="22"/>
  <c r="G31" i="22" s="1"/>
  <c r="E32" i="22"/>
  <c r="G32" i="22" s="1"/>
  <c r="E33" i="22"/>
  <c r="G33" i="22" s="1"/>
  <c r="E34" i="22"/>
  <c r="G34" i="22" s="1"/>
  <c r="E35" i="22"/>
  <c r="G35" i="22" s="1"/>
  <c r="E36" i="22"/>
  <c r="G36" i="22" s="1"/>
  <c r="E37" i="22"/>
  <c r="G37" i="22" s="1"/>
  <c r="E38" i="22"/>
  <c r="G38" i="22" s="1"/>
  <c r="E39" i="22"/>
  <c r="G39" i="22" s="1"/>
  <c r="E40" i="22"/>
  <c r="G40" i="22" s="1"/>
  <c r="E41" i="22"/>
  <c r="G41" i="22" s="1"/>
  <c r="E42" i="22"/>
  <c r="G42" i="22" s="1"/>
  <c r="E43" i="22"/>
  <c r="G43" i="22" s="1"/>
  <c r="E44" i="22"/>
  <c r="G44" i="22" s="1"/>
  <c r="E45" i="22"/>
  <c r="G45" i="22" s="1"/>
  <c r="E46" i="22"/>
  <c r="G46" i="22" s="1"/>
  <c r="E47" i="22"/>
  <c r="G47" i="22" s="1"/>
  <c r="E48" i="22"/>
  <c r="G48" i="22" s="1"/>
  <c r="E49" i="22"/>
  <c r="G49" i="22" s="1"/>
  <c r="E50" i="22"/>
  <c r="G50" i="22" s="1"/>
  <c r="E51" i="22"/>
  <c r="G51" i="22" s="1"/>
  <c r="E52" i="22"/>
  <c r="G52" i="22" s="1"/>
  <c r="E53" i="22"/>
  <c r="G53" i="22" s="1"/>
  <c r="E54" i="22"/>
  <c r="G54" i="22" s="1"/>
  <c r="E55" i="22"/>
  <c r="G55" i="22" s="1"/>
  <c r="E56" i="22"/>
  <c r="G56" i="22" s="1"/>
  <c r="E57" i="22"/>
  <c r="G57" i="22" s="1"/>
  <c r="E58" i="22"/>
  <c r="G58" i="22" s="1"/>
  <c r="E59" i="22"/>
  <c r="G59" i="22" s="1"/>
  <c r="E60" i="22"/>
  <c r="G60" i="22" s="1"/>
  <c r="E61" i="22"/>
  <c r="G61" i="22" s="1"/>
  <c r="E62" i="22"/>
  <c r="G62" i="22" s="1"/>
  <c r="E63" i="22"/>
  <c r="G63" i="22" s="1"/>
  <c r="E64" i="22"/>
  <c r="G64" i="22" s="1"/>
  <c r="E65" i="22"/>
  <c r="G65" i="22" s="1"/>
  <c r="E66" i="22"/>
  <c r="G66" i="22" s="1"/>
  <c r="E67" i="22"/>
  <c r="G67" i="22" s="1"/>
  <c r="E68" i="22"/>
  <c r="G68" i="22" s="1"/>
  <c r="E69" i="22"/>
  <c r="G69" i="22" s="1"/>
  <c r="E70" i="22"/>
  <c r="G70" i="22" s="1"/>
  <c r="E71" i="22"/>
  <c r="G71" i="22" s="1"/>
  <c r="E72" i="22"/>
  <c r="G72" i="22" s="1"/>
  <c r="E73" i="22"/>
  <c r="G73" i="22" s="1"/>
  <c r="E74" i="22"/>
  <c r="G74" i="22" s="1"/>
  <c r="E75" i="22"/>
  <c r="G75" i="22" s="1"/>
  <c r="E76" i="22"/>
  <c r="G76" i="22" s="1"/>
  <c r="E77" i="22"/>
  <c r="G77" i="22" s="1"/>
  <c r="E78" i="22"/>
  <c r="G78" i="22" s="1"/>
  <c r="E79" i="22"/>
  <c r="G79" i="22" s="1"/>
  <c r="E80" i="22"/>
  <c r="G80" i="22" s="1"/>
  <c r="E81" i="22"/>
  <c r="G81" i="22" s="1"/>
  <c r="E82" i="22"/>
  <c r="G82" i="22" s="1"/>
  <c r="E84" i="22"/>
  <c r="G84" i="22" s="1"/>
  <c r="E85" i="22"/>
  <c r="G85" i="22" s="1"/>
  <c r="E86" i="22"/>
  <c r="G86" i="22" s="1"/>
  <c r="E87" i="22"/>
  <c r="F87" i="22" s="1"/>
  <c r="E88" i="22"/>
  <c r="G88" i="22" s="1"/>
  <c r="E90" i="22"/>
  <c r="G90" i="22" s="1"/>
  <c r="E91" i="22"/>
  <c r="G91" i="22" s="1"/>
  <c r="E92" i="22"/>
  <c r="G92" i="22" s="1"/>
  <c r="E93" i="22"/>
  <c r="G93" i="22" s="1"/>
  <c r="E94" i="22"/>
  <c r="G94" i="22" s="1"/>
  <c r="E95" i="22"/>
  <c r="G95" i="22" s="1"/>
  <c r="E96" i="22"/>
  <c r="G96" i="22" s="1"/>
  <c r="E97" i="22"/>
  <c r="G97" i="22" s="1"/>
  <c r="E98" i="22"/>
  <c r="G98" i="22" s="1"/>
  <c r="E100" i="22"/>
  <c r="G100" i="22" s="1"/>
  <c r="E101" i="22"/>
  <c r="G101" i="22" s="1"/>
  <c r="E102" i="22"/>
  <c r="G102" i="22" s="1"/>
  <c r="E103" i="22"/>
  <c r="G103" i="22" s="1"/>
  <c r="E104" i="22"/>
  <c r="G104" i="22" s="1"/>
  <c r="E105" i="22"/>
  <c r="G105" i="22" s="1"/>
  <c r="E106" i="22"/>
  <c r="G106" i="22" s="1"/>
  <c r="E107" i="22"/>
  <c r="G107" i="22" s="1"/>
  <c r="E108" i="22"/>
  <c r="G108" i="22" s="1"/>
  <c r="E109" i="22"/>
  <c r="G109" i="22" s="1"/>
  <c r="E110" i="22"/>
  <c r="G110" i="22" s="1"/>
  <c r="E111" i="22"/>
  <c r="G111" i="22" s="1"/>
  <c r="E112" i="22"/>
  <c r="G112" i="22" s="1"/>
  <c r="E113" i="22"/>
  <c r="G113" i="22" s="1"/>
  <c r="E114" i="22"/>
  <c r="G114" i="22" s="1"/>
  <c r="E115" i="22"/>
  <c r="G115" i="22" s="1"/>
  <c r="E116" i="22"/>
  <c r="G116" i="22" s="1"/>
  <c r="E117" i="22"/>
  <c r="G117" i="22" s="1"/>
  <c r="E118" i="22"/>
  <c r="G118" i="22" s="1"/>
  <c r="E119" i="22"/>
  <c r="G119" i="22" s="1"/>
  <c r="E120" i="22"/>
  <c r="G120" i="22" s="1"/>
  <c r="E121" i="22"/>
  <c r="G121" i="22" s="1"/>
  <c r="E122" i="22"/>
  <c r="G122" i="22" s="1"/>
  <c r="E123" i="22"/>
  <c r="G123" i="22" s="1"/>
  <c r="E124" i="22"/>
  <c r="G124" i="22" s="1"/>
  <c r="E125" i="22"/>
  <c r="G125" i="22" s="1"/>
  <c r="E126" i="22"/>
  <c r="G126" i="22" s="1"/>
  <c r="E127" i="22"/>
  <c r="G127" i="22" s="1"/>
  <c r="E128" i="22"/>
  <c r="G128" i="22" s="1"/>
  <c r="E129" i="22"/>
  <c r="G129" i="22" s="1"/>
  <c r="E130" i="22"/>
  <c r="G130" i="22" s="1"/>
  <c r="E131" i="22"/>
  <c r="G131" i="22" s="1"/>
  <c r="E132" i="22"/>
  <c r="G132" i="22" s="1"/>
  <c r="E133" i="22"/>
  <c r="G133" i="22" s="1"/>
  <c r="E134" i="22"/>
  <c r="G134" i="22" s="1"/>
  <c r="E135" i="22"/>
  <c r="G135" i="22" s="1"/>
  <c r="E136" i="22"/>
  <c r="G136" i="22" s="1"/>
  <c r="E137" i="22"/>
  <c r="G137" i="22" s="1"/>
  <c r="E138" i="22"/>
  <c r="G138" i="22" s="1"/>
  <c r="E139" i="22"/>
  <c r="G139" i="22" s="1"/>
  <c r="E140" i="22"/>
  <c r="G140" i="22" s="1"/>
  <c r="E141" i="22"/>
  <c r="G141" i="22" s="1"/>
  <c r="E142" i="22"/>
  <c r="G142" i="22" s="1"/>
  <c r="E143" i="22"/>
  <c r="G143" i="22" s="1"/>
  <c r="E144" i="22"/>
  <c r="G144" i="22" s="1"/>
  <c r="E145" i="22"/>
  <c r="G145" i="22" s="1"/>
  <c r="E146" i="22"/>
  <c r="G146" i="22" s="1"/>
  <c r="E147" i="22"/>
  <c r="G147" i="22" s="1"/>
  <c r="E148" i="22"/>
  <c r="G148" i="22" s="1"/>
  <c r="E149" i="22"/>
  <c r="G149" i="22" s="1"/>
  <c r="E150" i="22"/>
  <c r="G150" i="22" s="1"/>
  <c r="E151" i="22"/>
  <c r="G151" i="22" s="1"/>
  <c r="E152" i="22"/>
  <c r="G152" i="22" s="1"/>
  <c r="E153" i="22"/>
  <c r="G153" i="22" s="1"/>
  <c r="E154" i="22"/>
  <c r="G154" i="22" s="1"/>
  <c r="E155" i="22"/>
  <c r="G155" i="22" s="1"/>
  <c r="E156" i="22"/>
  <c r="G156" i="22" s="1"/>
  <c r="E157" i="22"/>
  <c r="G157" i="22" s="1"/>
  <c r="E158" i="22"/>
  <c r="G158" i="22" s="1"/>
  <c r="E159" i="22"/>
  <c r="G159" i="22" s="1"/>
  <c r="E160" i="22"/>
  <c r="G160" i="22" s="1"/>
  <c r="E161" i="22"/>
  <c r="G161" i="22" s="1"/>
  <c r="E162" i="22"/>
  <c r="G162" i="22" s="1"/>
  <c r="E163" i="22"/>
  <c r="G163" i="22" s="1"/>
  <c r="E164" i="22"/>
  <c r="G164" i="22" s="1"/>
  <c r="E165" i="22"/>
  <c r="G165" i="22" s="1"/>
  <c r="E166" i="22"/>
  <c r="G166" i="22" s="1"/>
  <c r="E167" i="22"/>
  <c r="G167" i="22" s="1"/>
  <c r="E168" i="22"/>
  <c r="G168" i="22" s="1"/>
  <c r="E169" i="22"/>
  <c r="G169" i="22" s="1"/>
  <c r="E170" i="22"/>
  <c r="G170" i="22" s="1"/>
  <c r="E171" i="22"/>
  <c r="G171" i="22" s="1"/>
  <c r="E177" i="22"/>
  <c r="G177" i="22" s="1"/>
  <c r="E178" i="22"/>
  <c r="G178" i="22" s="1"/>
  <c r="E179" i="22"/>
  <c r="G179" i="22" s="1"/>
  <c r="E180" i="22"/>
  <c r="G180" i="22" s="1"/>
  <c r="E181" i="22"/>
  <c r="G181" i="22" s="1"/>
  <c r="E182" i="22"/>
  <c r="G182" i="22" s="1"/>
  <c r="E183" i="22"/>
  <c r="G183" i="22" s="1"/>
  <c r="E184" i="22"/>
  <c r="G184" i="22" s="1"/>
  <c r="E185" i="22"/>
  <c r="G185" i="22" s="1"/>
  <c r="E186" i="22"/>
  <c r="G186" i="22" s="1"/>
  <c r="E187" i="22"/>
  <c r="G187" i="22" s="1"/>
  <c r="E188" i="22"/>
  <c r="G188" i="22" s="1"/>
  <c r="E189" i="22"/>
  <c r="G189" i="22" s="1"/>
  <c r="E190" i="22"/>
  <c r="G190" i="22" s="1"/>
  <c r="E191" i="22"/>
  <c r="G191" i="22" s="1"/>
  <c r="E192" i="22"/>
  <c r="G192" i="22" s="1"/>
  <c r="E193" i="22"/>
  <c r="G193" i="22" s="1"/>
  <c r="E194" i="22"/>
  <c r="G194" i="22" s="1"/>
  <c r="E195" i="22"/>
  <c r="G195" i="22" s="1"/>
  <c r="E196" i="22"/>
  <c r="E197" i="22"/>
  <c r="G197" i="22" s="1"/>
  <c r="E198" i="22"/>
  <c r="G198" i="22" s="1"/>
  <c r="E199" i="22"/>
  <c r="G199" i="22" s="1"/>
  <c r="E200" i="22"/>
  <c r="G200" i="22" s="1"/>
  <c r="E204" i="22"/>
  <c r="G204" i="22" s="1"/>
  <c r="E205" i="22"/>
  <c r="G205" i="22" s="1"/>
  <c r="E206" i="22"/>
  <c r="G206" i="22" s="1"/>
  <c r="E207" i="22"/>
  <c r="G207" i="22" s="1"/>
  <c r="E208" i="22"/>
  <c r="G208" i="22" s="1"/>
  <c r="E209" i="22"/>
  <c r="G209" i="22" s="1"/>
  <c r="E210" i="22"/>
  <c r="G210" i="22" s="1"/>
  <c r="E211" i="22"/>
  <c r="G211" i="22" s="1"/>
  <c r="E212" i="22"/>
  <c r="G212" i="22" s="1"/>
  <c r="E213" i="22"/>
  <c r="G213" i="22" s="1"/>
  <c r="E214" i="22"/>
  <c r="G214" i="22" s="1"/>
  <c r="E215" i="22"/>
  <c r="G215" i="22" s="1"/>
  <c r="E216" i="22"/>
  <c r="G216" i="22" s="1"/>
  <c r="E217" i="22"/>
  <c r="G217" i="22" s="1"/>
  <c r="E218" i="22"/>
  <c r="G218" i="22" s="1"/>
  <c r="E219" i="22"/>
  <c r="G219" i="22" s="1"/>
  <c r="E220" i="22"/>
  <c r="G220" i="22" s="1"/>
  <c r="E221" i="22"/>
  <c r="G221" i="22" s="1"/>
  <c r="E222" i="22"/>
  <c r="G222" i="22" s="1"/>
  <c r="E223" i="22"/>
  <c r="G223" i="22" s="1"/>
  <c r="E224" i="22"/>
  <c r="G224" i="22" s="1"/>
  <c r="E225" i="22"/>
  <c r="G225" i="22" s="1"/>
  <c r="E226" i="22"/>
  <c r="G226" i="22" s="1"/>
  <c r="E227" i="22"/>
  <c r="G227" i="22" s="1"/>
  <c r="E228" i="22"/>
  <c r="G228" i="22" s="1"/>
  <c r="E229" i="22"/>
  <c r="G229" i="22" s="1"/>
  <c r="E230" i="22"/>
  <c r="G230" i="22" s="1"/>
  <c r="E231" i="22"/>
  <c r="G231" i="22" s="1"/>
  <c r="E232" i="22"/>
  <c r="G232" i="22" s="1"/>
  <c r="E233" i="22"/>
  <c r="G233" i="22" s="1"/>
  <c r="E234" i="22"/>
  <c r="G234" i="22" s="1"/>
  <c r="E235" i="22"/>
  <c r="G235" i="22" s="1"/>
  <c r="E236" i="22"/>
  <c r="G236" i="22" s="1"/>
  <c r="E237" i="22"/>
  <c r="G237" i="22" s="1"/>
  <c r="E238" i="22"/>
  <c r="G238" i="22" s="1"/>
  <c r="E239" i="22"/>
  <c r="G239" i="22" s="1"/>
  <c r="E240" i="22"/>
  <c r="G240" i="22" s="1"/>
  <c r="E241" i="22"/>
  <c r="G241" i="22" s="1"/>
  <c r="E242" i="22"/>
  <c r="G242" i="22" s="1"/>
  <c r="E243" i="22"/>
  <c r="G243" i="22" s="1"/>
  <c r="E244" i="22"/>
  <c r="G244" i="22" s="1"/>
  <c r="E245" i="22"/>
  <c r="G245" i="22" s="1"/>
  <c r="E246" i="22"/>
  <c r="G246" i="22" s="1"/>
  <c r="E247" i="22"/>
  <c r="G247" i="22" s="1"/>
  <c r="E248" i="22"/>
  <c r="G248" i="22" s="1"/>
  <c r="E249" i="22"/>
  <c r="G249" i="22" s="1"/>
  <c r="E250" i="22"/>
  <c r="G250" i="22" s="1"/>
  <c r="E251" i="22"/>
  <c r="G251" i="22" s="1"/>
  <c r="E252" i="22"/>
  <c r="G252" i="22" s="1"/>
  <c r="E253" i="22"/>
  <c r="G253" i="22" s="1"/>
  <c r="A254" i="22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E254" i="22"/>
  <c r="G254" i="22" s="1"/>
  <c r="E255" i="22"/>
  <c r="G255" i="22" s="1"/>
  <c r="E256" i="22"/>
  <c r="G256" i="22" s="1"/>
  <c r="E257" i="22"/>
  <c r="G257" i="22" s="1"/>
  <c r="E258" i="22"/>
  <c r="G258" i="22" s="1"/>
  <c r="E259" i="22"/>
  <c r="G259" i="22" s="1"/>
  <c r="E260" i="22"/>
  <c r="G260" i="22" s="1"/>
  <c r="E261" i="22"/>
  <c r="G261" i="22" s="1"/>
  <c r="E262" i="22"/>
  <c r="G262" i="22" s="1"/>
  <c r="E263" i="22"/>
  <c r="G263" i="22" s="1"/>
  <c r="E264" i="22"/>
  <c r="G264" i="22" s="1"/>
  <c r="E265" i="22"/>
  <c r="G265" i="22" s="1"/>
  <c r="E266" i="22"/>
  <c r="G266" i="22" s="1"/>
  <c r="E267" i="22"/>
  <c r="G267" i="22" s="1"/>
  <c r="E268" i="22"/>
  <c r="G268" i="22" s="1"/>
  <c r="E271" i="22"/>
  <c r="G271" i="22" s="1"/>
  <c r="C272" i="22"/>
  <c r="C277" i="22" s="1"/>
  <c r="F196" i="22" l="1"/>
  <c r="G196" i="22" s="1"/>
  <c r="E272" i="22"/>
  <c r="F5" i="22"/>
  <c r="G87" i="22"/>
  <c r="G202" i="22"/>
  <c r="F31" i="21"/>
  <c r="F54" i="20"/>
  <c r="F8" i="20"/>
  <c r="F272" i="22" l="1"/>
  <c r="G5" i="22"/>
  <c r="G272" i="22" s="1"/>
  <c r="F27" i="20"/>
  <c r="F46" i="20"/>
  <c r="F18" i="20"/>
  <c r="F58" i="20" l="1"/>
  <c r="F102" i="20" l="1"/>
  <c r="F83" i="20" l="1"/>
  <c r="F49" i="20" l="1"/>
  <c r="F9" i="20"/>
  <c r="F210" i="21"/>
  <c r="F28" i="20"/>
  <c r="F19" i="20"/>
  <c r="F22" i="20" l="1"/>
  <c r="G82" i="21" l="1"/>
  <c r="G88" i="21"/>
  <c r="G98" i="21"/>
  <c r="E5" i="21"/>
  <c r="E6" i="21"/>
  <c r="G6" i="21" s="1"/>
  <c r="E7" i="21"/>
  <c r="G7" i="21" s="1"/>
  <c r="E8" i="21"/>
  <c r="G8" i="21" s="1"/>
  <c r="E9" i="21"/>
  <c r="G9" i="21" s="1"/>
  <c r="E10" i="21"/>
  <c r="G10" i="21" s="1"/>
  <c r="E11" i="21"/>
  <c r="G11" i="21" s="1"/>
  <c r="E12" i="21"/>
  <c r="G12" i="21" s="1"/>
  <c r="E13" i="21"/>
  <c r="G13" i="21" s="1"/>
  <c r="E14" i="21"/>
  <c r="G14" i="21" s="1"/>
  <c r="E15" i="21"/>
  <c r="G15" i="21" s="1"/>
  <c r="E16" i="21"/>
  <c r="G16" i="21" s="1"/>
  <c r="E17" i="21"/>
  <c r="F17" i="21" s="1"/>
  <c r="E18" i="21"/>
  <c r="G18" i="21" s="1"/>
  <c r="E19" i="21"/>
  <c r="G19" i="21" s="1"/>
  <c r="E20" i="21"/>
  <c r="G20" i="21" s="1"/>
  <c r="E21" i="21"/>
  <c r="G21" i="21" s="1"/>
  <c r="E22" i="21"/>
  <c r="G22" i="21" s="1"/>
  <c r="E23" i="21"/>
  <c r="G23" i="21" s="1"/>
  <c r="E24" i="21"/>
  <c r="G24" i="21" s="1"/>
  <c r="E25" i="21"/>
  <c r="G25" i="21" s="1"/>
  <c r="E26" i="21"/>
  <c r="G26" i="21" s="1"/>
  <c r="E27" i="21"/>
  <c r="G27" i="21" s="1"/>
  <c r="E28" i="21"/>
  <c r="F28" i="21" s="1"/>
  <c r="E29" i="21"/>
  <c r="G29" i="21" s="1"/>
  <c r="E30" i="21"/>
  <c r="G30" i="21" s="1"/>
  <c r="E31" i="21"/>
  <c r="G31" i="21" s="1"/>
  <c r="E32" i="21"/>
  <c r="G32" i="21" s="1"/>
  <c r="E33" i="21"/>
  <c r="G33" i="21" s="1"/>
  <c r="E34" i="21"/>
  <c r="G34" i="21" s="1"/>
  <c r="E35" i="21"/>
  <c r="G35" i="21" s="1"/>
  <c r="E36" i="21"/>
  <c r="F36" i="21" s="1"/>
  <c r="E37" i="21"/>
  <c r="E38" i="21"/>
  <c r="G38" i="21" s="1"/>
  <c r="E39" i="21"/>
  <c r="G39" i="21" s="1"/>
  <c r="E40" i="21"/>
  <c r="G40" i="21" s="1"/>
  <c r="E41" i="21"/>
  <c r="G41" i="21" s="1"/>
  <c r="E42" i="21"/>
  <c r="G42" i="21" s="1"/>
  <c r="E43" i="21"/>
  <c r="G43" i="21" s="1"/>
  <c r="E44" i="21"/>
  <c r="G44" i="21" s="1"/>
  <c r="E45" i="21"/>
  <c r="G45" i="21" s="1"/>
  <c r="E46" i="21"/>
  <c r="G46" i="21" s="1"/>
  <c r="E47" i="21"/>
  <c r="G47" i="21" s="1"/>
  <c r="E48" i="21"/>
  <c r="F48" i="21" s="1"/>
  <c r="E49" i="21"/>
  <c r="G49" i="21" s="1"/>
  <c r="E50" i="21"/>
  <c r="G50" i="21" s="1"/>
  <c r="E51" i="21"/>
  <c r="G51" i="21" s="1"/>
  <c r="E52" i="21"/>
  <c r="G52" i="21" s="1"/>
  <c r="E53" i="21"/>
  <c r="G53" i="21" s="1"/>
  <c r="E54" i="21"/>
  <c r="G54" i="21" s="1"/>
  <c r="E55" i="21"/>
  <c r="G55" i="21" s="1"/>
  <c r="E56" i="21"/>
  <c r="G56" i="21" s="1"/>
  <c r="E57" i="21"/>
  <c r="G57" i="21" s="1"/>
  <c r="E58" i="21"/>
  <c r="G58" i="21" s="1"/>
  <c r="E59" i="21"/>
  <c r="G59" i="21" s="1"/>
  <c r="E60" i="21"/>
  <c r="G60" i="21" s="1"/>
  <c r="E61" i="21"/>
  <c r="E62" i="21"/>
  <c r="G62" i="21" s="1"/>
  <c r="E63" i="21"/>
  <c r="G63" i="21" s="1"/>
  <c r="E64" i="21"/>
  <c r="G64" i="21" s="1"/>
  <c r="E65" i="21"/>
  <c r="E66" i="21"/>
  <c r="G66" i="21" s="1"/>
  <c r="E67" i="21"/>
  <c r="G67" i="21" s="1"/>
  <c r="E68" i="21"/>
  <c r="G68" i="21" s="1"/>
  <c r="E69" i="21"/>
  <c r="F69" i="21" s="1"/>
  <c r="E70" i="21"/>
  <c r="E71" i="21"/>
  <c r="G71" i="21" s="1"/>
  <c r="E72" i="21"/>
  <c r="G72" i="21" s="1"/>
  <c r="E73" i="21"/>
  <c r="G73" i="21" s="1"/>
  <c r="E74" i="21"/>
  <c r="G74" i="21" s="1"/>
  <c r="E75" i="21"/>
  <c r="G75" i="21" s="1"/>
  <c r="E76" i="21"/>
  <c r="G76" i="21" s="1"/>
  <c r="E77" i="21"/>
  <c r="G77" i="21" s="1"/>
  <c r="E78" i="21"/>
  <c r="G78" i="21" s="1"/>
  <c r="E79" i="21"/>
  <c r="G79" i="21" s="1"/>
  <c r="E80" i="21"/>
  <c r="G80" i="21" s="1"/>
  <c r="E81" i="21"/>
  <c r="G81" i="21" s="1"/>
  <c r="E83" i="21"/>
  <c r="G83" i="21" s="1"/>
  <c r="E84" i="21"/>
  <c r="G84" i="21" s="1"/>
  <c r="E85" i="21"/>
  <c r="E86" i="21"/>
  <c r="G86" i="21" s="1"/>
  <c r="E87" i="21"/>
  <c r="G87" i="21" s="1"/>
  <c r="E89" i="21"/>
  <c r="G89" i="21" s="1"/>
  <c r="E90" i="21"/>
  <c r="G90" i="21" s="1"/>
  <c r="E91" i="21"/>
  <c r="G91" i="21" s="1"/>
  <c r="E92" i="21"/>
  <c r="G92" i="21" s="1"/>
  <c r="E93" i="21"/>
  <c r="G93" i="21" s="1"/>
  <c r="E94" i="21"/>
  <c r="G94" i="21" s="1"/>
  <c r="E95" i="21"/>
  <c r="G95" i="21" s="1"/>
  <c r="E96" i="21"/>
  <c r="G96" i="21" s="1"/>
  <c r="E97" i="21"/>
  <c r="G97" i="21" s="1"/>
  <c r="E99" i="21"/>
  <c r="G99" i="21" s="1"/>
  <c r="E100" i="21"/>
  <c r="G100" i="21" s="1"/>
  <c r="E101" i="21"/>
  <c r="G101" i="21" s="1"/>
  <c r="E102" i="21"/>
  <c r="G102" i="21" s="1"/>
  <c r="E103" i="21"/>
  <c r="G103" i="21" s="1"/>
  <c r="E104" i="21"/>
  <c r="G104" i="21" s="1"/>
  <c r="E105" i="21"/>
  <c r="G105" i="21" s="1"/>
  <c r="E106" i="21"/>
  <c r="G106" i="21" s="1"/>
  <c r="E107" i="21"/>
  <c r="G107" i="21" s="1"/>
  <c r="E108" i="21"/>
  <c r="G108" i="21" s="1"/>
  <c r="E109" i="21"/>
  <c r="G109" i="21" s="1"/>
  <c r="E110" i="21"/>
  <c r="E111" i="21"/>
  <c r="G111" i="21" s="1"/>
  <c r="E112" i="21"/>
  <c r="G112" i="21" s="1"/>
  <c r="E113" i="21"/>
  <c r="G113" i="21" s="1"/>
  <c r="E114" i="21"/>
  <c r="E115" i="21"/>
  <c r="G115" i="21" s="1"/>
  <c r="E116" i="21"/>
  <c r="G116" i="21" s="1"/>
  <c r="E117" i="21"/>
  <c r="E118" i="21"/>
  <c r="G118" i="21" s="1"/>
  <c r="E119" i="21"/>
  <c r="E120" i="21"/>
  <c r="G120" i="21" s="1"/>
  <c r="E121" i="21"/>
  <c r="G121" i="21" s="1"/>
  <c r="E122" i="21"/>
  <c r="G122" i="21" s="1"/>
  <c r="E123" i="21"/>
  <c r="G123" i="21" s="1"/>
  <c r="E124" i="21"/>
  <c r="G124" i="21" s="1"/>
  <c r="E125" i="21"/>
  <c r="E126" i="21"/>
  <c r="G126" i="21" s="1"/>
  <c r="E127" i="21"/>
  <c r="G127" i="21" s="1"/>
  <c r="E128" i="21"/>
  <c r="G128" i="21" s="1"/>
  <c r="E129" i="21"/>
  <c r="G129" i="21" s="1"/>
  <c r="E130" i="21"/>
  <c r="G130" i="21" s="1"/>
  <c r="E131" i="21"/>
  <c r="G131" i="21" s="1"/>
  <c r="E132" i="21"/>
  <c r="G132" i="21" s="1"/>
  <c r="E133" i="21"/>
  <c r="G133" i="21" s="1"/>
  <c r="E134" i="21"/>
  <c r="G134" i="21" s="1"/>
  <c r="E135" i="21"/>
  <c r="G135" i="21" s="1"/>
  <c r="E136" i="21"/>
  <c r="G136" i="21" s="1"/>
  <c r="E137" i="21"/>
  <c r="E138" i="21"/>
  <c r="E139" i="21"/>
  <c r="G139" i="21" s="1"/>
  <c r="E140" i="21"/>
  <c r="G140" i="21" s="1"/>
  <c r="E141" i="21"/>
  <c r="G141" i="21" s="1"/>
  <c r="E142" i="21"/>
  <c r="E143" i="21"/>
  <c r="G143" i="21" s="1"/>
  <c r="E144" i="21"/>
  <c r="E145" i="21"/>
  <c r="G145" i="21" s="1"/>
  <c r="E146" i="21"/>
  <c r="G146" i="21" s="1"/>
  <c r="E147" i="21"/>
  <c r="E148" i="21"/>
  <c r="E149" i="21"/>
  <c r="E150" i="21"/>
  <c r="G150" i="21" s="1"/>
  <c r="E151" i="21"/>
  <c r="G151" i="21" s="1"/>
  <c r="E152" i="21"/>
  <c r="G152" i="21" s="1"/>
  <c r="E153" i="21"/>
  <c r="E154" i="21"/>
  <c r="E155" i="21"/>
  <c r="E156" i="21"/>
  <c r="G156" i="21" s="1"/>
  <c r="E157" i="21"/>
  <c r="G157" i="21" s="1"/>
  <c r="E158" i="21"/>
  <c r="G158" i="21" s="1"/>
  <c r="E159" i="21"/>
  <c r="G159" i="21" s="1"/>
  <c r="E160" i="21"/>
  <c r="E161" i="21"/>
  <c r="G161" i="21" s="1"/>
  <c r="E162" i="21"/>
  <c r="G162" i="21" s="1"/>
  <c r="E163" i="21"/>
  <c r="G163" i="21" s="1"/>
  <c r="E164" i="21"/>
  <c r="G164" i="21" s="1"/>
  <c r="E165" i="21"/>
  <c r="E166" i="21"/>
  <c r="G166" i="21" s="1"/>
  <c r="E167" i="21"/>
  <c r="G167" i="21" s="1"/>
  <c r="E168" i="21"/>
  <c r="G168" i="21" s="1"/>
  <c r="E169" i="21"/>
  <c r="E170" i="21"/>
  <c r="G170" i="21" s="1"/>
  <c r="E171" i="21"/>
  <c r="G171" i="21" s="1"/>
  <c r="E172" i="21"/>
  <c r="G172" i="21" s="1"/>
  <c r="E173" i="21"/>
  <c r="G173" i="21" s="1"/>
  <c r="E174" i="21"/>
  <c r="G174" i="21" s="1"/>
  <c r="E175" i="21"/>
  <c r="G175" i="21" s="1"/>
  <c r="E176" i="21"/>
  <c r="G176" i="21" s="1"/>
  <c r="E177" i="21"/>
  <c r="G177" i="21" s="1"/>
  <c r="E178" i="21"/>
  <c r="G178" i="21" s="1"/>
  <c r="E179" i="21"/>
  <c r="G179" i="21" s="1"/>
  <c r="E180" i="21"/>
  <c r="G180" i="21" s="1"/>
  <c r="E181" i="21"/>
  <c r="G181" i="21" s="1"/>
  <c r="E182" i="21"/>
  <c r="G182" i="21" s="1"/>
  <c r="E183" i="21"/>
  <c r="G183" i="21" s="1"/>
  <c r="E184" i="21"/>
  <c r="G184" i="21" s="1"/>
  <c r="E185" i="21"/>
  <c r="G185" i="21" s="1"/>
  <c r="E186" i="21"/>
  <c r="G186" i="21" s="1"/>
  <c r="E187" i="21"/>
  <c r="G187" i="21" s="1"/>
  <c r="E188" i="21"/>
  <c r="G188" i="21" s="1"/>
  <c r="E189" i="21"/>
  <c r="E190" i="21"/>
  <c r="E191" i="21"/>
  <c r="G191" i="21" s="1"/>
  <c r="E192" i="21"/>
  <c r="G192" i="21" s="1"/>
  <c r="E193" i="21"/>
  <c r="G193" i="21" s="1"/>
  <c r="E194" i="21"/>
  <c r="G194" i="21" s="1"/>
  <c r="E195" i="21"/>
  <c r="G195" i="21" s="1"/>
  <c r="E196" i="21"/>
  <c r="E197" i="21"/>
  <c r="G197" i="21" s="1"/>
  <c r="E198" i="21"/>
  <c r="G198" i="21" s="1"/>
  <c r="E199" i="21"/>
  <c r="G199" i="21" s="1"/>
  <c r="E200" i="21"/>
  <c r="G200" i="21" s="1"/>
  <c r="E201" i="21"/>
  <c r="G201" i="21" s="1"/>
  <c r="E202" i="21"/>
  <c r="E203" i="21"/>
  <c r="G203" i="21" s="1"/>
  <c r="E204" i="21"/>
  <c r="G204" i="21" s="1"/>
  <c r="E205" i="21"/>
  <c r="G205" i="21" s="1"/>
  <c r="E206" i="21"/>
  <c r="G206" i="21" s="1"/>
  <c r="E207" i="21"/>
  <c r="G207" i="21" s="1"/>
  <c r="E208" i="21"/>
  <c r="G208" i="21" s="1"/>
  <c r="E209" i="21"/>
  <c r="G209" i="21" s="1"/>
  <c r="E210" i="21"/>
  <c r="G210" i="21" s="1"/>
  <c r="E211" i="21"/>
  <c r="G211" i="21" s="1"/>
  <c r="E212" i="21"/>
  <c r="G212" i="21" s="1"/>
  <c r="E213" i="21"/>
  <c r="E214" i="21"/>
  <c r="G214" i="21" s="1"/>
  <c r="E215" i="21"/>
  <c r="E216" i="21"/>
  <c r="G216" i="21" s="1"/>
  <c r="E217" i="21"/>
  <c r="G217" i="21" s="1"/>
  <c r="E218" i="21"/>
  <c r="G218" i="21" s="1"/>
  <c r="E219" i="21"/>
  <c r="G219" i="21" s="1"/>
  <c r="E220" i="21"/>
  <c r="E221" i="21"/>
  <c r="E222" i="21"/>
  <c r="G222" i="21" s="1"/>
  <c r="E223" i="21"/>
  <c r="G223" i="21" s="1"/>
  <c r="E224" i="21"/>
  <c r="G224" i="21" s="1"/>
  <c r="E225" i="21"/>
  <c r="G225" i="21" s="1"/>
  <c r="E226" i="21"/>
  <c r="G226" i="21" s="1"/>
  <c r="E227" i="21"/>
  <c r="E228" i="21"/>
  <c r="E229" i="21"/>
  <c r="E230" i="21"/>
  <c r="G230" i="21" s="1"/>
  <c r="E231" i="21"/>
  <c r="G231" i="21" s="1"/>
  <c r="E232" i="21"/>
  <c r="G232" i="21" s="1"/>
  <c r="E233" i="21"/>
  <c r="G233" i="21" s="1"/>
  <c r="E234" i="21"/>
  <c r="G234" i="21" s="1"/>
  <c r="E235" i="21"/>
  <c r="E236" i="21"/>
  <c r="G236" i="21" s="1"/>
  <c r="E237" i="21"/>
  <c r="G237" i="21" s="1"/>
  <c r="E238" i="21"/>
  <c r="G238" i="21" s="1"/>
  <c r="E239" i="21"/>
  <c r="G239" i="21" s="1"/>
  <c r="E240" i="21"/>
  <c r="G240" i="21" s="1"/>
  <c r="E241" i="21"/>
  <c r="G241" i="21" s="1"/>
  <c r="E242" i="21"/>
  <c r="E243" i="21"/>
  <c r="G243" i="21" s="1"/>
  <c r="E244" i="21"/>
  <c r="E245" i="21"/>
  <c r="A246" i="2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E246" i="21"/>
  <c r="G246" i="21" s="1"/>
  <c r="E247" i="21"/>
  <c r="G247" i="21" s="1"/>
  <c r="E248" i="21"/>
  <c r="G248" i="21" s="1"/>
  <c r="E249" i="21"/>
  <c r="G249" i="21" s="1"/>
  <c r="E250" i="21"/>
  <c r="G250" i="21" s="1"/>
  <c r="E251" i="21"/>
  <c r="E252" i="21"/>
  <c r="G252" i="21" s="1"/>
  <c r="E253" i="21"/>
  <c r="E254" i="21"/>
  <c r="G254" i="21" s="1"/>
  <c r="E255" i="21"/>
  <c r="G255" i="21" s="1"/>
  <c r="E256" i="21"/>
  <c r="G256" i="21" s="1"/>
  <c r="E257" i="21"/>
  <c r="G257" i="21" s="1"/>
  <c r="E258" i="21"/>
  <c r="G258" i="21" s="1"/>
  <c r="E259" i="21"/>
  <c r="E260" i="21"/>
  <c r="G260" i="21" s="1"/>
  <c r="E261" i="21"/>
  <c r="G261" i="21" s="1"/>
  <c r="F251" i="21" l="1"/>
  <c r="G251" i="21" s="1"/>
  <c r="F228" i="21"/>
  <c r="G228" i="21" s="1"/>
  <c r="F144" i="21"/>
  <c r="G144" i="21" s="1"/>
  <c r="F190" i="21"/>
  <c r="G190" i="21" s="1"/>
  <c r="F154" i="21"/>
  <c r="G154" i="21" s="1"/>
  <c r="F142" i="21"/>
  <c r="G142" i="21" s="1"/>
  <c r="F213" i="21"/>
  <c r="G213" i="21" s="1"/>
  <c r="F189" i="21"/>
  <c r="G189" i="21" s="1"/>
  <c r="F165" i="21"/>
  <c r="G165" i="21" s="1"/>
  <c r="F153" i="21"/>
  <c r="G153" i="21" s="1"/>
  <c r="F117" i="21"/>
  <c r="G117" i="21" s="1"/>
  <c r="F227" i="21"/>
  <c r="G227" i="21" s="1"/>
  <c r="F65" i="21"/>
  <c r="G65" i="21" s="1"/>
  <c r="E262" i="21"/>
  <c r="E263" i="21" s="1"/>
  <c r="F138" i="21"/>
  <c r="G138" i="21" s="1"/>
  <c r="F114" i="21"/>
  <c r="G114" i="21" s="1"/>
  <c r="G259" i="21"/>
  <c r="F259" i="21"/>
  <c r="F245" i="21"/>
  <c r="G245" i="21" s="1"/>
  <c r="F149" i="21"/>
  <c r="G149" i="21" s="1"/>
  <c r="F137" i="21"/>
  <c r="G137" i="21" s="1"/>
  <c r="F125" i="21"/>
  <c r="G125" i="21" s="1"/>
  <c r="F202" i="21"/>
  <c r="G202" i="21" s="1"/>
  <c r="F244" i="21"/>
  <c r="G244" i="21" s="1"/>
  <c r="F220" i="21"/>
  <c r="G220" i="21" s="1"/>
  <c r="F196" i="21"/>
  <c r="G196" i="21" s="1"/>
  <c r="F160" i="21"/>
  <c r="G160" i="21" s="1"/>
  <c r="F148" i="21"/>
  <c r="G148" i="21" s="1"/>
  <c r="F61" i="21"/>
  <c r="G61" i="21" s="1"/>
  <c r="F37" i="21"/>
  <c r="F262" i="21" s="1"/>
  <c r="G215" i="21"/>
  <c r="F215" i="21"/>
  <c r="F221" i="21"/>
  <c r="G221" i="21" s="1"/>
  <c r="F147" i="21"/>
  <c r="G147" i="21" s="1"/>
  <c r="F85" i="21"/>
  <c r="G85" i="21" s="1"/>
  <c r="F119" i="21"/>
  <c r="G119" i="21" s="1"/>
  <c r="F235" i="21"/>
  <c r="G235" i="21" s="1"/>
  <c r="F253" i="21"/>
  <c r="G253" i="21" s="1"/>
  <c r="F242" i="21"/>
  <c r="G242" i="21" s="1"/>
  <c r="F110" i="21"/>
  <c r="G110" i="21" s="1"/>
  <c r="F155" i="21"/>
  <c r="G155" i="21" s="1"/>
  <c r="F229" i="21"/>
  <c r="G229" i="21" s="1"/>
  <c r="F169" i="21"/>
  <c r="G169" i="21" s="1"/>
  <c r="F70" i="21"/>
  <c r="G70" i="21" s="1"/>
  <c r="G69" i="21"/>
  <c r="G36" i="21"/>
  <c r="G28" i="21"/>
  <c r="G5" i="21"/>
  <c r="G17" i="21"/>
  <c r="G48" i="21"/>
  <c r="G37" i="21" l="1"/>
  <c r="G262" i="21"/>
  <c r="G50" i="20" l="1"/>
  <c r="G51" i="20"/>
  <c r="G52" i="20"/>
  <c r="G62" i="20"/>
  <c r="G98" i="20"/>
  <c r="G99" i="20"/>
  <c r="G100" i="20"/>
  <c r="G110" i="20"/>
  <c r="C137" i="20"/>
  <c r="E136" i="20"/>
  <c r="G136" i="20" s="1"/>
  <c r="E135" i="20"/>
  <c r="G135" i="20" s="1"/>
  <c r="E134" i="20"/>
  <c r="G134" i="20" s="1"/>
  <c r="E133" i="20"/>
  <c r="G133" i="20" s="1"/>
  <c r="E132" i="20"/>
  <c r="G132" i="20" s="1"/>
  <c r="E131" i="20"/>
  <c r="G131" i="20" s="1"/>
  <c r="E130" i="20"/>
  <c r="F130" i="20" s="1"/>
  <c r="E129" i="20"/>
  <c r="G129" i="20" s="1"/>
  <c r="E128" i="20"/>
  <c r="G128" i="20" s="1"/>
  <c r="E127" i="20"/>
  <c r="F127" i="20" s="1"/>
  <c r="E126" i="20"/>
  <c r="F126" i="20" s="1"/>
  <c r="E125" i="20"/>
  <c r="F125" i="20" s="1"/>
  <c r="E124" i="20"/>
  <c r="G124" i="20" s="1"/>
  <c r="E123" i="20"/>
  <c r="G123" i="20" s="1"/>
  <c r="E122" i="20"/>
  <c r="G122" i="20" s="1"/>
  <c r="E121" i="20"/>
  <c r="G121" i="20" s="1"/>
  <c r="E120" i="20"/>
  <c r="G120" i="20" s="1"/>
  <c r="E119" i="20"/>
  <c r="G119" i="20" s="1"/>
  <c r="E118" i="20"/>
  <c r="G118" i="20" s="1"/>
  <c r="E117" i="20"/>
  <c r="G117" i="20" s="1"/>
  <c r="E116" i="20"/>
  <c r="G116" i="20" s="1"/>
  <c r="E115" i="20"/>
  <c r="G115" i="20" s="1"/>
  <c r="E114" i="20"/>
  <c r="G114" i="20" s="1"/>
  <c r="E113" i="20"/>
  <c r="G113" i="20" s="1"/>
  <c r="E112" i="20"/>
  <c r="G112" i="20" s="1"/>
  <c r="E111" i="20"/>
  <c r="F111" i="20" s="1"/>
  <c r="E110" i="20"/>
  <c r="E109" i="20"/>
  <c r="F109" i="20" s="1"/>
  <c r="E108" i="20"/>
  <c r="F108" i="20" s="1"/>
  <c r="E107" i="20"/>
  <c r="F107" i="20" s="1"/>
  <c r="E106" i="20"/>
  <c r="F106" i="20" s="1"/>
  <c r="E105" i="20"/>
  <c r="F105" i="20" s="1"/>
  <c r="E104" i="20"/>
  <c r="G104" i="20" s="1"/>
  <c r="E103" i="20"/>
  <c r="F103" i="20" s="1"/>
  <c r="E102" i="20"/>
  <c r="G102" i="20" s="1"/>
  <c r="E101" i="20"/>
  <c r="G101" i="20" s="1"/>
  <c r="E100" i="20"/>
  <c r="E99" i="20"/>
  <c r="E98" i="20"/>
  <c r="E97" i="20"/>
  <c r="G97" i="20" s="1"/>
  <c r="E96" i="20"/>
  <c r="G96" i="20" s="1"/>
  <c r="E95" i="20"/>
  <c r="G95" i="20" s="1"/>
  <c r="E94" i="20"/>
  <c r="G94" i="20" s="1"/>
  <c r="E93" i="20"/>
  <c r="G93" i="20" s="1"/>
  <c r="E92" i="20"/>
  <c r="G92" i="20" s="1"/>
  <c r="E91" i="20"/>
  <c r="F91" i="20" s="1"/>
  <c r="E90" i="20"/>
  <c r="G90" i="20" s="1"/>
  <c r="E89" i="20"/>
  <c r="F89" i="20" s="1"/>
  <c r="E88" i="20"/>
  <c r="G88" i="20" s="1"/>
  <c r="E87" i="20"/>
  <c r="G87" i="20" s="1"/>
  <c r="E86" i="20"/>
  <c r="G86" i="20" s="1"/>
  <c r="E85" i="20"/>
  <c r="F85" i="20" s="1"/>
  <c r="E84" i="20"/>
  <c r="G84" i="20" s="1"/>
  <c r="E83" i="20"/>
  <c r="G83" i="20" s="1"/>
  <c r="E82" i="20"/>
  <c r="F82" i="20" s="1"/>
  <c r="E81" i="20"/>
  <c r="G81" i="20" s="1"/>
  <c r="E80" i="20"/>
  <c r="G80" i="20" s="1"/>
  <c r="E79" i="20"/>
  <c r="G79" i="20" s="1"/>
  <c r="E78" i="20"/>
  <c r="G78" i="20" s="1"/>
  <c r="E77" i="20"/>
  <c r="F77" i="20" s="1"/>
  <c r="E76" i="20"/>
  <c r="F76" i="20" s="1"/>
  <c r="E75" i="20"/>
  <c r="G75" i="20" s="1"/>
  <c r="E74" i="20"/>
  <c r="F74" i="20" s="1"/>
  <c r="E73" i="20"/>
  <c r="F73" i="20" s="1"/>
  <c r="E72" i="20"/>
  <c r="G72" i="20" s="1"/>
  <c r="E71" i="20"/>
  <c r="G71" i="20" s="1"/>
  <c r="E70" i="20"/>
  <c r="F70" i="20" s="1"/>
  <c r="E69" i="20"/>
  <c r="G69" i="20" s="1"/>
  <c r="E68" i="20"/>
  <c r="G68" i="20" s="1"/>
  <c r="E67" i="20"/>
  <c r="F67" i="20" s="1"/>
  <c r="E66" i="20"/>
  <c r="G66" i="20" s="1"/>
  <c r="E65" i="20"/>
  <c r="G65" i="20" s="1"/>
  <c r="E64" i="20"/>
  <c r="G64" i="20" s="1"/>
  <c r="E63" i="20"/>
  <c r="F63" i="20" s="1"/>
  <c r="E62" i="20"/>
  <c r="E61" i="20"/>
  <c r="G61" i="20" s="1"/>
  <c r="E60" i="20"/>
  <c r="G60" i="20" s="1"/>
  <c r="E59" i="20"/>
  <c r="F59" i="20" s="1"/>
  <c r="E58" i="20"/>
  <c r="G58" i="20" s="1"/>
  <c r="E57" i="20"/>
  <c r="F57" i="20" s="1"/>
  <c r="E56" i="20"/>
  <c r="G56" i="20" s="1"/>
  <c r="E55" i="20"/>
  <c r="F55" i="20" s="1"/>
  <c r="E54" i="20"/>
  <c r="G54" i="20" s="1"/>
  <c r="E53" i="20"/>
  <c r="F53" i="20" s="1"/>
  <c r="E52" i="20"/>
  <c r="E51" i="20"/>
  <c r="E50" i="20"/>
  <c r="E49" i="20"/>
  <c r="G49" i="20" s="1"/>
  <c r="E48" i="20"/>
  <c r="G48" i="20" s="1"/>
  <c r="E47" i="20"/>
  <c r="G47" i="20" s="1"/>
  <c r="E46" i="20"/>
  <c r="G46" i="20" s="1"/>
  <c r="E45" i="20"/>
  <c r="F45" i="20" s="1"/>
  <c r="E44" i="20"/>
  <c r="G44" i="20" s="1"/>
  <c r="E43" i="20"/>
  <c r="G43" i="20" s="1"/>
  <c r="E42" i="20"/>
  <c r="G42" i="20" s="1"/>
  <c r="E41" i="20"/>
  <c r="G41" i="20" s="1"/>
  <c r="E40" i="20"/>
  <c r="G40" i="20" s="1"/>
  <c r="E39" i="20"/>
  <c r="G39" i="20" s="1"/>
  <c r="E38" i="20"/>
  <c r="G38" i="20" s="1"/>
  <c r="E37" i="20"/>
  <c r="F37" i="20" s="1"/>
  <c r="E36" i="20"/>
  <c r="F36" i="20" s="1"/>
  <c r="E35" i="20"/>
  <c r="G35" i="20" s="1"/>
  <c r="E34" i="20"/>
  <c r="F34" i="20" s="1"/>
  <c r="E33" i="20"/>
  <c r="G33" i="20" s="1"/>
  <c r="E32" i="20"/>
  <c r="G32" i="20" s="1"/>
  <c r="E31" i="20"/>
  <c r="G31" i="20" s="1"/>
  <c r="E30" i="20"/>
  <c r="G30" i="20" s="1"/>
  <c r="E29" i="20"/>
  <c r="F29" i="20" s="1"/>
  <c r="E28" i="20"/>
  <c r="G28" i="20" s="1"/>
  <c r="E27" i="20"/>
  <c r="G27" i="20" s="1"/>
  <c r="E26" i="20"/>
  <c r="F26" i="20" s="1"/>
  <c r="E25" i="20"/>
  <c r="G25" i="20" s="1"/>
  <c r="E24" i="20"/>
  <c r="G24" i="20" s="1"/>
  <c r="E23" i="20"/>
  <c r="F23" i="20" s="1"/>
  <c r="E22" i="20"/>
  <c r="G22" i="20" s="1"/>
  <c r="E21" i="20"/>
  <c r="G21" i="20" s="1"/>
  <c r="E20" i="20"/>
  <c r="F20" i="20" s="1"/>
  <c r="E19" i="20"/>
  <c r="G19" i="20" s="1"/>
  <c r="E18" i="20"/>
  <c r="G18" i="20" s="1"/>
  <c r="E17" i="20"/>
  <c r="F17" i="20" s="1"/>
  <c r="E16" i="20"/>
  <c r="F16" i="20" s="1"/>
  <c r="E15" i="20"/>
  <c r="G15" i="20" s="1"/>
  <c r="E14" i="20"/>
  <c r="G14" i="20" s="1"/>
  <c r="E13" i="20"/>
  <c r="G13" i="20" s="1"/>
  <c r="E12" i="20"/>
  <c r="G12" i="20" s="1"/>
  <c r="E11" i="20"/>
  <c r="G11" i="20" s="1"/>
  <c r="E10" i="20"/>
  <c r="F10" i="20" s="1"/>
  <c r="E9" i="20"/>
  <c r="G9" i="20" s="1"/>
  <c r="E8" i="20"/>
  <c r="G8" i="20" s="1"/>
  <c r="E7" i="20"/>
  <c r="G7" i="20" s="1"/>
  <c r="E6" i="20"/>
  <c r="G6" i="20" s="1"/>
  <c r="E5" i="20"/>
  <c r="G5" i="20" s="1"/>
  <c r="G89" i="20" l="1"/>
  <c r="F137" i="20"/>
  <c r="G53" i="20"/>
  <c r="G125" i="20"/>
  <c r="G77" i="20"/>
  <c r="G29" i="20"/>
  <c r="G76" i="20"/>
  <c r="G74" i="20"/>
  <c r="G26" i="20"/>
  <c r="G17" i="20"/>
  <c r="G16" i="20"/>
  <c r="G111" i="20"/>
  <c r="G63" i="20"/>
  <c r="G109" i="20"/>
  <c r="G85" i="20"/>
  <c r="G73" i="20"/>
  <c r="G37" i="20"/>
  <c r="G108" i="20"/>
  <c r="G36" i="20"/>
  <c r="G107" i="20"/>
  <c r="G59" i="20"/>
  <c r="G23" i="20"/>
  <c r="G130" i="20"/>
  <c r="G106" i="20"/>
  <c r="G82" i="20"/>
  <c r="G70" i="20"/>
  <c r="G34" i="20"/>
  <c r="G10" i="20"/>
  <c r="G105" i="20"/>
  <c r="G57" i="20"/>
  <c r="G45" i="20"/>
  <c r="G20" i="20"/>
  <c r="G137" i="20" s="1"/>
  <c r="E137" i="20"/>
  <c r="G127" i="20"/>
  <c r="G103" i="20"/>
  <c r="G91" i="20"/>
  <c r="G67" i="20"/>
  <c r="G55" i="20"/>
  <c r="G126" i="20"/>
  <c r="G110" i="7" l="1"/>
  <c r="D133" i="12" l="1"/>
  <c r="F132" i="12"/>
  <c r="F131" i="12"/>
  <c r="F130" i="12"/>
  <c r="F129" i="12"/>
  <c r="F128" i="12"/>
  <c r="F127" i="12"/>
  <c r="H126" i="12"/>
  <c r="F126" i="12"/>
  <c r="G126" i="12" s="1"/>
  <c r="F125" i="12"/>
  <c r="G125" i="12" s="1"/>
  <c r="F124" i="12"/>
  <c r="G124" i="12" s="1"/>
  <c r="F123" i="12"/>
  <c r="G123" i="12" s="1"/>
  <c r="H122" i="12"/>
  <c r="F122" i="12"/>
  <c r="G122" i="12" s="1"/>
  <c r="F121" i="12"/>
  <c r="F120" i="12"/>
  <c r="F119" i="12"/>
  <c r="F118" i="12"/>
  <c r="G118" i="12" s="1"/>
  <c r="F117" i="12"/>
  <c r="G117" i="12" s="1"/>
  <c r="F116" i="12"/>
  <c r="F115" i="12"/>
  <c r="F114" i="12"/>
  <c r="F113" i="12"/>
  <c r="G113" i="12" s="1"/>
  <c r="F112" i="12"/>
  <c r="F111" i="12"/>
  <c r="G111" i="12" s="1"/>
  <c r="F110" i="12"/>
  <c r="F109" i="12"/>
  <c r="F108" i="12"/>
  <c r="G108" i="12" s="1"/>
  <c r="F107" i="12"/>
  <c r="F106" i="12"/>
  <c r="F105" i="12"/>
  <c r="G105" i="12" s="1"/>
  <c r="F104" i="12"/>
  <c r="H103" i="12"/>
  <c r="F103" i="12"/>
  <c r="G103" i="12" s="1"/>
  <c r="F102" i="12"/>
  <c r="F101" i="12"/>
  <c r="F100" i="12"/>
  <c r="F99" i="12"/>
  <c r="F98" i="12"/>
  <c r="F97" i="12"/>
  <c r="G97" i="12" s="1"/>
  <c r="F96" i="12"/>
  <c r="F95" i="12"/>
  <c r="G95" i="12" s="1"/>
  <c r="F94" i="12"/>
  <c r="F93" i="12"/>
  <c r="F92" i="12"/>
  <c r="F91" i="12"/>
  <c r="F90" i="12"/>
  <c r="F89" i="12"/>
  <c r="G89" i="12" s="1"/>
  <c r="F88" i="12"/>
  <c r="F87" i="12"/>
  <c r="G87" i="12" s="1"/>
  <c r="F86" i="12"/>
  <c r="G86" i="12" s="1"/>
  <c r="H85" i="12"/>
  <c r="F85" i="12"/>
  <c r="G85" i="12" s="1"/>
  <c r="F84" i="12"/>
  <c r="G84" i="12" s="1"/>
  <c r="F83" i="12"/>
  <c r="G83" i="12" s="1"/>
  <c r="F82" i="12"/>
  <c r="G82" i="12" s="1"/>
  <c r="F81" i="12"/>
  <c r="F80" i="12"/>
  <c r="G80" i="12" s="1"/>
  <c r="F79" i="12"/>
  <c r="F78" i="12"/>
  <c r="F77" i="12"/>
  <c r="F76" i="12"/>
  <c r="F75" i="12"/>
  <c r="H74" i="12"/>
  <c r="F74" i="12"/>
  <c r="G74" i="12" s="1"/>
  <c r="F73" i="12"/>
  <c r="F72" i="12"/>
  <c r="G72" i="12" s="1"/>
  <c r="F71" i="12"/>
  <c r="F70" i="12"/>
  <c r="F69" i="12"/>
  <c r="F68" i="12"/>
  <c r="F67" i="12"/>
  <c r="F66" i="12"/>
  <c r="G66" i="12" s="1"/>
  <c r="F65" i="12"/>
  <c r="F64" i="12"/>
  <c r="G64" i="12" s="1"/>
  <c r="F63" i="12"/>
  <c r="F62" i="12"/>
  <c r="F61" i="12"/>
  <c r="F60" i="12"/>
  <c r="F59" i="12"/>
  <c r="F58" i="12"/>
  <c r="G58" i="12" s="1"/>
  <c r="F57" i="12"/>
  <c r="F56" i="12"/>
  <c r="G56" i="12" s="1"/>
  <c r="F55" i="12"/>
  <c r="F54" i="12"/>
  <c r="F53" i="12"/>
  <c r="F52" i="12"/>
  <c r="F51" i="12"/>
  <c r="F50" i="12"/>
  <c r="G50" i="12" s="1"/>
  <c r="F49" i="12"/>
  <c r="H48" i="12"/>
  <c r="F48" i="12"/>
  <c r="G48" i="12" s="1"/>
  <c r="F47" i="12"/>
  <c r="F46" i="12"/>
  <c r="F45" i="12"/>
  <c r="F44" i="12"/>
  <c r="F43" i="12"/>
  <c r="F42" i="12"/>
  <c r="G42" i="12" s="1"/>
  <c r="F41" i="12"/>
  <c r="G41" i="12" s="1"/>
  <c r="F40" i="12"/>
  <c r="F39" i="12"/>
  <c r="F38" i="12"/>
  <c r="F37" i="12"/>
  <c r="F36" i="12"/>
  <c r="G36" i="12" s="1"/>
  <c r="J35" i="12"/>
  <c r="F35" i="12"/>
  <c r="F34" i="12"/>
  <c r="G34" i="12" s="1"/>
  <c r="F33" i="12"/>
  <c r="F32" i="12"/>
  <c r="F31" i="12"/>
  <c r="F30" i="12"/>
  <c r="F29" i="12"/>
  <c r="F28" i="12"/>
  <c r="G28" i="12" s="1"/>
  <c r="F27" i="12"/>
  <c r="F26" i="12"/>
  <c r="G26" i="12" s="1"/>
  <c r="F25" i="12"/>
  <c r="F24" i="12"/>
  <c r="F23" i="12"/>
  <c r="F22" i="12"/>
  <c r="F21" i="12"/>
  <c r="G21" i="12" s="1"/>
  <c r="F20" i="12"/>
  <c r="F19" i="12"/>
  <c r="G19" i="12" s="1"/>
  <c r="F18" i="12"/>
  <c r="F17" i="12"/>
  <c r="F16" i="12"/>
  <c r="G16" i="12" s="1"/>
  <c r="F15" i="12"/>
  <c r="F14" i="12"/>
  <c r="G14" i="12" s="1"/>
  <c r="F13" i="12"/>
  <c r="F12" i="12"/>
  <c r="G12" i="12" s="1"/>
  <c r="F11" i="12"/>
  <c r="F10" i="12"/>
  <c r="F9" i="12"/>
  <c r="F8" i="12"/>
  <c r="F7" i="12"/>
  <c r="F6" i="12"/>
  <c r="F5" i="12"/>
  <c r="F4" i="12"/>
  <c r="G4" i="12" s="1"/>
  <c r="F3" i="12"/>
  <c r="G110" i="12" l="1"/>
  <c r="H110" i="12" s="1"/>
  <c r="G37" i="12"/>
  <c r="H37" i="12" s="1"/>
  <c r="H123" i="12"/>
  <c r="G24" i="12"/>
  <c r="H24" i="12" s="1"/>
  <c r="H111" i="12"/>
  <c r="H12" i="12"/>
  <c r="G77" i="12"/>
  <c r="H77" i="12" s="1"/>
  <c r="H125" i="12"/>
  <c r="G23" i="12"/>
  <c r="H23" i="12" s="1"/>
  <c r="G52" i="12"/>
  <c r="H52" i="12" s="1"/>
  <c r="H113" i="12"/>
  <c r="H16" i="12"/>
  <c r="H80" i="12"/>
  <c r="H89" i="12"/>
  <c r="G115" i="12"/>
  <c r="H115" i="12" s="1"/>
  <c r="H97" i="12"/>
  <c r="H101" i="12"/>
  <c r="G101" i="12"/>
  <c r="H124" i="12"/>
  <c r="G114" i="12"/>
  <c r="H114" i="12" s="1"/>
  <c r="G30" i="12"/>
  <c r="H30" i="12" s="1"/>
  <c r="G127" i="12"/>
  <c r="H127" i="12" s="1"/>
  <c r="G63" i="12"/>
  <c r="H63" i="12" s="1"/>
  <c r="G76" i="12"/>
  <c r="H76" i="12" s="1"/>
  <c r="G51" i="12"/>
  <c r="H51" i="12" s="1"/>
  <c r="G100" i="12"/>
  <c r="H100" i="12" s="1"/>
  <c r="G27" i="12"/>
  <c r="H27" i="12" s="1"/>
  <c r="G67" i="12"/>
  <c r="H67" i="12" s="1"/>
  <c r="G17" i="12"/>
  <c r="H17" i="12" s="1"/>
  <c r="G68" i="12"/>
  <c r="H68" i="12" s="1"/>
  <c r="G18" i="12"/>
  <c r="H18" i="12" s="1"/>
  <c r="G91" i="12"/>
  <c r="H91" i="12" s="1"/>
  <c r="G44" i="12"/>
  <c r="H44" i="12" s="1"/>
  <c r="G57" i="12"/>
  <c r="H57" i="12" s="1"/>
  <c r="G70" i="12"/>
  <c r="H70" i="12" s="1"/>
  <c r="H82" i="12"/>
  <c r="G92" i="12"/>
  <c r="H92" i="12" s="1"/>
  <c r="G128" i="12"/>
  <c r="H128" i="12" s="1"/>
  <c r="H49" i="12"/>
  <c r="G49" i="12"/>
  <c r="G99" i="12"/>
  <c r="H99" i="12" s="1"/>
  <c r="H87" i="12"/>
  <c r="G53" i="12"/>
  <c r="H53" i="12" s="1"/>
  <c r="H28" i="12"/>
  <c r="G29" i="12"/>
  <c r="H29" i="12" s="1"/>
  <c r="G90" i="12"/>
  <c r="H90" i="12" s="1"/>
  <c r="G32" i="12"/>
  <c r="H32" i="12" s="1"/>
  <c r="G71" i="12"/>
  <c r="H71" i="12" s="1"/>
  <c r="H93" i="12"/>
  <c r="G93" i="12"/>
  <c r="H105" i="12"/>
  <c r="H118" i="12"/>
  <c r="H129" i="12"/>
  <c r="G129" i="12"/>
  <c r="G75" i="12"/>
  <c r="H75" i="12" s="1"/>
  <c r="G13" i="12"/>
  <c r="H13" i="12" s="1"/>
  <c r="G112" i="12"/>
  <c r="H112" i="12" s="1"/>
  <c r="G39" i="12"/>
  <c r="H39" i="12" s="1"/>
  <c r="G88" i="12"/>
  <c r="H88" i="12" s="1"/>
  <c r="H54" i="12"/>
  <c r="G54" i="12"/>
  <c r="H41" i="12"/>
  <c r="G81" i="12"/>
  <c r="H81" i="12" s="1"/>
  <c r="G5" i="12"/>
  <c r="H5" i="12" s="1"/>
  <c r="H56" i="12"/>
  <c r="H19" i="12"/>
  <c r="G33" i="12"/>
  <c r="H33" i="12" s="1"/>
  <c r="H58" i="12"/>
  <c r="H83" i="12"/>
  <c r="G94" i="12"/>
  <c r="H94" i="12" s="1"/>
  <c r="G106" i="12"/>
  <c r="H106" i="12" s="1"/>
  <c r="G119" i="12"/>
  <c r="H119" i="12" s="1"/>
  <c r="G130" i="12"/>
  <c r="H130" i="12" s="1"/>
  <c r="G62" i="12"/>
  <c r="H62" i="12" s="1"/>
  <c r="H86" i="12"/>
  <c r="H64" i="12"/>
  <c r="H26" i="12"/>
  <c r="G65" i="12"/>
  <c r="H65" i="12" s="1"/>
  <c r="G15" i="12"/>
  <c r="H15" i="12" s="1"/>
  <c r="G102" i="12"/>
  <c r="H102" i="12" s="1"/>
  <c r="H69" i="12"/>
  <c r="G69" i="12"/>
  <c r="H6" i="12"/>
  <c r="G6" i="12"/>
  <c r="H7" i="12"/>
  <c r="G7" i="12"/>
  <c r="G20" i="12"/>
  <c r="H20" i="12" s="1"/>
  <c r="H47" i="12"/>
  <c r="G47" i="12"/>
  <c r="G59" i="12"/>
  <c r="H59" i="12" s="1"/>
  <c r="H72" i="12"/>
  <c r="G107" i="12"/>
  <c r="H107" i="12" s="1"/>
  <c r="G120" i="12"/>
  <c r="H120" i="12" s="1"/>
  <c r="G131" i="12"/>
  <c r="H131" i="12" s="1"/>
  <c r="H50" i="12"/>
  <c r="H79" i="12"/>
  <c r="G79" i="12"/>
  <c r="G55" i="12"/>
  <c r="H55" i="12" s="1"/>
  <c r="H4" i="12"/>
  <c r="G43" i="12"/>
  <c r="H43" i="12" s="1"/>
  <c r="G104" i="12"/>
  <c r="H104" i="12" s="1"/>
  <c r="G31" i="12"/>
  <c r="H31" i="12" s="1"/>
  <c r="G45" i="12"/>
  <c r="H45" i="12" s="1"/>
  <c r="G8" i="12"/>
  <c r="H8" i="12" s="1"/>
  <c r="G46" i="12"/>
  <c r="H46" i="12" s="1"/>
  <c r="G9" i="12"/>
  <c r="H9" i="12" s="1"/>
  <c r="G10" i="12"/>
  <c r="H10" i="12" s="1"/>
  <c r="H21" i="12"/>
  <c r="H34" i="12"/>
  <c r="G60" i="12"/>
  <c r="H60" i="12" s="1"/>
  <c r="G73" i="12"/>
  <c r="H73" i="12" s="1"/>
  <c r="H84" i="12"/>
  <c r="H95" i="12"/>
  <c r="G121" i="12"/>
  <c r="H121" i="12" s="1"/>
  <c r="G132" i="12"/>
  <c r="H132" i="12" s="1"/>
  <c r="G25" i="12"/>
  <c r="H25" i="12" s="1"/>
  <c r="G98" i="12"/>
  <c r="H98" i="12" s="1"/>
  <c r="G38" i="12"/>
  <c r="H38" i="12" s="1"/>
  <c r="H14" i="12"/>
  <c r="G78" i="12"/>
  <c r="H78" i="12" s="1"/>
  <c r="G40" i="12"/>
  <c r="H40" i="12" s="1"/>
  <c r="H66" i="12"/>
  <c r="G116" i="12"/>
  <c r="H116" i="12" s="1"/>
  <c r="G11" i="12"/>
  <c r="H11" i="12" s="1"/>
  <c r="G22" i="12"/>
  <c r="H22" i="12" s="1"/>
  <c r="G35" i="12"/>
  <c r="H35" i="12" s="1"/>
  <c r="G61" i="12"/>
  <c r="H61" i="12" s="1"/>
  <c r="G96" i="12"/>
  <c r="H96" i="12" s="1"/>
  <c r="G109" i="12"/>
  <c r="H109" i="12" s="1"/>
  <c r="H108" i="12"/>
  <c r="H36" i="12"/>
  <c r="H117" i="12"/>
  <c r="H42" i="12"/>
  <c r="G3" i="12"/>
  <c r="F133" i="12"/>
  <c r="G133" i="12" l="1"/>
  <c r="H3" i="12"/>
  <c r="H133" i="12" s="1"/>
  <c r="G4" i="11" l="1"/>
  <c r="G90" i="5" l="1"/>
  <c r="G21" i="5" l="1"/>
  <c r="G85" i="5" l="1"/>
  <c r="G55" i="5" l="1"/>
  <c r="H4" i="11" l="1"/>
  <c r="F5" i="11"/>
  <c r="F6" i="11"/>
  <c r="G6" i="11" s="1"/>
  <c r="H6" i="11"/>
  <c r="F7" i="11"/>
  <c r="F8" i="11"/>
  <c r="G8" i="11" s="1"/>
  <c r="F9" i="11"/>
  <c r="F10" i="11"/>
  <c r="G10" i="11" s="1"/>
  <c r="H10" i="11"/>
  <c r="F11" i="11"/>
  <c r="G11" i="11" s="1"/>
  <c r="H11" i="11"/>
  <c r="F12" i="11"/>
  <c r="F13" i="11"/>
  <c r="G13" i="11" s="1"/>
  <c r="H13" i="11"/>
  <c r="F14" i="11"/>
  <c r="F15" i="11"/>
  <c r="G15" i="11" s="1"/>
  <c r="H15" i="11"/>
  <c r="F16" i="11"/>
  <c r="F17" i="11"/>
  <c r="G17" i="11" s="1"/>
  <c r="H17" i="11"/>
  <c r="F18" i="11"/>
  <c r="F19" i="11"/>
  <c r="G19" i="11" s="1"/>
  <c r="H19" i="11"/>
  <c r="F20" i="11"/>
  <c r="F21" i="11"/>
  <c r="G21" i="11" s="1"/>
  <c r="H21" i="11"/>
  <c r="F22" i="11"/>
  <c r="F23" i="11"/>
  <c r="G23" i="11" s="1"/>
  <c r="H23" i="11"/>
  <c r="F24" i="11"/>
  <c r="F25" i="11"/>
  <c r="G25" i="11" s="1"/>
  <c r="F26" i="11"/>
  <c r="F27" i="11"/>
  <c r="G27" i="11" s="1"/>
  <c r="H27" i="11"/>
  <c r="F28" i="11"/>
  <c r="F29" i="11"/>
  <c r="G29" i="11" s="1"/>
  <c r="F30" i="11"/>
  <c r="F31" i="11"/>
  <c r="G31" i="11" s="1"/>
  <c r="H31" i="11"/>
  <c r="F32" i="11"/>
  <c r="F33" i="11"/>
  <c r="G33" i="11" s="1"/>
  <c r="H33" i="11"/>
  <c r="F34" i="11"/>
  <c r="F35" i="11"/>
  <c r="G35" i="11" s="1"/>
  <c r="H35" i="11"/>
  <c r="F36" i="11"/>
  <c r="G36" i="11" s="1"/>
  <c r="H36" i="11"/>
  <c r="F37" i="11"/>
  <c r="F38" i="11"/>
  <c r="F39" i="11"/>
  <c r="G39" i="11" s="1"/>
  <c r="H39" i="11"/>
  <c r="F40" i="11"/>
  <c r="F41" i="11"/>
  <c r="G41" i="11" s="1"/>
  <c r="F42" i="11"/>
  <c r="G42" i="11" s="1"/>
  <c r="H42" i="11"/>
  <c r="F43" i="11"/>
  <c r="F44" i="11"/>
  <c r="G44" i="11" s="1"/>
  <c r="H44" i="11"/>
  <c r="F45" i="11"/>
  <c r="F46" i="11"/>
  <c r="F47" i="11"/>
  <c r="G47" i="11" s="1"/>
  <c r="H47" i="11"/>
  <c r="F48" i="11"/>
  <c r="F49" i="11"/>
  <c r="G49" i="11" s="1"/>
  <c r="H49" i="11"/>
  <c r="F50" i="11"/>
  <c r="G50" i="11" s="1"/>
  <c r="F51" i="11"/>
  <c r="F52" i="11"/>
  <c r="G52" i="11" s="1"/>
  <c r="H52" i="11"/>
  <c r="F53" i="11"/>
  <c r="F54" i="11"/>
  <c r="F55" i="11"/>
  <c r="G55" i="11" s="1"/>
  <c r="H55" i="11"/>
  <c r="F56" i="11"/>
  <c r="F57" i="11"/>
  <c r="F58" i="11"/>
  <c r="G58" i="11" s="1"/>
  <c r="H58" i="11"/>
  <c r="F59" i="11"/>
  <c r="F60" i="11"/>
  <c r="G60" i="11" s="1"/>
  <c r="H60" i="11"/>
  <c r="F61" i="11"/>
  <c r="F62" i="11"/>
  <c r="F63" i="11"/>
  <c r="G63" i="11" s="1"/>
  <c r="H63" i="11"/>
  <c r="F64" i="11"/>
  <c r="F65" i="11"/>
  <c r="F66" i="11"/>
  <c r="G66" i="11" s="1"/>
  <c r="H66" i="11"/>
  <c r="F67" i="11"/>
  <c r="F68" i="11"/>
  <c r="G68" i="11" s="1"/>
  <c r="H68" i="11"/>
  <c r="F69" i="11"/>
  <c r="F70" i="11"/>
  <c r="G70" i="11" s="1"/>
  <c r="H70" i="11"/>
  <c r="F71" i="11"/>
  <c r="F72" i="11"/>
  <c r="G72" i="11" s="1"/>
  <c r="H72" i="11"/>
  <c r="F73" i="11"/>
  <c r="F74" i="11"/>
  <c r="G74" i="11" s="1"/>
  <c r="H74" i="11"/>
  <c r="F75" i="11"/>
  <c r="F76" i="11"/>
  <c r="G76" i="11" s="1"/>
  <c r="H76" i="11"/>
  <c r="F77" i="11"/>
  <c r="F78" i="11"/>
  <c r="G78" i="11" s="1"/>
  <c r="H78" i="11"/>
  <c r="F79" i="11"/>
  <c r="F80" i="11"/>
  <c r="G80" i="11" s="1"/>
  <c r="H80" i="11"/>
  <c r="F81" i="11"/>
  <c r="F82" i="11"/>
  <c r="G82" i="11" s="1"/>
  <c r="H82" i="11"/>
  <c r="F83" i="11"/>
  <c r="F84" i="11"/>
  <c r="G84" i="11" s="1"/>
  <c r="H84" i="11"/>
  <c r="F85" i="11"/>
  <c r="F86" i="11"/>
  <c r="G86" i="11" s="1"/>
  <c r="H86" i="11"/>
  <c r="F87" i="11"/>
  <c r="F88" i="11"/>
  <c r="G88" i="11" s="1"/>
  <c r="H88" i="11"/>
  <c r="F89" i="11"/>
  <c r="F90" i="11"/>
  <c r="F91" i="11"/>
  <c r="G91" i="11" s="1"/>
  <c r="H91" i="11"/>
  <c r="F92" i="11"/>
  <c r="F93" i="11"/>
  <c r="F94" i="11"/>
  <c r="G94" i="11" s="1"/>
  <c r="H94" i="11"/>
  <c r="F95" i="11"/>
  <c r="F96" i="11"/>
  <c r="G96" i="11" s="1"/>
  <c r="H96" i="11"/>
  <c r="F97" i="11"/>
  <c r="G97" i="11" s="1"/>
  <c r="H97" i="11"/>
  <c r="F98" i="11"/>
  <c r="F99" i="11"/>
  <c r="G99" i="11" s="1"/>
  <c r="H99" i="11"/>
  <c r="F100" i="11"/>
  <c r="F101" i="11"/>
  <c r="F102" i="11"/>
  <c r="G102" i="11" s="1"/>
  <c r="H102" i="11"/>
  <c r="F103" i="11"/>
  <c r="F104" i="11"/>
  <c r="G104" i="11" s="1"/>
  <c r="H104" i="11"/>
  <c r="F105" i="11"/>
  <c r="G105" i="11" s="1"/>
  <c r="H105" i="11"/>
  <c r="F106" i="11"/>
  <c r="F107" i="11"/>
  <c r="G107" i="11" s="1"/>
  <c r="H107" i="11"/>
  <c r="F108" i="11"/>
  <c r="F109" i="11"/>
  <c r="F110" i="11"/>
  <c r="G110" i="11" s="1"/>
  <c r="H110" i="11"/>
  <c r="F111" i="11"/>
  <c r="F112" i="11"/>
  <c r="G112" i="11" s="1"/>
  <c r="F113" i="11"/>
  <c r="G113" i="11" s="1"/>
  <c r="H113" i="11"/>
  <c r="F114" i="11"/>
  <c r="F115" i="11"/>
  <c r="G115" i="11" s="1"/>
  <c r="H115" i="11"/>
  <c r="F116" i="11"/>
  <c r="F117" i="11"/>
  <c r="F118" i="11"/>
  <c r="G118" i="11" s="1"/>
  <c r="H118" i="11"/>
  <c r="F119" i="11"/>
  <c r="F120" i="11"/>
  <c r="G120" i="11" s="1"/>
  <c r="H120" i="11"/>
  <c r="F121" i="11"/>
  <c r="G121" i="11" s="1"/>
  <c r="H121" i="11"/>
  <c r="F122" i="11"/>
  <c r="F123" i="11"/>
  <c r="G123" i="11" s="1"/>
  <c r="H123" i="11"/>
  <c r="F124" i="11"/>
  <c r="F125" i="11"/>
  <c r="F126" i="11"/>
  <c r="G126" i="11" s="1"/>
  <c r="H126" i="11"/>
  <c r="F127" i="11"/>
  <c r="F128" i="11"/>
  <c r="G128" i="11" s="1"/>
  <c r="H128" i="11"/>
  <c r="F129" i="11"/>
  <c r="G129" i="11" s="1"/>
  <c r="H129" i="11"/>
  <c r="F130" i="11"/>
  <c r="F131" i="11"/>
  <c r="G131" i="11" s="1"/>
  <c r="H131" i="11"/>
  <c r="F132" i="11"/>
  <c r="F133" i="11"/>
  <c r="D134" i="11"/>
  <c r="G24" i="11" l="1"/>
  <c r="H24" i="11" s="1"/>
  <c r="G101" i="11"/>
  <c r="H101" i="11" s="1"/>
  <c r="G67" i="11"/>
  <c r="H67" i="11" s="1"/>
  <c r="G122" i="11"/>
  <c r="H122" i="11" s="1"/>
  <c r="G56" i="11"/>
  <c r="H56" i="11" s="1"/>
  <c r="G65" i="11"/>
  <c r="H65" i="11" s="1"/>
  <c r="H41" i="11"/>
  <c r="G20" i="11"/>
  <c r="H20" i="11" s="1"/>
  <c r="H12" i="11"/>
  <c r="G12" i="11"/>
  <c r="G109" i="11"/>
  <c r="H109" i="11" s="1"/>
  <c r="G32" i="11"/>
  <c r="H32" i="11" s="1"/>
  <c r="G9" i="11"/>
  <c r="H9" i="11" s="1"/>
  <c r="G79" i="11"/>
  <c r="H79" i="11" s="1"/>
  <c r="G43" i="11"/>
  <c r="H43" i="11" s="1"/>
  <c r="G30" i="11"/>
  <c r="H30" i="11" s="1"/>
  <c r="G73" i="11"/>
  <c r="H73" i="11" s="1"/>
  <c r="H62" i="11"/>
  <c r="G62" i="11"/>
  <c r="H50" i="11"/>
  <c r="G40" i="11"/>
  <c r="H40" i="11" s="1"/>
  <c r="H29" i="11"/>
  <c r="H8" i="11"/>
  <c r="G90" i="11"/>
  <c r="H90" i="11" s="1"/>
  <c r="G100" i="11"/>
  <c r="H100" i="11" s="1"/>
  <c r="G54" i="11"/>
  <c r="H54" i="11" s="1"/>
  <c r="G57" i="11"/>
  <c r="H57" i="11" s="1"/>
  <c r="G45" i="11"/>
  <c r="H45" i="11" s="1"/>
  <c r="G108" i="11"/>
  <c r="H108" i="11" s="1"/>
  <c r="G83" i="11"/>
  <c r="H83" i="11" s="1"/>
  <c r="G28" i="11"/>
  <c r="H28" i="11" s="1"/>
  <c r="G7" i="11"/>
  <c r="H7" i="11" s="1"/>
  <c r="G14" i="11"/>
  <c r="H14" i="11" s="1"/>
  <c r="G22" i="11"/>
  <c r="H22" i="11" s="1"/>
  <c r="G119" i="11"/>
  <c r="H119" i="11" s="1"/>
  <c r="G64" i="11"/>
  <c r="H64" i="11" s="1"/>
  <c r="G85" i="11"/>
  <c r="H85" i="11" s="1"/>
  <c r="G117" i="11"/>
  <c r="H117" i="11" s="1"/>
  <c r="G95" i="11"/>
  <c r="H95" i="11" s="1"/>
  <c r="G61" i="11"/>
  <c r="H61" i="11" s="1"/>
  <c r="G93" i="11"/>
  <c r="H93" i="11" s="1"/>
  <c r="G71" i="11"/>
  <c r="H71" i="11" s="1"/>
  <c r="G38" i="11"/>
  <c r="H38" i="11" s="1"/>
  <c r="G133" i="11"/>
  <c r="H133" i="11" s="1"/>
  <c r="G111" i="11"/>
  <c r="H111" i="11" s="1"/>
  <c r="G34" i="11"/>
  <c r="H34" i="11" s="1"/>
  <c r="G53" i="11"/>
  <c r="H53" i="11" s="1"/>
  <c r="G51" i="11"/>
  <c r="H51" i="11" s="1"/>
  <c r="G116" i="11"/>
  <c r="H116" i="11" s="1"/>
  <c r="G18" i="11"/>
  <c r="H18" i="11" s="1"/>
  <c r="G125" i="11"/>
  <c r="H125" i="11" s="1"/>
  <c r="G124" i="11"/>
  <c r="H124" i="11" s="1"/>
  <c r="G103" i="11"/>
  <c r="H103" i="11" s="1"/>
  <c r="G92" i="11"/>
  <c r="H92" i="11" s="1"/>
  <c r="G81" i="11"/>
  <c r="H81" i="11" s="1"/>
  <c r="G59" i="11"/>
  <c r="H59" i="11" s="1"/>
  <c r="G48" i="11"/>
  <c r="H48" i="11" s="1"/>
  <c r="G37" i="11"/>
  <c r="H37" i="11" s="1"/>
  <c r="G16" i="11"/>
  <c r="H16" i="11" s="1"/>
  <c r="G89" i="11"/>
  <c r="H89" i="11" s="1"/>
  <c r="G77" i="11"/>
  <c r="H77" i="11" s="1"/>
  <c r="G130" i="11"/>
  <c r="H130" i="11" s="1"/>
  <c r="G87" i="11"/>
  <c r="H87" i="11" s="1"/>
  <c r="G75" i="11"/>
  <c r="H75" i="11" s="1"/>
  <c r="G106" i="11"/>
  <c r="H106" i="11" s="1"/>
  <c r="F134" i="11"/>
  <c r="G26" i="11"/>
  <c r="H26" i="11" s="1"/>
  <c r="G5" i="11"/>
  <c r="H5" i="11" s="1"/>
  <c r="H46" i="11"/>
  <c r="G46" i="11"/>
  <c r="G132" i="11"/>
  <c r="H132" i="11" s="1"/>
  <c r="G98" i="11"/>
  <c r="H98" i="11" s="1"/>
  <c r="G127" i="11"/>
  <c r="H127" i="11" s="1"/>
  <c r="G114" i="11"/>
  <c r="H114" i="11" s="1"/>
  <c r="H112" i="11"/>
  <c r="G69" i="11"/>
  <c r="H69" i="11" s="1"/>
  <c r="H25" i="11"/>
  <c r="G134" i="11"/>
  <c r="H134" i="11" l="1"/>
  <c r="G58" i="5"/>
  <c r="G83" i="5" l="1"/>
  <c r="R36" i="7"/>
  <c r="G125" i="5" l="1"/>
  <c r="G103" i="5"/>
  <c r="D134" i="7" l="1"/>
  <c r="F133" i="7"/>
  <c r="F132" i="7"/>
  <c r="F131" i="7"/>
  <c r="G131" i="7" s="1"/>
  <c r="F130" i="7"/>
  <c r="F129" i="7"/>
  <c r="F128" i="7"/>
  <c r="F127" i="7"/>
  <c r="F126" i="7"/>
  <c r="F125" i="7"/>
  <c r="F124" i="7"/>
  <c r="F123" i="7"/>
  <c r="F122" i="7"/>
  <c r="F121" i="7"/>
  <c r="F120" i="7"/>
  <c r="F119" i="7"/>
  <c r="H118" i="7"/>
  <c r="F118" i="7"/>
  <c r="G118" i="7" s="1"/>
  <c r="F117" i="7"/>
  <c r="G117" i="7" s="1"/>
  <c r="F116" i="7"/>
  <c r="F115" i="7"/>
  <c r="F114" i="7"/>
  <c r="F113" i="7"/>
  <c r="F112" i="7"/>
  <c r="F111" i="7"/>
  <c r="H110" i="7"/>
  <c r="F109" i="7"/>
  <c r="F108" i="7"/>
  <c r="F107" i="7"/>
  <c r="F106" i="7"/>
  <c r="F105" i="7"/>
  <c r="G105" i="7" s="1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G82" i="7" s="1"/>
  <c r="F81" i="7"/>
  <c r="F80" i="7"/>
  <c r="F79" i="7"/>
  <c r="F78" i="7"/>
  <c r="F77" i="7"/>
  <c r="F76" i="7"/>
  <c r="F75" i="7"/>
  <c r="F74" i="7"/>
  <c r="F73" i="7"/>
  <c r="F72" i="7"/>
  <c r="F71" i="7"/>
  <c r="G71" i="7" s="1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G39" i="7" s="1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G21" i="7" s="1"/>
  <c r="F20" i="7"/>
  <c r="F19" i="7"/>
  <c r="F18" i="7"/>
  <c r="F17" i="7"/>
  <c r="F16" i="7"/>
  <c r="F15" i="7"/>
  <c r="F14" i="7"/>
  <c r="F13" i="7"/>
  <c r="G13" i="7" s="1"/>
  <c r="F12" i="7"/>
  <c r="F11" i="7"/>
  <c r="F10" i="7"/>
  <c r="F9" i="7"/>
  <c r="F8" i="7"/>
  <c r="F7" i="7"/>
  <c r="F6" i="7"/>
  <c r="F5" i="7"/>
  <c r="F4" i="7"/>
  <c r="F3" i="7"/>
  <c r="M133" i="6"/>
  <c r="L133" i="6"/>
  <c r="K133" i="6"/>
  <c r="J133" i="6"/>
  <c r="D133" i="6"/>
  <c r="F132" i="6"/>
  <c r="F131" i="6"/>
  <c r="F130" i="6"/>
  <c r="F129" i="6"/>
  <c r="F128" i="6"/>
  <c r="F127" i="6"/>
  <c r="F126" i="6"/>
  <c r="F125" i="6"/>
  <c r="G125" i="6" s="1"/>
  <c r="H124" i="6"/>
  <c r="F124" i="6"/>
  <c r="G124" i="6" s="1"/>
  <c r="F123" i="6"/>
  <c r="H122" i="6"/>
  <c r="F122" i="6"/>
  <c r="G122" i="6" s="1"/>
  <c r="F121" i="6"/>
  <c r="H120" i="6"/>
  <c r="F120" i="6"/>
  <c r="G120" i="6" s="1"/>
  <c r="F119" i="6"/>
  <c r="G119" i="6" s="1"/>
  <c r="F118" i="6"/>
  <c r="F117" i="6"/>
  <c r="F116" i="6"/>
  <c r="G116" i="6" s="1"/>
  <c r="H115" i="6"/>
  <c r="F115" i="6"/>
  <c r="G115" i="6" s="1"/>
  <c r="F114" i="6"/>
  <c r="F113" i="6"/>
  <c r="F112" i="6"/>
  <c r="F111" i="6"/>
  <c r="H110" i="6"/>
  <c r="F110" i="6"/>
  <c r="G110" i="6" s="1"/>
  <c r="F109" i="6"/>
  <c r="G109" i="6" s="1"/>
  <c r="H108" i="6"/>
  <c r="F108" i="6"/>
  <c r="G108" i="6" s="1"/>
  <c r="F107" i="6"/>
  <c r="F106" i="6"/>
  <c r="H105" i="6"/>
  <c r="F105" i="6"/>
  <c r="G105" i="6" s="1"/>
  <c r="H104" i="6"/>
  <c r="F104" i="6"/>
  <c r="G104" i="6" s="1"/>
  <c r="F103" i="6"/>
  <c r="G103" i="6" s="1"/>
  <c r="F102" i="6"/>
  <c r="G102" i="6" s="1"/>
  <c r="H101" i="6"/>
  <c r="F101" i="6"/>
  <c r="G101" i="6" s="1"/>
  <c r="F100" i="6"/>
  <c r="F99" i="6"/>
  <c r="G99" i="6" s="1"/>
  <c r="F98" i="6"/>
  <c r="G98" i="6" s="1"/>
  <c r="F97" i="6"/>
  <c r="F96" i="6"/>
  <c r="F95" i="6"/>
  <c r="G95" i="6" s="1"/>
  <c r="F94" i="6"/>
  <c r="G94" i="6" s="1"/>
  <c r="F93" i="6"/>
  <c r="F92" i="6"/>
  <c r="F91" i="6"/>
  <c r="G91" i="6" s="1"/>
  <c r="F90" i="6"/>
  <c r="G90" i="6" s="1"/>
  <c r="F89" i="6"/>
  <c r="G89" i="6" s="1"/>
  <c r="F88" i="6"/>
  <c r="G88" i="6" s="1"/>
  <c r="F87" i="6"/>
  <c r="H86" i="6"/>
  <c r="F86" i="6"/>
  <c r="G86" i="6" s="1"/>
  <c r="F85" i="6"/>
  <c r="F84" i="6"/>
  <c r="F83" i="6"/>
  <c r="F82" i="6"/>
  <c r="G82" i="6" s="1"/>
  <c r="F81" i="6"/>
  <c r="F80" i="6"/>
  <c r="H79" i="6"/>
  <c r="F79" i="6"/>
  <c r="G79" i="6" s="1"/>
  <c r="F78" i="6"/>
  <c r="F77" i="6"/>
  <c r="F76" i="6"/>
  <c r="F75" i="6"/>
  <c r="H74" i="6"/>
  <c r="F74" i="6"/>
  <c r="G74" i="6" s="1"/>
  <c r="H73" i="6"/>
  <c r="F73" i="6"/>
  <c r="G73" i="6" s="1"/>
  <c r="H72" i="6"/>
  <c r="F72" i="6"/>
  <c r="G72" i="6" s="1"/>
  <c r="F71" i="6"/>
  <c r="G71" i="6" s="1"/>
  <c r="F70" i="6"/>
  <c r="F69" i="6"/>
  <c r="F68" i="6"/>
  <c r="H67" i="6"/>
  <c r="F67" i="6"/>
  <c r="G67" i="6" s="1"/>
  <c r="F66" i="6"/>
  <c r="F65" i="6"/>
  <c r="F64" i="6"/>
  <c r="F63" i="6"/>
  <c r="G63" i="6" s="1"/>
  <c r="F62" i="6"/>
  <c r="G62" i="6" s="1"/>
  <c r="F61" i="6"/>
  <c r="F60" i="6"/>
  <c r="F59" i="6"/>
  <c r="G59" i="6" s="1"/>
  <c r="H58" i="6"/>
  <c r="F58" i="6"/>
  <c r="G58" i="6" s="1"/>
  <c r="F57" i="6"/>
  <c r="H56" i="6"/>
  <c r="F56" i="6"/>
  <c r="G56" i="6" s="1"/>
  <c r="F55" i="6"/>
  <c r="G55" i="6" s="1"/>
  <c r="F54" i="6"/>
  <c r="F53" i="6"/>
  <c r="F52" i="6"/>
  <c r="G52" i="6" s="1"/>
  <c r="F51" i="6"/>
  <c r="G51" i="6" s="1"/>
  <c r="F50" i="6"/>
  <c r="F49" i="6"/>
  <c r="F48" i="6"/>
  <c r="F47" i="6"/>
  <c r="F46" i="6"/>
  <c r="F45" i="6"/>
  <c r="F44" i="6"/>
  <c r="G44" i="6" s="1"/>
  <c r="F43" i="6"/>
  <c r="F42" i="6"/>
  <c r="G42" i="6" s="1"/>
  <c r="F41" i="6"/>
  <c r="F40" i="6"/>
  <c r="G40" i="6" s="1"/>
  <c r="F39" i="6"/>
  <c r="H38" i="6"/>
  <c r="F38" i="6"/>
  <c r="G38" i="6" s="1"/>
  <c r="F37" i="6"/>
  <c r="F36" i="6"/>
  <c r="F35" i="6"/>
  <c r="F34" i="6"/>
  <c r="F33" i="6"/>
  <c r="F32" i="6"/>
  <c r="G32" i="6" s="1"/>
  <c r="F31" i="6"/>
  <c r="F30" i="6"/>
  <c r="F29" i="6"/>
  <c r="F28" i="6"/>
  <c r="F27" i="6"/>
  <c r="G27" i="6" s="1"/>
  <c r="F26" i="6"/>
  <c r="H25" i="6"/>
  <c r="F25" i="6"/>
  <c r="G25" i="6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G12" i="6" s="1"/>
  <c r="F11" i="6"/>
  <c r="H10" i="6"/>
  <c r="F10" i="6"/>
  <c r="G10" i="6" s="1"/>
  <c r="H9" i="6"/>
  <c r="F9" i="6"/>
  <c r="G9" i="6" s="1"/>
  <c r="F8" i="6"/>
  <c r="F7" i="6"/>
  <c r="F6" i="6"/>
  <c r="G6" i="6" s="1"/>
  <c r="H5" i="6"/>
  <c r="F5" i="6"/>
  <c r="G5" i="6" s="1"/>
  <c r="F4" i="6"/>
  <c r="G4" i="6" s="1"/>
  <c r="F3" i="6"/>
  <c r="D133" i="5"/>
  <c r="G132" i="5"/>
  <c r="F132" i="5"/>
  <c r="F131" i="5"/>
  <c r="G130" i="5"/>
  <c r="F130" i="5"/>
  <c r="H130" i="5" s="1"/>
  <c r="F129" i="5"/>
  <c r="F128" i="5"/>
  <c r="F127" i="5"/>
  <c r="F126" i="5"/>
  <c r="F125" i="5"/>
  <c r="H125" i="5" s="1"/>
  <c r="F124" i="5"/>
  <c r="F123" i="5"/>
  <c r="G123" i="5" s="1"/>
  <c r="G122" i="5"/>
  <c r="F122" i="5"/>
  <c r="H122" i="5" s="1"/>
  <c r="F121" i="5"/>
  <c r="F120" i="5"/>
  <c r="G120" i="5" s="1"/>
  <c r="F119" i="5"/>
  <c r="G119" i="5" s="1"/>
  <c r="F118" i="5"/>
  <c r="G118" i="5" s="1"/>
  <c r="H117" i="5"/>
  <c r="F117" i="5"/>
  <c r="G117" i="5" s="1"/>
  <c r="F116" i="5"/>
  <c r="G116" i="5" s="1"/>
  <c r="H116" i="5" s="1"/>
  <c r="F115" i="5"/>
  <c r="G115" i="5" s="1"/>
  <c r="F114" i="5"/>
  <c r="F113" i="5"/>
  <c r="F112" i="5"/>
  <c r="F111" i="5"/>
  <c r="G110" i="5"/>
  <c r="F110" i="5"/>
  <c r="H110" i="5" s="1"/>
  <c r="G109" i="5"/>
  <c r="F109" i="5"/>
  <c r="F108" i="5"/>
  <c r="G108" i="5" s="1"/>
  <c r="F107" i="5"/>
  <c r="H107" i="5" s="1"/>
  <c r="F106" i="5"/>
  <c r="F105" i="5"/>
  <c r="G104" i="5"/>
  <c r="F104" i="5"/>
  <c r="H104" i="5" s="1"/>
  <c r="F103" i="5"/>
  <c r="H103" i="5" s="1"/>
  <c r="F102" i="5"/>
  <c r="G102" i="5" s="1"/>
  <c r="H102" i="5" s="1"/>
  <c r="F101" i="5"/>
  <c r="F100" i="5"/>
  <c r="G100" i="5" s="1"/>
  <c r="H100" i="5" s="1"/>
  <c r="F99" i="5"/>
  <c r="G99" i="5" s="1"/>
  <c r="F98" i="5"/>
  <c r="G98" i="5" s="1"/>
  <c r="F97" i="5"/>
  <c r="G97" i="5" s="1"/>
  <c r="F96" i="5"/>
  <c r="F95" i="5"/>
  <c r="F94" i="5"/>
  <c r="F93" i="5"/>
  <c r="F92" i="5"/>
  <c r="G92" i="5" s="1"/>
  <c r="F91" i="5"/>
  <c r="G91" i="5" s="1"/>
  <c r="F90" i="5"/>
  <c r="H90" i="5" s="1"/>
  <c r="G89" i="5"/>
  <c r="F89" i="5"/>
  <c r="F88" i="5"/>
  <c r="F87" i="5"/>
  <c r="F86" i="5"/>
  <c r="F85" i="5"/>
  <c r="H85" i="5" s="1"/>
  <c r="F84" i="5"/>
  <c r="F83" i="5"/>
  <c r="H83" i="5" s="1"/>
  <c r="F82" i="5"/>
  <c r="G82" i="5" s="1"/>
  <c r="H82" i="5" s="1"/>
  <c r="G81" i="5"/>
  <c r="F81" i="5"/>
  <c r="H81" i="5" s="1"/>
  <c r="F80" i="5"/>
  <c r="F79" i="5"/>
  <c r="G79" i="5" s="1"/>
  <c r="F78" i="5"/>
  <c r="F77" i="5"/>
  <c r="G77" i="5" s="1"/>
  <c r="F76" i="5"/>
  <c r="G76" i="5" s="1"/>
  <c r="F75" i="5"/>
  <c r="F74" i="5"/>
  <c r="G74" i="5" s="1"/>
  <c r="F73" i="5"/>
  <c r="G72" i="5"/>
  <c r="H72" i="5" s="1"/>
  <c r="F72" i="5"/>
  <c r="G71" i="5"/>
  <c r="F71" i="5"/>
  <c r="H71" i="5" s="1"/>
  <c r="F70" i="5"/>
  <c r="F69" i="5"/>
  <c r="F68" i="5"/>
  <c r="G68" i="5" s="1"/>
  <c r="G67" i="5"/>
  <c r="F67" i="5"/>
  <c r="H67" i="5" s="1"/>
  <c r="G66" i="5"/>
  <c r="F66" i="5"/>
  <c r="H66" i="5" s="1"/>
  <c r="G65" i="5"/>
  <c r="F65" i="5"/>
  <c r="H65" i="5" s="1"/>
  <c r="H64" i="5"/>
  <c r="F64" i="5"/>
  <c r="G64" i="5" s="1"/>
  <c r="F63" i="5"/>
  <c r="G63" i="5" s="1"/>
  <c r="F62" i="5"/>
  <c r="F61" i="5"/>
  <c r="F60" i="5"/>
  <c r="F59" i="5"/>
  <c r="G59" i="5" s="1"/>
  <c r="H58" i="5"/>
  <c r="F58" i="5"/>
  <c r="G57" i="5"/>
  <c r="F57" i="5"/>
  <c r="G56" i="5"/>
  <c r="F56" i="5"/>
  <c r="F55" i="5"/>
  <c r="H55" i="5" s="1"/>
  <c r="F54" i="5"/>
  <c r="F53" i="5"/>
  <c r="G53" i="5" s="1"/>
  <c r="F52" i="5"/>
  <c r="G52" i="5" s="1"/>
  <c r="H52" i="5" s="1"/>
  <c r="G51" i="5"/>
  <c r="F51" i="5"/>
  <c r="H51" i="5" s="1"/>
  <c r="P50" i="5"/>
  <c r="F50" i="5"/>
  <c r="H49" i="5"/>
  <c r="F49" i="5"/>
  <c r="G49" i="5" s="1"/>
  <c r="F48" i="5"/>
  <c r="G47" i="5"/>
  <c r="F47" i="5"/>
  <c r="H47" i="5" s="1"/>
  <c r="F46" i="5"/>
  <c r="G46" i="5" s="1"/>
  <c r="G45" i="5"/>
  <c r="F45" i="5"/>
  <c r="G44" i="5"/>
  <c r="F44" i="5"/>
  <c r="H44" i="5" s="1"/>
  <c r="F43" i="5"/>
  <c r="F42" i="5"/>
  <c r="F41" i="5"/>
  <c r="G40" i="5"/>
  <c r="F40" i="5"/>
  <c r="H40" i="5" s="1"/>
  <c r="G39" i="5"/>
  <c r="F39" i="5"/>
  <c r="F38" i="5"/>
  <c r="G37" i="5"/>
  <c r="F37" i="5"/>
  <c r="G36" i="5"/>
  <c r="F36" i="5"/>
  <c r="F35" i="5"/>
  <c r="G35" i="5" s="1"/>
  <c r="F34" i="5"/>
  <c r="H34" i="5" s="1"/>
  <c r="F33" i="5"/>
  <c r="F32" i="5"/>
  <c r="F31" i="5"/>
  <c r="F30" i="5"/>
  <c r="G30" i="5" s="1"/>
  <c r="F29" i="5"/>
  <c r="F28" i="5"/>
  <c r="G27" i="5"/>
  <c r="F27" i="5"/>
  <c r="G26" i="5"/>
  <c r="F26" i="5"/>
  <c r="G25" i="5"/>
  <c r="F25" i="5"/>
  <c r="H25" i="5" s="1"/>
  <c r="G24" i="5"/>
  <c r="F24" i="5"/>
  <c r="F23" i="5"/>
  <c r="G22" i="5"/>
  <c r="F22" i="5"/>
  <c r="H22" i="5" s="1"/>
  <c r="F21" i="5"/>
  <c r="H21" i="5" s="1"/>
  <c r="G20" i="5"/>
  <c r="F20" i="5"/>
  <c r="H20" i="5" s="1"/>
  <c r="F19" i="5"/>
  <c r="G18" i="5"/>
  <c r="H18" i="5" s="1"/>
  <c r="F18" i="5"/>
  <c r="F17" i="5"/>
  <c r="H17" i="5" s="1"/>
  <c r="F16" i="5"/>
  <c r="G16" i="5" s="1"/>
  <c r="H16" i="5" s="1"/>
  <c r="G15" i="5"/>
  <c r="F15" i="5"/>
  <c r="H15" i="5" s="1"/>
  <c r="G14" i="5"/>
  <c r="F14" i="5"/>
  <c r="H14" i="5" s="1"/>
  <c r="F13" i="5"/>
  <c r="F12" i="5"/>
  <c r="G12" i="5" s="1"/>
  <c r="H12" i="5" s="1"/>
  <c r="F11" i="5"/>
  <c r="F10" i="5"/>
  <c r="F9" i="5"/>
  <c r="F8" i="5"/>
  <c r="G7" i="5"/>
  <c r="F7" i="5"/>
  <c r="H7" i="5" s="1"/>
  <c r="F6" i="5"/>
  <c r="G6" i="5" s="1"/>
  <c r="H6" i="5" s="1"/>
  <c r="G5" i="5"/>
  <c r="F5" i="5"/>
  <c r="H5" i="5" s="1"/>
  <c r="F4" i="5"/>
  <c r="F3" i="5"/>
  <c r="H10" i="7" l="1"/>
  <c r="G10" i="7"/>
  <c r="H88" i="6"/>
  <c r="H120" i="7"/>
  <c r="G120" i="7"/>
  <c r="H59" i="5"/>
  <c r="H79" i="5"/>
  <c r="F133" i="6"/>
  <c r="H14" i="6"/>
  <c r="G14" i="6"/>
  <c r="H28" i="6"/>
  <c r="G28" i="6"/>
  <c r="G54" i="6"/>
  <c r="H54" i="6" s="1"/>
  <c r="G64" i="6"/>
  <c r="H64" i="6" s="1"/>
  <c r="H76" i="6"/>
  <c r="G76" i="6"/>
  <c r="G12" i="7"/>
  <c r="H12" i="7" s="1"/>
  <c r="G28" i="7"/>
  <c r="H28" i="7" s="1"/>
  <c r="G91" i="7"/>
  <c r="H91" i="7" s="1"/>
  <c r="H89" i="6"/>
  <c r="G42" i="5"/>
  <c r="H42" i="5" s="1"/>
  <c r="H123" i="5"/>
  <c r="H4" i="6"/>
  <c r="G16" i="6"/>
  <c r="H16" i="6" s="1"/>
  <c r="H30" i="6"/>
  <c r="G30" i="6"/>
  <c r="H42" i="6"/>
  <c r="H55" i="6"/>
  <c r="G66" i="6"/>
  <c r="H66" i="6" s="1"/>
  <c r="H78" i="6"/>
  <c r="G78" i="6"/>
  <c r="H100" i="6"/>
  <c r="G100" i="6"/>
  <c r="H109" i="6"/>
  <c r="H121" i="6"/>
  <c r="G121" i="6"/>
  <c r="G14" i="7"/>
  <c r="H14" i="7" s="1"/>
  <c r="G30" i="7"/>
  <c r="H30" i="7" s="1"/>
  <c r="H46" i="7"/>
  <c r="G46" i="7"/>
  <c r="H62" i="7"/>
  <c r="G62" i="7"/>
  <c r="G77" i="7"/>
  <c r="H77" i="7" s="1"/>
  <c r="G93" i="7"/>
  <c r="H93" i="7" s="1"/>
  <c r="G108" i="7"/>
  <c r="H108" i="7" s="1"/>
  <c r="H123" i="7"/>
  <c r="G123" i="7"/>
  <c r="H98" i="6"/>
  <c r="G90" i="7"/>
  <c r="H90" i="7" s="1"/>
  <c r="H60" i="7"/>
  <c r="G60" i="7"/>
  <c r="G114" i="5"/>
  <c r="H114" i="5" s="1"/>
  <c r="H132" i="6"/>
  <c r="G132" i="6"/>
  <c r="G33" i="5"/>
  <c r="H33" i="5" s="1"/>
  <c r="H115" i="5"/>
  <c r="G17" i="6"/>
  <c r="H17" i="6" s="1"/>
  <c r="H31" i="6"/>
  <c r="G31" i="6"/>
  <c r="G43" i="6"/>
  <c r="H43" i="6" s="1"/>
  <c r="H90" i="6"/>
  <c r="H15" i="7"/>
  <c r="G15" i="7"/>
  <c r="G31" i="7"/>
  <c r="H31" i="7" s="1"/>
  <c r="H47" i="7"/>
  <c r="G47" i="7"/>
  <c r="G63" i="7"/>
  <c r="H63" i="7" s="1"/>
  <c r="H78" i="7"/>
  <c r="G78" i="7"/>
  <c r="G94" i="7"/>
  <c r="H94" i="7" s="1"/>
  <c r="G109" i="7"/>
  <c r="H109" i="7" s="1"/>
  <c r="G124" i="7"/>
  <c r="H124" i="7" s="1"/>
  <c r="H9" i="5"/>
  <c r="G9" i="5"/>
  <c r="G130" i="6"/>
  <c r="H89" i="7"/>
  <c r="G89" i="7"/>
  <c r="G50" i="5"/>
  <c r="H50" i="5" s="1"/>
  <c r="H68" i="5"/>
  <c r="G121" i="7"/>
  <c r="H121" i="7" s="1"/>
  <c r="H31" i="5"/>
  <c r="G31" i="5"/>
  <c r="G70" i="5"/>
  <c r="H70" i="5" s="1"/>
  <c r="H91" i="5"/>
  <c r="H15" i="6"/>
  <c r="G15" i="6"/>
  <c r="G65" i="6"/>
  <c r="H65" i="6" s="1"/>
  <c r="G77" i="6"/>
  <c r="H77" i="6" s="1"/>
  <c r="H99" i="6"/>
  <c r="H18" i="6"/>
  <c r="G18" i="6"/>
  <c r="G16" i="7"/>
  <c r="H16" i="7" s="1"/>
  <c r="H32" i="7"/>
  <c r="G32" i="7"/>
  <c r="H48" i="7"/>
  <c r="G48" i="7"/>
  <c r="G64" i="7"/>
  <c r="H64" i="7" s="1"/>
  <c r="G79" i="7"/>
  <c r="H79" i="7" s="1"/>
  <c r="H95" i="7"/>
  <c r="G95" i="7"/>
  <c r="O95" i="7" s="1"/>
  <c r="H125" i="7"/>
  <c r="G125" i="7"/>
  <c r="H111" i="5"/>
  <c r="G111" i="5"/>
  <c r="G42" i="7"/>
  <c r="H42" i="7" s="1"/>
  <c r="H74" i="7"/>
  <c r="G74" i="7"/>
  <c r="G113" i="5"/>
  <c r="H113" i="5" s="1"/>
  <c r="G75" i="7"/>
  <c r="H75" i="7" s="1"/>
  <c r="H60" i="5"/>
  <c r="G60" i="5"/>
  <c r="H107" i="7"/>
  <c r="G107" i="7"/>
  <c r="H19" i="6"/>
  <c r="G19" i="6"/>
  <c r="H32" i="6"/>
  <c r="H44" i="6"/>
  <c r="G57" i="6"/>
  <c r="H57" i="6" s="1"/>
  <c r="H68" i="6"/>
  <c r="G68" i="6"/>
  <c r="G80" i="6"/>
  <c r="H80" i="6" s="1"/>
  <c r="H91" i="6"/>
  <c r="H111" i="6"/>
  <c r="G111" i="6"/>
  <c r="G123" i="6"/>
  <c r="H123" i="6" s="1"/>
  <c r="G17" i="7"/>
  <c r="H17" i="7" s="1"/>
  <c r="G33" i="7"/>
  <c r="H33" i="7" s="1"/>
  <c r="H49" i="7"/>
  <c r="G49" i="7"/>
  <c r="G65" i="7"/>
  <c r="H65" i="7" s="1"/>
  <c r="G80" i="7"/>
  <c r="H80" i="7" s="1"/>
  <c r="G96" i="7"/>
  <c r="H96" i="7" s="1"/>
  <c r="H111" i="7"/>
  <c r="G111" i="7"/>
  <c r="G126" i="7"/>
  <c r="H126" i="7" s="1"/>
  <c r="G26" i="7"/>
  <c r="H26" i="7" s="1"/>
  <c r="H40" i="6"/>
  <c r="H63" i="6"/>
  <c r="H119" i="6"/>
  <c r="G11" i="7"/>
  <c r="H11" i="7" s="1"/>
  <c r="H27" i="7"/>
  <c r="G27" i="7"/>
  <c r="G43" i="7"/>
  <c r="H43" i="7" s="1"/>
  <c r="H105" i="7"/>
  <c r="H30" i="5"/>
  <c r="H69" i="5"/>
  <c r="G69" i="5"/>
  <c r="H106" i="7"/>
  <c r="G106" i="7"/>
  <c r="H76" i="7"/>
  <c r="G76" i="7"/>
  <c r="H61" i="5"/>
  <c r="G61" i="5"/>
  <c r="G94" i="5"/>
  <c r="H94" i="5" s="1"/>
  <c r="H45" i="5"/>
  <c r="H54" i="5"/>
  <c r="G54" i="5"/>
  <c r="H73" i="5"/>
  <c r="G73" i="5"/>
  <c r="H95" i="5"/>
  <c r="G95" i="5"/>
  <c r="G106" i="5"/>
  <c r="H106" i="5" s="1"/>
  <c r="G126" i="5"/>
  <c r="H126" i="5" s="1"/>
  <c r="H6" i="6"/>
  <c r="H20" i="6"/>
  <c r="G20" i="6"/>
  <c r="G33" i="6"/>
  <c r="H33" i="6" s="1"/>
  <c r="G45" i="6"/>
  <c r="H45" i="6" s="1"/>
  <c r="G69" i="6"/>
  <c r="H69" i="6" s="1"/>
  <c r="G81" i="6"/>
  <c r="H81" i="6" s="1"/>
  <c r="H92" i="6"/>
  <c r="G92" i="6"/>
  <c r="H102" i="6"/>
  <c r="G112" i="6"/>
  <c r="H112" i="6" s="1"/>
  <c r="G18" i="7"/>
  <c r="H18" i="7" s="1"/>
  <c r="H34" i="7"/>
  <c r="G34" i="7"/>
  <c r="G50" i="7"/>
  <c r="H50" i="7" s="1"/>
  <c r="G66" i="7"/>
  <c r="H66" i="7" s="1"/>
  <c r="G81" i="7"/>
  <c r="H81" i="7" s="1"/>
  <c r="H97" i="7"/>
  <c r="G97" i="7"/>
  <c r="G112" i="7"/>
  <c r="H112" i="7" s="1"/>
  <c r="G127" i="7"/>
  <c r="H127" i="7" s="1"/>
  <c r="G78" i="5"/>
  <c r="H78" i="5" s="1"/>
  <c r="H41" i="6"/>
  <c r="G41" i="6"/>
  <c r="G80" i="5"/>
  <c r="H80" i="5" s="1"/>
  <c r="G43" i="5"/>
  <c r="H43" i="5" s="1"/>
  <c r="G23" i="5"/>
  <c r="H23" i="5" s="1"/>
  <c r="H93" i="5"/>
  <c r="G93" i="5"/>
  <c r="G4" i="5"/>
  <c r="H4" i="5" s="1"/>
  <c r="G7" i="6"/>
  <c r="H7" i="6" s="1"/>
  <c r="G21" i="6"/>
  <c r="H21" i="6" s="1"/>
  <c r="H34" i="6"/>
  <c r="G34" i="6"/>
  <c r="G46" i="6"/>
  <c r="H46" i="6" s="1"/>
  <c r="G70" i="6"/>
  <c r="H70" i="6" s="1"/>
  <c r="G93" i="6"/>
  <c r="H93" i="6" s="1"/>
  <c r="H113" i="6"/>
  <c r="G113" i="6"/>
  <c r="G19" i="7"/>
  <c r="H19" i="7" s="1"/>
  <c r="G35" i="7"/>
  <c r="H35" i="7" s="1"/>
  <c r="G51" i="7"/>
  <c r="H51" i="7" s="1"/>
  <c r="H67" i="7"/>
  <c r="G67" i="7"/>
  <c r="G98" i="7"/>
  <c r="H98" i="7" s="1"/>
  <c r="G113" i="7"/>
  <c r="H113" i="7" s="1"/>
  <c r="G128" i="7"/>
  <c r="H128" i="7" s="1"/>
  <c r="H121" i="5"/>
  <c r="G121" i="5"/>
  <c r="G59" i="7"/>
  <c r="H59" i="7" s="1"/>
  <c r="G122" i="7"/>
  <c r="H122" i="7" s="1"/>
  <c r="F133" i="5"/>
  <c r="G3" i="5"/>
  <c r="H105" i="5"/>
  <c r="G105" i="5"/>
  <c r="G128" i="5"/>
  <c r="H128" i="5" s="1"/>
  <c r="G8" i="6"/>
  <c r="H8" i="6" s="1"/>
  <c r="G22" i="6"/>
  <c r="H22" i="6" s="1"/>
  <c r="H35" i="6"/>
  <c r="G35" i="6"/>
  <c r="G47" i="6"/>
  <c r="H47" i="6" s="1"/>
  <c r="G83" i="6"/>
  <c r="H83" i="6" s="1"/>
  <c r="H103" i="6"/>
  <c r="H114" i="6"/>
  <c r="G114" i="6"/>
  <c r="G4" i="7"/>
  <c r="H4" i="7" s="1"/>
  <c r="G20" i="7"/>
  <c r="H20" i="7" s="1"/>
  <c r="G36" i="7"/>
  <c r="H36" i="7" s="1"/>
  <c r="G52" i="7"/>
  <c r="H52" i="7" s="1"/>
  <c r="H68" i="7"/>
  <c r="G68" i="7"/>
  <c r="H83" i="7"/>
  <c r="G83" i="7"/>
  <c r="H99" i="7"/>
  <c r="G99" i="7"/>
  <c r="G114" i="7"/>
  <c r="H114" i="7" s="1"/>
  <c r="G129" i="7"/>
  <c r="H129" i="7" s="1"/>
  <c r="G131" i="6"/>
  <c r="H131" i="6" s="1"/>
  <c r="G45" i="7"/>
  <c r="H45" i="7" s="1"/>
  <c r="G62" i="5"/>
  <c r="H62" i="5" s="1"/>
  <c r="H24" i="5"/>
  <c r="H35" i="5"/>
  <c r="H96" i="5"/>
  <c r="G96" i="5"/>
  <c r="H26" i="5"/>
  <c r="H36" i="5"/>
  <c r="H46" i="5"/>
  <c r="H56" i="5"/>
  <c r="H75" i="5"/>
  <c r="G75" i="5"/>
  <c r="H97" i="5"/>
  <c r="H108" i="5"/>
  <c r="H118" i="5"/>
  <c r="G129" i="5"/>
  <c r="H129" i="5" s="1"/>
  <c r="H23" i="6"/>
  <c r="G23" i="6"/>
  <c r="G36" i="6"/>
  <c r="H36" i="6" s="1"/>
  <c r="G48" i="6"/>
  <c r="H48" i="6" s="1"/>
  <c r="H59" i="6"/>
  <c r="G84" i="6"/>
  <c r="H84" i="6" s="1"/>
  <c r="H94" i="6"/>
  <c r="H125" i="6"/>
  <c r="G5" i="7"/>
  <c r="G134" i="7" s="1"/>
  <c r="G136" i="7" s="1"/>
  <c r="G37" i="7"/>
  <c r="H37" i="7" s="1"/>
  <c r="G53" i="7"/>
  <c r="H53" i="7" s="1"/>
  <c r="H69" i="7"/>
  <c r="G69" i="7"/>
  <c r="H84" i="7"/>
  <c r="G84" i="7"/>
  <c r="H100" i="7"/>
  <c r="G100" i="7"/>
  <c r="G115" i="7"/>
  <c r="H115" i="7" s="1"/>
  <c r="H130" i="7"/>
  <c r="G130" i="7"/>
  <c r="G61" i="7"/>
  <c r="H61" i="7" s="1"/>
  <c r="G13" i="5"/>
  <c r="H13" i="5" s="1"/>
  <c r="G84" i="5"/>
  <c r="H84" i="5" s="1"/>
  <c r="H86" i="5"/>
  <c r="G86" i="5"/>
  <c r="H24" i="6"/>
  <c r="G24" i="6"/>
  <c r="H37" i="6"/>
  <c r="G37" i="6"/>
  <c r="G49" i="6"/>
  <c r="H49" i="6" s="1"/>
  <c r="H60" i="6"/>
  <c r="G60" i="6"/>
  <c r="G85" i="6"/>
  <c r="H85" i="6" s="1"/>
  <c r="G126" i="6"/>
  <c r="H126" i="6" s="1"/>
  <c r="G6" i="7"/>
  <c r="H6" i="7" s="1"/>
  <c r="H22" i="7"/>
  <c r="G22" i="7"/>
  <c r="H38" i="7"/>
  <c r="G38" i="7"/>
  <c r="H54" i="7"/>
  <c r="G54" i="7"/>
  <c r="G70" i="7"/>
  <c r="H70" i="7" s="1"/>
  <c r="H85" i="7"/>
  <c r="G85" i="7"/>
  <c r="G101" i="7"/>
  <c r="H101" i="7" s="1"/>
  <c r="G116" i="7"/>
  <c r="H116" i="7" s="1"/>
  <c r="G73" i="7"/>
  <c r="H73" i="7" s="1"/>
  <c r="H13" i="6"/>
  <c r="G13" i="6"/>
  <c r="H92" i="7"/>
  <c r="G92" i="7"/>
  <c r="H92" i="5"/>
  <c r="H74" i="5"/>
  <c r="H27" i="5"/>
  <c r="H37" i="5"/>
  <c r="H57" i="5"/>
  <c r="H76" i="5"/>
  <c r="G87" i="5"/>
  <c r="H87" i="5" s="1"/>
  <c r="H98" i="5"/>
  <c r="H109" i="5"/>
  <c r="H119" i="5"/>
  <c r="H50" i="6"/>
  <c r="G50" i="6"/>
  <c r="G61" i="6"/>
  <c r="H61" i="6" s="1"/>
  <c r="H95" i="6"/>
  <c r="H127" i="6"/>
  <c r="G127" i="6"/>
  <c r="G7" i="7"/>
  <c r="H7" i="7" s="1"/>
  <c r="G23" i="7"/>
  <c r="H23" i="7" s="1"/>
  <c r="G55" i="7"/>
  <c r="H55" i="7" s="1"/>
  <c r="G86" i="7"/>
  <c r="H86" i="7" s="1"/>
  <c r="G102" i="7"/>
  <c r="H102" i="7" s="1"/>
  <c r="H132" i="7"/>
  <c r="G132" i="7"/>
  <c r="H58" i="7"/>
  <c r="G58" i="7"/>
  <c r="H112" i="5"/>
  <c r="G112" i="5"/>
  <c r="H27" i="6"/>
  <c r="G53" i="6"/>
  <c r="H53" i="6" s="1"/>
  <c r="G75" i="6"/>
  <c r="H75" i="6" s="1"/>
  <c r="H63" i="5"/>
  <c r="H8" i="5"/>
  <c r="G96" i="6"/>
  <c r="H96" i="6" s="1"/>
  <c r="H117" i="6"/>
  <c r="G117" i="6"/>
  <c r="G128" i="6"/>
  <c r="H128" i="6" s="1"/>
  <c r="G8" i="7"/>
  <c r="H8" i="7" s="1"/>
  <c r="G24" i="7"/>
  <c r="H24" i="7" s="1"/>
  <c r="G40" i="7"/>
  <c r="H40" i="7" s="1"/>
  <c r="G56" i="7"/>
  <c r="H56" i="7" s="1"/>
  <c r="H71" i="7"/>
  <c r="G87" i="7"/>
  <c r="H87" i="7" s="1"/>
  <c r="G103" i="7"/>
  <c r="H103" i="7" s="1"/>
  <c r="H133" i="7"/>
  <c r="G133" i="7"/>
  <c r="H29" i="5"/>
  <c r="G29" i="5"/>
  <c r="H107" i="6"/>
  <c r="G107" i="6"/>
  <c r="G119" i="7"/>
  <c r="H119" i="7" s="1"/>
  <c r="G44" i="7"/>
  <c r="H44" i="7" s="1"/>
  <c r="G29" i="6"/>
  <c r="H29" i="6" s="1"/>
  <c r="H29" i="7"/>
  <c r="G29" i="7"/>
  <c r="H53" i="5"/>
  <c r="H48" i="5"/>
  <c r="G48" i="5"/>
  <c r="G88" i="5"/>
  <c r="H88" i="5" s="1"/>
  <c r="G8" i="5"/>
  <c r="H19" i="5"/>
  <c r="G19" i="5"/>
  <c r="G28" i="5"/>
  <c r="H28" i="5" s="1"/>
  <c r="H39" i="5"/>
  <c r="H77" i="5"/>
  <c r="H89" i="5"/>
  <c r="H99" i="5"/>
  <c r="H120" i="5"/>
  <c r="H132" i="5"/>
  <c r="G11" i="6"/>
  <c r="H11" i="6" s="1"/>
  <c r="H26" i="6"/>
  <c r="G26" i="6"/>
  <c r="H39" i="6"/>
  <c r="G39" i="6"/>
  <c r="H51" i="6"/>
  <c r="H62" i="6"/>
  <c r="G87" i="6"/>
  <c r="H87" i="6" s="1"/>
  <c r="G97" i="6"/>
  <c r="H97" i="6" s="1"/>
  <c r="G106" i="6"/>
  <c r="H106" i="6" s="1"/>
  <c r="G118" i="6"/>
  <c r="H118" i="6" s="1"/>
  <c r="G129" i="6"/>
  <c r="H129" i="6" s="1"/>
  <c r="H9" i="7"/>
  <c r="G9" i="7"/>
  <c r="H25" i="7"/>
  <c r="G25" i="7"/>
  <c r="H41" i="7"/>
  <c r="G41" i="7"/>
  <c r="G57" i="7"/>
  <c r="H57" i="7" s="1"/>
  <c r="G72" i="7"/>
  <c r="H72" i="7" s="1"/>
  <c r="G88" i="7"/>
  <c r="H88" i="7" s="1"/>
  <c r="G104" i="7"/>
  <c r="H104" i="7" s="1"/>
  <c r="H131" i="7"/>
  <c r="H82" i="7"/>
  <c r="H21" i="7"/>
  <c r="H13" i="7"/>
  <c r="F134" i="7"/>
  <c r="H39" i="7"/>
  <c r="H117" i="7"/>
  <c r="H3" i="7"/>
  <c r="H12" i="6"/>
  <c r="H71" i="6"/>
  <c r="H52" i="6"/>
  <c r="H116" i="6"/>
  <c r="H82" i="6"/>
  <c r="H124" i="5"/>
  <c r="H38" i="5"/>
  <c r="H127" i="5"/>
  <c r="H32" i="5"/>
  <c r="G124" i="5"/>
  <c r="G38" i="5"/>
  <c r="G32" i="5"/>
  <c r="G131" i="5"/>
  <c r="H131" i="5" s="1"/>
  <c r="H3" i="5"/>
  <c r="G10" i="5"/>
  <c r="H10" i="5" s="1"/>
  <c r="G127" i="5"/>
  <c r="G41" i="5"/>
  <c r="H41" i="5" s="1"/>
  <c r="G101" i="5"/>
  <c r="H101" i="5" s="1"/>
  <c r="G11" i="5"/>
  <c r="H5" i="7" l="1"/>
  <c r="G133" i="6"/>
  <c r="G133" i="5"/>
  <c r="H133" i="6"/>
  <c r="G134" i="5"/>
  <c r="G135" i="6"/>
  <c r="H11" i="5"/>
  <c r="H130" i="6"/>
  <c r="H136" i="7"/>
  <c r="H134" i="7"/>
  <c r="H133" i="5"/>
  <c r="H135" i="6" l="1"/>
  <c r="I135" i="6" s="1"/>
  <c r="H135" i="5"/>
  <c r="H136" i="5" s="1"/>
</calcChain>
</file>

<file path=xl/sharedStrings.xml><?xml version="1.0" encoding="utf-8"?>
<sst xmlns="http://schemas.openxmlformats.org/spreadsheetml/2006/main" count="6352" uniqueCount="628">
  <si>
    <t xml:space="preserve"> Milk Chilling Centre(Zeek) - Monthly Cow Milk Procurement Report  </t>
  </si>
  <si>
    <t>Sl</t>
  </si>
  <si>
    <t>Farmer Code</t>
  </si>
  <si>
    <t xml:space="preserve">Farmers Name </t>
  </si>
  <si>
    <t>Total Qty in Liters</t>
  </si>
  <si>
    <t>Rate</t>
  </si>
  <si>
    <t>Amount</t>
  </si>
  <si>
    <t>ID NO:</t>
  </si>
  <si>
    <t>Bank account</t>
  </si>
  <si>
    <t>Bank Name</t>
  </si>
  <si>
    <t>Mohammed Aslam Matooq Ghafram Al Shahri</t>
  </si>
  <si>
    <t>Bank Muscat</t>
  </si>
  <si>
    <t>Salim Said Ali Kashoob</t>
  </si>
  <si>
    <t>Mohammed Suhail Mohad Jaboob</t>
  </si>
  <si>
    <t>Bank Dhofar</t>
  </si>
  <si>
    <t>bank sohar</t>
  </si>
  <si>
    <t>Bank muscat</t>
  </si>
  <si>
    <t>Salim Mahad Salim Al Barami Al Barami</t>
  </si>
  <si>
    <t xml:space="preserve">Bank Muscat </t>
  </si>
  <si>
    <t>Ahmed Saad Aslam Safrar</t>
  </si>
  <si>
    <t>Bakhit Mahad Salman Tabook</t>
  </si>
  <si>
    <t>Said Mohammed Ahmed Issa bait Jaboob</t>
  </si>
  <si>
    <t>Said Ahmed Mubarak Ghafram Alshahri</t>
  </si>
  <si>
    <t>Said Amer Salim Qahoor Al Mahri</t>
  </si>
  <si>
    <t>Mohad Musalim Mohad Jaboob</t>
  </si>
  <si>
    <t>Said Mohammed Muslim Jaboob</t>
  </si>
  <si>
    <t>Salim Amer Bakhit Kashob</t>
  </si>
  <si>
    <t xml:space="preserve">Bakhit Musallam Said Kashob </t>
  </si>
  <si>
    <t xml:space="preserve">Bakhit Ali Said Kashoub </t>
  </si>
  <si>
    <t>Musallam Bakhit Mubarak Bakhit Al Baraami</t>
  </si>
  <si>
    <t>Masoud Said Ali Kashoob</t>
  </si>
  <si>
    <t>Musallam Said Salim Kashob</t>
  </si>
  <si>
    <t xml:space="preserve"> Mustahil Bakhit Mustahil  Ghafram Al Shihri</t>
  </si>
  <si>
    <t>Said Salim Ali Kashoob</t>
  </si>
  <si>
    <t>Khalid Musallm Said Tabook</t>
  </si>
  <si>
    <t>Said Mohad Ahmed Jaboob</t>
  </si>
  <si>
    <t>Said Ahmed Mustahil Safrar</t>
  </si>
  <si>
    <t>Suhail Salim Ali Al Mashani</t>
  </si>
  <si>
    <t>Said Suhail Musallim Al Maashani</t>
  </si>
  <si>
    <t>Said Mohammed Ali Al Mashani</t>
  </si>
  <si>
    <t>Tarik Said Mubarak Issa Jaboob</t>
  </si>
  <si>
    <t>Mohammed Salim Said Al Mashani</t>
  </si>
  <si>
    <t>Salim Bakhit Mohammed  Kashoob</t>
  </si>
  <si>
    <t xml:space="preserve">Mohammed Ali Awadh Ghafram Al Shihri </t>
  </si>
  <si>
    <t>Suhail Mahad Issa Jaboob</t>
  </si>
  <si>
    <t>Ahmed Mohammed Said Ghafram Al Shahri</t>
  </si>
  <si>
    <t>0397004395630012</t>
  </si>
  <si>
    <t>BMUSOMRX</t>
  </si>
  <si>
    <t>Said Mohammed Salim Al Huraizi Al Mahri</t>
  </si>
  <si>
    <t>1023379114017</t>
  </si>
  <si>
    <t>NBO</t>
  </si>
  <si>
    <t>NBOMOMRX</t>
  </si>
  <si>
    <t>Mubarak Ahmed Mubarak Omer Al Shahri</t>
  </si>
  <si>
    <t>0401013942420037</t>
  </si>
  <si>
    <t>01010421626001</t>
  </si>
  <si>
    <t>BDOFOMRU</t>
  </si>
  <si>
    <t>Ahmed Said Mohammed Safrar</t>
  </si>
  <si>
    <t xml:space="preserve"> 01010128386002</t>
  </si>
  <si>
    <t>Ali Ahmed Masoud Jaboob</t>
  </si>
  <si>
    <t>01011438525001</t>
  </si>
  <si>
    <t>01011183946001</t>
  </si>
  <si>
    <t>Bakhit Musallam Masoud Qahur Al Mahri</t>
  </si>
  <si>
    <t>1006442475017</t>
  </si>
  <si>
    <t>Bakhit Musallam Ali Kashob</t>
  </si>
  <si>
    <t>132857700081018</t>
  </si>
  <si>
    <t>Bakhit Said Mubarak Al Shahri</t>
  </si>
  <si>
    <t>010010199551</t>
  </si>
  <si>
    <t>BSHROMRU</t>
  </si>
  <si>
    <t>Bakhit Salim Habkook Kashob</t>
  </si>
  <si>
    <t>0397003859130011</t>
  </si>
  <si>
    <t>BT 6-1-2025</t>
  </si>
  <si>
    <t>Hafidh Ahmed said Ghafram Al shahri</t>
  </si>
  <si>
    <t>0397004186320014</t>
  </si>
  <si>
    <t xml:space="preserve">Hassan Aboud said Qahur </t>
  </si>
  <si>
    <t>0397003881940019</t>
  </si>
  <si>
    <t>Hassan Musallam Masood Kashoob</t>
  </si>
  <si>
    <t>0402026638650016</t>
  </si>
  <si>
    <t>Hassan Salim Said Jaaboub</t>
  </si>
  <si>
    <t>0401003736380031</t>
  </si>
  <si>
    <t>Khiar ahmed masoud jaboob</t>
  </si>
  <si>
    <t>3109648404509</t>
  </si>
  <si>
    <t>Oman Arab Bank</t>
  </si>
  <si>
    <t>OMABOMRU</t>
  </si>
  <si>
    <t>Masood Said Mohamed Kashob</t>
  </si>
  <si>
    <t>0401060408450018</t>
  </si>
  <si>
    <t>Masood ahmed Masood Kashob</t>
  </si>
  <si>
    <t>10060351212017</t>
  </si>
  <si>
    <t>0322013858240018</t>
  </si>
  <si>
    <t>Mawidh Masoud Salim Thoar</t>
  </si>
  <si>
    <t>0401002476690019</t>
  </si>
  <si>
    <t xml:space="preserve">Mohammed salim said Qahur </t>
  </si>
  <si>
    <t>1060657306002</t>
  </si>
  <si>
    <t>0401010227210026</t>
  </si>
  <si>
    <t>Ahmed Mubarak ahmed Ghafram al shahri</t>
  </si>
  <si>
    <t>0397003805500026</t>
  </si>
  <si>
    <t xml:space="preserve">Ghali Musallam masoud kashob </t>
  </si>
  <si>
    <t>0401060574740016</t>
  </si>
  <si>
    <t>3109609896700</t>
  </si>
  <si>
    <t xml:space="preserve">Musallam said salim Qahur </t>
  </si>
  <si>
    <t>0401002411510021</t>
  </si>
  <si>
    <t>Musallam Ahmed Bakhit Qahur</t>
  </si>
  <si>
    <t>0397003540160015</t>
  </si>
  <si>
    <t>01041038467001</t>
  </si>
  <si>
    <t>Said Abood Said Qahur</t>
  </si>
  <si>
    <t>01010421368001</t>
  </si>
  <si>
    <t>0401024313700029</t>
  </si>
  <si>
    <t>0397003862390016</t>
  </si>
  <si>
    <t>Said Ali Said Kashoob</t>
  </si>
  <si>
    <t>10600187512017</t>
  </si>
  <si>
    <t>0398004392730017</t>
  </si>
  <si>
    <t>Said Hassan Said Tabook</t>
  </si>
  <si>
    <t>0462021032830016</t>
  </si>
  <si>
    <t>Said Masoud Salim Kashoob</t>
  </si>
  <si>
    <t>01010423509001</t>
  </si>
  <si>
    <t>Said Mubarak Awadh Al shihri</t>
  </si>
  <si>
    <t>0401003405230021</t>
  </si>
  <si>
    <t>3109082282500</t>
  </si>
  <si>
    <t>Said Salim Bakhit Khamis Al Amari</t>
  </si>
  <si>
    <t>0401060792720019</t>
  </si>
  <si>
    <t>Salim Bakhit Said Kashob</t>
  </si>
  <si>
    <t>0397004240220012</t>
  </si>
  <si>
    <t>01011020673001</t>
  </si>
  <si>
    <t>Suhail Musallem Ali Kashoob</t>
  </si>
  <si>
    <t>01040126150001</t>
  </si>
  <si>
    <t>Ahmed Mohammed Suhail Amosh Al Mari</t>
  </si>
  <si>
    <t>0397024619210023</t>
  </si>
  <si>
    <t>Tariq Suhail Ali Kashoob</t>
  </si>
  <si>
    <t>01010426113002</t>
  </si>
  <si>
    <t>Issa Mahad Ahmed Jaabub</t>
  </si>
  <si>
    <t>3109021130500</t>
  </si>
  <si>
    <t>Ahmed Bakhit ali Thoar</t>
  </si>
  <si>
    <t>00510128989001</t>
  </si>
  <si>
    <t>Bank Nizwa</t>
  </si>
  <si>
    <t>BNZWOMRX</t>
  </si>
  <si>
    <t>Aamir Khadim Said Qahur  Thuaar</t>
  </si>
  <si>
    <t>3107319795700</t>
  </si>
  <si>
    <t>0426044116540015</t>
  </si>
  <si>
    <t>0398003546360017</t>
  </si>
  <si>
    <t>01012574701001</t>
  </si>
  <si>
    <t>Ali Said Ali Kashoob</t>
  </si>
  <si>
    <t>1006345800017</t>
  </si>
  <si>
    <t>0397004222980018</t>
  </si>
  <si>
    <t>Mohammed Ahmed Suhail Jaabub</t>
  </si>
  <si>
    <t>0426020381980012</t>
  </si>
  <si>
    <t>Naif Mohammed Said Safrar</t>
  </si>
  <si>
    <t>0397003981280016</t>
  </si>
  <si>
    <t>bank muscat</t>
  </si>
  <si>
    <t>dcf</t>
  </si>
  <si>
    <t>250010021301</t>
  </si>
  <si>
    <t>Waled Ahmed Mohammed AfSahit Al Shahri</t>
  </si>
  <si>
    <t>0401060869990014</t>
  </si>
  <si>
    <t>0401024314530027</t>
  </si>
  <si>
    <t>Abdullah Mustahil Said Al Hilali</t>
  </si>
  <si>
    <t>0500004996101001</t>
  </si>
  <si>
    <t>alizz Islamic Bank</t>
  </si>
  <si>
    <t>IZZBOMRU</t>
  </si>
  <si>
    <t>Muslim Ali ahmed AlMashani</t>
  </si>
  <si>
    <t>0398003694670017</t>
  </si>
  <si>
    <t>0398003007410046</t>
  </si>
  <si>
    <t>Mohammed Ahmed Suhail salim jaboob</t>
  </si>
  <si>
    <t>0401048851910013</t>
  </si>
  <si>
    <t>Said mabrook Mustahil Ghafram Al shahri</t>
  </si>
  <si>
    <t>0401002426620017</t>
  </si>
  <si>
    <t>Ali Musalim Ali Suhail Jaboob</t>
  </si>
  <si>
    <t>01010422293001</t>
  </si>
  <si>
    <t xml:space="preserve">Mohammed Ahmed Said Al Mashani </t>
  </si>
  <si>
    <t>0397014427860018</t>
  </si>
  <si>
    <t>Salim Masoud Ali Said Kashoob</t>
  </si>
  <si>
    <t>0401002371910013</t>
  </si>
  <si>
    <t>Bakheet Mohamed Agham Safrar</t>
  </si>
  <si>
    <t>0397014133970039</t>
  </si>
  <si>
    <t>Masoud Said Ahmed Al Maashani</t>
  </si>
  <si>
    <t>0401065839230017</t>
  </si>
  <si>
    <t>Mohammed Ali Ahmed Al Baraami</t>
  </si>
  <si>
    <t>01010013564001</t>
  </si>
  <si>
    <t>Ahmed Ali Said Kashob</t>
  </si>
  <si>
    <t>0397003887110018</t>
  </si>
  <si>
    <t>Amer Ahmed Mahad Al Mashani</t>
  </si>
  <si>
    <t>0401002600680027</t>
  </si>
  <si>
    <t>0398003697780018</t>
  </si>
  <si>
    <t>Ali Ahmed Ali Al Maashani</t>
  </si>
  <si>
    <t>0398018306200012</t>
  </si>
  <si>
    <t>0401002486980023</t>
  </si>
  <si>
    <t>Ahmed Musallam Suhail Al Maashani</t>
  </si>
  <si>
    <t>0398003688570011</t>
  </si>
  <si>
    <t>Salim Masoud Ajham Tabook</t>
  </si>
  <si>
    <t>0401002571070017</t>
  </si>
  <si>
    <t>0397043986660021</t>
  </si>
  <si>
    <t>Suhail Mahad Issa Al Hadhari</t>
  </si>
  <si>
    <t>01010015658001</t>
  </si>
  <si>
    <t>01040014783001</t>
  </si>
  <si>
    <t>Salim Ahmed Habkook Said Kashob</t>
  </si>
  <si>
    <t>3129622763700</t>
  </si>
  <si>
    <t>Said Musallam Ali Kashoob</t>
  </si>
  <si>
    <t>01010422683001</t>
  </si>
  <si>
    <t>Khalid Musallam Bakhit Salim Kashob</t>
  </si>
  <si>
    <t>0500068789104001</t>
  </si>
  <si>
    <t>Mohammed Mustahil Said Al Shahri</t>
  </si>
  <si>
    <t>0397003775670018</t>
  </si>
  <si>
    <t>Kamil Salim Musalim Maatouq Tabook</t>
  </si>
  <si>
    <t>1006528043017</t>
  </si>
  <si>
    <t>0397004163540017</t>
  </si>
  <si>
    <t>Musallam Mahad Suhail Jaabub</t>
  </si>
  <si>
    <t>0397004239930014</t>
  </si>
  <si>
    <t>Mahad Said Salim kashoob</t>
  </si>
  <si>
    <t>0397003343970013</t>
  </si>
  <si>
    <t>Hassan Said Musallam jaboob</t>
  </si>
  <si>
    <t>3109026034500</t>
  </si>
  <si>
    <t>Salim Ahmed Masoud Jaboob</t>
  </si>
  <si>
    <t>01041322410001</t>
  </si>
  <si>
    <t>Ahmed Amer Bakhit Tabook</t>
  </si>
  <si>
    <t>0401021901870012</t>
  </si>
  <si>
    <t>Said Salim Hassan Tabook</t>
  </si>
  <si>
    <t>0401002550520015</t>
  </si>
  <si>
    <t xml:space="preserve">Amer Said Salim Suhail Jaaboob </t>
  </si>
  <si>
    <t>01018817286001</t>
  </si>
  <si>
    <t>0397011257460013</t>
  </si>
  <si>
    <t>0426002682070013</t>
  </si>
  <si>
    <t>Ahmed Said Ali Kashoob</t>
  </si>
  <si>
    <t>3109610884500</t>
  </si>
  <si>
    <t>Amer Ali Said Bait Said</t>
  </si>
  <si>
    <t>01010425224003</t>
  </si>
  <si>
    <t>Hassan Masoud Saeed Tabook</t>
  </si>
  <si>
    <t>0397025220600029</t>
  </si>
  <si>
    <t xml:space="preserve">Hassan Bakhit Hassan Tabuk </t>
  </si>
  <si>
    <t>01040121248001</t>
  </si>
  <si>
    <t xml:space="preserve">Ali Hassan Bakhit Tabook </t>
  </si>
  <si>
    <t>10600203240017</t>
  </si>
  <si>
    <t>Amer Said Hassan Tabook</t>
  </si>
  <si>
    <t>1060629340001</t>
  </si>
  <si>
    <t>Ahmed Salim Amer Jaboob</t>
  </si>
  <si>
    <t>0397003991420018</t>
  </si>
  <si>
    <t>Mohammed Bakhit Omar Safrar</t>
  </si>
  <si>
    <t>0501009779001</t>
  </si>
  <si>
    <t>Ahli Bank</t>
  </si>
  <si>
    <t>AUBOOMRUALH</t>
  </si>
  <si>
    <t>Ahmed Mubarak Salim Kashob</t>
  </si>
  <si>
    <t>1006508092001</t>
  </si>
  <si>
    <t>Mohammed Masood Mohammed Kashob Kashob</t>
  </si>
  <si>
    <t>0406003154150013</t>
  </si>
  <si>
    <t>Mohammed Said Omar Ghafram Al Shahri</t>
  </si>
  <si>
    <t>01010280395001</t>
  </si>
  <si>
    <t>Amer Bakhit Ali Tabuk</t>
  </si>
  <si>
    <t>0401008527650031</t>
  </si>
  <si>
    <t>Mohammed Ahmed Mohammed Jaboob</t>
  </si>
  <si>
    <t>0397003983340024</t>
  </si>
  <si>
    <t>0401016419100017</t>
  </si>
  <si>
    <t>Musallam Ali Mubarak Kashoob</t>
  </si>
  <si>
    <t>70402002086601</t>
  </si>
  <si>
    <t>Sohar Islamic</t>
  </si>
  <si>
    <t>BSHROMRUISL</t>
  </si>
  <si>
    <t xml:space="preserve">Musallam Ali Salman Tabook  </t>
  </si>
  <si>
    <t>132171400081014</t>
  </si>
  <si>
    <t xml:space="preserve">Hamid Mohammed Said Jaboob  </t>
  </si>
  <si>
    <t>0401014811680021</t>
  </si>
  <si>
    <t xml:space="preserve">Hamid Ahmed Mansoor Jaboob  </t>
  </si>
  <si>
    <t>0401024313890022</t>
  </si>
  <si>
    <t xml:space="preserve">Salim Bakhit Salim Kashoob  </t>
  </si>
  <si>
    <t>0304008083600017</t>
  </si>
  <si>
    <t xml:space="preserve">Mohammed Ahmed Musallam Jaboob  </t>
  </si>
  <si>
    <t>0397003230120013</t>
  </si>
  <si>
    <t>Said Mansoor Masoud Jaboob</t>
  </si>
  <si>
    <t>00510074897001</t>
  </si>
  <si>
    <t>Mohammed Ahmed Said Kashob</t>
  </si>
  <si>
    <t>0317008972300019</t>
  </si>
  <si>
    <t>0397043374350015</t>
  </si>
  <si>
    <t>Suhail Mohammed Suhail Jaabub</t>
  </si>
  <si>
    <t>0401002357140019</t>
  </si>
  <si>
    <t xml:space="preserve">Ghanim Salim Mubarak Kashoob </t>
  </si>
  <si>
    <t>0401017330260028</t>
  </si>
  <si>
    <t>Said Suhail Ahmed Jaboob</t>
  </si>
  <si>
    <t>0401051590430017</t>
  </si>
  <si>
    <t>0401018459250017</t>
  </si>
  <si>
    <t>Omar Bakhit Omar Nasib Afshit Alshahri</t>
  </si>
  <si>
    <t>01012577655001</t>
  </si>
  <si>
    <t>Musallam Ahmed Said Jaboob</t>
  </si>
  <si>
    <t>0397003238750016</t>
  </si>
  <si>
    <t>Musallam Said Musallam Jaboob</t>
  </si>
  <si>
    <t>1006122583001</t>
  </si>
  <si>
    <t>Masoud Ahmed Musallam Kushoob</t>
  </si>
  <si>
    <t>1006527968017</t>
  </si>
  <si>
    <t>3106187945700</t>
  </si>
  <si>
    <t>0401015845960011</t>
  </si>
  <si>
    <t xml:space="preserve">Issa Mohammed Hasaan Jaaboub </t>
  </si>
  <si>
    <t>0401015119770041</t>
  </si>
  <si>
    <t>Issa Ahmed Issa Jaabub</t>
  </si>
  <si>
    <t>10600137680002</t>
  </si>
  <si>
    <t xml:space="preserve">Masoud Salim Masoud Tabook </t>
  </si>
  <si>
    <t>0401025220480017</t>
  </si>
  <si>
    <t xml:space="preserve">Suhail Ahmed Mohammed Al Maashani </t>
  </si>
  <si>
    <t>0401002376950013</t>
  </si>
  <si>
    <t>0401002514350014</t>
  </si>
  <si>
    <t>10-077</t>
  </si>
  <si>
    <t>cancelled the PR</t>
  </si>
  <si>
    <t>Bt-19-10-24</t>
  </si>
  <si>
    <t>BT 10-12-2024</t>
  </si>
  <si>
    <t>BT07-01-25</t>
  </si>
  <si>
    <t xml:space="preserve">   </t>
  </si>
  <si>
    <t>BT 16-1-2025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</si>
  <si>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</si>
  <si>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BT 13-1-2025</t>
  </si>
  <si>
    <t>0401002553380044</t>
  </si>
  <si>
    <t>Total</t>
  </si>
  <si>
    <t xml:space="preserve"> </t>
  </si>
  <si>
    <t>06-01-25Q</t>
  </si>
  <si>
    <t>3.050 deduct from 10-24</t>
  </si>
  <si>
    <t>ove paid</t>
  </si>
  <si>
    <t>BT 25-12-2024</t>
  </si>
  <si>
    <t>BT 4/12/2024</t>
  </si>
  <si>
    <t>2901-25</t>
  </si>
  <si>
    <t>01-01-225</t>
  </si>
  <si>
    <t>34.225 DEDUCT FROM 11-24</t>
  </si>
  <si>
    <t>06-01-025</t>
  </si>
  <si>
    <t xml:space="preserve">over paid </t>
  </si>
  <si>
    <t>BT 29-01-2025</t>
  </si>
  <si>
    <t>feeds as well as bank transfer 10-31-24 (PR-023-023)</t>
  </si>
  <si>
    <t>will deduct up to mach 2025</t>
  </si>
  <si>
    <t>08-01-25( PR-067)</t>
  </si>
  <si>
    <t>Dcf feed</t>
  </si>
  <si>
    <t>PR-332</t>
  </si>
  <si>
    <t>Milk Chilling Centre(Zeek) - Monthly Cow Milk Procurement Report  November 2024</t>
  </si>
  <si>
    <t xml:space="preserve">Paid </t>
  </si>
  <si>
    <t>PH.NO</t>
  </si>
  <si>
    <t xml:space="preserve">Thamir Said Amed Safrar </t>
  </si>
  <si>
    <t>DCF-27-01-25</t>
  </si>
  <si>
    <t>03-02-256</t>
  </si>
  <si>
    <t>6.125 BT-06-02-2025</t>
  </si>
  <si>
    <t>BT-06-02-2025</t>
  </si>
  <si>
    <t xml:space="preserve"> 15-01-2025 dcf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</si>
  <si>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</si>
  <si>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12-2-525</t>
  </si>
  <si>
    <t>13-2-25</t>
  </si>
  <si>
    <t xml:space="preserve"> Milk Chilling Centre(Zeek) - Monthly Cow Milk Procurement Report  December 2024</t>
  </si>
  <si>
    <t>Paid</t>
  </si>
  <si>
    <t>140.86 deduct from jan 25</t>
  </si>
  <si>
    <t>265.775 will deduct from jan 2025</t>
  </si>
  <si>
    <t>dfi , watania</t>
  </si>
  <si>
    <t>.25 will deduct from 01-2025</t>
  </si>
  <si>
    <t>Tamair said Ahmed Safrar</t>
  </si>
  <si>
    <t>17-2-25</t>
  </si>
  <si>
    <t>1.25 will deduct-01-25</t>
  </si>
  <si>
    <t>.175 will deduct from 1-25</t>
  </si>
  <si>
    <t>.275 deduct from 01-25</t>
  </si>
  <si>
    <t>18-2-25</t>
  </si>
  <si>
    <t>2.5 will deduct form 01-25</t>
  </si>
  <si>
    <t>20-2-25</t>
  </si>
  <si>
    <t>Balance</t>
  </si>
  <si>
    <t>23-2-25</t>
  </si>
  <si>
    <t xml:space="preserve">Mohad Musalim Mohad Al Mashani </t>
  </si>
  <si>
    <t xml:space="preserve">Bakhait Saeed Mubrak Kashoob </t>
  </si>
  <si>
    <t>Milk Chilling Centre(Zeek) - Monthly Cow Milk Procurement Report  August 2025</t>
  </si>
  <si>
    <t>24.9.2025</t>
  </si>
  <si>
    <t>14-10-2025</t>
  </si>
  <si>
    <t>15-10-2025</t>
  </si>
  <si>
    <t>*00510029805002</t>
  </si>
  <si>
    <t xml:space="preserve">Hassan Ahmed Ali Jaboob </t>
  </si>
  <si>
    <t>*0397003672690013</t>
  </si>
  <si>
    <t>Ali Amer Said Kashoob</t>
  </si>
  <si>
    <t>*0401017310700021</t>
  </si>
  <si>
    <t>Bakhit Ali Said Jaboob</t>
  </si>
  <si>
    <t>*0397003965900012</t>
  </si>
  <si>
    <t>Ali Said Musallam Jaboob</t>
  </si>
  <si>
    <t>*0401058582140015</t>
  </si>
  <si>
    <t>Mohammed Ahmed Musallam Kashoub</t>
  </si>
  <si>
    <t>Mahad Suhail Musallam Jaboob</t>
  </si>
  <si>
    <t>*0404102619344001</t>
  </si>
  <si>
    <t>Ghanim Said Masoud Said Kashoob</t>
  </si>
  <si>
    <t>*0398044482780018</t>
  </si>
  <si>
    <t>Salim Mohammed Salim Said AL-Mashani</t>
  </si>
  <si>
    <t>Khalid Mohammed Aslam Ghafram AL-Shahri</t>
  </si>
  <si>
    <t>*0397003916340017</t>
  </si>
  <si>
    <t>Bakhit Ali Nasib Firsas AL-Shahri</t>
  </si>
  <si>
    <t>*0401060792710013</t>
  </si>
  <si>
    <t>Aamir Mohammed Salim Jaboob</t>
  </si>
  <si>
    <t>*0439078406000015</t>
  </si>
  <si>
    <t>Ahmed Mohammed Masoud Tabook</t>
  </si>
  <si>
    <t>*01011269773001</t>
  </si>
  <si>
    <t>Amer Hassan Aubad Kashoob</t>
  </si>
  <si>
    <t>*01013805054001</t>
  </si>
  <si>
    <t>mohammed said mohammed jaboob</t>
  </si>
  <si>
    <t>*0439013335240031</t>
  </si>
  <si>
    <t>Said Musallam Suhail Tabuk</t>
  </si>
  <si>
    <t>Suhail Mahad Suhail Jaboob</t>
  </si>
  <si>
    <t>Said Ahmed Said AL-Shahri</t>
  </si>
  <si>
    <t>*0406002500840033</t>
  </si>
  <si>
    <t>Mahmood Musallem Suhail Taook</t>
  </si>
  <si>
    <t>*0401002363660016</t>
  </si>
  <si>
    <t>Bakhit Mubark Mohammed Ghafram AL-Shihri</t>
  </si>
  <si>
    <t>*0401002350370019</t>
  </si>
  <si>
    <t>Mohammed Mubark Mohammed Ghafram AL-Shihri</t>
  </si>
  <si>
    <t>*0401010204700026</t>
  </si>
  <si>
    <t>Said Ahmed Mohammed AL-Shahri</t>
  </si>
  <si>
    <t>*0401002594360013</t>
  </si>
  <si>
    <t>Mohammed Bakhit Salim AL-Barami</t>
  </si>
  <si>
    <t>*0426002673370012</t>
  </si>
  <si>
    <t>Abdulsalam Ahmed Hassan Salim Jaboob</t>
  </si>
  <si>
    <t>*0401002573960039</t>
  </si>
  <si>
    <t>Ahmed Ali Suhail Jaboob</t>
  </si>
  <si>
    <t>*0426017302660015</t>
  </si>
  <si>
    <t>Abdulaziz Mohammed Ahmed Jaboob</t>
  </si>
  <si>
    <t>*0401003449840021</t>
  </si>
  <si>
    <t>Ali Mohammed Awadh Ajaham Afsahit AL-Shahri</t>
  </si>
  <si>
    <t>*0406003144050018</t>
  </si>
  <si>
    <t>Mohammed Awadh Ajaham Afsahit AL-Shahri</t>
  </si>
  <si>
    <t>*0426051638600014</t>
  </si>
  <si>
    <t>Mohammed Ahmed Mustahil Afasahit  AL-Shari</t>
  </si>
  <si>
    <t>*0406003409690013</t>
  </si>
  <si>
    <t>Mohammed Mustahil Rajab AL-Shahri</t>
  </si>
  <si>
    <t>*0396025015870028</t>
  </si>
  <si>
    <t>Bakhit Ahmed Mustahil Rajab AL-Shahri</t>
  </si>
  <si>
    <t>*0406051045080026</t>
  </si>
  <si>
    <t>Ahmed Said Musallem Said Tabook</t>
  </si>
  <si>
    <t>*0401002500740014</t>
  </si>
  <si>
    <t>Amer Bakhit Amer Tabuk</t>
  </si>
  <si>
    <t>*0401015576830017</t>
  </si>
  <si>
    <t>Ali Bakhit Salim Tabook</t>
  </si>
  <si>
    <t>*0401003046680024</t>
  </si>
  <si>
    <t>Fatema Bakhit Mustahil Safrar AL-Shahri</t>
  </si>
  <si>
    <t>*0397024909260024</t>
  </si>
  <si>
    <t>Qais Musallem Said Amush AL-Mahri</t>
  </si>
  <si>
    <t>*0426060531880013</t>
  </si>
  <si>
    <t>Salim Ahmed Ali Suhail Jaboob</t>
  </si>
  <si>
    <t>Said Mohammed Jaman AL-Shahri</t>
  </si>
  <si>
    <t>*01015378524001</t>
  </si>
  <si>
    <t>Raid Said Nasib Afsahit AL-Shahri</t>
  </si>
  <si>
    <t>Ahmed Mohammed Asalam Ghafram AL-Shahri</t>
  </si>
  <si>
    <t>*0401002557030013</t>
  </si>
  <si>
    <t>Said Ali Omar Ghafram AL-Shahri</t>
  </si>
  <si>
    <t>*0397004142800019</t>
  </si>
  <si>
    <t>Amer Ahmed Salim AL-Barami</t>
  </si>
  <si>
    <t>*0401019438060028</t>
  </si>
  <si>
    <t xml:space="preserve">Mohammed Said Ali Suhail Jaboob </t>
  </si>
  <si>
    <t>*0406015430260028</t>
  </si>
  <si>
    <t>Mohammed Ahmed Rajab Afsahit</t>
  </si>
  <si>
    <t>*0397044052040017</t>
  </si>
  <si>
    <t xml:space="preserve">Masoud Ahmed Azad Kashoob </t>
  </si>
  <si>
    <t>*00510117042001</t>
  </si>
  <si>
    <t>Mohammed Ahmed Salim Jaboob</t>
  </si>
  <si>
    <t>*0402003284500027</t>
  </si>
  <si>
    <t>Salim Hassan Salim Jaboob</t>
  </si>
  <si>
    <t xml:space="preserve">Ahmed Salim Mahad AL-Baraami </t>
  </si>
  <si>
    <t>*0401018312820028</t>
  </si>
  <si>
    <t>Mohammed Said Ahmed AL-Shahri</t>
  </si>
  <si>
    <t>*0401002562180023</t>
  </si>
  <si>
    <t>Ali Ahmed Rajab Afsahit</t>
  </si>
  <si>
    <t>*0403002526200023</t>
  </si>
  <si>
    <t>Mohammed Suhail Musallam Amush Thoar</t>
  </si>
  <si>
    <t>*0401002526060027</t>
  </si>
  <si>
    <t>Said Ali Suhail Jaboob</t>
  </si>
  <si>
    <t>Musallam Mohammed Ahmed Ali Kashoob</t>
  </si>
  <si>
    <t>Bank Musat</t>
  </si>
  <si>
    <t>*0397003320960018</t>
  </si>
  <si>
    <t>Yousuf Said Mohamed AL-Shihri</t>
  </si>
  <si>
    <t>Said Musallem Ali Kashoob</t>
  </si>
  <si>
    <t>Ahmed Issa Ali Kashoob</t>
  </si>
  <si>
    <t>*0401020978330022</t>
  </si>
  <si>
    <t>Musailam Mohammed Salim Said Jaboob</t>
  </si>
  <si>
    <t>*0401002589420018</t>
  </si>
  <si>
    <t>Amer Salim Salman Tabook</t>
  </si>
  <si>
    <t>*0304008583990019</t>
  </si>
  <si>
    <t>Nasser Muhammed Asalam Ghafram AL-Shahri</t>
  </si>
  <si>
    <t>Mustahil Salim Mustahil Ghafram AL-Shahri</t>
  </si>
  <si>
    <t>Muhammed Ali Said Kashoob</t>
  </si>
  <si>
    <t>*0426016113460017</t>
  </si>
  <si>
    <t>Ahmed Suhail Ali Muslem Jaboob</t>
  </si>
  <si>
    <t>Mizoon Said Bakhit Kashoob</t>
  </si>
  <si>
    <t xml:space="preserve"> Said Mohammed Said AL-Shahri</t>
  </si>
  <si>
    <t>*0401011438770024</t>
  </si>
  <si>
    <t>Said Mohammed Ali Safrar</t>
  </si>
  <si>
    <t>*0397003515900012</t>
  </si>
  <si>
    <t>Amer Bakhit Hassan Tabook</t>
  </si>
  <si>
    <t>*0397044061110017</t>
  </si>
  <si>
    <t>Emad Mohammed Said Nahal AL-Mahri</t>
  </si>
  <si>
    <t>Salim Amur Said Kashoob</t>
  </si>
  <si>
    <t>Ahmed Ali Musallam Ali Kashoob</t>
  </si>
  <si>
    <t>*0401060792460017</t>
  </si>
  <si>
    <t>Salim Ali Musallam Ali Kashoob</t>
  </si>
  <si>
    <t>*0397004192220013</t>
  </si>
  <si>
    <t>Ahmed Suhail Ali AL Maashsni</t>
  </si>
  <si>
    <t>*0398003638340015</t>
  </si>
  <si>
    <t>Ali Suhail Ali AL Maashsni</t>
  </si>
  <si>
    <t>*0426002680780013</t>
  </si>
  <si>
    <t>Abdullah Ali Said Qatan</t>
  </si>
  <si>
    <t>*0397003323310025</t>
  </si>
  <si>
    <t>Salim Masoud Said Tabuk</t>
  </si>
  <si>
    <t>*0401011652230037</t>
  </si>
  <si>
    <t>Hamed Ahmed Suhail Jaboob</t>
  </si>
  <si>
    <t>*0462021032780019</t>
  </si>
  <si>
    <t>Salim Musallam Amer Kashoob</t>
  </si>
  <si>
    <t>*0402010171510017</t>
  </si>
  <si>
    <t>Ahmed Said Ahmed Hamdiyh AL shahri</t>
  </si>
  <si>
    <t>*0401049366890019</t>
  </si>
  <si>
    <t>Abdullah Said Masoud Kashoob</t>
  </si>
  <si>
    <t>Ibrahim Ali Said Qatan</t>
  </si>
  <si>
    <t>Said Ali Said Qatan</t>
  </si>
  <si>
    <t>Bakhit Salim Salman Tabuk</t>
  </si>
  <si>
    <t>*0397003753110011</t>
  </si>
  <si>
    <t>Hafeedh Said Masoud Thuaar</t>
  </si>
  <si>
    <t>Ali Hafeedh Said Thuaar</t>
  </si>
  <si>
    <t xml:space="preserve"> Salim Mahad Amer Kushoob</t>
  </si>
  <si>
    <t>*0401002366430011</t>
  </si>
  <si>
    <t>Amer Salim Mahad Kushoob</t>
  </si>
  <si>
    <t>*01040854062001</t>
  </si>
  <si>
    <t>Salim Musallam Said Tabuk</t>
  </si>
  <si>
    <t>*01011263838001</t>
  </si>
  <si>
    <t>Salim Said Bakhit AL hamar</t>
  </si>
  <si>
    <t>*0101133272001</t>
  </si>
  <si>
    <t>Bakhit Said Bakhit AL hamar</t>
  </si>
  <si>
    <t>*1083293922001</t>
  </si>
  <si>
    <t xml:space="preserve">Mohammed Salim Mahad Balhaf </t>
  </si>
  <si>
    <t>*0401013485710032</t>
  </si>
  <si>
    <t>Hassan Salim Suhail Tabook</t>
  </si>
  <si>
    <t>Bakhit Amor Bakhit Tabook</t>
  </si>
  <si>
    <t>*0401044901820015</t>
  </si>
  <si>
    <t xml:space="preserve">Ali Said Bakhit Harbi AL-Hamar </t>
  </si>
  <si>
    <t>Mohammed Awadh Mustahil Safrar</t>
  </si>
  <si>
    <t xml:space="preserve"> Salim Masoud Musallam Ali Kashoob</t>
  </si>
  <si>
    <t>*0401054944910021</t>
  </si>
  <si>
    <t>Hilal Salim Musallam Ali Kashoob</t>
  </si>
  <si>
    <t>*0426002373400025</t>
  </si>
  <si>
    <t>Amer Salim Musallam Kashoob</t>
  </si>
  <si>
    <t>*0401014846020016</t>
  </si>
  <si>
    <t xml:space="preserve"> Said Ahmed M ohammed Hamdiya AL-Shahri</t>
  </si>
  <si>
    <t>*0401002429540017</t>
  </si>
  <si>
    <t>Noor Said Mubarak Afsahit AL-Shihri</t>
  </si>
  <si>
    <t>*0426049064180017</t>
  </si>
  <si>
    <t xml:space="preserve">Ali Amed Said Jaboob </t>
  </si>
  <si>
    <t>*0403057232770017</t>
  </si>
  <si>
    <t>Bakhit Said Ahmed Hamdiya AL-Shahri</t>
  </si>
  <si>
    <t>*0376016626770027</t>
  </si>
  <si>
    <t>Saleh Said Ahmed Hamdiya AL-Shahri</t>
  </si>
  <si>
    <t>*0397027530780011</t>
  </si>
  <si>
    <t>Amer Said Ahmed Hamdiya AL-Shahri</t>
  </si>
  <si>
    <t>*0439075992230017</t>
  </si>
  <si>
    <t>Said Ahmed Bakhit Hamdiya AL-Shahri</t>
  </si>
  <si>
    <t>Mohammed Ali Said Bait Said</t>
  </si>
  <si>
    <t>*0406053351330012</t>
  </si>
  <si>
    <t>Arif Ahmed Bakhit Ghafaram AL-Shahri</t>
  </si>
  <si>
    <t>*0426027572380028</t>
  </si>
  <si>
    <t>Salim Said Salim Tabook</t>
  </si>
  <si>
    <t>Ali Ahmed Said Kashoob</t>
  </si>
  <si>
    <t>*01011280384001</t>
  </si>
  <si>
    <t>Musallam Suhail Mahad Suhail Jaboob</t>
  </si>
  <si>
    <t>*0397041682060017</t>
  </si>
  <si>
    <t>Abdullah Ali  Musallam Tabook</t>
  </si>
  <si>
    <t>*0397051120630029</t>
  </si>
  <si>
    <t>Musallam Ahmed Musallam Tabouk</t>
  </si>
  <si>
    <t>*0426011935050013</t>
  </si>
  <si>
    <t>Hamid Bakhit Salim Tabook</t>
  </si>
  <si>
    <t>*0401002687840025</t>
  </si>
  <si>
    <t xml:space="preserve">Ali Ahmed Mohammed AL-Shahri </t>
  </si>
  <si>
    <t>*0398013655050034</t>
  </si>
  <si>
    <t>Issa Ali  Musallam AL-Maashani</t>
  </si>
  <si>
    <t>*0401018075590015</t>
  </si>
  <si>
    <t xml:space="preserve">Ahmed Hassan Ali Mubark Kashoob </t>
  </si>
  <si>
    <t>*0406003268400017</t>
  </si>
  <si>
    <t>Hassan Ahmed Musallam Kashoob</t>
  </si>
  <si>
    <t>*01011290213001</t>
  </si>
  <si>
    <t>Salim Said Salim Kashoob</t>
  </si>
  <si>
    <t>*01040423015001</t>
  </si>
  <si>
    <t>Hassan Salim Mahroos Kashoob</t>
  </si>
  <si>
    <t>*0426067872470012</t>
  </si>
  <si>
    <t>Said Hamid Mohammed Said Jaboob</t>
  </si>
  <si>
    <t>*0397011256310026</t>
  </si>
  <si>
    <t>Masood Amur Said Kashoob</t>
  </si>
  <si>
    <t>*0426021258000026</t>
  </si>
  <si>
    <t>Ali Musallam Amer Kashoob</t>
  </si>
  <si>
    <t xml:space="preserve">Mohammed Hatim Qahur </t>
  </si>
  <si>
    <t>Musallam Ali masoud Kashoob</t>
  </si>
  <si>
    <t>Mohammed Ali Azad Al Mashni</t>
  </si>
  <si>
    <t>Issa Musallim Said Issa Al Mashni</t>
  </si>
  <si>
    <t xml:space="preserve"> Ahmed Mohameed Aslam AL shahri</t>
  </si>
  <si>
    <t>0500-013151002001</t>
  </si>
  <si>
    <t>Ahmed Hafeedh Said Thoar</t>
  </si>
  <si>
    <t>Milk Chilling Centre(Zeek) - Monthly Cow Milk Procurement Report  September 2025</t>
  </si>
  <si>
    <t>19-10-2025</t>
  </si>
  <si>
    <t>ID</t>
  </si>
  <si>
    <t>20-10-2025</t>
  </si>
  <si>
    <t>041003560930037</t>
  </si>
  <si>
    <t>23-10-2025</t>
  </si>
  <si>
    <t>26-10-2025</t>
  </si>
  <si>
    <t>BT27-10-2025</t>
  </si>
  <si>
    <t>27-10-2025</t>
  </si>
  <si>
    <t>28-10-2025</t>
  </si>
  <si>
    <t>BT 28-10-2025</t>
  </si>
  <si>
    <t>29-10-2025</t>
  </si>
  <si>
    <t>BT 02-11-2025</t>
  </si>
  <si>
    <t>28-9-2025</t>
  </si>
  <si>
    <t>57-10-2025</t>
  </si>
  <si>
    <t>1.85-10-2025</t>
  </si>
  <si>
    <t>*0398003694430024</t>
  </si>
  <si>
    <t xml:space="preserve">Said Bakhit Said Al Shahri </t>
  </si>
  <si>
    <t>*0398004317700016</t>
  </si>
  <si>
    <t xml:space="preserve">Ahmed Said masoud Al Mashani </t>
  </si>
  <si>
    <t>Ali Amer Salim Al-Maashni</t>
  </si>
  <si>
    <t>*0426002683910015</t>
  </si>
  <si>
    <t>Mohammed Amer Salim Al-Maashani</t>
  </si>
  <si>
    <t>Ali Masoud Mohammed Kashoob</t>
  </si>
  <si>
    <t>Milk Chilling Centre(Zeek) - Monthly Cow Milk Procurement Report  October 2025</t>
  </si>
  <si>
    <t>BT-05-11-2025</t>
  </si>
  <si>
    <t>06-10-2025- Bamk transfer (418.198) duplicate july amount, so we will deduct from Aug and sep 2025</t>
  </si>
  <si>
    <t>13-11-25</t>
  </si>
  <si>
    <t>379.15-11-25</t>
  </si>
  <si>
    <t>16/11/25</t>
  </si>
  <si>
    <t>16-11-25</t>
  </si>
  <si>
    <t>11-17-25BT</t>
  </si>
  <si>
    <t>19-11-25</t>
  </si>
  <si>
    <t>23-11-25</t>
  </si>
  <si>
    <t>25-11-25</t>
  </si>
  <si>
    <t>0501020778001</t>
  </si>
  <si>
    <t>ahli islamic bank</t>
  </si>
  <si>
    <t>BT 04-12-2025</t>
  </si>
  <si>
    <t>Milk Chilling Centre(Zeek) - Monthly Cow Milk Procurement Report  November 2025</t>
  </si>
  <si>
    <t>Hafeedh Said  Masoud Thuaar</t>
  </si>
  <si>
    <t>Nasser Musallam Said Tabook</t>
  </si>
  <si>
    <t>14-12-25</t>
  </si>
  <si>
    <t>15-12-25</t>
  </si>
  <si>
    <t>16-12-25</t>
  </si>
  <si>
    <t>18-12-25</t>
  </si>
  <si>
    <t>22-12-25</t>
  </si>
  <si>
    <t>24-12-25</t>
  </si>
  <si>
    <t>29-12-25</t>
  </si>
  <si>
    <t xml:space="preserve">update </t>
  </si>
  <si>
    <t>0426011470100019</t>
  </si>
  <si>
    <t>31-12-25</t>
  </si>
  <si>
    <t>0401011438770024</t>
  </si>
  <si>
    <t>Milk Chilling Centre(Zeek) - Monthly Cow Milk Procurement Report  December 2025</t>
  </si>
  <si>
    <t>MUBARAK AMOR MUBARAK KASHOB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</si>
</sst>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0"/>
    <numFmt numFmtId="167" formatCode="_(* #,##0.000_);_(* \(#,##0.000\);_(* &quot;-&quot;??_);_(@_)"/>
    <numFmt numFmtId="168" formatCode="_(* #,##0.00000_);_(* \(#,##0.0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</cellStyleXfs>
  <cellXfs count="506">
    <xf numFmtId="0" fontId="0" fillId="0" borderId="0" xfId="0"/>
    <xf numFmtId="0" fontId="0" fillId="3" borderId="0" xfId="0" applyFill="1"/>
    <xf numFmtId="0" fontId="4" fillId="3" borderId="5" xfId="0" applyFont="1" applyFill="1" applyBorder="1" applyAlignment="1">
      <alignment horizontal="center" vertical="center"/>
    </xf>
    <xf numFmtId="166" fontId="4" fillId="3" borderId="5" xfId="2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166" fontId="5" fillId="4" borderId="7" xfId="2" applyNumberFormat="1" applyFont="1" applyFill="1" applyBorder="1"/>
    <xf numFmtId="167" fontId="5" fillId="4" borderId="7" xfId="1" applyNumberFormat="1" applyFont="1" applyFill="1" applyBorder="1"/>
    <xf numFmtId="0" fontId="5" fillId="4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/>
    <xf numFmtId="0" fontId="0" fillId="3" borderId="7" xfId="0" applyFill="1" applyBorder="1" applyAlignment="1">
      <alignment horizontal="center" vertical="center"/>
    </xf>
    <xf numFmtId="0" fontId="5" fillId="3" borderId="7" xfId="0" applyFont="1" applyFill="1" applyBorder="1"/>
    <xf numFmtId="166" fontId="5" fillId="3" borderId="7" xfId="2" applyNumberFormat="1" applyFont="1" applyFill="1" applyBorder="1"/>
    <xf numFmtId="167" fontId="5" fillId="3" borderId="7" xfId="1" applyNumberFormat="1" applyFont="1" applyFill="1" applyBorder="1"/>
    <xf numFmtId="167" fontId="0" fillId="5" borderId="7" xfId="1" applyNumberFormat="1" applyFont="1" applyFill="1" applyBorder="1"/>
    <xf numFmtId="167" fontId="5" fillId="5" borderId="7" xfId="1" applyNumberFormat="1" applyFont="1" applyFill="1" applyBorder="1"/>
    <xf numFmtId="0" fontId="0" fillId="3" borderId="0" xfId="0" applyFill="1" applyAlignment="1">
      <alignment horizontal="center"/>
    </xf>
    <xf numFmtId="0" fontId="5" fillId="3" borderId="0" xfId="0" applyFont="1" applyFill="1"/>
    <xf numFmtId="0" fontId="0" fillId="5" borderId="7" xfId="0" applyFill="1" applyBorder="1" applyAlignment="1">
      <alignment horizontal="center" vertical="center"/>
    </xf>
    <xf numFmtId="0" fontId="5" fillId="5" borderId="7" xfId="0" applyFont="1" applyFill="1" applyBorder="1"/>
    <xf numFmtId="166" fontId="5" fillId="5" borderId="7" xfId="2" applyNumberFormat="1" applyFont="1" applyFill="1" applyBorder="1"/>
    <xf numFmtId="0" fontId="5" fillId="5" borderId="7" xfId="0" applyFont="1" applyFill="1" applyBorder="1" applyAlignment="1">
      <alignment horizontal="center" vertical="center"/>
    </xf>
    <xf numFmtId="167" fontId="0" fillId="3" borderId="7" xfId="1" applyNumberFormat="1" applyFont="1" applyFill="1" applyBorder="1"/>
    <xf numFmtId="0" fontId="0" fillId="4" borderId="0" xfId="0" applyFill="1" applyAlignment="1">
      <alignment horizontal="center"/>
    </xf>
    <xf numFmtId="1" fontId="0" fillId="3" borderId="7" xfId="0" applyNumberForma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 applyProtection="1">
      <alignment vertical="center"/>
      <protection locked="0"/>
    </xf>
    <xf numFmtId="167" fontId="0" fillId="4" borderId="7" xfId="1" applyNumberFormat="1" applyFont="1" applyFill="1" applyBorder="1"/>
    <xf numFmtId="0" fontId="0" fillId="4" borderId="7" xfId="0" applyFill="1" applyBorder="1" applyAlignment="1">
      <alignment horizontal="center"/>
    </xf>
    <xf numFmtId="0" fontId="0" fillId="4" borderId="7" xfId="0" applyFill="1" applyBorder="1"/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5" fillId="4" borderId="7" xfId="0" applyFont="1" applyFill="1" applyBorder="1" applyAlignment="1" applyProtection="1">
      <alignment vertical="center"/>
      <protection locked="0"/>
    </xf>
    <xf numFmtId="14" fontId="0" fillId="3" borderId="0" xfId="0" applyNumberFormat="1" applyFill="1"/>
    <xf numFmtId="0" fontId="5" fillId="3" borderId="7" xfId="0" applyFont="1" applyFill="1" applyBorder="1" applyAlignment="1">
      <alignment wrapText="1"/>
    </xf>
    <xf numFmtId="166" fontId="0" fillId="3" borderId="7" xfId="2" applyNumberFormat="1" applyFont="1" applyFill="1" applyBorder="1"/>
    <xf numFmtId="0" fontId="0" fillId="4" borderId="0" xfId="0" applyFill="1" applyAlignment="1" applyProtection="1">
      <alignment horizontal="center" vertical="center"/>
      <protection locked="0"/>
    </xf>
    <xf numFmtId="0" fontId="7" fillId="3" borderId="0" xfId="0" applyFont="1" applyFill="1"/>
    <xf numFmtId="3" fontId="5" fillId="3" borderId="7" xfId="0" applyNumberFormat="1" applyFont="1" applyFill="1" applyBorder="1"/>
    <xf numFmtId="3" fontId="5" fillId="4" borderId="6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3" fontId="5" fillId="5" borderId="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3" fontId="5" fillId="8" borderId="6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7" xfId="0" applyFont="1" applyFill="1" applyBorder="1"/>
    <xf numFmtId="166" fontId="5" fillId="8" borderId="7" xfId="2" applyNumberFormat="1" applyFont="1" applyFill="1" applyBorder="1"/>
    <xf numFmtId="167" fontId="5" fillId="8" borderId="7" xfId="1" applyNumberFormat="1" applyFont="1" applyFill="1" applyBorder="1"/>
    <xf numFmtId="0" fontId="5" fillId="8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wrapText="1"/>
    </xf>
    <xf numFmtId="14" fontId="0" fillId="5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left"/>
    </xf>
    <xf numFmtId="3" fontId="5" fillId="9" borderId="6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9" borderId="7" xfId="0" applyFont="1" applyFill="1" applyBorder="1"/>
    <xf numFmtId="166" fontId="5" fillId="9" borderId="7" xfId="2" applyNumberFormat="1" applyFont="1" applyFill="1" applyBorder="1"/>
    <xf numFmtId="167" fontId="5" fillId="9" borderId="7" xfId="1" applyNumberFormat="1" applyFont="1" applyFill="1" applyBorder="1"/>
    <xf numFmtId="167" fontId="0" fillId="9" borderId="7" xfId="1" applyNumberFormat="1" applyFont="1" applyFill="1" applyBorder="1"/>
    <xf numFmtId="0" fontId="5" fillId="9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0" borderId="0" xfId="0" applyAlignment="1" applyProtection="1">
      <alignment horizontal="center" vertical="center"/>
      <protection locked="0"/>
    </xf>
    <xf numFmtId="14" fontId="0" fillId="4" borderId="0" xfId="0" applyNumberFormat="1" applyFill="1" applyAlignment="1" applyProtection="1">
      <alignment horizontal="center" vertical="center"/>
      <protection locked="0"/>
    </xf>
    <xf numFmtId="166" fontId="0" fillId="4" borderId="7" xfId="2" applyNumberFormat="1" applyFont="1" applyFill="1" applyBorder="1"/>
    <xf numFmtId="1" fontId="0" fillId="3" borderId="0" xfId="0" applyNumberFormat="1" applyFill="1" applyAlignment="1">
      <alignment horizontal="center" vertical="center"/>
    </xf>
    <xf numFmtId="0" fontId="0" fillId="0" borderId="7" xfId="0" applyBorder="1" applyAlignment="1" applyProtection="1">
      <alignment vertical="center"/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5" fillId="4" borderId="7" xfId="0" applyFont="1" applyFill="1" applyBorder="1" applyAlignment="1">
      <alignment horizontal="left"/>
    </xf>
    <xf numFmtId="14" fontId="0" fillId="4" borderId="0" xfId="0" applyNumberFormat="1" applyFill="1"/>
    <xf numFmtId="0" fontId="0" fillId="9" borderId="7" xfId="0" applyFill="1" applyBorder="1" applyAlignment="1" applyProtection="1">
      <alignment vertical="center"/>
      <protection locked="0"/>
    </xf>
    <xf numFmtId="0" fontId="0" fillId="9" borderId="7" xfId="0" applyFill="1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 applyProtection="1">
      <alignment vertical="center"/>
      <protection locked="0"/>
    </xf>
    <xf numFmtId="167" fontId="0" fillId="3" borderId="8" xfId="1" applyNumberFormat="1" applyFont="1" applyFill="1" applyBorder="1"/>
    <xf numFmtId="0" fontId="0" fillId="3" borderId="8" xfId="0" applyFill="1" applyBorder="1"/>
    <xf numFmtId="14" fontId="0" fillId="5" borderId="0" xfId="0" applyNumberFormat="1" applyFill="1"/>
    <xf numFmtId="0" fontId="0" fillId="5" borderId="0" xfId="0" applyFill="1"/>
    <xf numFmtId="166" fontId="0" fillId="3" borderId="0" xfId="2" applyNumberFormat="1" applyFont="1" applyFill="1"/>
    <xf numFmtId="0" fontId="5" fillId="3" borderId="7" xfId="0" applyFont="1" applyFill="1" applyBorder="1" applyAlignment="1">
      <alignment horizontal="left"/>
    </xf>
    <xf numFmtId="1" fontId="5" fillId="3" borderId="7" xfId="0" applyNumberFormat="1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1" fontId="5" fillId="4" borderId="7" xfId="0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/>
    </xf>
    <xf numFmtId="0" fontId="0" fillId="3" borderId="7" xfId="0" applyFill="1" applyBorder="1" applyAlignment="1">
      <alignment horizontal="left" vertical="center"/>
    </xf>
    <xf numFmtId="1" fontId="0" fillId="3" borderId="7" xfId="0" applyNumberForma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/>
    </xf>
    <xf numFmtId="1" fontId="5" fillId="5" borderId="7" xfId="0" applyNumberFormat="1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0" fillId="8" borderId="7" xfId="0" applyFill="1" applyBorder="1" applyAlignment="1">
      <alignment horizontal="center" vertical="center"/>
    </xf>
    <xf numFmtId="167" fontId="0" fillId="8" borderId="7" xfId="1" applyNumberFormat="1" applyFont="1" applyFill="1" applyBorder="1"/>
    <xf numFmtId="0" fontId="5" fillId="8" borderId="7" xfId="0" applyFont="1" applyFill="1" applyBorder="1" applyAlignment="1">
      <alignment horizontal="left" vertical="center"/>
    </xf>
    <xf numFmtId="1" fontId="5" fillId="8" borderId="7" xfId="0" applyNumberFormat="1" applyFont="1" applyFill="1" applyBorder="1" applyAlignment="1">
      <alignment horizontal="left" vertical="center"/>
    </xf>
    <xf numFmtId="0" fontId="0" fillId="8" borderId="0" xfId="0" applyFill="1"/>
    <xf numFmtId="1" fontId="0" fillId="0" borderId="7" xfId="0" applyNumberFormat="1" applyBorder="1" applyAlignment="1">
      <alignment horizontal="left" vertical="center"/>
    </xf>
    <xf numFmtId="1" fontId="5" fillId="3" borderId="0" xfId="0" applyNumberFormat="1" applyFont="1" applyFill="1" applyAlignment="1">
      <alignment horizontal="left" vertical="center"/>
    </xf>
    <xf numFmtId="0" fontId="5" fillId="9" borderId="7" xfId="0" applyFont="1" applyFill="1" applyBorder="1" applyAlignment="1">
      <alignment horizontal="left"/>
    </xf>
    <xf numFmtId="1" fontId="5" fillId="9" borderId="7" xfId="0" applyNumberFormat="1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left"/>
    </xf>
    <xf numFmtId="1" fontId="0" fillId="4" borderId="7" xfId="0" applyNumberFormat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7" xfId="0" applyFill="1" applyBorder="1" applyProtection="1">
      <protection locked="0"/>
    </xf>
    <xf numFmtId="1" fontId="0" fillId="4" borderId="0" xfId="0" applyNumberFormat="1" applyFill="1" applyAlignment="1">
      <alignment horizontal="left" vertical="center"/>
    </xf>
    <xf numFmtId="0" fontId="0" fillId="9" borderId="7" xfId="0" applyFill="1" applyBorder="1" applyAlignment="1">
      <alignment horizontal="left"/>
    </xf>
    <xf numFmtId="1" fontId="0" fillId="9" borderId="7" xfId="0" applyNumberFormat="1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/>
    </xf>
    <xf numFmtId="1" fontId="0" fillId="3" borderId="8" xfId="0" applyNumberForma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3" borderId="7" xfId="0" quotePrefix="1" applyNumberFormat="1" applyFont="1" applyFill="1" applyBorder="1" applyAlignment="1">
      <alignment horizontal="left" vertical="center"/>
    </xf>
    <xf numFmtId="1" fontId="5" fillId="4" borderId="7" xfId="0" quotePrefix="1" applyNumberFormat="1" applyFont="1" applyFill="1" applyBorder="1" applyAlignment="1">
      <alignment horizontal="left" vertical="center"/>
    </xf>
    <xf numFmtId="0" fontId="9" fillId="3" borderId="7" xfId="0" applyFont="1" applyFill="1" applyBorder="1"/>
    <xf numFmtId="166" fontId="10" fillId="3" borderId="7" xfId="2" applyNumberFormat="1" applyFont="1" applyFill="1" applyBorder="1"/>
    <xf numFmtId="165" fontId="0" fillId="3" borderId="0" xfId="0" applyNumberFormat="1" applyFill="1"/>
    <xf numFmtId="9" fontId="0" fillId="3" borderId="0" xfId="3" applyFont="1" applyFill="1"/>
    <xf numFmtId="3" fontId="5" fillId="11" borderId="6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7" xfId="0" applyFont="1" applyFill="1" applyBorder="1"/>
    <xf numFmtId="166" fontId="5" fillId="11" borderId="7" xfId="2" applyNumberFormat="1" applyFont="1" applyFill="1" applyBorder="1"/>
    <xf numFmtId="167" fontId="5" fillId="11" borderId="7" xfId="1" applyNumberFormat="1" applyFont="1" applyFill="1" applyBorder="1"/>
    <xf numFmtId="0" fontId="5" fillId="11" borderId="7" xfId="0" applyFont="1" applyFill="1" applyBorder="1" applyAlignment="1">
      <alignment horizontal="left"/>
    </xf>
    <xf numFmtId="0" fontId="0" fillId="11" borderId="0" xfId="0" applyFill="1" applyAlignment="1">
      <alignment horizontal="center"/>
    </xf>
    <xf numFmtId="0" fontId="0" fillId="11" borderId="7" xfId="0" applyFill="1" applyBorder="1" applyAlignment="1">
      <alignment horizontal="center" vertical="center"/>
    </xf>
    <xf numFmtId="167" fontId="0" fillId="11" borderId="7" xfId="1" applyNumberFormat="1" applyFont="1" applyFill="1" applyBorder="1"/>
    <xf numFmtId="0" fontId="5" fillId="11" borderId="7" xfId="0" applyFont="1" applyFill="1" applyBorder="1" applyAlignment="1">
      <alignment horizontal="left" vertical="center"/>
    </xf>
    <xf numFmtId="0" fontId="0" fillId="11" borderId="0" xfId="0" applyFill="1"/>
    <xf numFmtId="0" fontId="5" fillId="0" borderId="7" xfId="0" applyFont="1" applyBorder="1"/>
    <xf numFmtId="9" fontId="0" fillId="3" borderId="0" xfId="3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0" fontId="5" fillId="8" borderId="7" xfId="0" applyFont="1" applyFill="1" applyBorder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left" vertical="center"/>
      <protection locked="0"/>
    </xf>
    <xf numFmtId="0" fontId="5" fillId="3" borderId="0" xfId="0" applyFont="1" applyFill="1" applyAlignment="1">
      <alignment horizontal="left"/>
    </xf>
    <xf numFmtId="166" fontId="0" fillId="3" borderId="0" xfId="0" applyNumberFormat="1" applyFill="1"/>
    <xf numFmtId="0" fontId="11" fillId="3" borderId="7" xfId="0" applyFont="1" applyFill="1" applyBorder="1"/>
    <xf numFmtId="0" fontId="11" fillId="3" borderId="0" xfId="0" applyFont="1" applyFill="1"/>
    <xf numFmtId="0" fontId="0" fillId="3" borderId="0" xfId="0" applyFill="1" applyAlignment="1">
      <alignment horizontal="right"/>
    </xf>
    <xf numFmtId="14" fontId="5" fillId="3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14" fontId="0" fillId="4" borderId="0" xfId="0" applyNumberFormat="1" applyFill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6" fillId="3" borderId="7" xfId="0" applyFont="1" applyFill="1" applyBorder="1"/>
    <xf numFmtId="166" fontId="15" fillId="3" borderId="7" xfId="2" applyNumberFormat="1" applyFont="1" applyFill="1" applyBorder="1"/>
    <xf numFmtId="0" fontId="14" fillId="3" borderId="0" xfId="0" applyFont="1" applyFill="1"/>
    <xf numFmtId="0" fontId="0" fillId="11" borderId="7" xfId="0" applyFill="1" applyBorder="1" applyAlignment="1">
      <alignment horizontal="left"/>
    </xf>
    <xf numFmtId="1" fontId="0" fillId="11" borderId="7" xfId="0" applyNumberFormat="1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1" borderId="7" xfId="0" applyFill="1" applyBorder="1" applyAlignment="1">
      <alignment horizontal="center"/>
    </xf>
    <xf numFmtId="0" fontId="0" fillId="11" borderId="0" xfId="0" applyFill="1" applyAlignment="1" applyProtection="1">
      <alignment horizontal="left" vertical="center"/>
      <protection locked="0"/>
    </xf>
    <xf numFmtId="0" fontId="0" fillId="11" borderId="0" xfId="0" applyFill="1" applyAlignment="1">
      <alignment horizontal="left"/>
    </xf>
    <xf numFmtId="1" fontId="5" fillId="11" borderId="7" xfId="0" quotePrefix="1" applyNumberFormat="1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3" fillId="3" borderId="7" xfId="0" applyFont="1" applyFill="1" applyBorder="1"/>
    <xf numFmtId="166" fontId="12" fillId="3" borderId="7" xfId="2" applyNumberFormat="1" applyFont="1" applyFill="1" applyBorder="1"/>
    <xf numFmtId="1" fontId="11" fillId="3" borderId="7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1" fontId="5" fillId="11" borderId="7" xfId="0" applyNumberFormat="1" applyFont="1" applyFill="1" applyBorder="1" applyAlignment="1">
      <alignment horizontal="left" vertical="center"/>
    </xf>
    <xf numFmtId="14" fontId="16" fillId="6" borderId="0" xfId="0" applyNumberFormat="1" applyFont="1" applyFill="1" applyAlignment="1">
      <alignment horizontal="left"/>
    </xf>
    <xf numFmtId="0" fontId="16" fillId="6" borderId="0" xfId="0" applyFont="1" applyFill="1" applyAlignment="1">
      <alignment horizontal="left"/>
    </xf>
    <xf numFmtId="0" fontId="0" fillId="10" borderId="0" xfId="0" applyFill="1"/>
    <xf numFmtId="1" fontId="0" fillId="4" borderId="7" xfId="0" quotePrefix="1" applyNumberFormat="1" applyFill="1" applyBorder="1" applyAlignment="1">
      <alignment horizontal="left" vertical="center"/>
    </xf>
    <xf numFmtId="0" fontId="0" fillId="5" borderId="7" xfId="0" applyFill="1" applyBorder="1" applyProtection="1">
      <protection locked="0"/>
    </xf>
    <xf numFmtId="0" fontId="0" fillId="5" borderId="7" xfId="0" applyFill="1" applyBorder="1" applyAlignment="1">
      <alignment horizontal="left"/>
    </xf>
    <xf numFmtId="1" fontId="0" fillId="5" borderId="7" xfId="0" applyNumberFormat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7" xfId="0" applyFill="1" applyBorder="1"/>
    <xf numFmtId="0" fontId="0" fillId="5" borderId="0" xfId="0" applyFill="1" applyAlignment="1" applyProtection="1">
      <alignment horizontal="left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43" fontId="0" fillId="5" borderId="0" xfId="0" applyNumberFormat="1" applyFill="1"/>
    <xf numFmtId="167" fontId="5" fillId="3" borderId="7" xfId="6" applyNumberFormat="1" applyFont="1" applyFill="1" applyBorder="1"/>
    <xf numFmtId="166" fontId="5" fillId="3" borderId="7" xfId="5" applyNumberFormat="1" applyFont="1" applyFill="1" applyBorder="1"/>
    <xf numFmtId="167" fontId="0" fillId="3" borderId="7" xfId="6" applyNumberFormat="1" applyFont="1" applyFill="1" applyBorder="1"/>
    <xf numFmtId="167" fontId="0" fillId="3" borderId="8" xfId="6" applyNumberFormat="1" applyFont="1" applyFill="1" applyBorder="1"/>
    <xf numFmtId="166" fontId="0" fillId="3" borderId="7" xfId="5" applyNumberFormat="1" applyFont="1" applyFill="1" applyBorder="1"/>
    <xf numFmtId="167" fontId="5" fillId="4" borderId="7" xfId="6" applyNumberFormat="1" applyFont="1" applyFill="1" applyBorder="1"/>
    <xf numFmtId="167" fontId="0" fillId="4" borderId="7" xfId="6" applyNumberFormat="1" applyFont="1" applyFill="1" applyBorder="1"/>
    <xf numFmtId="166" fontId="0" fillId="4" borderId="7" xfId="5" applyNumberFormat="1" applyFont="1" applyFill="1" applyBorder="1"/>
    <xf numFmtId="166" fontId="5" fillId="4" borderId="7" xfId="5" applyNumberFormat="1" applyFont="1" applyFill="1" applyBorder="1"/>
    <xf numFmtId="0" fontId="5" fillId="7" borderId="7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left" vertical="center"/>
    </xf>
    <xf numFmtId="1" fontId="5" fillId="7" borderId="7" xfId="0" applyNumberFormat="1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/>
    </xf>
    <xf numFmtId="167" fontId="5" fillId="7" borderId="7" xfId="6" applyNumberFormat="1" applyFont="1" applyFill="1" applyBorder="1"/>
    <xf numFmtId="167" fontId="0" fillId="7" borderId="7" xfId="6" applyNumberFormat="1" applyFont="1" applyFill="1" applyBorder="1"/>
    <xf numFmtId="166" fontId="5" fillId="7" borderId="7" xfId="5" applyNumberFormat="1" applyFont="1" applyFill="1" applyBorder="1"/>
    <xf numFmtId="0" fontId="5" fillId="7" borderId="7" xfId="0" applyFont="1" applyFill="1" applyBorder="1"/>
    <xf numFmtId="0" fontId="4" fillId="3" borderId="9" xfId="0" applyFont="1" applyFill="1" applyBorder="1" applyAlignment="1">
      <alignment horizontal="center" vertical="center" wrapText="1"/>
    </xf>
    <xf numFmtId="1" fontId="4" fillId="3" borderId="9" xfId="0" applyNumberFormat="1" applyFont="1" applyFill="1" applyBorder="1" applyAlignment="1">
      <alignment horizontal="center" vertical="center" wrapText="1"/>
    </xf>
    <xf numFmtId="166" fontId="4" fillId="3" borderId="9" xfId="5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/>
    </xf>
    <xf numFmtId="166" fontId="5" fillId="9" borderId="7" xfId="5" applyNumberFormat="1" applyFont="1" applyFill="1" applyBorder="1"/>
    <xf numFmtId="167" fontId="5" fillId="9" borderId="7" xfId="6" applyNumberFormat="1" applyFont="1" applyFill="1" applyBorder="1"/>
    <xf numFmtId="166" fontId="5" fillId="11" borderId="7" xfId="5" applyNumberFormat="1" applyFont="1" applyFill="1" applyBorder="1"/>
    <xf numFmtId="167" fontId="5" fillId="11" borderId="7" xfId="6" applyNumberFormat="1" applyFont="1" applyFill="1" applyBorder="1"/>
    <xf numFmtId="166" fontId="0" fillId="9" borderId="7" xfId="2" applyNumberFormat="1" applyFont="1" applyFill="1" applyBorder="1"/>
    <xf numFmtId="14" fontId="16" fillId="9" borderId="0" xfId="0" applyNumberFormat="1" applyFont="1" applyFill="1" applyAlignment="1">
      <alignment horizontal="left"/>
    </xf>
    <xf numFmtId="0" fontId="16" fillId="9" borderId="0" xfId="0" applyFont="1" applyFill="1" applyAlignment="1">
      <alignment horizontal="left"/>
    </xf>
    <xf numFmtId="14" fontId="0" fillId="9" borderId="0" xfId="0" applyNumberFormat="1" applyFill="1" applyAlignment="1">
      <alignment horizontal="left"/>
    </xf>
    <xf numFmtId="0" fontId="0" fillId="4" borderId="7" xfId="0" applyFill="1" applyBorder="1" applyAlignment="1" applyProtection="1">
      <alignment vertical="center" wrapText="1"/>
      <protection locked="0"/>
    </xf>
    <xf numFmtId="167" fontId="0" fillId="11" borderId="7" xfId="6" applyNumberFormat="1" applyFont="1" applyFill="1" applyBorder="1"/>
    <xf numFmtId="1" fontId="5" fillId="9" borderId="7" xfId="0" quotePrefix="1" applyNumberFormat="1" applyFont="1" applyFill="1" applyBorder="1" applyAlignment="1">
      <alignment horizontal="left" vertical="center"/>
    </xf>
    <xf numFmtId="0" fontId="5" fillId="9" borderId="0" xfId="0" applyFont="1" applyFill="1" applyAlignment="1">
      <alignment horizontal="left"/>
    </xf>
    <xf numFmtId="0" fontId="5" fillId="9" borderId="0" xfId="0" applyFont="1" applyFill="1"/>
    <xf numFmtId="14" fontId="5" fillId="9" borderId="0" xfId="0" applyNumberFormat="1" applyFont="1" applyFill="1" applyAlignment="1">
      <alignment horizontal="left"/>
    </xf>
    <xf numFmtId="3" fontId="5" fillId="13" borderId="6" xfId="0" applyNumberFormat="1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3" fontId="5" fillId="13" borderId="7" xfId="0" applyNumberFormat="1" applyFont="1" applyFill="1" applyBorder="1"/>
    <xf numFmtId="166" fontId="5" fillId="13" borderId="7" xfId="2" applyNumberFormat="1" applyFont="1" applyFill="1" applyBorder="1"/>
    <xf numFmtId="167" fontId="5" fillId="13" borderId="7" xfId="1" applyNumberFormat="1" applyFont="1" applyFill="1" applyBorder="1"/>
    <xf numFmtId="0" fontId="5" fillId="13" borderId="7" xfId="0" applyFont="1" applyFill="1" applyBorder="1" applyAlignment="1">
      <alignment horizontal="left"/>
    </xf>
    <xf numFmtId="1" fontId="5" fillId="13" borderId="7" xfId="0" applyNumberFormat="1" applyFont="1" applyFill="1" applyBorder="1" applyAlignment="1">
      <alignment horizontal="left" vertical="center"/>
    </xf>
    <xf numFmtId="0" fontId="5" fillId="13" borderId="7" xfId="0" applyFont="1" applyFill="1" applyBorder="1" applyAlignment="1">
      <alignment horizontal="left" vertical="center"/>
    </xf>
    <xf numFmtId="0" fontId="5" fillId="13" borderId="7" xfId="0" applyFont="1" applyFill="1" applyBorder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/>
    <xf numFmtId="0" fontId="5" fillId="13" borderId="7" xfId="0" applyFont="1" applyFill="1" applyBorder="1"/>
    <xf numFmtId="0" fontId="0" fillId="13" borderId="7" xfId="0" applyFill="1" applyBorder="1" applyAlignment="1">
      <alignment horizontal="center" vertical="center"/>
    </xf>
    <xf numFmtId="166" fontId="0" fillId="13" borderId="7" xfId="2" applyNumberFormat="1" applyFont="1" applyFill="1" applyBorder="1"/>
    <xf numFmtId="167" fontId="0" fillId="13" borderId="7" xfId="1" applyNumberFormat="1" applyFont="1" applyFill="1" applyBorder="1"/>
    <xf numFmtId="0" fontId="0" fillId="13" borderId="7" xfId="0" applyFill="1" applyBorder="1" applyAlignment="1">
      <alignment horizontal="left"/>
    </xf>
    <xf numFmtId="0" fontId="0" fillId="13" borderId="7" xfId="0" applyFill="1" applyBorder="1" applyAlignment="1">
      <alignment horizontal="left" vertical="center"/>
    </xf>
    <xf numFmtId="0" fontId="0" fillId="13" borderId="7" xfId="0" applyFill="1" applyBorder="1" applyAlignment="1">
      <alignment horizontal="center"/>
    </xf>
    <xf numFmtId="1" fontId="0" fillId="13" borderId="7" xfId="0" applyNumberFormat="1" applyFill="1" applyBorder="1" applyAlignment="1">
      <alignment horizontal="left" vertical="center"/>
    </xf>
    <xf numFmtId="0" fontId="5" fillId="13" borderId="7" xfId="0" applyFont="1" applyFill="1" applyBorder="1" applyAlignment="1">
      <alignment wrapText="1"/>
    </xf>
    <xf numFmtId="1" fontId="5" fillId="13" borderId="0" xfId="0" applyNumberFormat="1" applyFont="1" applyFill="1" applyAlignment="1">
      <alignment horizontal="left" vertical="center"/>
    </xf>
    <xf numFmtId="0" fontId="0" fillId="13" borderId="0" xfId="0" applyFill="1" applyAlignment="1" applyProtection="1">
      <alignment horizontal="left" vertical="center"/>
      <protection locked="0"/>
    </xf>
    <xf numFmtId="0" fontId="0" fillId="13" borderId="7" xfId="0" applyFill="1" applyBorder="1"/>
    <xf numFmtId="0" fontId="0" fillId="13" borderId="7" xfId="0" applyFill="1" applyBorder="1" applyAlignment="1" applyProtection="1">
      <alignment vertical="center"/>
      <protection locked="0"/>
    </xf>
    <xf numFmtId="0" fontId="0" fillId="13" borderId="7" xfId="0" applyFill="1" applyBorder="1" applyProtection="1">
      <protection locked="0"/>
    </xf>
    <xf numFmtId="0" fontId="0" fillId="13" borderId="0" xfId="0" applyFill="1" applyProtection="1">
      <protection locked="0"/>
    </xf>
    <xf numFmtId="0" fontId="0" fillId="13" borderId="8" xfId="0" applyFill="1" applyBorder="1" applyAlignment="1">
      <alignment horizontal="center" vertical="center"/>
    </xf>
    <xf numFmtId="0" fontId="0" fillId="13" borderId="8" xfId="0" applyFill="1" applyBorder="1" applyAlignment="1" applyProtection="1">
      <alignment vertical="center"/>
      <protection locked="0"/>
    </xf>
    <xf numFmtId="167" fontId="0" fillId="13" borderId="8" xfId="1" applyNumberFormat="1" applyFont="1" applyFill="1" applyBorder="1"/>
    <xf numFmtId="0" fontId="0" fillId="13" borderId="8" xfId="0" applyFill="1" applyBorder="1" applyAlignment="1">
      <alignment horizontal="left"/>
    </xf>
    <xf numFmtId="1" fontId="0" fillId="13" borderId="8" xfId="0" applyNumberFormat="1" applyFill="1" applyBorder="1" applyAlignment="1">
      <alignment horizontal="left" vertical="center"/>
    </xf>
    <xf numFmtId="0" fontId="0" fillId="13" borderId="8" xfId="0" applyFill="1" applyBorder="1" applyAlignment="1">
      <alignment horizontal="left" vertical="center"/>
    </xf>
    <xf numFmtId="0" fontId="0" fillId="13" borderId="8" xfId="0" applyFill="1" applyBorder="1"/>
    <xf numFmtId="14" fontId="0" fillId="0" borderId="0" xfId="0" applyNumberFormat="1"/>
    <xf numFmtId="0" fontId="5" fillId="4" borderId="7" xfId="0" applyFont="1" applyFill="1" applyBorder="1" applyAlignment="1">
      <alignment vertical="center"/>
    </xf>
    <xf numFmtId="14" fontId="0" fillId="9" borderId="0" xfId="0" applyNumberFormat="1" applyFill="1"/>
    <xf numFmtId="3" fontId="5" fillId="7" borderId="6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" fontId="0" fillId="3" borderId="7" xfId="0" quotePrefix="1" applyNumberFormat="1" applyFill="1" applyBorder="1" applyAlignment="1">
      <alignment horizontal="left" vertical="center"/>
    </xf>
    <xf numFmtId="0" fontId="4" fillId="3" borderId="7" xfId="0" applyFont="1" applyFill="1" applyBorder="1"/>
    <xf numFmtId="166" fontId="3" fillId="3" borderId="7" xfId="5" applyNumberFormat="1" applyFont="1" applyFill="1" applyBorder="1"/>
    <xf numFmtId="0" fontId="0" fillId="4" borderId="0" xfId="0" applyFill="1" applyAlignment="1" applyProtection="1">
      <alignment horizontal="left" vertical="center"/>
      <protection locked="0"/>
    </xf>
    <xf numFmtId="167" fontId="0" fillId="9" borderId="7" xfId="6" applyNumberFormat="1" applyFont="1" applyFill="1" applyBorder="1"/>
    <xf numFmtId="3" fontId="5" fillId="4" borderId="7" xfId="0" applyNumberFormat="1" applyFont="1" applyFill="1" applyBorder="1"/>
    <xf numFmtId="0" fontId="7" fillId="0" borderId="0" xfId="0" applyFont="1"/>
    <xf numFmtId="0" fontId="6" fillId="3" borderId="5" xfId="0" applyFont="1" applyFill="1" applyBorder="1" applyAlignment="1">
      <alignment horizontal="center" vertical="center"/>
    </xf>
    <xf numFmtId="166" fontId="6" fillId="6" borderId="5" xfId="5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8" fillId="4" borderId="6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3" fontId="8" fillId="4" borderId="7" xfId="0" applyNumberFormat="1" applyFont="1" applyFill="1" applyBorder="1"/>
    <xf numFmtId="166" fontId="8" fillId="4" borderId="7" xfId="5" applyNumberFormat="1" applyFont="1" applyFill="1" applyBorder="1"/>
    <xf numFmtId="167" fontId="8" fillId="4" borderId="7" xfId="6" applyNumberFormat="1" applyFont="1" applyFill="1" applyBorder="1"/>
    <xf numFmtId="0" fontId="8" fillId="4" borderId="7" xfId="0" applyFont="1" applyFill="1" applyBorder="1" applyAlignment="1">
      <alignment horizontal="left"/>
    </xf>
    <xf numFmtId="14" fontId="7" fillId="4" borderId="0" xfId="0" applyNumberFormat="1" applyFont="1" applyFill="1"/>
    <xf numFmtId="0" fontId="7" fillId="4" borderId="0" xfId="0" applyFont="1" applyFill="1"/>
    <xf numFmtId="3" fontId="8" fillId="3" borderId="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/>
    <xf numFmtId="166" fontId="8" fillId="6" borderId="7" xfId="5" applyNumberFormat="1" applyFont="1" applyFill="1" applyBorder="1"/>
    <xf numFmtId="167" fontId="8" fillId="6" borderId="7" xfId="6" applyNumberFormat="1" applyFont="1" applyFill="1" applyBorder="1"/>
    <xf numFmtId="0" fontId="8" fillId="3" borderId="7" xfId="0" applyFont="1" applyFill="1" applyBorder="1" applyAlignment="1">
      <alignment horizontal="left"/>
    </xf>
    <xf numFmtId="0" fontId="8" fillId="4" borderId="7" xfId="0" applyFont="1" applyFill="1" applyBorder="1"/>
    <xf numFmtId="14" fontId="7" fillId="0" borderId="0" xfId="0" applyNumberFormat="1" applyFont="1"/>
    <xf numFmtId="0" fontId="8" fillId="3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166" fontId="7" fillId="6" borderId="7" xfId="5" applyNumberFormat="1" applyFont="1" applyFill="1" applyBorder="1"/>
    <xf numFmtId="167" fontId="7" fillId="6" borderId="7" xfId="6" applyNumberFormat="1" applyFont="1" applyFill="1" applyBorder="1"/>
    <xf numFmtId="0" fontId="7" fillId="3" borderId="7" xfId="0" applyFont="1" applyFill="1" applyBorder="1" applyAlignment="1">
      <alignment horizontal="left"/>
    </xf>
    <xf numFmtId="0" fontId="8" fillId="3" borderId="7" xfId="0" applyFont="1" applyFill="1" applyBorder="1" applyAlignment="1">
      <alignment wrapText="1"/>
    </xf>
    <xf numFmtId="0" fontId="7" fillId="4" borderId="7" xfId="0" applyFont="1" applyFill="1" applyBorder="1" applyAlignment="1">
      <alignment horizontal="center" vertical="center"/>
    </xf>
    <xf numFmtId="167" fontId="7" fillId="4" borderId="7" xfId="6" applyNumberFormat="1" applyFont="1" applyFill="1" applyBorder="1"/>
    <xf numFmtId="0" fontId="7" fillId="3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/>
    </xf>
    <xf numFmtId="166" fontId="7" fillId="4" borderId="7" xfId="5" applyNumberFormat="1" applyFont="1" applyFill="1" applyBorder="1"/>
    <xf numFmtId="0" fontId="7" fillId="0" borderId="7" xfId="0" applyFont="1" applyBorder="1" applyAlignment="1" applyProtection="1">
      <alignment vertical="center" wrapText="1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7" xfId="0" applyFont="1" applyBorder="1" applyProtection="1">
      <protection locked="0"/>
    </xf>
    <xf numFmtId="0" fontId="7" fillId="0" borderId="0" xfId="0" applyFont="1" applyProtection="1">
      <protection locked="0"/>
    </xf>
    <xf numFmtId="0" fontId="7" fillId="0" borderId="7" xfId="0" applyFont="1" applyBorder="1"/>
    <xf numFmtId="3" fontId="8" fillId="9" borderId="6" xfId="0" applyNumberFormat="1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 applyProtection="1">
      <alignment vertical="center"/>
      <protection locked="0"/>
    </xf>
    <xf numFmtId="166" fontId="8" fillId="9" borderId="7" xfId="5" applyNumberFormat="1" applyFont="1" applyFill="1" applyBorder="1"/>
    <xf numFmtId="167" fontId="7" fillId="9" borderId="7" xfId="6" applyNumberFormat="1" applyFont="1" applyFill="1" applyBorder="1"/>
    <xf numFmtId="167" fontId="8" fillId="9" borderId="7" xfId="6" applyNumberFormat="1" applyFont="1" applyFill="1" applyBorder="1"/>
    <xf numFmtId="0" fontId="7" fillId="9" borderId="7" xfId="0" applyFont="1" applyFill="1" applyBorder="1" applyAlignment="1">
      <alignment horizontal="left"/>
    </xf>
    <xf numFmtId="14" fontId="7" fillId="9" borderId="0" xfId="0" applyNumberFormat="1" applyFont="1" applyFill="1"/>
    <xf numFmtId="0" fontId="7" fillId="9" borderId="0" xfId="0" applyFont="1" applyFill="1"/>
    <xf numFmtId="0" fontId="7" fillId="3" borderId="8" xfId="0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167" fontId="7" fillId="6" borderId="8" xfId="6" applyNumberFormat="1" applyFont="1" applyFill="1" applyBorder="1"/>
    <xf numFmtId="0" fontId="7" fillId="3" borderId="8" xfId="0" applyFont="1" applyFill="1" applyBorder="1" applyAlignment="1">
      <alignment horizontal="left"/>
    </xf>
    <xf numFmtId="0" fontId="7" fillId="3" borderId="7" xfId="0" applyFont="1" applyFill="1" applyBorder="1"/>
    <xf numFmtId="0" fontId="8" fillId="0" borderId="7" xfId="0" applyFont="1" applyBorder="1"/>
    <xf numFmtId="0" fontId="8" fillId="0" borderId="7" xfId="0" applyFont="1" applyBorder="1" applyAlignment="1" applyProtection="1">
      <alignment vertical="center"/>
      <protection locked="0"/>
    </xf>
    <xf numFmtId="166" fontId="15" fillId="3" borderId="7" xfId="5" applyNumberFormat="1" applyFont="1" applyFill="1" applyBorder="1"/>
    <xf numFmtId="0" fontId="7" fillId="4" borderId="7" xfId="0" applyFont="1" applyFill="1" applyBorder="1" applyAlignment="1" applyProtection="1">
      <alignment vertical="center"/>
      <protection locked="0"/>
    </xf>
    <xf numFmtId="0" fontId="8" fillId="9" borderId="7" xfId="0" applyFont="1" applyFill="1" applyBorder="1"/>
    <xf numFmtId="0" fontId="8" fillId="9" borderId="7" xfId="0" applyFont="1" applyFill="1" applyBorder="1" applyAlignment="1">
      <alignment horizontal="left"/>
    </xf>
    <xf numFmtId="167" fontId="8" fillId="3" borderId="7" xfId="6" applyNumberFormat="1" applyFont="1" applyFill="1" applyBorder="1"/>
    <xf numFmtId="1" fontId="8" fillId="3" borderId="7" xfId="0" applyNumberFormat="1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/>
    </xf>
    <xf numFmtId="1" fontId="7" fillId="3" borderId="7" xfId="0" applyNumberFormat="1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/>
    <xf numFmtId="167" fontId="8" fillId="10" borderId="7" xfId="6" applyNumberFormat="1" applyFont="1" applyFill="1" applyBorder="1"/>
    <xf numFmtId="0" fontId="8" fillId="10" borderId="7" xfId="0" applyFont="1" applyFill="1" applyBorder="1" applyAlignment="1">
      <alignment horizontal="left"/>
    </xf>
    <xf numFmtId="1" fontId="8" fillId="10" borderId="7" xfId="0" applyNumberFormat="1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left" vertical="center"/>
    </xf>
    <xf numFmtId="0" fontId="8" fillId="5" borderId="7" xfId="0" applyFont="1" applyFill="1" applyBorder="1"/>
    <xf numFmtId="167" fontId="8" fillId="5" borderId="7" xfId="6" applyNumberFormat="1" applyFont="1" applyFill="1" applyBorder="1"/>
    <xf numFmtId="0" fontId="7" fillId="5" borderId="0" xfId="0" applyFont="1" applyFill="1"/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/>
    </xf>
    <xf numFmtId="1" fontId="7" fillId="5" borderId="7" xfId="0" applyNumberFormat="1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left" vertical="center"/>
    </xf>
    <xf numFmtId="1" fontId="8" fillId="9" borderId="7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1" fontId="7" fillId="9" borderId="7" xfId="0" applyNumberFormat="1" applyFont="1" applyFill="1" applyBorder="1" applyAlignment="1">
      <alignment horizontal="left" vertical="center"/>
    </xf>
    <xf numFmtId="0" fontId="7" fillId="9" borderId="7" xfId="0" applyFont="1" applyFill="1" applyBorder="1"/>
    <xf numFmtId="0" fontId="8" fillId="9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7" xfId="0" applyFont="1" applyFill="1" applyBorder="1" applyProtection="1">
      <protection locked="0"/>
    </xf>
    <xf numFmtId="0" fontId="8" fillId="9" borderId="7" xfId="0" applyFont="1" applyFill="1" applyBorder="1" applyAlignment="1" applyProtection="1">
      <alignment vertical="center"/>
      <protection locked="0"/>
    </xf>
    <xf numFmtId="168" fontId="10" fillId="3" borderId="7" xfId="5" applyNumberFormat="1" applyFont="1" applyFill="1" applyBorder="1"/>
    <xf numFmtId="166" fontId="10" fillId="3" borderId="7" xfId="5" applyNumberFormat="1" applyFont="1" applyFill="1" applyBorder="1"/>
    <xf numFmtId="0" fontId="5" fillId="0" borderId="7" xfId="0" applyFont="1" applyBorder="1" applyAlignment="1" applyProtection="1">
      <alignment vertical="center"/>
      <protection locked="0"/>
    </xf>
    <xf numFmtId="0" fontId="0" fillId="0" borderId="7" xfId="0" applyBorder="1"/>
    <xf numFmtId="1" fontId="0" fillId="3" borderId="0" xfId="0" applyNumberFormat="1" applyFill="1" applyAlignment="1">
      <alignment horizontal="left" vertical="center"/>
    </xf>
    <xf numFmtId="0" fontId="0" fillId="0" borderId="7" xfId="0" applyBorder="1" applyAlignment="1" applyProtection="1">
      <alignment vertical="center" wrapText="1"/>
      <protection locked="0"/>
    </xf>
    <xf numFmtId="0" fontId="0" fillId="9" borderId="7" xfId="0" applyFill="1" applyBorder="1" applyAlignment="1">
      <alignment horizontal="center"/>
    </xf>
    <xf numFmtId="0" fontId="5" fillId="9" borderId="7" xfId="0" applyFont="1" applyFill="1" applyBorder="1" applyAlignment="1">
      <alignment wrapText="1"/>
    </xf>
    <xf numFmtId="166" fontId="0" fillId="9" borderId="7" xfId="5" applyNumberFormat="1" applyFont="1" applyFill="1" applyBorder="1"/>
    <xf numFmtId="0" fontId="8" fillId="9" borderId="7" xfId="0" applyFont="1" applyFill="1" applyBorder="1" applyAlignment="1">
      <alignment vertical="center"/>
    </xf>
    <xf numFmtId="3" fontId="5" fillId="9" borderId="7" xfId="0" applyNumberFormat="1" applyFont="1" applyFill="1" applyBorder="1"/>
    <xf numFmtId="0" fontId="5" fillId="3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left" vertical="center"/>
    </xf>
    <xf numFmtId="1" fontId="5" fillId="3" borderId="16" xfId="0" applyNumberFormat="1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/>
    </xf>
    <xf numFmtId="167" fontId="5" fillId="3" borderId="16" xfId="6" applyNumberFormat="1" applyFont="1" applyFill="1" applyBorder="1"/>
    <xf numFmtId="166" fontId="5" fillId="3" borderId="16" xfId="5" applyNumberFormat="1" applyFont="1" applyFill="1" applyBorder="1"/>
    <xf numFmtId="3" fontId="5" fillId="3" borderId="16" xfId="0" applyNumberFormat="1" applyFont="1" applyFill="1" applyBorder="1"/>
    <xf numFmtId="0" fontId="5" fillId="3" borderId="1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 wrapText="1"/>
    </xf>
    <xf numFmtId="168" fontId="4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0" fillId="9" borderId="7" xfId="0" applyFill="1" applyBorder="1" applyProtection="1">
      <protection locked="0"/>
    </xf>
    <xf numFmtId="0" fontId="5" fillId="9" borderId="17" xfId="0" applyFont="1" applyFill="1" applyBorder="1" applyAlignment="1">
      <alignment horizontal="left" vertical="center"/>
    </xf>
    <xf numFmtId="1" fontId="0" fillId="9" borderId="7" xfId="0" quotePrefix="1" applyNumberFormat="1" applyFill="1" applyBorder="1" applyAlignment="1">
      <alignment horizontal="left" vertical="center"/>
    </xf>
    <xf numFmtId="166" fontId="5" fillId="8" borderId="7" xfId="5" applyNumberFormat="1" applyFont="1" applyFill="1" applyBorder="1"/>
    <xf numFmtId="167" fontId="5" fillId="8" borderId="7" xfId="6" applyNumberFormat="1" applyFont="1" applyFill="1" applyBorder="1"/>
    <xf numFmtId="43" fontId="0" fillId="0" borderId="0" xfId="0" applyNumberFormat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left"/>
    </xf>
    <xf numFmtId="167" fontId="5" fillId="3" borderId="16" xfId="6" applyNumberFormat="1" applyFont="1" applyFill="1" applyBorder="1" applyAlignment="1">
      <alignment horizontal="left"/>
    </xf>
    <xf numFmtId="167" fontId="5" fillId="3" borderId="7" xfId="6" applyNumberFormat="1" applyFont="1" applyFill="1" applyBorder="1" applyAlignment="1">
      <alignment horizontal="center"/>
    </xf>
    <xf numFmtId="167" fontId="5" fillId="3" borderId="8" xfId="6" applyNumberFormat="1" applyFont="1" applyFill="1" applyBorder="1" applyAlignment="1">
      <alignment horizontal="center"/>
    </xf>
    <xf numFmtId="43" fontId="10" fillId="3" borderId="7" xfId="6" applyFont="1" applyFill="1" applyBorder="1"/>
    <xf numFmtId="0" fontId="7" fillId="9" borderId="0" xfId="0" applyFont="1" applyFill="1" applyAlignment="1">
      <alignment horizontal="left"/>
    </xf>
    <xf numFmtId="14" fontId="7" fillId="9" borderId="0" xfId="0" applyNumberFormat="1" applyFont="1" applyFill="1" applyAlignment="1">
      <alignment horizontal="left"/>
    </xf>
    <xf numFmtId="14" fontId="7" fillId="9" borderId="0" xfId="0" applyNumberFormat="1" applyFont="1" applyFill="1" applyAlignment="1">
      <alignment horizontal="center"/>
    </xf>
    <xf numFmtId="167" fontId="5" fillId="9" borderId="7" xfId="6" applyNumberFormat="1" applyFont="1" applyFill="1" applyBorder="1" applyAlignment="1">
      <alignment horizontal="center"/>
    </xf>
    <xf numFmtId="167" fontId="5" fillId="9" borderId="16" xfId="6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166" fontId="10" fillId="3" borderId="7" xfId="5" applyNumberFormat="1" applyFont="1" applyFill="1" applyBorder="1" applyAlignment="1">
      <alignment horizontal="right"/>
    </xf>
    <xf numFmtId="166" fontId="5" fillId="3" borderId="7" xfId="5" applyNumberFormat="1" applyFont="1" applyFill="1" applyBorder="1" applyAlignment="1">
      <alignment horizontal="right"/>
    </xf>
    <xf numFmtId="166" fontId="0" fillId="3" borderId="7" xfId="5" applyNumberFormat="1" applyFont="1" applyFill="1" applyBorder="1" applyAlignment="1">
      <alignment horizontal="right"/>
    </xf>
    <xf numFmtId="166" fontId="5" fillId="9" borderId="7" xfId="5" applyNumberFormat="1" applyFont="1" applyFill="1" applyBorder="1" applyAlignment="1">
      <alignment horizontal="right"/>
    </xf>
    <xf numFmtId="0" fontId="5" fillId="9" borderId="7" xfId="0" applyFont="1" applyFill="1" applyBorder="1" applyAlignment="1" applyProtection="1">
      <alignment vertical="center"/>
      <protection locked="0"/>
    </xf>
    <xf numFmtId="166" fontId="0" fillId="9" borderId="7" xfId="5" applyNumberFormat="1" applyFont="1" applyFill="1" applyBorder="1" applyAlignment="1">
      <alignment horizontal="right"/>
    </xf>
    <xf numFmtId="166" fontId="5" fillId="11" borderId="7" xfId="5" applyNumberFormat="1" applyFont="1" applyFill="1" applyBorder="1" applyAlignment="1">
      <alignment horizontal="right"/>
    </xf>
    <xf numFmtId="167" fontId="5" fillId="11" borderId="7" xfId="6" applyNumberFormat="1" applyFont="1" applyFill="1" applyBorder="1" applyAlignment="1">
      <alignment horizontal="center"/>
    </xf>
    <xf numFmtId="167" fontId="5" fillId="11" borderId="16" xfId="6" applyNumberFormat="1" applyFont="1" applyFill="1" applyBorder="1" applyAlignment="1">
      <alignment horizontal="left"/>
    </xf>
    <xf numFmtId="167" fontId="5" fillId="8" borderId="7" xfId="6" applyNumberFormat="1" applyFont="1" applyFill="1" applyBorder="1" applyAlignment="1">
      <alignment horizontal="center"/>
    </xf>
    <xf numFmtId="167" fontId="5" fillId="8" borderId="16" xfId="6" applyNumberFormat="1" applyFont="1" applyFill="1" applyBorder="1" applyAlignment="1">
      <alignment horizontal="left"/>
    </xf>
    <xf numFmtId="166" fontId="5" fillId="9" borderId="7" xfId="0" applyNumberFormat="1" applyFont="1" applyFill="1" applyBorder="1" applyAlignment="1">
      <alignment horizontal="right"/>
    </xf>
    <xf numFmtId="0" fontId="14" fillId="9" borderId="0" xfId="0" applyFont="1" applyFill="1"/>
    <xf numFmtId="0" fontId="7" fillId="3" borderId="7" xfId="0" applyFont="1" applyFill="1" applyBorder="1" applyAlignment="1">
      <alignment horizontal="right"/>
    </xf>
    <xf numFmtId="0" fontId="6" fillId="3" borderId="7" xfId="0" applyFont="1" applyFill="1" applyBorder="1" applyAlignment="1">
      <alignment horizontal="center" vertical="center"/>
    </xf>
    <xf numFmtId="166" fontId="6" fillId="3" borderId="7" xfId="5" applyNumberFormat="1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horizontal="center" vertical="center" wrapText="1"/>
    </xf>
    <xf numFmtId="168" fontId="6" fillId="3" borderId="7" xfId="0" applyNumberFormat="1" applyFont="1" applyFill="1" applyBorder="1" applyAlignment="1">
      <alignment horizontal="center" vertical="center" wrapText="1"/>
    </xf>
    <xf numFmtId="1" fontId="6" fillId="3" borderId="7" xfId="0" applyNumberFormat="1" applyFont="1" applyFill="1" applyBorder="1" applyAlignment="1">
      <alignment horizontal="center" vertical="center" wrapText="1"/>
    </xf>
    <xf numFmtId="3" fontId="8" fillId="3" borderId="7" xfId="0" applyNumberFormat="1" applyFont="1" applyFill="1" applyBorder="1"/>
    <xf numFmtId="166" fontId="8" fillId="3" borderId="7" xfId="5" applyNumberFormat="1" applyFont="1" applyFill="1" applyBorder="1" applyAlignment="1">
      <alignment horizontal="right"/>
    </xf>
    <xf numFmtId="0" fontId="8" fillId="3" borderId="7" xfId="0" applyFont="1" applyFill="1" applyBorder="1" applyAlignment="1" applyProtection="1">
      <alignment vertical="center"/>
      <protection locked="0"/>
    </xf>
    <xf numFmtId="166" fontId="7" fillId="3" borderId="7" xfId="5" applyNumberFormat="1" applyFont="1" applyFill="1" applyBorder="1" applyAlignment="1">
      <alignment horizontal="right"/>
    </xf>
    <xf numFmtId="0" fontId="7" fillId="3" borderId="7" xfId="0" applyFont="1" applyFill="1" applyBorder="1" applyAlignment="1" applyProtection="1">
      <alignment vertical="center" wrapText="1"/>
      <protection locked="0"/>
    </xf>
    <xf numFmtId="0" fontId="7" fillId="3" borderId="7" xfId="0" applyFont="1" applyFill="1" applyBorder="1" applyAlignment="1" applyProtection="1">
      <alignment vertical="center"/>
      <protection locked="0"/>
    </xf>
    <xf numFmtId="0" fontId="7" fillId="3" borderId="7" xfId="0" applyFont="1" applyFill="1" applyBorder="1" applyProtection="1">
      <protection locked="0"/>
    </xf>
    <xf numFmtId="1" fontId="7" fillId="3" borderId="7" xfId="0" quotePrefix="1" applyNumberFormat="1" applyFont="1" applyFill="1" applyBorder="1" applyAlignment="1">
      <alignment horizontal="left" vertical="center"/>
    </xf>
    <xf numFmtId="1" fontId="8" fillId="3" borderId="7" xfId="0" quotePrefix="1" applyNumberFormat="1" applyFont="1" applyFill="1" applyBorder="1" applyAlignment="1">
      <alignment horizontal="left" vertical="center"/>
    </xf>
    <xf numFmtId="166" fontId="15" fillId="3" borderId="7" xfId="5" applyNumberFormat="1" applyFont="1" applyFill="1" applyBorder="1" applyAlignment="1">
      <alignment horizontal="right"/>
    </xf>
    <xf numFmtId="168" fontId="15" fillId="3" borderId="7" xfId="5" applyNumberFormat="1" applyFont="1" applyFill="1" applyBorder="1"/>
    <xf numFmtId="1" fontId="7" fillId="3" borderId="7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right"/>
    </xf>
    <xf numFmtId="166" fontId="8" fillId="9" borderId="7" xfId="5" applyNumberFormat="1" applyFont="1" applyFill="1" applyBorder="1" applyAlignment="1">
      <alignment horizontal="right"/>
    </xf>
    <xf numFmtId="1" fontId="0" fillId="9" borderId="0" xfId="0" applyNumberFormat="1" applyFill="1" applyAlignment="1">
      <alignment horizontal="left" vertical="center"/>
    </xf>
    <xf numFmtId="166" fontId="8" fillId="5" borderId="7" xfId="5" applyNumberFormat="1" applyFont="1" applyFill="1" applyBorder="1" applyAlignment="1">
      <alignment horizontal="right"/>
    </xf>
    <xf numFmtId="0" fontId="7" fillId="5" borderId="7" xfId="0" applyFont="1" applyFill="1" applyBorder="1" applyAlignment="1">
      <alignment horizontal="center"/>
    </xf>
    <xf numFmtId="166" fontId="5" fillId="5" borderId="7" xfId="5" applyNumberFormat="1" applyFont="1" applyFill="1" applyBorder="1" applyAlignment="1">
      <alignment horizontal="right"/>
    </xf>
    <xf numFmtId="167" fontId="5" fillId="5" borderId="7" xfId="6" applyNumberFormat="1" applyFont="1" applyFill="1" applyBorder="1"/>
    <xf numFmtId="0" fontId="18" fillId="9" borderId="0" xfId="0" applyFont="1" applyFill="1"/>
    <xf numFmtId="166" fontId="5" fillId="5" borderId="7" xfId="5" applyNumberFormat="1" applyFont="1" applyFill="1" applyBorder="1"/>
    <xf numFmtId="0" fontId="0" fillId="5" borderId="7" xfId="0" applyFill="1" applyBorder="1" applyAlignment="1" applyProtection="1">
      <alignment vertical="center"/>
      <protection locked="0"/>
    </xf>
    <xf numFmtId="0" fontId="3" fillId="5" borderId="0" xfId="0" applyFont="1" applyFill="1"/>
    <xf numFmtId="167" fontId="5" fillId="5" borderId="7" xfId="6" applyNumberFormat="1" applyFont="1" applyFill="1" applyBorder="1" applyAlignment="1">
      <alignment horizontal="center"/>
    </xf>
    <xf numFmtId="167" fontId="5" fillId="5" borderId="16" xfId="6" applyNumberFormat="1" applyFont="1" applyFill="1" applyBorder="1" applyAlignment="1">
      <alignment horizontal="left"/>
    </xf>
    <xf numFmtId="0" fontId="0" fillId="3" borderId="7" xfId="0" applyFill="1" applyBorder="1" applyAlignment="1">
      <alignment horizontal="right"/>
    </xf>
    <xf numFmtId="166" fontId="4" fillId="3" borderId="7" xfId="5" applyNumberFormat="1" applyFont="1" applyFill="1" applyBorder="1" applyAlignment="1">
      <alignment horizontal="right" vertical="center" wrapText="1"/>
    </xf>
    <xf numFmtId="0" fontId="5" fillId="3" borderId="7" xfId="0" applyFont="1" applyFill="1" applyBorder="1" applyAlignment="1" applyProtection="1">
      <alignment vertical="center"/>
      <protection locked="0"/>
    </xf>
    <xf numFmtId="0" fontId="8" fillId="3" borderId="7" xfId="0" applyFont="1" applyFill="1" applyBorder="1" applyAlignment="1">
      <alignment vertical="center"/>
    </xf>
    <xf numFmtId="0" fontId="0" fillId="3" borderId="7" xfId="0" applyFill="1" applyBorder="1" applyAlignment="1" applyProtection="1">
      <alignment vertical="center" wrapText="1"/>
      <protection locked="0"/>
    </xf>
    <xf numFmtId="0" fontId="0" fillId="3" borderId="7" xfId="0" applyFill="1" applyBorder="1" applyAlignment="1" applyProtection="1">
      <alignment vertical="center"/>
      <protection locked="0"/>
    </xf>
    <xf numFmtId="0" fontId="0" fillId="3" borderId="7" xfId="0" applyFill="1" applyBorder="1" applyProtection="1">
      <protection locked="0"/>
    </xf>
    <xf numFmtId="3" fontId="8" fillId="9" borderId="7" xfId="0" applyNumberFormat="1" applyFont="1" applyFill="1" applyBorder="1"/>
    <xf numFmtId="166" fontId="8" fillId="9" borderId="7" xfId="0" applyNumberFormat="1" applyFont="1" applyFill="1" applyBorder="1" applyAlignment="1">
      <alignment horizontal="right"/>
    </xf>
    <xf numFmtId="3" fontId="8" fillId="9" borderId="0" xfId="0" applyNumberFormat="1" applyFont="1" applyFill="1" applyAlignment="1">
      <alignment horizontal="left"/>
    </xf>
    <xf numFmtId="0" fontId="8" fillId="10" borderId="7" xfId="0" applyFont="1" applyFill="1" applyBorder="1" applyAlignment="1" applyProtection="1">
      <alignment vertical="center"/>
      <protection locked="0"/>
    </xf>
    <xf numFmtId="166" fontId="8" fillId="10" borderId="7" xfId="5" applyNumberFormat="1" applyFont="1" applyFill="1" applyBorder="1" applyAlignment="1">
      <alignment horizontal="right"/>
    </xf>
    <xf numFmtId="0" fontId="7" fillId="10" borderId="0" xfId="0" applyFont="1" applyFill="1"/>
    <xf numFmtId="0" fontId="5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 applyProtection="1">
      <alignment vertical="center"/>
      <protection locked="0"/>
    </xf>
    <xf numFmtId="166" fontId="5" fillId="10" borderId="7" xfId="5" applyNumberFormat="1" applyFont="1" applyFill="1" applyBorder="1" applyAlignment="1">
      <alignment horizontal="right"/>
    </xf>
    <xf numFmtId="167" fontId="5" fillId="10" borderId="7" xfId="6" applyNumberFormat="1" applyFont="1" applyFill="1" applyBorder="1"/>
    <xf numFmtId="0" fontId="5" fillId="10" borderId="7" xfId="0" applyFont="1" applyFill="1" applyBorder="1" applyAlignment="1">
      <alignment horizontal="left" vertical="center"/>
    </xf>
    <xf numFmtId="1" fontId="5" fillId="10" borderId="7" xfId="0" applyNumberFormat="1" applyFont="1" applyFill="1" applyBorder="1" applyAlignment="1">
      <alignment horizontal="left" vertical="center"/>
    </xf>
    <xf numFmtId="0" fontId="8" fillId="9" borderId="7" xfId="0" applyFont="1" applyFill="1" applyBorder="1" applyAlignment="1">
      <alignment wrapText="1"/>
    </xf>
    <xf numFmtId="0" fontId="5" fillId="10" borderId="7" xfId="0" applyFont="1" applyFill="1" applyBorder="1"/>
    <xf numFmtId="0" fontId="5" fillId="10" borderId="7" xfId="0" applyFont="1" applyFill="1" applyBorder="1" applyAlignment="1">
      <alignment horizontal="left"/>
    </xf>
    <xf numFmtId="1" fontId="8" fillId="10" borderId="7" xfId="0" quotePrefix="1" applyNumberFormat="1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/>
    </xf>
    <xf numFmtId="1" fontId="7" fillId="10" borderId="7" xfId="0" applyNumberFormat="1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center"/>
    </xf>
    <xf numFmtId="166" fontId="7" fillId="9" borderId="7" xfId="5" applyNumberFormat="1" applyFont="1" applyFill="1" applyBorder="1" applyAlignment="1">
      <alignment horizontal="right"/>
    </xf>
    <xf numFmtId="0" fontId="7" fillId="3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43" fontId="14" fillId="3" borderId="0" xfId="0" applyNumberFormat="1" applyFont="1" applyFill="1"/>
    <xf numFmtId="0" fontId="0" fillId="10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left"/>
    </xf>
    <xf numFmtId="1" fontId="5" fillId="10" borderId="7" xfId="0" quotePrefix="1" applyNumberFormat="1" applyFont="1" applyFill="1" applyBorder="1" applyAlignment="1">
      <alignment horizontal="left" vertical="center"/>
    </xf>
    <xf numFmtId="14" fontId="7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left"/>
    </xf>
    <xf numFmtId="166" fontId="5" fillId="3" borderId="7" xfId="0" applyNumberFormat="1" applyFont="1" applyFill="1" applyBorder="1" applyAlignment="1">
      <alignment horizontal="right"/>
    </xf>
    <xf numFmtId="43" fontId="0" fillId="3" borderId="0" xfId="0" applyNumberFormat="1" applyFill="1"/>
    <xf numFmtId="0" fontId="19" fillId="0" borderId="7" xfId="0" applyFont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19" fillId="3" borderId="7" xfId="0" applyFont="1" applyFill="1" applyBorder="1" applyAlignment="1">
      <alignment vertical="center"/>
    </xf>
    <xf numFmtId="168" fontId="4" fillId="14" borderId="8" xfId="0" applyNumberFormat="1" applyFont="1" applyFill="1" applyBorder="1" applyAlignment="1">
      <alignment vertical="center" wrapText="1"/>
    </xf>
    <xf numFmtId="168" fontId="4" fillId="14" borderId="16" xfId="0" applyNumberFormat="1" applyFont="1" applyFill="1" applyBorder="1" applyAlignment="1">
      <alignment vertical="center" wrapText="1"/>
    </xf>
    <xf numFmtId="0" fontId="4" fillId="14" borderId="8" xfId="0" applyFont="1" applyFill="1" applyBorder="1" applyAlignment="1">
      <alignment vertical="center" wrapText="1"/>
    </xf>
    <xf numFmtId="0" fontId="4" fillId="14" borderId="16" xfId="0" applyFont="1" applyFill="1" applyBorder="1" applyAlignment="1">
      <alignment vertical="center" wrapText="1"/>
    </xf>
    <xf numFmtId="166" fontId="4" fillId="14" borderId="8" xfId="5" applyNumberFormat="1" applyFont="1" applyFill="1" applyBorder="1" applyAlignment="1">
      <alignment vertical="center" wrapText="1"/>
    </xf>
    <xf numFmtId="166" fontId="4" fillId="14" borderId="16" xfId="5" applyNumberFormat="1" applyFont="1" applyFill="1" applyBorder="1" applyAlignment="1">
      <alignment vertical="center" wrapText="1"/>
    </xf>
    <xf numFmtId="0" fontId="4" fillId="14" borderId="8" xfId="0" applyFont="1" applyFill="1" applyBorder="1" applyAlignment="1">
      <alignment vertical="center"/>
    </xf>
    <xf numFmtId="0" fontId="4" fillId="14" borderId="16" xfId="0" applyFont="1" applyFill="1" applyBorder="1" applyAlignment="1">
      <alignment vertical="center"/>
    </xf>
    <xf numFmtId="0" fontId="4" fillId="2" borderId="2" xfId="4" applyFont="1" applyBorder="1" applyAlignment="1">
      <alignment horizontal="center" vertical="center"/>
    </xf>
    <xf numFmtId="0" fontId="4" fillId="2" borderId="3" xfId="4" applyFont="1" applyBorder="1" applyAlignment="1">
      <alignment horizontal="center" vertical="center"/>
    </xf>
    <xf numFmtId="0" fontId="4" fillId="2" borderId="4" xfId="4" applyFont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6" fillId="2" borderId="2" xfId="4" applyFont="1" applyBorder="1" applyAlignment="1">
      <alignment horizontal="center" vertical="center"/>
    </xf>
    <xf numFmtId="0" fontId="6" fillId="2" borderId="3" xfId="4" applyFont="1" applyBorder="1" applyAlignment="1">
      <alignment horizontal="center" vertical="center"/>
    </xf>
    <xf numFmtId="168" fontId="4" fillId="14" borderId="8" xfId="0" applyNumberFormat="1" applyFont="1" applyFill="1" applyBorder="1" applyAlignment="1">
      <alignment horizontal="center" vertical="center" wrapText="1"/>
    </xf>
    <xf numFmtId="168" fontId="4" fillId="14" borderId="16" xfId="0" applyNumberFormat="1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166" fontId="4" fillId="14" borderId="8" xfId="5" applyNumberFormat="1" applyFont="1" applyFill="1" applyBorder="1" applyAlignment="1">
      <alignment horizontal="center" vertical="center" wrapText="1"/>
    </xf>
    <xf numFmtId="166" fontId="4" fillId="14" borderId="16" xfId="5" applyNumberFormat="1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 wrapText="1"/>
    </xf>
  </cellXfs>
  <cellStyles count="8">
    <cellStyle name="Calculation" xfId="4" builtinId="22"/>
    <cellStyle name="Comma" xfId="1" builtinId="3"/>
    <cellStyle name="Comma [0]" xfId="2" builtinId="6"/>
    <cellStyle name="Comma [0] 2" xfId="5" xr:uid="{89BEC50C-843F-4D7D-938B-26D891BE848E}"/>
    <cellStyle name="Comma 2" xfId="6" xr:uid="{9298FDB9-C70C-488A-8E45-24C650E3DA13}"/>
    <cellStyle name="Normal" xfId="0" builtinId="0"/>
    <cellStyle name="Normal 2" xfId="7" xr:uid="{488E4DCA-407E-4468-9662-D7BF13F3C10E}"/>
    <cellStyle name="Percent" xfId="3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3A7E-D427-4AC8-93B5-80D1F2AD7C18}">
  <dimension ref="A1:Q137"/>
  <sheetViews>
    <sheetView view="pageBreakPreview" topLeftCell="A56" zoomScale="93" zoomScaleNormal="100" zoomScaleSheetLayoutView="93" workbookViewId="0">
      <selection activeCell="C81" sqref="C81"/>
    </sheetView>
  </sheetViews>
  <sheetFormatPr defaultRowHeight="15" x14ac:dyDescent="0.25"/>
  <cols>
    <col min="1" max="1" width="4" bestFit="1" customWidth="1"/>
    <col min="2" max="2" width="12.5703125" bestFit="1" customWidth="1"/>
    <col min="3" max="3" width="45.5703125" bestFit="1" customWidth="1"/>
    <col min="4" max="4" width="18.7109375" bestFit="1" customWidth="1"/>
    <col min="5" max="5" width="7" bestFit="1" customWidth="1"/>
    <col min="6" max="8" width="16.7109375" bestFit="1" customWidth="1"/>
    <col min="9" max="9" width="11.7109375" customWidth="1"/>
    <col min="10" max="10" width="17.28515625" hidden="1" customWidth="1"/>
    <col min="11" max="11" width="17" hidden="1" customWidth="1"/>
    <col min="12" max="12" width="14.7109375" hidden="1" customWidth="1"/>
    <col min="13" max="13" width="12.42578125" bestFit="1" customWidth="1"/>
    <col min="14" max="14" width="14.7109375" style="155" customWidth="1"/>
    <col min="15" max="17" width="10.42578125" style="155" bestFit="1" customWidth="1"/>
  </cols>
  <sheetData>
    <row r="1" spans="1:17" s="1" customFormat="1" x14ac:dyDescent="0.25">
      <c r="A1" s="487" t="s">
        <v>0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40"/>
      <c r="O1" s="140"/>
      <c r="P1" s="140"/>
      <c r="Q1" s="140"/>
    </row>
    <row r="2" spans="1:17" s="6" customFormat="1" ht="30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4"/>
      <c r="H2" s="4"/>
      <c r="I2" s="4" t="s">
        <v>7</v>
      </c>
      <c r="J2" s="5" t="s">
        <v>8</v>
      </c>
      <c r="K2" s="4" t="s">
        <v>9</v>
      </c>
      <c r="L2" s="4"/>
      <c r="M2" s="4"/>
      <c r="N2" s="141"/>
      <c r="O2" s="141"/>
      <c r="P2" s="141"/>
      <c r="Q2" s="141"/>
    </row>
    <row r="3" spans="1:17" s="233" customFormat="1" ht="14.65" customHeight="1" x14ac:dyDescent="0.25">
      <c r="A3" s="223">
        <v>1</v>
      </c>
      <c r="B3" s="224">
        <v>2022</v>
      </c>
      <c r="C3" s="225" t="s">
        <v>45</v>
      </c>
      <c r="D3" s="226">
        <v>40.1</v>
      </c>
      <c r="E3" s="227">
        <v>0.25</v>
      </c>
      <c r="F3" s="227">
        <f t="shared" ref="F3:F66" si="0">E3*D3</f>
        <v>10.025</v>
      </c>
      <c r="G3" s="227">
        <f>F3</f>
        <v>10.025</v>
      </c>
      <c r="H3" s="227">
        <f>F3-G3</f>
        <v>0</v>
      </c>
      <c r="I3" s="228">
        <v>8542496</v>
      </c>
      <c r="J3" s="229" t="s">
        <v>46</v>
      </c>
      <c r="K3" s="230" t="s">
        <v>11</v>
      </c>
      <c r="L3" s="230" t="s">
        <v>47</v>
      </c>
      <c r="M3" s="231">
        <v>99198330</v>
      </c>
      <c r="N3" s="232"/>
      <c r="O3" s="232"/>
      <c r="P3" s="232"/>
      <c r="Q3" s="232"/>
    </row>
    <row r="4" spans="1:17" s="233" customFormat="1" ht="14.65" customHeight="1" x14ac:dyDescent="0.25">
      <c r="A4" s="223">
        <v>2</v>
      </c>
      <c r="B4" s="224">
        <v>2026</v>
      </c>
      <c r="C4" s="234" t="s">
        <v>48</v>
      </c>
      <c r="D4" s="226">
        <v>524</v>
      </c>
      <c r="E4" s="227">
        <v>0.25</v>
      </c>
      <c r="F4" s="227">
        <f t="shared" si="0"/>
        <v>131</v>
      </c>
      <c r="G4" s="227">
        <f>F4</f>
        <v>131</v>
      </c>
      <c r="H4" s="227">
        <f t="shared" ref="H4:H67" si="1">F4-G4</f>
        <v>0</v>
      </c>
      <c r="I4" s="228">
        <v>5352667</v>
      </c>
      <c r="J4" s="229" t="s">
        <v>49</v>
      </c>
      <c r="K4" s="230" t="s">
        <v>50</v>
      </c>
      <c r="L4" s="230" t="s">
        <v>51</v>
      </c>
      <c r="M4" s="231">
        <v>96669695</v>
      </c>
      <c r="N4" s="232"/>
      <c r="O4" s="232"/>
      <c r="P4" s="232"/>
      <c r="Q4" s="232"/>
    </row>
    <row r="5" spans="1:17" s="1" customFormat="1" ht="14.65" customHeight="1" x14ac:dyDescent="0.25">
      <c r="A5" s="47">
        <v>3</v>
      </c>
      <c r="B5" s="8">
        <v>2027</v>
      </c>
      <c r="C5" s="9" t="s">
        <v>52</v>
      </c>
      <c r="D5" s="10">
        <v>110.8</v>
      </c>
      <c r="E5" s="11">
        <v>0.25</v>
      </c>
      <c r="F5" s="11">
        <f t="shared" si="0"/>
        <v>27.7</v>
      </c>
      <c r="G5" s="11">
        <f>26.175+1.525</f>
        <v>27.7</v>
      </c>
      <c r="H5" s="11">
        <f t="shared" si="1"/>
        <v>0</v>
      </c>
      <c r="I5" s="77">
        <v>19187402</v>
      </c>
      <c r="J5" s="91" t="s">
        <v>53</v>
      </c>
      <c r="K5" s="92" t="s">
        <v>11</v>
      </c>
      <c r="L5" s="92" t="s">
        <v>47</v>
      </c>
      <c r="M5" s="12"/>
      <c r="N5" s="59">
        <v>45609</v>
      </c>
      <c r="O5" s="59">
        <v>45637</v>
      </c>
      <c r="P5" s="140"/>
      <c r="Q5" s="140"/>
    </row>
    <row r="6" spans="1:17" s="1" customFormat="1" ht="14.65" customHeight="1" x14ac:dyDescent="0.25">
      <c r="A6" s="47">
        <v>4</v>
      </c>
      <c r="B6" s="8">
        <v>2033</v>
      </c>
      <c r="C6" s="9" t="s">
        <v>19</v>
      </c>
      <c r="D6" s="10">
        <v>578.6</v>
      </c>
      <c r="E6" s="11">
        <v>0.25</v>
      </c>
      <c r="F6" s="11">
        <f t="shared" si="0"/>
        <v>144.65</v>
      </c>
      <c r="G6" s="11">
        <f>F6</f>
        <v>144.65</v>
      </c>
      <c r="H6" s="11">
        <f t="shared" si="1"/>
        <v>0</v>
      </c>
      <c r="I6" s="77">
        <v>1290824</v>
      </c>
      <c r="J6" s="91" t="s">
        <v>54</v>
      </c>
      <c r="K6" s="92" t="s">
        <v>14</v>
      </c>
      <c r="L6" s="92" t="s">
        <v>55</v>
      </c>
      <c r="M6" s="12">
        <v>97064018</v>
      </c>
      <c r="N6" s="59">
        <v>45643</v>
      </c>
      <c r="O6" s="140"/>
      <c r="P6" s="140"/>
      <c r="Q6" s="140"/>
    </row>
    <row r="7" spans="1:17" s="1" customFormat="1" ht="14.65" customHeight="1" x14ac:dyDescent="0.25">
      <c r="A7" s="47">
        <v>5</v>
      </c>
      <c r="B7" s="8">
        <v>2036</v>
      </c>
      <c r="C7" s="9" t="s">
        <v>56</v>
      </c>
      <c r="D7" s="10">
        <v>562.29999999999995</v>
      </c>
      <c r="E7" s="11">
        <v>0.25</v>
      </c>
      <c r="F7" s="11">
        <f t="shared" si="0"/>
        <v>140.57499999999999</v>
      </c>
      <c r="G7" s="11">
        <f>139.825+0.75</f>
        <v>140.57499999999999</v>
      </c>
      <c r="H7" s="11">
        <f t="shared" si="1"/>
        <v>0</v>
      </c>
      <c r="I7" s="77">
        <v>8201282</v>
      </c>
      <c r="J7" s="91" t="s">
        <v>57</v>
      </c>
      <c r="K7" s="92" t="s">
        <v>14</v>
      </c>
      <c r="L7" s="92" t="s">
        <v>55</v>
      </c>
      <c r="M7" s="12">
        <v>91425474</v>
      </c>
      <c r="N7" s="59">
        <v>45600</v>
      </c>
      <c r="O7" s="59">
        <v>45628</v>
      </c>
      <c r="P7" s="140"/>
      <c r="Q7" s="140"/>
    </row>
    <row r="8" spans="1:17" s="1" customFormat="1" ht="14.65" customHeight="1" x14ac:dyDescent="0.25">
      <c r="A8" s="47">
        <v>6</v>
      </c>
      <c r="B8" s="8">
        <v>2051</v>
      </c>
      <c r="C8" s="9" t="s">
        <v>58</v>
      </c>
      <c r="D8" s="10">
        <v>613.79999999999995</v>
      </c>
      <c r="E8" s="11">
        <v>0.25</v>
      </c>
      <c r="F8" s="11">
        <f t="shared" si="0"/>
        <v>153.44999999999999</v>
      </c>
      <c r="G8" s="11">
        <f t="shared" ref="G8:G13" si="2">F8</f>
        <v>153.44999999999999</v>
      </c>
      <c r="H8" s="11">
        <f t="shared" si="1"/>
        <v>0</v>
      </c>
      <c r="I8" s="77">
        <v>575519</v>
      </c>
      <c r="J8" s="91" t="s">
        <v>59</v>
      </c>
      <c r="K8" s="92" t="s">
        <v>14</v>
      </c>
      <c r="L8" s="92" t="s">
        <v>55</v>
      </c>
      <c r="M8" s="8">
        <v>99486262</v>
      </c>
      <c r="N8" s="59">
        <v>45635</v>
      </c>
      <c r="O8" s="140"/>
      <c r="P8" s="140"/>
      <c r="Q8" s="140"/>
    </row>
    <row r="9" spans="1:17" s="233" customFormat="1" ht="14.65" customHeight="1" x14ac:dyDescent="0.25">
      <c r="A9" s="223">
        <v>7</v>
      </c>
      <c r="B9" s="224">
        <v>2095</v>
      </c>
      <c r="C9" s="234" t="s">
        <v>20</v>
      </c>
      <c r="D9" s="226">
        <v>1202</v>
      </c>
      <c r="E9" s="227">
        <v>0.25</v>
      </c>
      <c r="F9" s="227">
        <f t="shared" si="0"/>
        <v>300.5</v>
      </c>
      <c r="G9" s="227">
        <f t="shared" si="2"/>
        <v>300.5</v>
      </c>
      <c r="H9" s="227">
        <f t="shared" si="1"/>
        <v>0</v>
      </c>
      <c r="I9" s="228">
        <v>26224</v>
      </c>
      <c r="J9" s="229" t="s">
        <v>60</v>
      </c>
      <c r="K9" s="230" t="s">
        <v>14</v>
      </c>
      <c r="L9" s="230" t="s">
        <v>55</v>
      </c>
      <c r="M9" s="231">
        <v>96177155</v>
      </c>
      <c r="N9" s="232"/>
      <c r="O9" s="232"/>
      <c r="P9" s="232"/>
      <c r="Q9" s="232"/>
    </row>
    <row r="10" spans="1:17" s="1" customFormat="1" ht="13.9" customHeight="1" x14ac:dyDescent="0.25">
      <c r="A10" s="47">
        <v>8</v>
      </c>
      <c r="B10" s="8">
        <v>2097</v>
      </c>
      <c r="C10" s="9" t="s">
        <v>61</v>
      </c>
      <c r="D10" s="10">
        <v>600.4</v>
      </c>
      <c r="E10" s="11">
        <v>0.25</v>
      </c>
      <c r="F10" s="11">
        <f t="shared" si="0"/>
        <v>150.1</v>
      </c>
      <c r="G10" s="11">
        <f t="shared" si="2"/>
        <v>150.1</v>
      </c>
      <c r="H10" s="11">
        <f t="shared" si="1"/>
        <v>0</v>
      </c>
      <c r="I10" s="77">
        <v>677206</v>
      </c>
      <c r="J10" s="91" t="s">
        <v>62</v>
      </c>
      <c r="K10" s="92" t="s">
        <v>50</v>
      </c>
      <c r="L10" s="92" t="s">
        <v>51</v>
      </c>
      <c r="M10" s="12">
        <v>99083310</v>
      </c>
      <c r="N10" s="59">
        <v>45645</v>
      </c>
      <c r="O10" s="140"/>
      <c r="P10" s="140"/>
      <c r="Q10" s="140"/>
    </row>
    <row r="11" spans="1:17" s="1" customFormat="1" ht="14.65" customHeight="1" x14ac:dyDescent="0.25">
      <c r="A11" s="47">
        <v>9</v>
      </c>
      <c r="B11" s="8">
        <v>2098</v>
      </c>
      <c r="C11" s="9" t="s">
        <v>63</v>
      </c>
      <c r="D11" s="10">
        <v>446.1</v>
      </c>
      <c r="E11" s="11">
        <v>0.25</v>
      </c>
      <c r="F11" s="11">
        <f t="shared" si="0"/>
        <v>111.52500000000001</v>
      </c>
      <c r="G11" s="11">
        <f t="shared" si="2"/>
        <v>111.52500000000001</v>
      </c>
      <c r="H11" s="11">
        <f t="shared" si="1"/>
        <v>0</v>
      </c>
      <c r="I11" s="77">
        <v>1065899</v>
      </c>
      <c r="J11" s="91" t="s">
        <v>64</v>
      </c>
      <c r="K11" s="92" t="s">
        <v>11</v>
      </c>
      <c r="L11" s="92" t="s">
        <v>47</v>
      </c>
      <c r="M11" s="9"/>
      <c r="N11" s="59">
        <v>45637</v>
      </c>
      <c r="O11" s="140"/>
      <c r="P11" s="140"/>
      <c r="Q11" s="140"/>
    </row>
    <row r="12" spans="1:17" s="1" customFormat="1" ht="14.65" customHeight="1" x14ac:dyDescent="0.25">
      <c r="A12" s="47">
        <v>10</v>
      </c>
      <c r="B12" s="8">
        <v>2100</v>
      </c>
      <c r="C12" s="9" t="s">
        <v>65</v>
      </c>
      <c r="D12" s="10">
        <v>1173.7</v>
      </c>
      <c r="E12" s="11">
        <v>0.25</v>
      </c>
      <c r="F12" s="11">
        <f t="shared" si="0"/>
        <v>293.42500000000001</v>
      </c>
      <c r="G12" s="11">
        <f t="shared" si="2"/>
        <v>293.42500000000001</v>
      </c>
      <c r="H12" s="11">
        <f t="shared" si="1"/>
        <v>0</v>
      </c>
      <c r="I12" s="77">
        <v>5550806</v>
      </c>
      <c r="J12" s="91" t="s">
        <v>66</v>
      </c>
      <c r="K12" s="92" t="s">
        <v>15</v>
      </c>
      <c r="L12" s="92" t="s">
        <v>67</v>
      </c>
      <c r="M12" s="12">
        <v>95614480</v>
      </c>
      <c r="N12" s="59">
        <v>45650</v>
      </c>
      <c r="O12" s="140"/>
      <c r="P12" s="140"/>
      <c r="Q12" s="140"/>
    </row>
    <row r="13" spans="1:17" s="1" customFormat="1" ht="14.65" customHeight="1" x14ac:dyDescent="0.25">
      <c r="A13" s="47">
        <v>11</v>
      </c>
      <c r="B13" s="8">
        <v>2101</v>
      </c>
      <c r="C13" s="9" t="s">
        <v>68</v>
      </c>
      <c r="D13" s="10">
        <v>604.4</v>
      </c>
      <c r="E13" s="11">
        <v>0.25</v>
      </c>
      <c r="F13" s="11">
        <f t="shared" si="0"/>
        <v>151.1</v>
      </c>
      <c r="G13" s="11">
        <f t="shared" si="2"/>
        <v>151.1</v>
      </c>
      <c r="H13" s="11">
        <f t="shared" si="1"/>
        <v>0</v>
      </c>
      <c r="I13" s="92">
        <v>1145267</v>
      </c>
      <c r="J13" s="89" t="s">
        <v>69</v>
      </c>
      <c r="K13" s="90" t="s">
        <v>18</v>
      </c>
      <c r="L13" s="90" t="s">
        <v>47</v>
      </c>
      <c r="M13" s="13"/>
      <c r="N13" s="59">
        <v>45663</v>
      </c>
      <c r="O13" s="140"/>
      <c r="P13" s="140"/>
      <c r="Q13" s="140"/>
    </row>
    <row r="14" spans="1:17" s="1" customFormat="1" ht="14.65" customHeight="1" x14ac:dyDescent="0.25">
      <c r="A14" s="47">
        <v>12</v>
      </c>
      <c r="B14" s="8">
        <v>2112</v>
      </c>
      <c r="C14" s="9" t="s">
        <v>71</v>
      </c>
      <c r="D14" s="10">
        <v>1200.8</v>
      </c>
      <c r="E14" s="11">
        <v>0.25</v>
      </c>
      <c r="F14" s="11">
        <f t="shared" si="0"/>
        <v>300.2</v>
      </c>
      <c r="G14" s="11">
        <f>296.975+3.225</f>
        <v>300.20000000000005</v>
      </c>
      <c r="H14" s="11">
        <f t="shared" si="1"/>
        <v>0</v>
      </c>
      <c r="I14" s="77">
        <v>11412524</v>
      </c>
      <c r="J14" s="91" t="s">
        <v>72</v>
      </c>
      <c r="K14" s="92" t="s">
        <v>11</v>
      </c>
      <c r="L14" s="92" t="s">
        <v>47</v>
      </c>
      <c r="M14" s="12">
        <v>93337934</v>
      </c>
      <c r="N14" s="59">
        <v>45600</v>
      </c>
      <c r="O14" s="59">
        <v>45643</v>
      </c>
      <c r="P14" s="140"/>
      <c r="Q14" s="140"/>
    </row>
    <row r="15" spans="1:17" s="1" customFormat="1" ht="14.65" customHeight="1" x14ac:dyDescent="0.25">
      <c r="A15" s="47">
        <v>13</v>
      </c>
      <c r="B15" s="8">
        <v>2120</v>
      </c>
      <c r="C15" s="9" t="s">
        <v>73</v>
      </c>
      <c r="D15" s="10">
        <v>611.9</v>
      </c>
      <c r="E15" s="11">
        <v>0.25</v>
      </c>
      <c r="F15" s="11">
        <f t="shared" si="0"/>
        <v>152.97499999999999</v>
      </c>
      <c r="G15" s="11">
        <f>34.5+115.5+2.975</f>
        <v>152.97499999999999</v>
      </c>
      <c r="H15" s="11">
        <f t="shared" si="1"/>
        <v>0</v>
      </c>
      <c r="I15" s="77">
        <v>1298606</v>
      </c>
      <c r="J15" s="91" t="s">
        <v>74</v>
      </c>
      <c r="K15" s="92" t="s">
        <v>11</v>
      </c>
      <c r="L15" s="92" t="s">
        <v>47</v>
      </c>
      <c r="M15" s="12">
        <v>97064018</v>
      </c>
      <c r="N15" s="59">
        <v>45587</v>
      </c>
      <c r="O15" s="140" t="s">
        <v>292</v>
      </c>
      <c r="P15" s="59">
        <v>45621</v>
      </c>
      <c r="Q15" s="59">
        <v>45628</v>
      </c>
    </row>
    <row r="16" spans="1:17" s="1" customFormat="1" ht="14.65" customHeight="1" x14ac:dyDescent="0.25">
      <c r="A16" s="47">
        <v>14</v>
      </c>
      <c r="B16" s="8">
        <v>2125</v>
      </c>
      <c r="C16" s="48" t="s">
        <v>75</v>
      </c>
      <c r="D16" s="10">
        <v>597.29999999999995</v>
      </c>
      <c r="E16" s="11">
        <v>0.25</v>
      </c>
      <c r="F16" s="11">
        <f t="shared" si="0"/>
        <v>149.32499999999999</v>
      </c>
      <c r="G16" s="11">
        <f>F16</f>
        <v>149.32499999999999</v>
      </c>
      <c r="H16" s="11">
        <f t="shared" si="1"/>
        <v>0</v>
      </c>
      <c r="I16" s="92">
        <v>6539352</v>
      </c>
      <c r="J16" s="91" t="s">
        <v>76</v>
      </c>
      <c r="K16" s="92" t="s">
        <v>18</v>
      </c>
      <c r="L16" s="92" t="s">
        <v>47</v>
      </c>
      <c r="M16" s="8"/>
      <c r="N16" s="59">
        <v>45628</v>
      </c>
      <c r="O16" s="140"/>
      <c r="P16" s="140"/>
      <c r="Q16" s="140"/>
    </row>
    <row r="17" spans="1:17" s="1" customFormat="1" ht="14.65" customHeight="1" x14ac:dyDescent="0.25">
      <c r="A17" s="47">
        <v>15</v>
      </c>
      <c r="B17" s="8">
        <v>2128</v>
      </c>
      <c r="C17" s="9" t="s">
        <v>77</v>
      </c>
      <c r="D17" s="10">
        <v>1430.3</v>
      </c>
      <c r="E17" s="11">
        <v>0.25</v>
      </c>
      <c r="F17" s="11">
        <f t="shared" si="0"/>
        <v>357.57499999999999</v>
      </c>
      <c r="G17" s="11">
        <v>357.57499999999999</v>
      </c>
      <c r="H17" s="11">
        <f t="shared" si="1"/>
        <v>0</v>
      </c>
      <c r="I17" s="77">
        <v>4648259</v>
      </c>
      <c r="J17" s="91" t="s">
        <v>78</v>
      </c>
      <c r="K17" s="92" t="s">
        <v>11</v>
      </c>
      <c r="L17" s="92" t="s">
        <v>47</v>
      </c>
      <c r="M17" s="12">
        <v>99492747</v>
      </c>
      <c r="N17" s="59">
        <v>45651</v>
      </c>
      <c r="O17" s="140"/>
      <c r="P17" s="140"/>
      <c r="Q17" s="140"/>
    </row>
    <row r="18" spans="1:17" s="1" customFormat="1" ht="14.65" customHeight="1" x14ac:dyDescent="0.25">
      <c r="A18" s="47">
        <v>16</v>
      </c>
      <c r="B18" s="8">
        <v>2137</v>
      </c>
      <c r="C18" s="9" t="s">
        <v>79</v>
      </c>
      <c r="D18" s="10">
        <v>904.2</v>
      </c>
      <c r="E18" s="11">
        <v>0.25</v>
      </c>
      <c r="F18" s="11">
        <f t="shared" si="0"/>
        <v>226.05</v>
      </c>
      <c r="G18" s="11">
        <f>F18</f>
        <v>226.05</v>
      </c>
      <c r="H18" s="11">
        <f t="shared" si="1"/>
        <v>0</v>
      </c>
      <c r="I18" s="77">
        <v>10285189</v>
      </c>
      <c r="J18" s="91" t="s">
        <v>80</v>
      </c>
      <c r="K18" s="92" t="s">
        <v>81</v>
      </c>
      <c r="L18" s="92" t="s">
        <v>82</v>
      </c>
      <c r="M18" s="12">
        <v>91160451</v>
      </c>
      <c r="N18" s="59">
        <v>45635</v>
      </c>
      <c r="O18" s="140"/>
      <c r="P18" s="140"/>
      <c r="Q18" s="140"/>
    </row>
    <row r="19" spans="1:17" s="233" customFormat="1" ht="14.65" customHeight="1" x14ac:dyDescent="0.25">
      <c r="A19" s="223">
        <v>17</v>
      </c>
      <c r="B19" s="224">
        <v>2144</v>
      </c>
      <c r="C19" s="234" t="s">
        <v>83</v>
      </c>
      <c r="D19" s="226">
        <v>2921.5</v>
      </c>
      <c r="E19" s="227">
        <v>0.25</v>
      </c>
      <c r="F19" s="227">
        <f t="shared" si="0"/>
        <v>730.375</v>
      </c>
      <c r="G19" s="227">
        <f>F19</f>
        <v>730.375</v>
      </c>
      <c r="H19" s="227">
        <f t="shared" si="1"/>
        <v>0</v>
      </c>
      <c r="I19" s="228">
        <v>532494</v>
      </c>
      <c r="J19" s="229" t="s">
        <v>84</v>
      </c>
      <c r="K19" s="230" t="s">
        <v>11</v>
      </c>
      <c r="L19" s="230" t="s">
        <v>47</v>
      </c>
      <c r="M19" s="231">
        <v>92251158</v>
      </c>
      <c r="N19" s="232"/>
      <c r="O19" s="232"/>
      <c r="P19" s="232"/>
      <c r="Q19" s="232"/>
    </row>
    <row r="20" spans="1:17" s="1" customFormat="1" ht="14.65" customHeight="1" x14ac:dyDescent="0.25">
      <c r="A20" s="47">
        <v>18</v>
      </c>
      <c r="B20" s="8">
        <v>2148</v>
      </c>
      <c r="C20" s="9" t="s">
        <v>85</v>
      </c>
      <c r="D20" s="10">
        <v>2400.1</v>
      </c>
      <c r="E20" s="11">
        <v>0.25</v>
      </c>
      <c r="F20" s="11">
        <f t="shared" si="0"/>
        <v>600.02499999999998</v>
      </c>
      <c r="G20" s="11">
        <f>290.6+305.55+3.875</f>
        <v>600.02500000000009</v>
      </c>
      <c r="H20" s="11">
        <f t="shared" si="1"/>
        <v>0</v>
      </c>
      <c r="I20" s="77">
        <v>6466788</v>
      </c>
      <c r="J20" s="91" t="s">
        <v>86</v>
      </c>
      <c r="K20" s="92" t="s">
        <v>50</v>
      </c>
      <c r="L20" s="92" t="s">
        <v>51</v>
      </c>
      <c r="M20" s="12">
        <v>99011887</v>
      </c>
      <c r="N20" s="151">
        <v>45601</v>
      </c>
      <c r="O20" s="59">
        <v>45621</v>
      </c>
      <c r="P20" s="59">
        <v>45628</v>
      </c>
      <c r="Q20" s="140"/>
    </row>
    <row r="21" spans="1:17" s="1" customFormat="1" ht="14.65" customHeight="1" x14ac:dyDescent="0.25">
      <c r="A21" s="47">
        <v>19</v>
      </c>
      <c r="B21" s="8">
        <v>2150</v>
      </c>
      <c r="C21" s="9" t="s">
        <v>30</v>
      </c>
      <c r="D21" s="10">
        <v>5026.2</v>
      </c>
      <c r="E21" s="11">
        <v>0.25</v>
      </c>
      <c r="F21" s="11">
        <f t="shared" si="0"/>
        <v>1256.55</v>
      </c>
      <c r="G21" s="11">
        <f>1256.15+0.4</f>
        <v>1256.5500000000002</v>
      </c>
      <c r="H21" s="11">
        <f t="shared" si="1"/>
        <v>0</v>
      </c>
      <c r="I21" s="77">
        <v>6657734</v>
      </c>
      <c r="J21" s="91" t="s">
        <v>87</v>
      </c>
      <c r="K21" s="92" t="s">
        <v>11</v>
      </c>
      <c r="L21" s="92" t="s">
        <v>47</v>
      </c>
      <c r="M21" s="12">
        <v>99319163</v>
      </c>
      <c r="N21" s="59">
        <v>45600</v>
      </c>
      <c r="O21" s="59">
        <v>45686</v>
      </c>
      <c r="P21" s="140"/>
      <c r="Q21" s="140"/>
    </row>
    <row r="22" spans="1:17" s="1" customFormat="1" ht="14.65" customHeight="1" x14ac:dyDescent="0.25">
      <c r="A22" s="47">
        <v>20</v>
      </c>
      <c r="B22" s="8">
        <v>2151</v>
      </c>
      <c r="C22" s="9" t="s">
        <v>88</v>
      </c>
      <c r="D22" s="10">
        <v>1169.5999999999999</v>
      </c>
      <c r="E22" s="11">
        <v>0.25</v>
      </c>
      <c r="F22" s="11">
        <f t="shared" si="0"/>
        <v>292.39999999999998</v>
      </c>
      <c r="G22" s="11">
        <f>290.325+2.075</f>
        <v>292.39999999999998</v>
      </c>
      <c r="H22" s="11">
        <f t="shared" si="1"/>
        <v>0</v>
      </c>
      <c r="I22" s="77">
        <v>2190491</v>
      </c>
      <c r="J22" s="91" t="s">
        <v>89</v>
      </c>
      <c r="K22" s="92" t="s">
        <v>11</v>
      </c>
      <c r="L22" s="92" t="s">
        <v>47</v>
      </c>
      <c r="M22" s="12">
        <v>92591034</v>
      </c>
      <c r="N22" s="59">
        <v>45615</v>
      </c>
      <c r="O22" s="140"/>
      <c r="P22" s="140"/>
      <c r="Q22" s="140"/>
    </row>
    <row r="23" spans="1:17" s="233" customFormat="1" ht="14.65" customHeight="1" x14ac:dyDescent="0.25">
      <c r="A23" s="223">
        <v>21</v>
      </c>
      <c r="B23" s="224">
        <v>2155</v>
      </c>
      <c r="C23" s="234" t="s">
        <v>90</v>
      </c>
      <c r="D23" s="226">
        <v>440.3</v>
      </c>
      <c r="E23" s="227">
        <v>0.25</v>
      </c>
      <c r="F23" s="227">
        <f t="shared" si="0"/>
        <v>110.075</v>
      </c>
      <c r="G23" s="227">
        <f>F23</f>
        <v>110.075</v>
      </c>
      <c r="H23" s="227">
        <f t="shared" si="1"/>
        <v>0</v>
      </c>
      <c r="I23" s="228">
        <v>21145036</v>
      </c>
      <c r="J23" s="229" t="s">
        <v>91</v>
      </c>
      <c r="K23" s="230" t="s">
        <v>50</v>
      </c>
      <c r="L23" s="230" t="s">
        <v>51</v>
      </c>
      <c r="M23" s="231">
        <v>92847990</v>
      </c>
      <c r="N23" s="232"/>
      <c r="O23" s="232"/>
      <c r="P23" s="232"/>
      <c r="Q23" s="232"/>
    </row>
    <row r="24" spans="1:17" s="1" customFormat="1" ht="14.65" customHeight="1" x14ac:dyDescent="0.25">
      <c r="A24" s="47">
        <v>22</v>
      </c>
      <c r="B24" s="8">
        <v>2168</v>
      </c>
      <c r="C24" s="9" t="s">
        <v>10</v>
      </c>
      <c r="D24" s="10">
        <v>2224.5</v>
      </c>
      <c r="E24" s="11">
        <v>0.25</v>
      </c>
      <c r="F24" s="11">
        <f t="shared" si="0"/>
        <v>556.125</v>
      </c>
      <c r="G24" s="11">
        <f>552.15+3.975</f>
        <v>556.125</v>
      </c>
      <c r="H24" s="11">
        <f t="shared" si="1"/>
        <v>0</v>
      </c>
      <c r="I24" s="77">
        <v>941022</v>
      </c>
      <c r="J24" s="91" t="s">
        <v>92</v>
      </c>
      <c r="K24" s="92" t="s">
        <v>11</v>
      </c>
      <c r="L24" s="92" t="s">
        <v>47</v>
      </c>
      <c r="M24" s="12">
        <v>99542444</v>
      </c>
      <c r="N24" s="59">
        <v>45602</v>
      </c>
      <c r="O24" s="59">
        <v>45628</v>
      </c>
      <c r="P24" s="140"/>
      <c r="Q24" s="140"/>
    </row>
    <row r="25" spans="1:17" s="16" customFormat="1" ht="14.65" customHeight="1" x14ac:dyDescent="0.25">
      <c r="A25" s="47">
        <v>23</v>
      </c>
      <c r="B25" s="8">
        <v>2198</v>
      </c>
      <c r="C25" s="9" t="s">
        <v>93</v>
      </c>
      <c r="D25" s="10">
        <v>1184.5</v>
      </c>
      <c r="E25" s="11">
        <v>0.25</v>
      </c>
      <c r="F25" s="11">
        <f t="shared" si="0"/>
        <v>296.125</v>
      </c>
      <c r="G25" s="11">
        <f>248.25+47.875</f>
        <v>296.125</v>
      </c>
      <c r="H25" s="11">
        <f t="shared" si="1"/>
        <v>0</v>
      </c>
      <c r="I25" s="77">
        <v>10331933</v>
      </c>
      <c r="J25" s="91" t="s">
        <v>94</v>
      </c>
      <c r="K25" s="92" t="s">
        <v>11</v>
      </c>
      <c r="L25" s="92" t="s">
        <v>47</v>
      </c>
      <c r="M25" s="12">
        <v>99490105</v>
      </c>
      <c r="N25" s="143">
        <v>45600</v>
      </c>
      <c r="O25" s="143">
        <v>45608</v>
      </c>
      <c r="P25" s="32"/>
      <c r="Q25" s="32"/>
    </row>
    <row r="26" spans="1:17" s="1" customFormat="1" ht="14.65" customHeight="1" x14ac:dyDescent="0.25">
      <c r="A26" s="47">
        <v>24</v>
      </c>
      <c r="B26" s="8">
        <v>2205</v>
      </c>
      <c r="C26" s="9" t="s">
        <v>95</v>
      </c>
      <c r="D26" s="10">
        <v>1011.2</v>
      </c>
      <c r="E26" s="11">
        <v>0.25</v>
      </c>
      <c r="F26" s="11">
        <f t="shared" si="0"/>
        <v>252.8</v>
      </c>
      <c r="G26" s="11">
        <f>250.022+2.778</f>
        <v>252.79999999999998</v>
      </c>
      <c r="H26" s="11">
        <f t="shared" si="1"/>
        <v>0</v>
      </c>
      <c r="I26" s="77">
        <v>26733843</v>
      </c>
      <c r="J26" s="91" t="s">
        <v>96</v>
      </c>
      <c r="K26" s="92" t="s">
        <v>11</v>
      </c>
      <c r="L26" s="92" t="s">
        <v>47</v>
      </c>
      <c r="M26" s="12">
        <v>98966301</v>
      </c>
      <c r="N26" s="59">
        <v>45601</v>
      </c>
      <c r="O26" s="59">
        <v>45628</v>
      </c>
      <c r="P26" s="140"/>
      <c r="Q26" s="140"/>
    </row>
    <row r="27" spans="1:17" s="1" customFormat="1" ht="14.65" customHeight="1" x14ac:dyDescent="0.25">
      <c r="A27" s="47">
        <v>25</v>
      </c>
      <c r="B27" s="8">
        <v>2207</v>
      </c>
      <c r="C27" s="9" t="s">
        <v>31</v>
      </c>
      <c r="D27" s="10">
        <v>1194.8</v>
      </c>
      <c r="E27" s="11">
        <v>0.25</v>
      </c>
      <c r="F27" s="11">
        <f t="shared" si="0"/>
        <v>298.7</v>
      </c>
      <c r="G27" s="11">
        <f>298.675+0.025</f>
        <v>298.7</v>
      </c>
      <c r="H27" s="11">
        <f t="shared" si="1"/>
        <v>0</v>
      </c>
      <c r="I27" s="77">
        <v>1386691</v>
      </c>
      <c r="J27" s="91" t="s">
        <v>97</v>
      </c>
      <c r="K27" s="92" t="s">
        <v>81</v>
      </c>
      <c r="L27" s="92" t="s">
        <v>82</v>
      </c>
      <c r="M27" s="12">
        <v>91337606</v>
      </c>
      <c r="N27" s="59">
        <v>45600</v>
      </c>
      <c r="O27" s="59">
        <v>45621</v>
      </c>
      <c r="P27" s="140"/>
      <c r="Q27" s="140"/>
    </row>
    <row r="28" spans="1:17" s="233" customFormat="1" ht="14.65" customHeight="1" x14ac:dyDescent="0.25">
      <c r="A28" s="223">
        <v>26</v>
      </c>
      <c r="B28" s="235">
        <v>2209</v>
      </c>
      <c r="C28" s="234" t="s">
        <v>98</v>
      </c>
      <c r="D28" s="236">
        <v>563.70000000000005</v>
      </c>
      <c r="E28" s="237">
        <v>0.25</v>
      </c>
      <c r="F28" s="237">
        <f t="shared" si="0"/>
        <v>140.92500000000001</v>
      </c>
      <c r="G28" s="237">
        <f t="shared" ref="G28:G33" si="3">F28</f>
        <v>140.92500000000001</v>
      </c>
      <c r="H28" s="227">
        <f t="shared" si="1"/>
        <v>0</v>
      </c>
      <c r="I28" s="238">
        <v>821878</v>
      </c>
      <c r="J28" s="229" t="s">
        <v>99</v>
      </c>
      <c r="K28" s="239" t="s">
        <v>11</v>
      </c>
      <c r="L28" s="239" t="s">
        <v>47</v>
      </c>
      <c r="M28" s="240">
        <v>92927906</v>
      </c>
      <c r="N28" s="232"/>
      <c r="O28" s="232"/>
      <c r="P28" s="232"/>
      <c r="Q28" s="232"/>
    </row>
    <row r="29" spans="1:17" s="233" customFormat="1" ht="14.65" customHeight="1" x14ac:dyDescent="0.25">
      <c r="A29" s="223">
        <v>27</v>
      </c>
      <c r="B29" s="235">
        <v>2213</v>
      </c>
      <c r="C29" s="234" t="s">
        <v>100</v>
      </c>
      <c r="D29" s="236">
        <v>1631.2</v>
      </c>
      <c r="E29" s="237">
        <v>0.25</v>
      </c>
      <c r="F29" s="237">
        <f t="shared" si="0"/>
        <v>407.8</v>
      </c>
      <c r="G29" s="237">
        <f t="shared" si="3"/>
        <v>407.8</v>
      </c>
      <c r="H29" s="227">
        <f t="shared" si="1"/>
        <v>0</v>
      </c>
      <c r="I29" s="238">
        <v>594176</v>
      </c>
      <c r="J29" s="241" t="s">
        <v>101</v>
      </c>
      <c r="K29" s="239" t="s">
        <v>11</v>
      </c>
      <c r="L29" s="239" t="s">
        <v>47</v>
      </c>
      <c r="M29" s="240">
        <v>92971719</v>
      </c>
      <c r="N29" s="232"/>
      <c r="O29" s="232"/>
      <c r="P29" s="232"/>
      <c r="Q29" s="232"/>
    </row>
    <row r="30" spans="1:17" s="1" customFormat="1" ht="14.65" customHeight="1" x14ac:dyDescent="0.25">
      <c r="A30" s="60">
        <v>28</v>
      </c>
      <c r="B30" s="61">
        <v>2223</v>
      </c>
      <c r="C30" s="62" t="s">
        <v>32</v>
      </c>
      <c r="D30" s="213">
        <v>2940.9</v>
      </c>
      <c r="E30" s="65">
        <v>0.25</v>
      </c>
      <c r="F30" s="65">
        <f t="shared" si="0"/>
        <v>735.22500000000002</v>
      </c>
      <c r="G30" s="65">
        <f t="shared" si="3"/>
        <v>735.22500000000002</v>
      </c>
      <c r="H30" s="64">
        <f t="shared" si="1"/>
        <v>0</v>
      </c>
      <c r="I30" s="106">
        <v>2297206</v>
      </c>
      <c r="J30" s="89" t="s">
        <v>102</v>
      </c>
      <c r="K30" s="90" t="s">
        <v>14</v>
      </c>
      <c r="L30" s="90" t="s">
        <v>55</v>
      </c>
      <c r="M30" s="14">
        <v>99489917</v>
      </c>
      <c r="N30" s="175">
        <v>45663</v>
      </c>
      <c r="O30" s="176" t="s">
        <v>293</v>
      </c>
      <c r="P30" s="176"/>
      <c r="Q30" s="59">
        <v>45325</v>
      </c>
    </row>
    <row r="31" spans="1:17" s="233" customFormat="1" ht="14.65" customHeight="1" x14ac:dyDescent="0.25">
      <c r="A31" s="223">
        <v>29</v>
      </c>
      <c r="B31" s="235">
        <v>2229</v>
      </c>
      <c r="C31" s="234" t="s">
        <v>103</v>
      </c>
      <c r="D31" s="236">
        <v>3286.6</v>
      </c>
      <c r="E31" s="237">
        <v>0.25</v>
      </c>
      <c r="F31" s="237">
        <f t="shared" si="0"/>
        <v>821.65</v>
      </c>
      <c r="G31" s="237">
        <f t="shared" si="3"/>
        <v>821.65</v>
      </c>
      <c r="H31" s="227">
        <f t="shared" si="1"/>
        <v>0</v>
      </c>
      <c r="I31" s="228">
        <v>1031091</v>
      </c>
      <c r="J31" s="229" t="s">
        <v>104</v>
      </c>
      <c r="K31" s="230" t="s">
        <v>14</v>
      </c>
      <c r="L31" s="230" t="s">
        <v>55</v>
      </c>
      <c r="M31" s="231">
        <v>92727567</v>
      </c>
      <c r="N31" s="232"/>
      <c r="O31" s="232"/>
      <c r="P31" s="232"/>
      <c r="Q31" s="232"/>
    </row>
    <row r="32" spans="1:17" s="1" customFormat="1" ht="14.65" customHeight="1" x14ac:dyDescent="0.25">
      <c r="A32" s="49">
        <v>30</v>
      </c>
      <c r="B32" s="25">
        <v>2230</v>
      </c>
      <c r="C32" s="26" t="s">
        <v>21</v>
      </c>
      <c r="D32" s="27">
        <v>1030.7</v>
      </c>
      <c r="E32" s="22">
        <v>0.25</v>
      </c>
      <c r="F32" s="21">
        <f t="shared" si="0"/>
        <v>257.67500000000001</v>
      </c>
      <c r="G32" s="21">
        <f t="shared" si="3"/>
        <v>257.67500000000001</v>
      </c>
      <c r="H32" s="22">
        <f t="shared" si="1"/>
        <v>0</v>
      </c>
      <c r="I32" s="96">
        <v>18633243</v>
      </c>
      <c r="J32" s="97" t="s">
        <v>105</v>
      </c>
      <c r="K32" s="98" t="s">
        <v>11</v>
      </c>
      <c r="L32" s="98" t="s">
        <v>47</v>
      </c>
      <c r="M32" s="50">
        <v>92201223</v>
      </c>
      <c r="N32" s="152" t="s">
        <v>294</v>
      </c>
      <c r="O32" s="140"/>
      <c r="P32" s="140"/>
      <c r="Q32" s="140"/>
    </row>
    <row r="33" spans="1:17" s="233" customFormat="1" ht="14.65" customHeight="1" x14ac:dyDescent="0.25">
      <c r="A33" s="223">
        <v>31</v>
      </c>
      <c r="B33" s="235">
        <v>2232</v>
      </c>
      <c r="C33" s="242" t="s">
        <v>22</v>
      </c>
      <c r="D33" s="236">
        <v>1172.0999999999999</v>
      </c>
      <c r="E33" s="237">
        <v>0.25</v>
      </c>
      <c r="F33" s="237">
        <f t="shared" si="0"/>
        <v>293.02499999999998</v>
      </c>
      <c r="G33" s="237">
        <f t="shared" si="3"/>
        <v>293.02499999999998</v>
      </c>
      <c r="H33" s="227">
        <f t="shared" si="1"/>
        <v>0</v>
      </c>
      <c r="I33" s="228">
        <v>1994004</v>
      </c>
      <c r="J33" s="229" t="s">
        <v>106</v>
      </c>
      <c r="K33" s="230" t="s">
        <v>11</v>
      </c>
      <c r="L33" s="230" t="s">
        <v>47</v>
      </c>
      <c r="M33" s="231">
        <v>92535442</v>
      </c>
      <c r="N33" s="232"/>
      <c r="O33" s="232"/>
      <c r="P33" s="232"/>
      <c r="Q33" s="232"/>
    </row>
    <row r="34" spans="1:17" s="103" customFormat="1" ht="14.65" customHeight="1" x14ac:dyDescent="0.25">
      <c r="A34" s="51">
        <v>32</v>
      </c>
      <c r="B34" s="99">
        <v>2234</v>
      </c>
      <c r="C34" s="53" t="s">
        <v>107</v>
      </c>
      <c r="D34" s="54">
        <v>2292.1</v>
      </c>
      <c r="E34" s="55">
        <v>0.25</v>
      </c>
      <c r="F34" s="100">
        <f t="shared" si="0"/>
        <v>573.02499999999998</v>
      </c>
      <c r="G34" s="100">
        <v>573.02499999999998</v>
      </c>
      <c r="H34" s="55">
        <f t="shared" si="1"/>
        <v>0</v>
      </c>
      <c r="I34" s="101">
        <v>1235299</v>
      </c>
      <c r="J34" s="102">
        <v>10600187512017</v>
      </c>
      <c r="K34" s="101" t="s">
        <v>50</v>
      </c>
      <c r="L34" s="101" t="s">
        <v>51</v>
      </c>
      <c r="M34" s="52">
        <v>92656157</v>
      </c>
      <c r="N34" s="153" t="s">
        <v>295</v>
      </c>
      <c r="O34" s="153"/>
      <c r="P34" s="153"/>
      <c r="Q34" s="153"/>
    </row>
    <row r="35" spans="1:17" s="16" customFormat="1" ht="14.65" customHeight="1" x14ac:dyDescent="0.25">
      <c r="A35" s="47">
        <v>33</v>
      </c>
      <c r="B35" s="33">
        <v>2238</v>
      </c>
      <c r="C35" s="9" t="s">
        <v>23</v>
      </c>
      <c r="D35" s="10">
        <v>578.29999999999995</v>
      </c>
      <c r="E35" s="11">
        <v>0.25</v>
      </c>
      <c r="F35" s="35">
        <f t="shared" si="0"/>
        <v>144.57499999999999</v>
      </c>
      <c r="G35" s="35">
        <f>F35</f>
        <v>144.57499999999999</v>
      </c>
      <c r="H35" s="11">
        <f t="shared" si="1"/>
        <v>0</v>
      </c>
      <c r="I35" s="92">
        <v>1322446</v>
      </c>
      <c r="J35" s="91" t="s">
        <v>109</v>
      </c>
      <c r="K35" s="92" t="s">
        <v>11</v>
      </c>
      <c r="L35" s="92" t="s">
        <v>47</v>
      </c>
      <c r="M35" s="8">
        <v>98882280</v>
      </c>
      <c r="N35" s="143">
        <v>45810</v>
      </c>
      <c r="O35" s="32"/>
      <c r="P35" s="32"/>
      <c r="Q35" s="32"/>
    </row>
    <row r="36" spans="1:17" s="1" customFormat="1" ht="14.65" customHeight="1" x14ac:dyDescent="0.25">
      <c r="A36" s="47">
        <v>34</v>
      </c>
      <c r="B36" s="33">
        <v>2244</v>
      </c>
      <c r="C36" s="9" t="s">
        <v>110</v>
      </c>
      <c r="D36" s="10">
        <v>4207.7</v>
      </c>
      <c r="E36" s="11">
        <v>0.25</v>
      </c>
      <c r="F36" s="35">
        <f t="shared" si="0"/>
        <v>1051.925</v>
      </c>
      <c r="G36" s="35">
        <f>528.225+522.8+0.9</f>
        <v>1051.9250000000002</v>
      </c>
      <c r="H36" s="11">
        <f t="shared" si="1"/>
        <v>0</v>
      </c>
      <c r="I36" s="77">
        <v>5474148</v>
      </c>
      <c r="J36" s="91" t="s">
        <v>111</v>
      </c>
      <c r="K36" s="92" t="s">
        <v>11</v>
      </c>
      <c r="L36" s="92" t="s">
        <v>47</v>
      </c>
      <c r="M36" s="12">
        <v>99092789</v>
      </c>
      <c r="N36" s="59">
        <v>45609</v>
      </c>
      <c r="O36" s="59">
        <v>45628</v>
      </c>
      <c r="P36" s="59">
        <v>45643</v>
      </c>
      <c r="Q36" s="140"/>
    </row>
    <row r="37" spans="1:17" s="1" customFormat="1" ht="14.65" customHeight="1" x14ac:dyDescent="0.25">
      <c r="A37" s="47">
        <v>35</v>
      </c>
      <c r="B37" s="33">
        <v>2245</v>
      </c>
      <c r="C37" s="9" t="s">
        <v>112</v>
      </c>
      <c r="D37" s="10">
        <v>1846.3</v>
      </c>
      <c r="E37" s="11">
        <v>0.25</v>
      </c>
      <c r="F37" s="35">
        <f t="shared" si="0"/>
        <v>461.57499999999999</v>
      </c>
      <c r="G37" s="35">
        <f>460.8+0.775</f>
        <v>461.57499999999999</v>
      </c>
      <c r="H37" s="11">
        <f t="shared" si="1"/>
        <v>0</v>
      </c>
      <c r="I37" s="77">
        <v>925058</v>
      </c>
      <c r="J37" s="91" t="s">
        <v>113</v>
      </c>
      <c r="K37" s="92" t="s">
        <v>14</v>
      </c>
      <c r="L37" s="92" t="s">
        <v>55</v>
      </c>
      <c r="M37" s="12">
        <v>95048614</v>
      </c>
      <c r="N37" s="59">
        <v>45601</v>
      </c>
      <c r="O37" s="59">
        <v>45637</v>
      </c>
      <c r="P37" s="140"/>
      <c r="Q37" s="140"/>
    </row>
    <row r="38" spans="1:17" s="1" customFormat="1" ht="14.65" customHeight="1" x14ac:dyDescent="0.25">
      <c r="A38" s="47">
        <v>36</v>
      </c>
      <c r="B38" s="33">
        <v>2250</v>
      </c>
      <c r="C38" s="9" t="s">
        <v>114</v>
      </c>
      <c r="D38" s="10">
        <v>627.79999999999995</v>
      </c>
      <c r="E38" s="11">
        <v>0.25</v>
      </c>
      <c r="F38" s="35">
        <f t="shared" si="0"/>
        <v>156.94999999999999</v>
      </c>
      <c r="G38" s="35">
        <f>F38</f>
        <v>156.94999999999999</v>
      </c>
      <c r="H38" s="11">
        <f t="shared" si="1"/>
        <v>0</v>
      </c>
      <c r="I38" s="77">
        <v>10206245</v>
      </c>
      <c r="J38" s="91" t="s">
        <v>115</v>
      </c>
      <c r="K38" s="92" t="s">
        <v>11</v>
      </c>
      <c r="L38" s="92" t="s">
        <v>47</v>
      </c>
      <c r="M38" s="12">
        <v>90666623</v>
      </c>
      <c r="N38" s="59">
        <v>45628</v>
      </c>
      <c r="O38" s="140"/>
      <c r="P38" s="140"/>
      <c r="Q38" s="140"/>
    </row>
    <row r="39" spans="1:17" s="1" customFormat="1" ht="14.65" customHeight="1" x14ac:dyDescent="0.25">
      <c r="A39" s="47">
        <v>37</v>
      </c>
      <c r="B39" s="33">
        <v>2252</v>
      </c>
      <c r="C39" s="9" t="s">
        <v>33</v>
      </c>
      <c r="D39" s="10">
        <v>1873.6</v>
      </c>
      <c r="E39" s="11">
        <v>0.25</v>
      </c>
      <c r="F39" s="35">
        <f t="shared" si="0"/>
        <v>468.4</v>
      </c>
      <c r="G39" s="35">
        <f>465.725+2.675</f>
        <v>468.40000000000003</v>
      </c>
      <c r="H39" s="11">
        <f t="shared" si="1"/>
        <v>0</v>
      </c>
      <c r="I39" s="77">
        <v>1133208</v>
      </c>
      <c r="J39" s="91" t="s">
        <v>116</v>
      </c>
      <c r="K39" s="92" t="s">
        <v>81</v>
      </c>
      <c r="L39" s="92" t="s">
        <v>82</v>
      </c>
      <c r="M39" s="12">
        <v>92817678</v>
      </c>
      <c r="N39" s="59">
        <v>45602</v>
      </c>
      <c r="O39" s="59">
        <v>45637</v>
      </c>
      <c r="P39" s="140"/>
      <c r="Q39" s="140"/>
    </row>
    <row r="40" spans="1:17" s="1" customFormat="1" ht="14.65" customHeight="1" x14ac:dyDescent="0.25">
      <c r="A40" s="47">
        <v>38</v>
      </c>
      <c r="B40" s="33">
        <v>2267</v>
      </c>
      <c r="C40" s="57" t="s">
        <v>117</v>
      </c>
      <c r="D40" s="10">
        <v>1885.8</v>
      </c>
      <c r="E40" s="11">
        <v>0.25</v>
      </c>
      <c r="F40" s="35">
        <f t="shared" si="0"/>
        <v>471.45</v>
      </c>
      <c r="G40" s="35">
        <f>468.425+3.025</f>
        <v>471.45</v>
      </c>
      <c r="H40" s="11">
        <f t="shared" si="1"/>
        <v>0</v>
      </c>
      <c r="I40" s="77">
        <v>18700662</v>
      </c>
      <c r="J40" s="91" t="s">
        <v>118</v>
      </c>
      <c r="K40" s="92" t="s">
        <v>11</v>
      </c>
      <c r="L40" s="92" t="s">
        <v>47</v>
      </c>
      <c r="M40" s="12">
        <v>91106550</v>
      </c>
      <c r="N40" s="59">
        <v>45600</v>
      </c>
      <c r="O40" s="59">
        <v>45628</v>
      </c>
      <c r="P40" s="140"/>
      <c r="Q40" s="140"/>
    </row>
    <row r="41" spans="1:17" s="1" customFormat="1" ht="15" customHeight="1" x14ac:dyDescent="0.25">
      <c r="A41" s="47">
        <v>39</v>
      </c>
      <c r="B41" s="33">
        <v>2281</v>
      </c>
      <c r="C41" s="9" t="s">
        <v>119</v>
      </c>
      <c r="D41" s="10">
        <v>1208.0999999999999</v>
      </c>
      <c r="E41" s="11">
        <v>0.25</v>
      </c>
      <c r="F41" s="35">
        <f t="shared" si="0"/>
        <v>302.02499999999998</v>
      </c>
      <c r="G41" s="35">
        <f>F41</f>
        <v>302.02499999999998</v>
      </c>
      <c r="H41" s="11">
        <f t="shared" si="1"/>
        <v>0</v>
      </c>
      <c r="I41" s="92">
        <v>2166167</v>
      </c>
      <c r="J41" s="91" t="s">
        <v>120</v>
      </c>
      <c r="K41" s="92" t="s">
        <v>11</v>
      </c>
      <c r="L41" s="92" t="s">
        <v>47</v>
      </c>
      <c r="M41" s="8">
        <v>99090486</v>
      </c>
      <c r="N41" s="59">
        <v>45658</v>
      </c>
      <c r="O41" s="140"/>
      <c r="P41" s="140"/>
      <c r="Q41" s="140"/>
    </row>
    <row r="42" spans="1:17" s="233" customFormat="1" ht="14.65" customHeight="1" x14ac:dyDescent="0.25">
      <c r="A42" s="223">
        <v>40</v>
      </c>
      <c r="B42" s="235">
        <v>2285</v>
      </c>
      <c r="C42" s="234" t="s">
        <v>12</v>
      </c>
      <c r="D42" s="226">
        <v>1973.7</v>
      </c>
      <c r="E42" s="227">
        <v>0.25</v>
      </c>
      <c r="F42" s="237">
        <f t="shared" si="0"/>
        <v>493.42500000000001</v>
      </c>
      <c r="G42" s="237">
        <f>F42</f>
        <v>493.42500000000001</v>
      </c>
      <c r="H42" s="227">
        <f t="shared" si="1"/>
        <v>0</v>
      </c>
      <c r="I42" s="230">
        <v>21077904</v>
      </c>
      <c r="J42" s="229" t="s">
        <v>121</v>
      </c>
      <c r="K42" s="230" t="s">
        <v>14</v>
      </c>
      <c r="L42" s="230" t="s">
        <v>55</v>
      </c>
      <c r="M42" s="224">
        <v>92930610</v>
      </c>
      <c r="N42" s="232"/>
      <c r="O42" s="232"/>
      <c r="P42" s="232"/>
      <c r="Q42" s="232"/>
    </row>
    <row r="43" spans="1:17" s="233" customFormat="1" ht="14.65" customHeight="1" x14ac:dyDescent="0.25">
      <c r="A43" s="223">
        <v>41</v>
      </c>
      <c r="B43" s="235">
        <v>2294</v>
      </c>
      <c r="C43" s="234" t="s">
        <v>122</v>
      </c>
      <c r="D43" s="226">
        <v>5389.1</v>
      </c>
      <c r="E43" s="227">
        <v>0.25</v>
      </c>
      <c r="F43" s="237">
        <f t="shared" si="0"/>
        <v>1347.2750000000001</v>
      </c>
      <c r="G43" s="237">
        <f>F43</f>
        <v>1347.2750000000001</v>
      </c>
      <c r="H43" s="227">
        <f t="shared" si="1"/>
        <v>0</v>
      </c>
      <c r="I43" s="228">
        <v>1917308</v>
      </c>
      <c r="J43" s="229" t="s">
        <v>123</v>
      </c>
      <c r="K43" s="230" t="s">
        <v>14</v>
      </c>
      <c r="L43" s="230" t="s">
        <v>55</v>
      </c>
      <c r="M43" s="231">
        <v>95878499</v>
      </c>
      <c r="N43" s="232"/>
      <c r="O43" s="232"/>
      <c r="P43" s="232"/>
      <c r="Q43" s="232"/>
    </row>
    <row r="44" spans="1:17" s="1" customFormat="1" ht="14.65" customHeight="1" x14ac:dyDescent="0.25">
      <c r="A44" s="47">
        <v>42</v>
      </c>
      <c r="B44" s="33">
        <v>2297</v>
      </c>
      <c r="C44" s="9" t="s">
        <v>124</v>
      </c>
      <c r="D44" s="10">
        <v>1755.7</v>
      </c>
      <c r="E44" s="11">
        <v>0.25</v>
      </c>
      <c r="F44" s="35">
        <f t="shared" si="0"/>
        <v>438.92500000000001</v>
      </c>
      <c r="G44" s="35">
        <f>434.375+4.55</f>
        <v>438.92500000000001</v>
      </c>
      <c r="H44" s="11">
        <f t="shared" si="1"/>
        <v>0</v>
      </c>
      <c r="I44" s="77">
        <v>19351695</v>
      </c>
      <c r="J44" s="91" t="s">
        <v>125</v>
      </c>
      <c r="K44" s="92" t="s">
        <v>11</v>
      </c>
      <c r="L44" s="92" t="s">
        <v>47</v>
      </c>
      <c r="M44" s="12"/>
      <c r="N44" s="59">
        <v>45600</v>
      </c>
      <c r="O44" s="143">
        <v>45648</v>
      </c>
      <c r="P44" s="140"/>
      <c r="Q44" s="140"/>
    </row>
    <row r="45" spans="1:17" s="1" customFormat="1" ht="14.65" customHeight="1" x14ac:dyDescent="0.25">
      <c r="A45" s="47">
        <v>43</v>
      </c>
      <c r="B45" s="33">
        <v>2298</v>
      </c>
      <c r="C45" s="9" t="s">
        <v>126</v>
      </c>
      <c r="D45" s="10">
        <v>3448.8</v>
      </c>
      <c r="E45" s="11">
        <v>0.25</v>
      </c>
      <c r="F45" s="35">
        <f t="shared" si="0"/>
        <v>862.2</v>
      </c>
      <c r="G45" s="35">
        <f>250.9+256+121.25+234.05</f>
        <v>862.2</v>
      </c>
      <c r="H45" s="11">
        <f t="shared" si="1"/>
        <v>0</v>
      </c>
      <c r="I45" s="77">
        <v>6681518</v>
      </c>
      <c r="J45" s="91" t="s">
        <v>127</v>
      </c>
      <c r="K45" s="92" t="s">
        <v>14</v>
      </c>
      <c r="L45" s="92" t="s">
        <v>55</v>
      </c>
      <c r="M45" s="12">
        <v>99125223</v>
      </c>
      <c r="N45" s="59">
        <v>45637</v>
      </c>
      <c r="O45" s="59">
        <v>45645</v>
      </c>
      <c r="P45" s="59">
        <v>45651</v>
      </c>
      <c r="Q45" s="59">
        <v>45658</v>
      </c>
    </row>
    <row r="46" spans="1:17" s="233" customFormat="1" ht="14.65" customHeight="1" x14ac:dyDescent="0.25">
      <c r="A46" s="223">
        <v>44</v>
      </c>
      <c r="B46" s="235">
        <v>2300</v>
      </c>
      <c r="C46" s="234" t="s">
        <v>128</v>
      </c>
      <c r="D46" s="226">
        <v>1209.0999999999999</v>
      </c>
      <c r="E46" s="227">
        <v>0.25</v>
      </c>
      <c r="F46" s="237">
        <f t="shared" si="0"/>
        <v>302.27499999999998</v>
      </c>
      <c r="G46" s="237">
        <f>F46</f>
        <v>302.27499999999998</v>
      </c>
      <c r="H46" s="227">
        <f t="shared" si="1"/>
        <v>0</v>
      </c>
      <c r="I46" s="228">
        <v>447833</v>
      </c>
      <c r="J46" s="229" t="s">
        <v>129</v>
      </c>
      <c r="K46" s="230" t="s">
        <v>81</v>
      </c>
      <c r="L46" s="230" t="s">
        <v>82</v>
      </c>
      <c r="M46" s="231">
        <v>92005673</v>
      </c>
      <c r="N46" s="232"/>
      <c r="O46" s="232"/>
      <c r="P46" s="232"/>
      <c r="Q46" s="232"/>
    </row>
    <row r="47" spans="1:17" s="1" customFormat="1" ht="14.65" customHeight="1" x14ac:dyDescent="0.25">
      <c r="A47" s="47">
        <v>45</v>
      </c>
      <c r="B47" s="33">
        <v>2301</v>
      </c>
      <c r="C47" s="9" t="s">
        <v>130</v>
      </c>
      <c r="D47" s="10">
        <v>1822.7</v>
      </c>
      <c r="E47" s="11">
        <v>0.25</v>
      </c>
      <c r="F47" s="35">
        <f t="shared" si="0"/>
        <v>455.67500000000001</v>
      </c>
      <c r="G47" s="35">
        <f>454+1.675</f>
        <v>455.67500000000001</v>
      </c>
      <c r="H47" s="11">
        <f t="shared" si="1"/>
        <v>0</v>
      </c>
      <c r="I47" s="77">
        <v>23600713</v>
      </c>
      <c r="J47" s="91" t="s">
        <v>131</v>
      </c>
      <c r="K47" s="92" t="s">
        <v>132</v>
      </c>
      <c r="L47" s="92" t="s">
        <v>133</v>
      </c>
      <c r="M47" s="12">
        <v>92930610</v>
      </c>
      <c r="N47" s="59">
        <v>45600</v>
      </c>
      <c r="O47" s="59">
        <v>45628</v>
      </c>
      <c r="P47" s="140"/>
      <c r="Q47" s="140"/>
    </row>
    <row r="48" spans="1:17" s="233" customFormat="1" x14ac:dyDescent="0.25">
      <c r="A48" s="223">
        <v>46</v>
      </c>
      <c r="B48" s="235">
        <v>2302</v>
      </c>
      <c r="C48" s="234" t="s">
        <v>134</v>
      </c>
      <c r="D48" s="226">
        <v>454.5</v>
      </c>
      <c r="E48" s="227">
        <v>0.25</v>
      </c>
      <c r="F48" s="237">
        <f t="shared" si="0"/>
        <v>113.625</v>
      </c>
      <c r="G48" s="237">
        <f>F48</f>
        <v>113.625</v>
      </c>
      <c r="H48" s="227">
        <f t="shared" si="1"/>
        <v>0</v>
      </c>
      <c r="I48" s="228">
        <v>20260365</v>
      </c>
      <c r="J48" s="241" t="s">
        <v>135</v>
      </c>
      <c r="K48" s="230" t="s">
        <v>81</v>
      </c>
      <c r="L48" s="230" t="s">
        <v>82</v>
      </c>
      <c r="M48" s="231">
        <v>99125223</v>
      </c>
      <c r="N48" s="232"/>
      <c r="O48" s="232"/>
      <c r="P48" s="232"/>
      <c r="Q48" s="232"/>
    </row>
    <row r="49" spans="1:17" s="233" customFormat="1" ht="14.65" customHeight="1" x14ac:dyDescent="0.25">
      <c r="A49" s="223">
        <v>47</v>
      </c>
      <c r="B49" s="235">
        <v>2303</v>
      </c>
      <c r="C49" s="234" t="s">
        <v>13</v>
      </c>
      <c r="D49" s="226">
        <v>1177.3</v>
      </c>
      <c r="E49" s="227">
        <v>0.25</v>
      </c>
      <c r="F49" s="237">
        <f t="shared" si="0"/>
        <v>294.32499999999999</v>
      </c>
      <c r="G49" s="237">
        <f t="shared" ref="G49:G50" si="4">F49</f>
        <v>294.32499999999999</v>
      </c>
      <c r="H49" s="227">
        <f t="shared" si="1"/>
        <v>0</v>
      </c>
      <c r="I49" s="228">
        <v>18636198</v>
      </c>
      <c r="J49" s="243" t="s">
        <v>136</v>
      </c>
      <c r="K49" s="230" t="s">
        <v>14</v>
      </c>
      <c r="L49" s="230" t="s">
        <v>47</v>
      </c>
      <c r="M49" s="231">
        <v>92726444</v>
      </c>
      <c r="N49" s="232"/>
      <c r="O49" s="232"/>
      <c r="P49" s="232"/>
      <c r="Q49" s="232"/>
    </row>
    <row r="50" spans="1:17" s="233" customFormat="1" ht="15" customHeight="1" x14ac:dyDescent="0.25">
      <c r="A50" s="223">
        <v>48</v>
      </c>
      <c r="B50" s="235">
        <v>2304</v>
      </c>
      <c r="C50" s="234" t="s">
        <v>24</v>
      </c>
      <c r="D50" s="226">
        <v>595.5</v>
      </c>
      <c r="E50" s="227">
        <v>0.25</v>
      </c>
      <c r="F50" s="237">
        <f t="shared" si="0"/>
        <v>148.875</v>
      </c>
      <c r="G50" s="237">
        <f t="shared" si="4"/>
        <v>148.875</v>
      </c>
      <c r="H50" s="227">
        <f t="shared" si="1"/>
        <v>0</v>
      </c>
      <c r="I50" s="228">
        <v>7290532</v>
      </c>
      <c r="J50" s="229" t="s">
        <v>137</v>
      </c>
      <c r="K50" s="230" t="s">
        <v>11</v>
      </c>
      <c r="L50" s="230" t="s">
        <v>47</v>
      </c>
      <c r="M50" s="231">
        <v>95117299</v>
      </c>
      <c r="N50" s="232"/>
      <c r="O50" s="232"/>
      <c r="P50" s="232">
        <f>495.575+4.55</f>
        <v>500.125</v>
      </c>
      <c r="Q50" s="232"/>
    </row>
    <row r="51" spans="1:17" s="1" customFormat="1" x14ac:dyDescent="0.25">
      <c r="A51" s="47">
        <v>49</v>
      </c>
      <c r="B51" s="33">
        <v>2306</v>
      </c>
      <c r="C51" s="9" t="s">
        <v>34</v>
      </c>
      <c r="D51" s="10">
        <v>865.4</v>
      </c>
      <c r="E51" s="11">
        <v>0.25</v>
      </c>
      <c r="F51" s="35">
        <f t="shared" si="0"/>
        <v>216.35</v>
      </c>
      <c r="G51" s="35">
        <f>214.6</f>
        <v>214.6</v>
      </c>
      <c r="H51" s="11">
        <f t="shared" si="1"/>
        <v>1.75</v>
      </c>
      <c r="I51" s="92">
        <v>26425746</v>
      </c>
      <c r="J51" s="91" t="s">
        <v>138</v>
      </c>
      <c r="K51" s="92" t="s">
        <v>14</v>
      </c>
      <c r="L51" s="92" t="s">
        <v>55</v>
      </c>
      <c r="M51" s="8">
        <v>99587923</v>
      </c>
      <c r="N51" s="143">
        <v>45600</v>
      </c>
      <c r="O51" s="140"/>
      <c r="P51" s="140"/>
      <c r="Q51" s="140"/>
    </row>
    <row r="52" spans="1:17" s="1" customFormat="1" ht="14.65" customHeight="1" x14ac:dyDescent="0.25">
      <c r="A52" s="60">
        <v>50</v>
      </c>
      <c r="B52" s="61">
        <v>2307</v>
      </c>
      <c r="C52" s="62" t="s">
        <v>139</v>
      </c>
      <c r="D52" s="63">
        <v>3342.2</v>
      </c>
      <c r="E52" s="64">
        <v>0.25</v>
      </c>
      <c r="F52" s="65">
        <f t="shared" si="0"/>
        <v>835.55</v>
      </c>
      <c r="G52" s="65">
        <f>F52</f>
        <v>835.55</v>
      </c>
      <c r="H52" s="64">
        <f t="shared" si="1"/>
        <v>0</v>
      </c>
      <c r="I52" s="106">
        <v>1485446</v>
      </c>
      <c r="J52" s="107" t="s">
        <v>140</v>
      </c>
      <c r="K52" s="108" t="s">
        <v>50</v>
      </c>
      <c r="L52" s="108" t="s">
        <v>51</v>
      </c>
      <c r="M52" s="66">
        <v>96405050</v>
      </c>
      <c r="N52" s="140"/>
      <c r="O52" s="140"/>
      <c r="P52" s="140"/>
      <c r="Q52" s="140"/>
    </row>
    <row r="53" spans="1:17" s="233" customFormat="1" x14ac:dyDescent="0.25">
      <c r="A53" s="223">
        <v>51</v>
      </c>
      <c r="B53" s="235">
        <v>2309</v>
      </c>
      <c r="C53" s="234" t="s">
        <v>35</v>
      </c>
      <c r="D53" s="226">
        <v>1199.2</v>
      </c>
      <c r="E53" s="227">
        <v>0.25</v>
      </c>
      <c r="F53" s="237">
        <f t="shared" si="0"/>
        <v>299.8</v>
      </c>
      <c r="G53" s="237">
        <f>F53</f>
        <v>299.8</v>
      </c>
      <c r="H53" s="227">
        <f t="shared" si="1"/>
        <v>0</v>
      </c>
      <c r="I53" s="230">
        <v>2733875</v>
      </c>
      <c r="J53" s="229" t="s">
        <v>141</v>
      </c>
      <c r="K53" s="230" t="s">
        <v>11</v>
      </c>
      <c r="L53" s="230" t="s">
        <v>47</v>
      </c>
      <c r="M53" s="224">
        <v>99580134</v>
      </c>
      <c r="N53" s="232"/>
      <c r="O53" s="232"/>
      <c r="P53" s="232"/>
      <c r="Q53" s="232"/>
    </row>
    <row r="54" spans="1:17" s="233" customFormat="1" ht="14.65" customHeight="1" x14ac:dyDescent="0.25">
      <c r="A54" s="223">
        <v>52</v>
      </c>
      <c r="B54" s="235">
        <v>2310</v>
      </c>
      <c r="C54" s="234" t="s">
        <v>142</v>
      </c>
      <c r="D54" s="226">
        <v>4531.1000000000004</v>
      </c>
      <c r="E54" s="227">
        <v>0.25</v>
      </c>
      <c r="F54" s="237">
        <f t="shared" si="0"/>
        <v>1132.7750000000001</v>
      </c>
      <c r="G54" s="237">
        <f>F54</f>
        <v>1132.7750000000001</v>
      </c>
      <c r="H54" s="227">
        <f t="shared" si="1"/>
        <v>0</v>
      </c>
      <c r="I54" s="228">
        <v>10612452</v>
      </c>
      <c r="J54" s="229" t="s">
        <v>143</v>
      </c>
      <c r="K54" s="230" t="s">
        <v>11</v>
      </c>
      <c r="L54" s="230" t="s">
        <v>47</v>
      </c>
      <c r="M54" s="231">
        <v>98882353</v>
      </c>
      <c r="N54" s="232"/>
      <c r="O54" s="232"/>
      <c r="P54" s="232"/>
      <c r="Q54" s="232"/>
    </row>
    <row r="55" spans="1:17" s="1" customFormat="1" x14ac:dyDescent="0.25">
      <c r="A55" s="47">
        <v>53</v>
      </c>
      <c r="B55" s="33">
        <v>2311</v>
      </c>
      <c r="C55" s="9" t="s">
        <v>144</v>
      </c>
      <c r="D55" s="10">
        <v>624</v>
      </c>
      <c r="E55" s="11">
        <v>0.25</v>
      </c>
      <c r="F55" s="35">
        <f t="shared" si="0"/>
        <v>156</v>
      </c>
      <c r="G55" s="35">
        <f>155.2+0.8</f>
        <v>156</v>
      </c>
      <c r="H55" s="11">
        <f t="shared" si="1"/>
        <v>0</v>
      </c>
      <c r="I55" s="77">
        <v>14874655</v>
      </c>
      <c r="J55" s="91" t="s">
        <v>145</v>
      </c>
      <c r="K55" s="92" t="s">
        <v>146</v>
      </c>
      <c r="L55" s="92" t="s">
        <v>47</v>
      </c>
      <c r="M55" s="12">
        <v>99580134</v>
      </c>
      <c r="N55" s="59">
        <v>45650</v>
      </c>
      <c r="O55" s="59">
        <v>45677</v>
      </c>
      <c r="P55" s="140"/>
      <c r="Q55" s="140"/>
    </row>
    <row r="56" spans="1:17" s="1" customFormat="1" x14ac:dyDescent="0.25">
      <c r="A56" s="47">
        <v>54</v>
      </c>
      <c r="B56" s="33">
        <v>2312</v>
      </c>
      <c r="C56" s="9" t="s">
        <v>36</v>
      </c>
      <c r="D56" s="10">
        <v>1801</v>
      </c>
      <c r="E56" s="11">
        <v>0.25</v>
      </c>
      <c r="F56" s="35">
        <f t="shared" si="0"/>
        <v>450.25</v>
      </c>
      <c r="G56" s="35">
        <f>447.15+3.1</f>
        <v>450.25</v>
      </c>
      <c r="H56" s="11">
        <f t="shared" si="1"/>
        <v>0</v>
      </c>
      <c r="I56" s="92">
        <v>876418</v>
      </c>
      <c r="J56" s="91" t="s">
        <v>148</v>
      </c>
      <c r="K56" s="92" t="s">
        <v>15</v>
      </c>
      <c r="L56" s="92" t="s">
        <v>67</v>
      </c>
      <c r="M56" s="8">
        <v>93340442</v>
      </c>
      <c r="N56" s="59">
        <v>45615</v>
      </c>
      <c r="O56" s="59">
        <v>45637</v>
      </c>
      <c r="P56" s="140"/>
      <c r="Q56" s="140"/>
    </row>
    <row r="57" spans="1:17" s="1" customFormat="1" x14ac:dyDescent="0.25">
      <c r="A57" s="47">
        <v>55</v>
      </c>
      <c r="B57" s="33">
        <v>2314</v>
      </c>
      <c r="C57" s="9" t="s">
        <v>149</v>
      </c>
      <c r="D57" s="10">
        <v>1214.2</v>
      </c>
      <c r="E57" s="11">
        <v>0.25</v>
      </c>
      <c r="F57" s="35">
        <f t="shared" si="0"/>
        <v>303.55</v>
      </c>
      <c r="G57" s="35">
        <f>300.725+2.825</f>
        <v>303.55</v>
      </c>
      <c r="H57" s="11">
        <f>F57-G57</f>
        <v>0</v>
      </c>
      <c r="I57" s="92">
        <v>7032433</v>
      </c>
      <c r="J57" s="91" t="s">
        <v>150</v>
      </c>
      <c r="K57" s="92" t="s">
        <v>11</v>
      </c>
      <c r="L57" s="92" t="s">
        <v>47</v>
      </c>
      <c r="M57" s="8">
        <v>96264331</v>
      </c>
      <c r="N57" s="59">
        <v>45609</v>
      </c>
      <c r="O57" s="59">
        <v>45644</v>
      </c>
      <c r="P57" s="140"/>
      <c r="Q57" s="140"/>
    </row>
    <row r="58" spans="1:17" s="1" customFormat="1" x14ac:dyDescent="0.25">
      <c r="A58" s="47">
        <v>56</v>
      </c>
      <c r="B58" s="33">
        <v>2316</v>
      </c>
      <c r="C58" s="9" t="s">
        <v>25</v>
      </c>
      <c r="D58" s="10">
        <v>1728.2</v>
      </c>
      <c r="E58" s="11">
        <v>0.25</v>
      </c>
      <c r="F58" s="35">
        <f t="shared" si="0"/>
        <v>432.05</v>
      </c>
      <c r="G58" s="35">
        <f>429.85+2.2</f>
        <v>432.05</v>
      </c>
      <c r="H58" s="11">
        <f t="shared" si="1"/>
        <v>0</v>
      </c>
      <c r="I58" s="77">
        <v>18635847</v>
      </c>
      <c r="J58" s="91" t="s">
        <v>151</v>
      </c>
      <c r="K58" s="92" t="s">
        <v>11</v>
      </c>
      <c r="L58" s="92" t="s">
        <v>47</v>
      </c>
      <c r="M58" s="12">
        <v>92117746</v>
      </c>
      <c r="N58" s="59">
        <v>45656</v>
      </c>
      <c r="O58" s="59">
        <v>45670</v>
      </c>
      <c r="P58" s="140"/>
      <c r="Q58" s="140"/>
    </row>
    <row r="59" spans="1:17" s="1" customFormat="1" x14ac:dyDescent="0.25">
      <c r="A59" s="127">
        <v>57</v>
      </c>
      <c r="B59" s="134">
        <v>2317</v>
      </c>
      <c r="C59" s="129" t="s">
        <v>152</v>
      </c>
      <c r="D59" s="130">
        <v>1825.4</v>
      </c>
      <c r="E59" s="131">
        <v>0.25</v>
      </c>
      <c r="F59" s="135">
        <f t="shared" si="0"/>
        <v>456.35</v>
      </c>
      <c r="G59" s="135">
        <f>F59</f>
        <v>456.35</v>
      </c>
      <c r="H59" s="131">
        <f t="shared" si="1"/>
        <v>0</v>
      </c>
      <c r="I59" s="136">
        <v>18362174</v>
      </c>
      <c r="J59" s="174" t="s">
        <v>153</v>
      </c>
      <c r="K59" s="136" t="s">
        <v>154</v>
      </c>
      <c r="L59" s="136" t="s">
        <v>155</v>
      </c>
      <c r="M59" s="128">
        <v>97503992</v>
      </c>
      <c r="N59" s="166" t="s">
        <v>296</v>
      </c>
      <c r="O59" s="140"/>
      <c r="P59" s="140"/>
      <c r="Q59" s="140"/>
    </row>
    <row r="60" spans="1:17" s="233" customFormat="1" ht="14.65" customHeight="1" x14ac:dyDescent="0.25">
      <c r="A60" s="223">
        <v>58</v>
      </c>
      <c r="B60" s="235">
        <v>2318</v>
      </c>
      <c r="C60" s="234" t="s">
        <v>156</v>
      </c>
      <c r="D60" s="226">
        <v>1104.5</v>
      </c>
      <c r="E60" s="227">
        <v>0.25</v>
      </c>
      <c r="F60" s="237">
        <f t="shared" si="0"/>
        <v>276.125</v>
      </c>
      <c r="G60" s="237">
        <f>F60</f>
        <v>276.125</v>
      </c>
      <c r="H60" s="227">
        <f t="shared" si="1"/>
        <v>0</v>
      </c>
      <c r="I60" s="228">
        <v>218881</v>
      </c>
      <c r="J60" s="229" t="s">
        <v>157</v>
      </c>
      <c r="K60" s="230" t="s">
        <v>11</v>
      </c>
      <c r="L60" s="230" t="s">
        <v>47</v>
      </c>
      <c r="M60" s="231">
        <v>99619074</v>
      </c>
      <c r="N60" s="232"/>
      <c r="O60" s="232" t="s">
        <v>297</v>
      </c>
      <c r="P60" s="232"/>
      <c r="Q60" s="232"/>
    </row>
    <row r="61" spans="1:17" s="233" customFormat="1" ht="14.65" customHeight="1" x14ac:dyDescent="0.25">
      <c r="A61" s="223">
        <v>59</v>
      </c>
      <c r="B61" s="235">
        <v>2319</v>
      </c>
      <c r="C61" s="234" t="s">
        <v>37</v>
      </c>
      <c r="D61" s="226">
        <v>79.900000000000006</v>
      </c>
      <c r="E61" s="227">
        <v>0.25</v>
      </c>
      <c r="F61" s="237">
        <f t="shared" si="0"/>
        <v>19.975000000000001</v>
      </c>
      <c r="G61" s="237">
        <f t="shared" ref="G61:G64" si="5">F61</f>
        <v>19.975000000000001</v>
      </c>
      <c r="H61" s="227">
        <f t="shared" si="1"/>
        <v>0</v>
      </c>
      <c r="I61" s="230">
        <v>5006545</v>
      </c>
      <c r="J61" s="229" t="s">
        <v>158</v>
      </c>
      <c r="K61" s="230" t="s">
        <v>11</v>
      </c>
      <c r="L61" s="230" t="s">
        <v>47</v>
      </c>
      <c r="M61" s="224">
        <v>94079727</v>
      </c>
      <c r="N61" s="232"/>
      <c r="O61" s="232"/>
      <c r="P61" s="232"/>
      <c r="Q61" s="232"/>
    </row>
    <row r="62" spans="1:17" s="233" customFormat="1" x14ac:dyDescent="0.25">
      <c r="A62" s="223">
        <v>60</v>
      </c>
      <c r="B62" s="235">
        <v>2320</v>
      </c>
      <c r="C62" s="234" t="s">
        <v>159</v>
      </c>
      <c r="D62" s="226">
        <v>1749.9</v>
      </c>
      <c r="E62" s="227">
        <v>0.25</v>
      </c>
      <c r="F62" s="237">
        <f t="shared" si="0"/>
        <v>437.47500000000002</v>
      </c>
      <c r="G62" s="237">
        <f t="shared" si="5"/>
        <v>437.47500000000002</v>
      </c>
      <c r="H62" s="227">
        <f t="shared" si="1"/>
        <v>0</v>
      </c>
      <c r="I62" s="230">
        <v>21957384</v>
      </c>
      <c r="J62" s="229" t="s">
        <v>160</v>
      </c>
      <c r="K62" s="230" t="s">
        <v>11</v>
      </c>
      <c r="L62" s="230" t="s">
        <v>47</v>
      </c>
      <c r="M62" s="224"/>
      <c r="N62" s="232"/>
      <c r="O62" s="232"/>
      <c r="P62" s="232"/>
      <c r="Q62" s="232"/>
    </row>
    <row r="63" spans="1:17" s="233" customFormat="1" x14ac:dyDescent="0.25">
      <c r="A63" s="223">
        <v>61</v>
      </c>
      <c r="B63" s="235">
        <v>2322</v>
      </c>
      <c r="C63" s="234" t="s">
        <v>161</v>
      </c>
      <c r="D63" s="226">
        <v>1122.9000000000001</v>
      </c>
      <c r="E63" s="227">
        <v>0.25</v>
      </c>
      <c r="F63" s="237">
        <f t="shared" si="0"/>
        <v>280.72500000000002</v>
      </c>
      <c r="G63" s="237">
        <f t="shared" si="5"/>
        <v>280.72500000000002</v>
      </c>
      <c r="H63" s="227">
        <f t="shared" si="1"/>
        <v>0</v>
      </c>
      <c r="I63" s="230">
        <v>102559</v>
      </c>
      <c r="J63" s="229" t="s">
        <v>162</v>
      </c>
      <c r="K63" s="230" t="s">
        <v>11</v>
      </c>
      <c r="L63" s="230" t="s">
        <v>47</v>
      </c>
      <c r="M63" s="224">
        <v>99486744</v>
      </c>
      <c r="N63" s="232"/>
      <c r="O63" s="232"/>
      <c r="P63" s="232"/>
      <c r="Q63" s="232"/>
    </row>
    <row r="64" spans="1:17" s="233" customFormat="1" x14ac:dyDescent="0.25">
      <c r="A64" s="223">
        <v>62</v>
      </c>
      <c r="B64" s="235">
        <v>2323</v>
      </c>
      <c r="C64" s="234" t="s">
        <v>163</v>
      </c>
      <c r="D64" s="226">
        <v>1162.9000000000001</v>
      </c>
      <c r="E64" s="227">
        <v>0.25</v>
      </c>
      <c r="F64" s="237">
        <f t="shared" si="0"/>
        <v>290.72500000000002</v>
      </c>
      <c r="G64" s="237">
        <f t="shared" si="5"/>
        <v>290.72500000000002</v>
      </c>
      <c r="H64" s="227">
        <f t="shared" si="1"/>
        <v>0</v>
      </c>
      <c r="I64" s="230">
        <v>1235899</v>
      </c>
      <c r="J64" s="229" t="s">
        <v>164</v>
      </c>
      <c r="K64" s="230" t="s">
        <v>14</v>
      </c>
      <c r="L64" s="230" t="s">
        <v>55</v>
      </c>
      <c r="M64" s="224">
        <v>96170087</v>
      </c>
      <c r="N64" s="232"/>
      <c r="O64" s="232"/>
      <c r="P64" s="232"/>
      <c r="Q64" s="232"/>
    </row>
    <row r="65" spans="1:17" s="1" customFormat="1" ht="14.65" customHeight="1" x14ac:dyDescent="0.25">
      <c r="A65" s="47">
        <v>63</v>
      </c>
      <c r="B65" s="33">
        <v>2324</v>
      </c>
      <c r="C65" s="9" t="s">
        <v>165</v>
      </c>
      <c r="D65" s="10">
        <v>1771.6</v>
      </c>
      <c r="E65" s="11">
        <v>0.25</v>
      </c>
      <c r="F65" s="35">
        <f t="shared" si="0"/>
        <v>442.9</v>
      </c>
      <c r="G65" s="35">
        <f>442.75+0.15</f>
        <v>442.9</v>
      </c>
      <c r="H65" s="11">
        <f t="shared" si="1"/>
        <v>0</v>
      </c>
      <c r="I65" s="77">
        <v>12239373</v>
      </c>
      <c r="J65" s="91" t="s">
        <v>166</v>
      </c>
      <c r="K65" s="92" t="s">
        <v>11</v>
      </c>
      <c r="L65" s="92" t="s">
        <v>47</v>
      </c>
      <c r="M65" s="12">
        <v>99589535</v>
      </c>
      <c r="N65" s="59">
        <v>45606</v>
      </c>
      <c r="O65" s="140"/>
      <c r="P65" s="140"/>
      <c r="Q65" s="140"/>
    </row>
    <row r="66" spans="1:17" s="1" customFormat="1" ht="14.65" customHeight="1" x14ac:dyDescent="0.25">
      <c r="A66" s="47">
        <v>64</v>
      </c>
      <c r="B66" s="33">
        <v>2325</v>
      </c>
      <c r="C66" s="9" t="s">
        <v>167</v>
      </c>
      <c r="D66" s="10">
        <v>1571.2</v>
      </c>
      <c r="E66" s="11">
        <v>0.25</v>
      </c>
      <c r="F66" s="35">
        <f t="shared" si="0"/>
        <v>392.8</v>
      </c>
      <c r="G66" s="35">
        <f>392.25+0.55</f>
        <v>392.8</v>
      </c>
      <c r="H66" s="11">
        <f t="shared" si="1"/>
        <v>0</v>
      </c>
      <c r="I66" s="77">
        <v>3802037</v>
      </c>
      <c r="J66" s="91" t="s">
        <v>168</v>
      </c>
      <c r="K66" s="92" t="s">
        <v>11</v>
      </c>
      <c r="L66" s="92" t="s">
        <v>47</v>
      </c>
      <c r="M66" s="12">
        <v>99481404</v>
      </c>
      <c r="N66" s="59">
        <v>45607</v>
      </c>
      <c r="O66" s="59">
        <v>45643</v>
      </c>
      <c r="P66" s="140"/>
      <c r="Q66" s="140"/>
    </row>
    <row r="67" spans="1:17" s="1" customFormat="1" ht="14.65" customHeight="1" x14ac:dyDescent="0.25">
      <c r="A67" s="47">
        <v>65</v>
      </c>
      <c r="B67" s="33">
        <v>2327</v>
      </c>
      <c r="C67" s="9" t="s">
        <v>169</v>
      </c>
      <c r="D67" s="10">
        <v>617.20000000000005</v>
      </c>
      <c r="E67" s="11">
        <v>0.25</v>
      </c>
      <c r="F67" s="35">
        <f t="shared" ref="F67:F102" si="6">E67*D67</f>
        <v>154.30000000000001</v>
      </c>
      <c r="G67" s="35">
        <f>151.5+2.8</f>
        <v>154.30000000000001</v>
      </c>
      <c r="H67" s="11">
        <f t="shared" si="1"/>
        <v>0</v>
      </c>
      <c r="I67" s="92">
        <v>7568982</v>
      </c>
      <c r="J67" s="91" t="s">
        <v>170</v>
      </c>
      <c r="K67" s="92" t="s">
        <v>11</v>
      </c>
      <c r="L67" s="92" t="s">
        <v>47</v>
      </c>
      <c r="M67" s="8">
        <v>99496653</v>
      </c>
      <c r="N67" s="59">
        <v>45600</v>
      </c>
      <c r="O67" s="59">
        <v>45631</v>
      </c>
      <c r="P67" s="140"/>
      <c r="Q67" s="140"/>
    </row>
    <row r="68" spans="1:17" s="233" customFormat="1" ht="14.65" customHeight="1" x14ac:dyDescent="0.25">
      <c r="A68" s="223">
        <v>66</v>
      </c>
      <c r="B68" s="235">
        <v>2329</v>
      </c>
      <c r="C68" s="234" t="s">
        <v>171</v>
      </c>
      <c r="D68" s="226">
        <v>595.5</v>
      </c>
      <c r="E68" s="227">
        <v>0.25</v>
      </c>
      <c r="F68" s="237">
        <f t="shared" si="6"/>
        <v>148.875</v>
      </c>
      <c r="G68" s="237">
        <f>F68</f>
        <v>148.875</v>
      </c>
      <c r="H68" s="227">
        <f t="shared" ref="H68:H131" si="7">F68-G68</f>
        <v>0</v>
      </c>
      <c r="I68" s="228">
        <v>500599</v>
      </c>
      <c r="J68" s="229" t="s">
        <v>172</v>
      </c>
      <c r="K68" s="230" t="s">
        <v>11</v>
      </c>
      <c r="L68" s="230" t="s">
        <v>47</v>
      </c>
      <c r="M68" s="231">
        <v>99435565</v>
      </c>
      <c r="N68" s="232"/>
      <c r="O68" s="232"/>
      <c r="P68" s="232"/>
      <c r="Q68" s="232"/>
    </row>
    <row r="69" spans="1:17" s="233" customFormat="1" x14ac:dyDescent="0.25">
      <c r="A69" s="223">
        <v>67</v>
      </c>
      <c r="B69" s="235">
        <v>2331</v>
      </c>
      <c r="C69" s="234" t="s">
        <v>173</v>
      </c>
      <c r="D69" s="226">
        <v>1241</v>
      </c>
      <c r="E69" s="227">
        <v>0.25</v>
      </c>
      <c r="F69" s="237">
        <f t="shared" si="6"/>
        <v>310.25</v>
      </c>
      <c r="G69" s="237">
        <f>F69</f>
        <v>310.25</v>
      </c>
      <c r="H69" s="227">
        <f t="shared" si="7"/>
        <v>0</v>
      </c>
      <c r="I69" s="228">
        <v>574696</v>
      </c>
      <c r="J69" s="229" t="s">
        <v>174</v>
      </c>
      <c r="K69" s="230" t="s">
        <v>14</v>
      </c>
      <c r="L69" s="230" t="s">
        <v>55</v>
      </c>
      <c r="M69" s="231">
        <v>92556868</v>
      </c>
      <c r="N69" s="232"/>
      <c r="O69" s="232"/>
      <c r="P69" s="232"/>
      <c r="Q69" s="232"/>
    </row>
    <row r="70" spans="1:17" s="137" customFormat="1" ht="14.65" customHeight="1" x14ac:dyDescent="0.25">
      <c r="A70" s="127">
        <v>68</v>
      </c>
      <c r="B70" s="134">
        <v>2332</v>
      </c>
      <c r="C70" s="129" t="s">
        <v>175</v>
      </c>
      <c r="D70" s="130">
        <v>3756.1</v>
      </c>
      <c r="E70" s="131">
        <v>0.25</v>
      </c>
      <c r="F70" s="135">
        <f t="shared" si="6"/>
        <v>939.02499999999998</v>
      </c>
      <c r="G70" s="135">
        <f>F70</f>
        <v>939.02499999999998</v>
      </c>
      <c r="H70" s="131">
        <f t="shared" si="7"/>
        <v>0</v>
      </c>
      <c r="I70" s="132">
        <v>1409668</v>
      </c>
      <c r="J70" s="174" t="s">
        <v>176</v>
      </c>
      <c r="K70" s="136" t="s">
        <v>11</v>
      </c>
      <c r="L70" s="136" t="s">
        <v>47</v>
      </c>
      <c r="M70" s="208">
        <v>99493202</v>
      </c>
      <c r="N70" s="166" t="s">
        <v>298</v>
      </c>
      <c r="O70" s="166"/>
      <c r="P70" s="166"/>
      <c r="Q70" s="166"/>
    </row>
    <row r="71" spans="1:17" s="1" customFormat="1" ht="14.65" customHeight="1" x14ac:dyDescent="0.25">
      <c r="A71" s="47">
        <v>69</v>
      </c>
      <c r="B71" s="33">
        <v>2333</v>
      </c>
      <c r="C71" s="9" t="s">
        <v>177</v>
      </c>
      <c r="D71" s="10">
        <v>613.5</v>
      </c>
      <c r="E71" s="35">
        <v>0.25</v>
      </c>
      <c r="F71" s="35">
        <f t="shared" si="6"/>
        <v>153.375</v>
      </c>
      <c r="G71" s="35">
        <f>151.75+1.625</f>
        <v>153.375</v>
      </c>
      <c r="H71" s="11">
        <f t="shared" si="7"/>
        <v>0</v>
      </c>
      <c r="I71" s="109">
        <v>732042</v>
      </c>
      <c r="J71" s="110" t="s">
        <v>178</v>
      </c>
      <c r="K71" s="111" t="s">
        <v>11</v>
      </c>
      <c r="L71" s="111" t="s">
        <v>47</v>
      </c>
      <c r="M71" s="36">
        <v>92551330</v>
      </c>
      <c r="N71" s="143">
        <v>45600</v>
      </c>
      <c r="O71" s="59">
        <v>45658</v>
      </c>
      <c r="P71" s="140"/>
      <c r="Q71" s="140"/>
    </row>
    <row r="72" spans="1:17" s="1" customFormat="1" ht="14.65" customHeight="1" x14ac:dyDescent="0.25">
      <c r="A72" s="47">
        <v>70</v>
      </c>
      <c r="B72" s="33">
        <v>2334</v>
      </c>
      <c r="C72" s="9" t="s">
        <v>38</v>
      </c>
      <c r="D72" s="10">
        <v>1234.5999999999999</v>
      </c>
      <c r="E72" s="35">
        <v>0.25</v>
      </c>
      <c r="F72" s="35">
        <f t="shared" si="6"/>
        <v>308.64999999999998</v>
      </c>
      <c r="G72" s="35">
        <f>288.75+19.9</f>
        <v>308.64999999999998</v>
      </c>
      <c r="H72" s="11">
        <f t="shared" si="7"/>
        <v>0</v>
      </c>
      <c r="I72" s="109">
        <v>390755</v>
      </c>
      <c r="J72" s="91" t="s">
        <v>179</v>
      </c>
      <c r="K72" s="92" t="s">
        <v>11</v>
      </c>
      <c r="L72" s="92" t="s">
        <v>47</v>
      </c>
      <c r="M72" s="36">
        <v>99488361</v>
      </c>
      <c r="N72" s="59">
        <v>45628</v>
      </c>
      <c r="O72" s="59">
        <v>45651</v>
      </c>
      <c r="P72" s="140"/>
      <c r="Q72" s="140"/>
    </row>
    <row r="73" spans="1:17" s="233" customFormat="1" ht="14.65" customHeight="1" x14ac:dyDescent="0.25">
      <c r="A73" s="223">
        <v>71</v>
      </c>
      <c r="B73" s="235">
        <v>2335</v>
      </c>
      <c r="C73" s="234" t="s">
        <v>180</v>
      </c>
      <c r="D73" s="226">
        <v>1176.4000000000001</v>
      </c>
      <c r="E73" s="237">
        <v>0.25</v>
      </c>
      <c r="F73" s="237">
        <f t="shared" si="6"/>
        <v>294.10000000000002</v>
      </c>
      <c r="G73" s="237">
        <f>F73</f>
        <v>294.10000000000002</v>
      </c>
      <c r="H73" s="227">
        <f t="shared" si="7"/>
        <v>0</v>
      </c>
      <c r="I73" s="238">
        <v>6221853</v>
      </c>
      <c r="J73" s="241" t="s">
        <v>181</v>
      </c>
      <c r="K73" s="239" t="s">
        <v>11</v>
      </c>
      <c r="L73" s="239" t="s">
        <v>47</v>
      </c>
      <c r="M73" s="240">
        <v>99807670</v>
      </c>
      <c r="N73" s="232"/>
      <c r="O73" s="232"/>
      <c r="P73" s="232"/>
      <c r="Q73" s="232"/>
    </row>
    <row r="74" spans="1:17" s="1" customFormat="1" ht="14.65" customHeight="1" x14ac:dyDescent="0.25">
      <c r="A74" s="47">
        <v>72</v>
      </c>
      <c r="B74" s="33">
        <v>2336</v>
      </c>
      <c r="C74" s="9" t="s">
        <v>39</v>
      </c>
      <c r="D74" s="10">
        <v>1182.4000000000001</v>
      </c>
      <c r="E74" s="35">
        <v>0.25</v>
      </c>
      <c r="F74" s="35">
        <f t="shared" si="6"/>
        <v>295.60000000000002</v>
      </c>
      <c r="G74" s="35">
        <f>F74</f>
        <v>295.60000000000002</v>
      </c>
      <c r="H74" s="11">
        <f t="shared" si="7"/>
        <v>0</v>
      </c>
      <c r="I74" s="109">
        <v>380513</v>
      </c>
      <c r="J74" s="110" t="s">
        <v>182</v>
      </c>
      <c r="K74" s="111" t="s">
        <v>11</v>
      </c>
      <c r="L74" s="111" t="s">
        <v>47</v>
      </c>
      <c r="M74" s="36">
        <v>99490146</v>
      </c>
      <c r="N74" s="143">
        <v>45643</v>
      </c>
      <c r="O74" s="140"/>
      <c r="P74" s="140"/>
      <c r="Q74" s="140"/>
    </row>
    <row r="75" spans="1:17" s="233" customFormat="1" ht="14.65" customHeight="1" x14ac:dyDescent="0.25">
      <c r="A75" s="223">
        <v>73</v>
      </c>
      <c r="B75" s="235">
        <v>2337</v>
      </c>
      <c r="C75" s="234" t="s">
        <v>183</v>
      </c>
      <c r="D75" s="226">
        <v>590.9</v>
      </c>
      <c r="E75" s="237">
        <v>0.25</v>
      </c>
      <c r="F75" s="237">
        <f t="shared" si="6"/>
        <v>147.72499999999999</v>
      </c>
      <c r="G75" s="237">
        <f>F75</f>
        <v>147.72499999999999</v>
      </c>
      <c r="H75" s="227">
        <f t="shared" si="7"/>
        <v>0</v>
      </c>
      <c r="I75" s="239">
        <v>813786</v>
      </c>
      <c r="J75" s="241" t="s">
        <v>184</v>
      </c>
      <c r="K75" s="239" t="s">
        <v>11</v>
      </c>
      <c r="L75" s="239" t="s">
        <v>47</v>
      </c>
      <c r="M75" s="235">
        <v>99293129</v>
      </c>
      <c r="N75" s="232" t="s">
        <v>299</v>
      </c>
      <c r="O75" s="232"/>
      <c r="P75" s="232"/>
      <c r="Q75" s="232"/>
    </row>
    <row r="76" spans="1:17" s="233" customFormat="1" ht="14.65" customHeight="1" x14ac:dyDescent="0.25">
      <c r="A76" s="223">
        <v>74</v>
      </c>
      <c r="B76" s="235">
        <v>2338</v>
      </c>
      <c r="C76" s="234" t="s">
        <v>185</v>
      </c>
      <c r="D76" s="226">
        <v>965.2</v>
      </c>
      <c r="E76" s="237">
        <v>0.25</v>
      </c>
      <c r="F76" s="237">
        <f t="shared" si="6"/>
        <v>241.3</v>
      </c>
      <c r="G76" s="237">
        <f t="shared" ref="G76:G77" si="8">F76</f>
        <v>241.3</v>
      </c>
      <c r="H76" s="227">
        <f t="shared" si="7"/>
        <v>0</v>
      </c>
      <c r="I76" s="238">
        <v>902553</v>
      </c>
      <c r="J76" s="241" t="s">
        <v>186</v>
      </c>
      <c r="K76" s="239" t="s">
        <v>11</v>
      </c>
      <c r="L76" s="239" t="s">
        <v>47</v>
      </c>
      <c r="M76" s="240">
        <v>90837777</v>
      </c>
      <c r="N76" s="232"/>
      <c r="O76" s="232"/>
      <c r="P76" s="232"/>
      <c r="Q76" s="232"/>
    </row>
    <row r="77" spans="1:17" s="233" customFormat="1" ht="14.65" customHeight="1" x14ac:dyDescent="0.25">
      <c r="A77" s="223">
        <v>75</v>
      </c>
      <c r="B77" s="235">
        <v>2342</v>
      </c>
      <c r="C77" s="234" t="s">
        <v>40</v>
      </c>
      <c r="D77" s="226">
        <v>1142.5999999999999</v>
      </c>
      <c r="E77" s="237">
        <v>0.25</v>
      </c>
      <c r="F77" s="237">
        <f t="shared" si="6"/>
        <v>285.64999999999998</v>
      </c>
      <c r="G77" s="237">
        <f t="shared" si="8"/>
        <v>285.64999999999998</v>
      </c>
      <c r="H77" s="227">
        <f t="shared" si="7"/>
        <v>0</v>
      </c>
      <c r="I77" s="238">
        <v>6107751</v>
      </c>
      <c r="J77" s="241" t="s">
        <v>187</v>
      </c>
      <c r="K77" s="239" t="s">
        <v>16</v>
      </c>
      <c r="L77" s="239" t="s">
        <v>47</v>
      </c>
      <c r="M77" s="240">
        <v>97191244</v>
      </c>
      <c r="N77" s="244"/>
      <c r="O77" s="232"/>
      <c r="P77" s="232"/>
      <c r="Q77" s="232"/>
    </row>
    <row r="78" spans="1:17" s="137" customFormat="1" ht="14.65" customHeight="1" x14ac:dyDescent="0.25">
      <c r="A78" s="127">
        <v>76</v>
      </c>
      <c r="B78" s="134">
        <v>2344</v>
      </c>
      <c r="C78" s="129" t="s">
        <v>188</v>
      </c>
      <c r="D78" s="130">
        <v>3557.3</v>
      </c>
      <c r="E78" s="135">
        <v>0.25</v>
      </c>
      <c r="F78" s="135">
        <f t="shared" si="6"/>
        <v>889.32500000000005</v>
      </c>
      <c r="G78" s="135">
        <f>F78</f>
        <v>889.32500000000005</v>
      </c>
      <c r="H78" s="131">
        <f t="shared" si="7"/>
        <v>0</v>
      </c>
      <c r="I78" s="161">
        <v>1071884</v>
      </c>
      <c r="J78" s="162" t="s">
        <v>189</v>
      </c>
      <c r="K78" s="163" t="s">
        <v>14</v>
      </c>
      <c r="L78" s="163" t="s">
        <v>55</v>
      </c>
      <c r="M78" s="164">
        <v>99480379</v>
      </c>
      <c r="N78" s="165" t="s">
        <v>70</v>
      </c>
      <c r="O78" s="166"/>
      <c r="P78" s="166"/>
      <c r="Q78" s="166"/>
    </row>
    <row r="79" spans="1:17" s="233" customFormat="1" ht="14.65" customHeight="1" x14ac:dyDescent="0.25">
      <c r="A79" s="223">
        <v>77</v>
      </c>
      <c r="B79" s="235">
        <v>2345</v>
      </c>
      <c r="C79" s="234" t="s">
        <v>41</v>
      </c>
      <c r="D79" s="226">
        <v>1238.9000000000001</v>
      </c>
      <c r="E79" s="237">
        <v>0.25</v>
      </c>
      <c r="F79" s="237">
        <f t="shared" si="6"/>
        <v>309.72500000000002</v>
      </c>
      <c r="G79" s="237">
        <f>F79</f>
        <v>309.72500000000002</v>
      </c>
      <c r="H79" s="227">
        <f t="shared" si="7"/>
        <v>0</v>
      </c>
      <c r="I79" s="238">
        <v>1298574</v>
      </c>
      <c r="J79" s="241" t="s">
        <v>190</v>
      </c>
      <c r="K79" s="239" t="s">
        <v>14</v>
      </c>
      <c r="L79" s="239" t="s">
        <v>55</v>
      </c>
      <c r="M79" s="240">
        <v>99299199</v>
      </c>
      <c r="N79" s="244"/>
      <c r="O79" s="232"/>
      <c r="P79" s="232"/>
      <c r="Q79" s="232"/>
    </row>
    <row r="80" spans="1:17" s="233" customFormat="1" x14ac:dyDescent="0.25">
      <c r="A80" s="223">
        <v>78</v>
      </c>
      <c r="B80" s="235">
        <v>2346</v>
      </c>
      <c r="C80" s="234" t="s">
        <v>191</v>
      </c>
      <c r="D80" s="226">
        <v>503.4</v>
      </c>
      <c r="E80" s="237">
        <v>0.25</v>
      </c>
      <c r="F80" s="237">
        <f t="shared" si="6"/>
        <v>125.85</v>
      </c>
      <c r="G80" s="237">
        <f>F80</f>
        <v>125.85</v>
      </c>
      <c r="H80" s="227">
        <f t="shared" si="7"/>
        <v>0</v>
      </c>
      <c r="I80" s="238">
        <v>26080834</v>
      </c>
      <c r="J80" s="241" t="s">
        <v>192</v>
      </c>
      <c r="K80" s="239" t="s">
        <v>81</v>
      </c>
      <c r="L80" s="239" t="s">
        <v>82</v>
      </c>
      <c r="M80" s="240">
        <v>98951760</v>
      </c>
      <c r="N80" s="244"/>
      <c r="O80" s="232"/>
      <c r="P80" s="232"/>
      <c r="Q80" s="232"/>
    </row>
    <row r="81" spans="1:17" s="1" customFormat="1" ht="14.65" customHeight="1" x14ac:dyDescent="0.25">
      <c r="A81" s="47">
        <v>79</v>
      </c>
      <c r="B81" s="33">
        <v>2347</v>
      </c>
      <c r="C81" s="9" t="s">
        <v>193</v>
      </c>
      <c r="D81" s="10">
        <v>1196.5999999999999</v>
      </c>
      <c r="E81" s="35">
        <v>0.25</v>
      </c>
      <c r="F81" s="35">
        <f t="shared" si="6"/>
        <v>299.14999999999998</v>
      </c>
      <c r="G81" s="35">
        <f>296.575+2.575</f>
        <v>299.14999999999998</v>
      </c>
      <c r="H81" s="11">
        <f t="shared" si="7"/>
        <v>0</v>
      </c>
      <c r="I81" s="109">
        <v>3036144</v>
      </c>
      <c r="J81" s="110" t="s">
        <v>194</v>
      </c>
      <c r="K81" s="111" t="s">
        <v>14</v>
      </c>
      <c r="L81" s="111" t="s">
        <v>55</v>
      </c>
      <c r="M81" s="36">
        <v>99487229</v>
      </c>
      <c r="N81" s="154">
        <v>45600</v>
      </c>
      <c r="O81" s="154">
        <v>45628</v>
      </c>
      <c r="P81" s="140"/>
      <c r="Q81" s="140"/>
    </row>
    <row r="82" spans="1:17" s="1" customFormat="1" ht="14.65" customHeight="1" x14ac:dyDescent="0.25">
      <c r="A82" s="47">
        <v>80</v>
      </c>
      <c r="B82" s="33">
        <v>2348</v>
      </c>
      <c r="C82" s="9" t="s">
        <v>195</v>
      </c>
      <c r="D82" s="10">
        <v>1206</v>
      </c>
      <c r="E82" s="35">
        <v>0.25</v>
      </c>
      <c r="F82" s="35">
        <f t="shared" si="6"/>
        <v>301.5</v>
      </c>
      <c r="G82" s="35">
        <f>F82</f>
        <v>301.5</v>
      </c>
      <c r="H82" s="11">
        <f t="shared" si="7"/>
        <v>0</v>
      </c>
      <c r="I82" s="109">
        <v>25374403</v>
      </c>
      <c r="J82" s="110" t="s">
        <v>196</v>
      </c>
      <c r="K82" s="111" t="s">
        <v>154</v>
      </c>
      <c r="L82" s="111" t="s">
        <v>155</v>
      </c>
      <c r="M82" s="36">
        <v>92474433</v>
      </c>
      <c r="N82" s="145">
        <v>45658</v>
      </c>
      <c r="O82" s="140"/>
      <c r="P82" s="140"/>
      <c r="Q82" s="140"/>
    </row>
    <row r="83" spans="1:17" s="1" customFormat="1" ht="14.65" customHeight="1" x14ac:dyDescent="0.25">
      <c r="A83" s="47">
        <v>81</v>
      </c>
      <c r="B83" s="33">
        <v>2350</v>
      </c>
      <c r="C83" s="9" t="s">
        <v>197</v>
      </c>
      <c r="D83" s="10">
        <v>1193.2</v>
      </c>
      <c r="E83" s="35">
        <v>0.25</v>
      </c>
      <c r="F83" s="35">
        <f t="shared" si="6"/>
        <v>298.3</v>
      </c>
      <c r="G83" s="35">
        <f>296.15+2.15</f>
        <v>298.29999999999995</v>
      </c>
      <c r="H83" s="11">
        <f t="shared" si="7"/>
        <v>0</v>
      </c>
      <c r="I83" s="109">
        <v>734135</v>
      </c>
      <c r="J83" s="110" t="s">
        <v>198</v>
      </c>
      <c r="K83" s="111" t="s">
        <v>11</v>
      </c>
      <c r="L83" s="111" t="s">
        <v>47</v>
      </c>
      <c r="M83" s="36">
        <v>99327078</v>
      </c>
      <c r="N83" s="145">
        <v>45637</v>
      </c>
      <c r="O83" s="59">
        <v>45665</v>
      </c>
      <c r="P83" s="140"/>
      <c r="Q83" s="140"/>
    </row>
    <row r="84" spans="1:17" s="233" customFormat="1" ht="14.65" customHeight="1" x14ac:dyDescent="0.25">
      <c r="A84" s="223">
        <v>82</v>
      </c>
      <c r="B84" s="235">
        <v>2351</v>
      </c>
      <c r="C84" s="234" t="s">
        <v>199</v>
      </c>
      <c r="D84" s="226">
        <v>553.9</v>
      </c>
      <c r="E84" s="237">
        <v>0.25</v>
      </c>
      <c r="F84" s="237">
        <f t="shared" si="6"/>
        <v>138.47499999999999</v>
      </c>
      <c r="G84" s="237">
        <f>F84</f>
        <v>138.47499999999999</v>
      </c>
      <c r="H84" s="227">
        <f t="shared" si="7"/>
        <v>0</v>
      </c>
      <c r="I84" s="238">
        <v>19521995</v>
      </c>
      <c r="J84" s="241" t="s">
        <v>200</v>
      </c>
      <c r="K84" s="239" t="s">
        <v>50</v>
      </c>
      <c r="L84" s="239" t="s">
        <v>51</v>
      </c>
      <c r="M84" s="240">
        <v>92709981</v>
      </c>
      <c r="N84" s="244"/>
      <c r="O84" s="232"/>
      <c r="P84" s="232"/>
      <c r="Q84" s="232"/>
    </row>
    <row r="85" spans="1:17" s="1" customFormat="1" x14ac:dyDescent="0.25">
      <c r="A85" s="47">
        <v>83</v>
      </c>
      <c r="B85" s="33">
        <v>2353</v>
      </c>
      <c r="C85" s="9" t="s">
        <v>42</v>
      </c>
      <c r="D85" s="10">
        <v>608.6</v>
      </c>
      <c r="E85" s="35">
        <v>0.25</v>
      </c>
      <c r="F85" s="35">
        <f t="shared" si="6"/>
        <v>152.15</v>
      </c>
      <c r="G85" s="35">
        <f>150.125+2.025</f>
        <v>152.15</v>
      </c>
      <c r="H85" s="11">
        <f t="shared" si="7"/>
        <v>0</v>
      </c>
      <c r="I85" s="109">
        <v>2088123</v>
      </c>
      <c r="J85" s="110" t="s">
        <v>201</v>
      </c>
      <c r="K85" s="111" t="s">
        <v>11</v>
      </c>
      <c r="L85" s="111" t="s">
        <v>47</v>
      </c>
      <c r="M85" s="37"/>
      <c r="N85" s="145">
        <v>45637</v>
      </c>
      <c r="O85" s="59">
        <v>45677</v>
      </c>
      <c r="P85" s="140"/>
      <c r="Q85" s="140"/>
    </row>
    <row r="86" spans="1:17" s="233" customFormat="1" ht="14.65" customHeight="1" x14ac:dyDescent="0.25">
      <c r="A86" s="223">
        <v>84</v>
      </c>
      <c r="B86" s="235">
        <v>2355</v>
      </c>
      <c r="C86" s="234" t="s">
        <v>202</v>
      </c>
      <c r="D86" s="226">
        <v>1244.5999999999999</v>
      </c>
      <c r="E86" s="237">
        <v>0.25</v>
      </c>
      <c r="F86" s="237">
        <f t="shared" si="6"/>
        <v>311.14999999999998</v>
      </c>
      <c r="G86" s="237">
        <f>F86</f>
        <v>311.14999999999998</v>
      </c>
      <c r="H86" s="227">
        <f t="shared" si="7"/>
        <v>0</v>
      </c>
      <c r="I86" s="238">
        <v>1129734</v>
      </c>
      <c r="J86" s="241" t="s">
        <v>203</v>
      </c>
      <c r="K86" s="239" t="s">
        <v>11</v>
      </c>
      <c r="L86" s="239" t="s">
        <v>47</v>
      </c>
      <c r="M86" s="235">
        <v>99481921</v>
      </c>
      <c r="N86" s="244"/>
      <c r="O86" s="232"/>
      <c r="P86" s="232"/>
      <c r="Q86" s="232"/>
    </row>
    <row r="87" spans="1:17" s="233" customFormat="1" ht="14.65" customHeight="1" x14ac:dyDescent="0.25">
      <c r="A87" s="223">
        <v>85</v>
      </c>
      <c r="B87" s="235">
        <v>2356</v>
      </c>
      <c r="C87" s="234" t="s">
        <v>204</v>
      </c>
      <c r="D87" s="226">
        <v>1829.4</v>
      </c>
      <c r="E87" s="237">
        <v>0.25</v>
      </c>
      <c r="F87" s="237">
        <f t="shared" si="6"/>
        <v>457.35</v>
      </c>
      <c r="G87" s="237">
        <f t="shared" ref="G87:G88" si="9">F87</f>
        <v>457.35</v>
      </c>
      <c r="H87" s="227">
        <f t="shared" si="7"/>
        <v>0</v>
      </c>
      <c r="I87" s="238">
        <v>252996</v>
      </c>
      <c r="J87" s="241" t="s">
        <v>205</v>
      </c>
      <c r="K87" s="239" t="s">
        <v>11</v>
      </c>
      <c r="L87" s="239" t="s">
        <v>47</v>
      </c>
      <c r="M87" s="240">
        <v>99166000</v>
      </c>
      <c r="N87" s="244"/>
      <c r="O87" s="232"/>
      <c r="P87" s="232"/>
      <c r="Q87" s="232"/>
    </row>
    <row r="88" spans="1:17" s="233" customFormat="1" x14ac:dyDescent="0.25">
      <c r="A88" s="223">
        <v>86</v>
      </c>
      <c r="B88" s="235">
        <v>2358</v>
      </c>
      <c r="C88" s="234" t="s">
        <v>206</v>
      </c>
      <c r="D88" s="226">
        <v>602.29999999999995</v>
      </c>
      <c r="E88" s="237">
        <v>0.25</v>
      </c>
      <c r="F88" s="237">
        <f t="shared" si="6"/>
        <v>150.57499999999999</v>
      </c>
      <c r="G88" s="237">
        <f t="shared" si="9"/>
        <v>150.57499999999999</v>
      </c>
      <c r="H88" s="227">
        <f t="shared" si="7"/>
        <v>0</v>
      </c>
      <c r="I88" s="238">
        <v>812235</v>
      </c>
      <c r="J88" s="241" t="s">
        <v>207</v>
      </c>
      <c r="K88" s="239" t="s">
        <v>81</v>
      </c>
      <c r="L88" s="239" t="s">
        <v>82</v>
      </c>
      <c r="M88" s="240">
        <v>99496608</v>
      </c>
      <c r="N88" s="244"/>
      <c r="O88" s="232"/>
      <c r="P88" s="232"/>
      <c r="Q88" s="232"/>
    </row>
    <row r="89" spans="1:17" s="1" customFormat="1" x14ac:dyDescent="0.25">
      <c r="A89" s="47">
        <v>87</v>
      </c>
      <c r="B89" s="33">
        <v>2360</v>
      </c>
      <c r="C89" s="9" t="s">
        <v>208</v>
      </c>
      <c r="D89" s="72">
        <v>1576.2</v>
      </c>
      <c r="E89" s="35">
        <v>0.25</v>
      </c>
      <c r="F89" s="35">
        <f t="shared" si="6"/>
        <v>394.05</v>
      </c>
      <c r="G89" s="35">
        <f>393+1.05</f>
        <v>394.05</v>
      </c>
      <c r="H89" s="11">
        <f t="shared" si="7"/>
        <v>0</v>
      </c>
      <c r="I89" s="109">
        <v>6791757</v>
      </c>
      <c r="J89" s="110" t="s">
        <v>209</v>
      </c>
      <c r="K89" s="111" t="s">
        <v>14</v>
      </c>
      <c r="L89" s="111" t="s">
        <v>55</v>
      </c>
      <c r="M89" s="33">
        <v>98960002</v>
      </c>
      <c r="N89" s="154">
        <v>45601</v>
      </c>
      <c r="O89" s="59">
        <v>45656</v>
      </c>
      <c r="P89" s="140"/>
      <c r="Q89" s="140"/>
    </row>
    <row r="90" spans="1:17" s="1" customFormat="1" x14ac:dyDescent="0.25">
      <c r="A90" s="47">
        <v>88</v>
      </c>
      <c r="B90" s="33">
        <v>2361</v>
      </c>
      <c r="C90" s="9" t="s">
        <v>210</v>
      </c>
      <c r="D90" s="72">
        <v>2648.2</v>
      </c>
      <c r="E90" s="35">
        <v>0.25</v>
      </c>
      <c r="F90" s="35">
        <f t="shared" si="6"/>
        <v>662.05</v>
      </c>
      <c r="G90" s="35">
        <f>385+277.05</f>
        <v>662.05</v>
      </c>
      <c r="H90" s="11">
        <f t="shared" si="7"/>
        <v>0</v>
      </c>
      <c r="I90" s="109">
        <v>3083395</v>
      </c>
      <c r="J90" s="110" t="s">
        <v>211</v>
      </c>
      <c r="K90" s="111" t="s">
        <v>11</v>
      </c>
      <c r="L90" s="111" t="s">
        <v>47</v>
      </c>
      <c r="M90" s="36">
        <v>99287760</v>
      </c>
      <c r="N90" s="154">
        <v>45643</v>
      </c>
      <c r="O90" s="140"/>
      <c r="P90" s="140"/>
      <c r="Q90" s="140"/>
    </row>
    <row r="91" spans="1:17" s="233" customFormat="1" x14ac:dyDescent="0.25">
      <c r="A91" s="223">
        <v>89</v>
      </c>
      <c r="B91" s="235">
        <v>2362</v>
      </c>
      <c r="C91" s="234" t="s">
        <v>212</v>
      </c>
      <c r="D91" s="236">
        <v>3696</v>
      </c>
      <c r="E91" s="237">
        <v>0.25</v>
      </c>
      <c r="F91" s="237">
        <f t="shared" si="6"/>
        <v>924</v>
      </c>
      <c r="G91" s="237">
        <f t="shared" ref="G91:G97" si="10">F91</f>
        <v>924</v>
      </c>
      <c r="H91" s="227">
        <f t="shared" si="7"/>
        <v>0</v>
      </c>
      <c r="I91" s="238">
        <v>614569</v>
      </c>
      <c r="J91" s="241" t="s">
        <v>213</v>
      </c>
      <c r="K91" s="239" t="s">
        <v>11</v>
      </c>
      <c r="L91" s="239" t="s">
        <v>47</v>
      </c>
      <c r="M91" s="240"/>
      <c r="N91" s="244"/>
      <c r="O91" s="232"/>
      <c r="P91" s="232"/>
      <c r="Q91" s="232"/>
    </row>
    <row r="92" spans="1:17" s="233" customFormat="1" x14ac:dyDescent="0.25">
      <c r="A92" s="223">
        <v>90</v>
      </c>
      <c r="B92" s="235">
        <v>2365</v>
      </c>
      <c r="C92" s="242" t="s">
        <v>214</v>
      </c>
      <c r="D92" s="226">
        <v>2930.1</v>
      </c>
      <c r="E92" s="237">
        <v>0.25</v>
      </c>
      <c r="F92" s="237">
        <f t="shared" si="6"/>
        <v>732.52499999999998</v>
      </c>
      <c r="G92" s="237">
        <f t="shared" si="10"/>
        <v>732.52499999999998</v>
      </c>
      <c r="H92" s="227">
        <f t="shared" si="7"/>
        <v>0</v>
      </c>
      <c r="I92" s="238">
        <v>18164859</v>
      </c>
      <c r="J92" s="241" t="s">
        <v>215</v>
      </c>
      <c r="K92" s="239" t="s">
        <v>14</v>
      </c>
      <c r="L92" s="239" t="s">
        <v>55</v>
      </c>
      <c r="M92" s="245"/>
      <c r="N92" s="244"/>
      <c r="O92" s="232"/>
      <c r="P92" s="232"/>
      <c r="Q92" s="232"/>
    </row>
    <row r="93" spans="1:17" s="16" customFormat="1" x14ac:dyDescent="0.25">
      <c r="A93" s="47">
        <v>91</v>
      </c>
      <c r="B93" s="33">
        <v>2366</v>
      </c>
      <c r="C93" s="217" t="s">
        <v>43</v>
      </c>
      <c r="D93" s="72">
        <v>1345.3</v>
      </c>
      <c r="E93" s="35">
        <v>0.25</v>
      </c>
      <c r="F93" s="35">
        <f t="shared" si="6"/>
        <v>336.32499999999999</v>
      </c>
      <c r="G93" s="35">
        <f t="shared" si="10"/>
        <v>336.32499999999999</v>
      </c>
      <c r="H93" s="11">
        <f t="shared" si="7"/>
        <v>0</v>
      </c>
      <c r="I93" s="109">
        <v>5737041</v>
      </c>
      <c r="J93" s="113" t="s">
        <v>216</v>
      </c>
      <c r="K93" s="111" t="s">
        <v>11</v>
      </c>
      <c r="L93" s="111" t="s">
        <v>47</v>
      </c>
      <c r="M93" s="37">
        <v>99298559</v>
      </c>
      <c r="N93" s="78">
        <v>45810</v>
      </c>
      <c r="O93" s="32"/>
      <c r="P93" s="32"/>
      <c r="Q93" s="32"/>
    </row>
    <row r="94" spans="1:17" s="233" customFormat="1" x14ac:dyDescent="0.25">
      <c r="A94" s="223">
        <v>92</v>
      </c>
      <c r="B94" s="235">
        <v>2368</v>
      </c>
      <c r="C94" s="246" t="s">
        <v>26</v>
      </c>
      <c r="D94" s="226">
        <v>2410.1</v>
      </c>
      <c r="E94" s="237">
        <v>0.25</v>
      </c>
      <c r="F94" s="237">
        <f t="shared" si="6"/>
        <v>602.52499999999998</v>
      </c>
      <c r="G94" s="237">
        <f t="shared" si="10"/>
        <v>602.52499999999998</v>
      </c>
      <c r="H94" s="227">
        <f t="shared" si="7"/>
        <v>0</v>
      </c>
      <c r="I94" s="238">
        <v>14028352</v>
      </c>
      <c r="J94" s="241" t="s">
        <v>217</v>
      </c>
      <c r="K94" s="239" t="s">
        <v>11</v>
      </c>
      <c r="L94" s="239" t="s">
        <v>47</v>
      </c>
      <c r="M94" s="245"/>
      <c r="N94" s="244"/>
      <c r="O94" s="232"/>
      <c r="P94" s="232"/>
      <c r="Q94" s="232"/>
    </row>
    <row r="95" spans="1:17" s="86" customFormat="1" x14ac:dyDescent="0.25">
      <c r="A95" s="49">
        <v>93</v>
      </c>
      <c r="B95" s="25">
        <v>2369</v>
      </c>
      <c r="C95" s="179" t="s">
        <v>218</v>
      </c>
      <c r="D95" s="27">
        <v>592.70000000000005</v>
      </c>
      <c r="E95" s="21">
        <v>0.25</v>
      </c>
      <c r="F95" s="21">
        <f t="shared" si="6"/>
        <v>148.17500000000001</v>
      </c>
      <c r="G95" s="21">
        <f t="shared" si="10"/>
        <v>148.17500000000001</v>
      </c>
      <c r="H95" s="22">
        <f t="shared" si="7"/>
        <v>0</v>
      </c>
      <c r="I95" s="180">
        <v>1305728</v>
      </c>
      <c r="J95" s="181" t="s">
        <v>219</v>
      </c>
      <c r="K95" s="182" t="s">
        <v>81</v>
      </c>
      <c r="L95" s="182" t="s">
        <v>82</v>
      </c>
      <c r="M95" s="183" t="s">
        <v>300</v>
      </c>
      <c r="N95" s="184"/>
      <c r="O95" s="152"/>
      <c r="P95" s="152"/>
      <c r="Q95" s="152"/>
    </row>
    <row r="96" spans="1:17" s="1" customFormat="1" x14ac:dyDescent="0.25">
      <c r="A96" s="47">
        <v>94</v>
      </c>
      <c r="B96" s="33">
        <v>2370</v>
      </c>
      <c r="C96" s="112" t="s">
        <v>220</v>
      </c>
      <c r="D96" s="10">
        <v>1736.2</v>
      </c>
      <c r="E96" s="35">
        <v>0.25</v>
      </c>
      <c r="F96" s="35">
        <f t="shared" si="6"/>
        <v>434.05</v>
      </c>
      <c r="G96" s="35">
        <f t="shared" si="10"/>
        <v>434.05</v>
      </c>
      <c r="H96" s="11">
        <f t="shared" si="7"/>
        <v>0</v>
      </c>
      <c r="I96" s="109">
        <v>15082454</v>
      </c>
      <c r="J96" s="178" t="s">
        <v>221</v>
      </c>
      <c r="K96" s="111" t="s">
        <v>14</v>
      </c>
      <c r="L96" s="111" t="s">
        <v>55</v>
      </c>
      <c r="M96" s="37">
        <v>92600537</v>
      </c>
      <c r="N96" s="145">
        <v>45665</v>
      </c>
      <c r="O96" s="140"/>
      <c r="P96" s="140"/>
      <c r="Q96" s="140"/>
    </row>
    <row r="97" spans="1:17" s="233" customFormat="1" x14ac:dyDescent="0.25">
      <c r="A97" s="223">
        <v>95</v>
      </c>
      <c r="B97" s="235">
        <v>2371</v>
      </c>
      <c r="C97" s="247" t="s">
        <v>222</v>
      </c>
      <c r="D97" s="226">
        <v>2014.3</v>
      </c>
      <c r="E97" s="237">
        <v>0.25</v>
      </c>
      <c r="F97" s="237">
        <f t="shared" si="6"/>
        <v>503.57499999999999</v>
      </c>
      <c r="G97" s="237">
        <f t="shared" si="10"/>
        <v>503.57499999999999</v>
      </c>
      <c r="H97" s="227">
        <f t="shared" si="7"/>
        <v>0</v>
      </c>
      <c r="I97" s="238">
        <v>4710817</v>
      </c>
      <c r="J97" s="241" t="s">
        <v>223</v>
      </c>
      <c r="K97" s="239" t="s">
        <v>11</v>
      </c>
      <c r="L97" s="239" t="s">
        <v>47</v>
      </c>
      <c r="M97" s="245"/>
      <c r="N97" s="244"/>
      <c r="O97" s="232"/>
      <c r="P97" s="232"/>
      <c r="Q97" s="232"/>
    </row>
    <row r="98" spans="1:17" s="233" customFormat="1" x14ac:dyDescent="0.25">
      <c r="A98" s="223">
        <v>96</v>
      </c>
      <c r="B98" s="235">
        <v>2373</v>
      </c>
      <c r="C98" s="248" t="s">
        <v>224</v>
      </c>
      <c r="D98" s="226">
        <v>1197.5999999999999</v>
      </c>
      <c r="E98" s="237">
        <v>0.25</v>
      </c>
      <c r="F98" s="237">
        <f t="shared" si="6"/>
        <v>299.39999999999998</v>
      </c>
      <c r="G98" s="237">
        <f t="shared" ref="G98:G99" si="11">F98</f>
        <v>299.39999999999998</v>
      </c>
      <c r="H98" s="227">
        <f t="shared" si="7"/>
        <v>0</v>
      </c>
      <c r="I98" s="238">
        <v>593009</v>
      </c>
      <c r="J98" s="241" t="s">
        <v>225</v>
      </c>
      <c r="K98" s="239" t="s">
        <v>14</v>
      </c>
      <c r="L98" s="239" t="s">
        <v>55</v>
      </c>
      <c r="M98" s="245"/>
      <c r="N98" s="244"/>
      <c r="O98" s="232"/>
      <c r="P98" s="232"/>
      <c r="Q98" s="232"/>
    </row>
    <row r="99" spans="1:17" s="233" customFormat="1" x14ac:dyDescent="0.25">
      <c r="A99" s="223">
        <v>97</v>
      </c>
      <c r="B99" s="235">
        <v>2374</v>
      </c>
      <c r="C99" s="247" t="s">
        <v>226</v>
      </c>
      <c r="D99" s="226">
        <v>608.6</v>
      </c>
      <c r="E99" s="237">
        <v>0.25</v>
      </c>
      <c r="F99" s="237">
        <f t="shared" si="6"/>
        <v>152.15</v>
      </c>
      <c r="G99" s="237">
        <f t="shared" si="11"/>
        <v>152.15</v>
      </c>
      <c r="H99" s="227">
        <f t="shared" si="7"/>
        <v>0</v>
      </c>
      <c r="I99" s="238">
        <v>27683269</v>
      </c>
      <c r="J99" s="241" t="s">
        <v>227</v>
      </c>
      <c r="K99" s="239" t="s">
        <v>50</v>
      </c>
      <c r="L99" s="239" t="s">
        <v>51</v>
      </c>
      <c r="M99" s="245"/>
      <c r="N99" s="244"/>
      <c r="O99" s="232"/>
      <c r="P99" s="232"/>
      <c r="Q99" s="232"/>
    </row>
    <row r="100" spans="1:17" s="1" customFormat="1" x14ac:dyDescent="0.25">
      <c r="A100" s="47">
        <v>98</v>
      </c>
      <c r="B100" s="33">
        <v>2380</v>
      </c>
      <c r="C100" s="112" t="s">
        <v>228</v>
      </c>
      <c r="D100" s="10">
        <v>291.7</v>
      </c>
      <c r="E100" s="35">
        <v>0.25</v>
      </c>
      <c r="F100" s="35">
        <f t="shared" si="6"/>
        <v>72.924999999999997</v>
      </c>
      <c r="G100" s="35">
        <f>F100</f>
        <v>72.924999999999997</v>
      </c>
      <c r="H100" s="11">
        <f t="shared" si="7"/>
        <v>0</v>
      </c>
      <c r="I100" s="109">
        <v>614536</v>
      </c>
      <c r="J100" s="110" t="s">
        <v>229</v>
      </c>
      <c r="K100" s="111" t="s">
        <v>50</v>
      </c>
      <c r="L100" s="111" t="s">
        <v>51</v>
      </c>
      <c r="M100" s="37"/>
      <c r="N100" s="154">
        <v>45643</v>
      </c>
      <c r="O100" s="140"/>
      <c r="P100" s="140"/>
      <c r="Q100" s="140"/>
    </row>
    <row r="101" spans="1:17" s="1" customFormat="1" x14ac:dyDescent="0.25">
      <c r="A101" s="47">
        <v>99</v>
      </c>
      <c r="B101" s="33">
        <v>2381</v>
      </c>
      <c r="C101" s="112" t="s">
        <v>230</v>
      </c>
      <c r="D101" s="10">
        <v>1144.9000000000001</v>
      </c>
      <c r="E101" s="35">
        <v>0.25</v>
      </c>
      <c r="F101" s="35">
        <f t="shared" si="6"/>
        <v>286.22500000000002</v>
      </c>
      <c r="G101" s="35">
        <f>F101</f>
        <v>286.22500000000002</v>
      </c>
      <c r="H101" s="11">
        <f t="shared" si="7"/>
        <v>0</v>
      </c>
      <c r="I101" s="109">
        <v>830452</v>
      </c>
      <c r="J101" s="113" t="s">
        <v>231</v>
      </c>
      <c r="K101" s="111" t="s">
        <v>11</v>
      </c>
      <c r="L101" s="111" t="s">
        <v>47</v>
      </c>
      <c r="M101" s="37">
        <v>99493365</v>
      </c>
      <c r="N101" s="145">
        <v>45645</v>
      </c>
      <c r="O101" s="140"/>
      <c r="P101" s="140"/>
      <c r="Q101" s="140"/>
    </row>
    <row r="102" spans="1:17" s="1" customFormat="1" x14ac:dyDescent="0.25">
      <c r="A102" s="47">
        <v>100</v>
      </c>
      <c r="B102" s="33">
        <v>2383</v>
      </c>
      <c r="C102" s="37" t="s">
        <v>232</v>
      </c>
      <c r="D102" s="10">
        <v>343.7</v>
      </c>
      <c r="E102" s="35">
        <v>0.25</v>
      </c>
      <c r="F102" s="35">
        <f t="shared" si="6"/>
        <v>85.924999999999997</v>
      </c>
      <c r="G102" s="35">
        <f>F102</f>
        <v>85.924999999999997</v>
      </c>
      <c r="H102" s="11">
        <f t="shared" si="7"/>
        <v>0</v>
      </c>
      <c r="I102" s="111">
        <v>11427078</v>
      </c>
      <c r="J102" s="110" t="s">
        <v>233</v>
      </c>
      <c r="K102" s="111" t="s">
        <v>234</v>
      </c>
      <c r="L102" s="111" t="s">
        <v>235</v>
      </c>
      <c r="M102" s="33"/>
      <c r="N102" s="145">
        <v>45650</v>
      </c>
      <c r="O102" s="140"/>
      <c r="P102" s="140"/>
      <c r="Q102" s="140"/>
    </row>
    <row r="103" spans="1:17" s="1" customFormat="1" x14ac:dyDescent="0.25">
      <c r="A103" s="47">
        <v>101</v>
      </c>
      <c r="B103" s="33">
        <v>2385</v>
      </c>
      <c r="C103" s="77" t="s">
        <v>236</v>
      </c>
      <c r="D103" s="10">
        <v>1223.4000000000001</v>
      </c>
      <c r="E103" s="35">
        <v>0.25</v>
      </c>
      <c r="F103" s="35">
        <f>D103*E103</f>
        <v>305.85000000000002</v>
      </c>
      <c r="G103" s="35">
        <f>303.425+2.425</f>
        <v>305.85000000000002</v>
      </c>
      <c r="H103" s="11">
        <f t="shared" si="7"/>
        <v>0</v>
      </c>
      <c r="I103" s="109">
        <v>3039422</v>
      </c>
      <c r="J103" s="110" t="s">
        <v>237</v>
      </c>
      <c r="K103" s="111" t="s">
        <v>50</v>
      </c>
      <c r="L103" s="111" t="s">
        <v>51</v>
      </c>
      <c r="M103" s="36">
        <v>99589937</v>
      </c>
      <c r="N103" s="143">
        <v>45663</v>
      </c>
      <c r="O103" s="140"/>
      <c r="P103" s="140"/>
      <c r="Q103" s="140"/>
    </row>
    <row r="104" spans="1:17" s="1" customFormat="1" x14ac:dyDescent="0.25">
      <c r="A104" s="47">
        <v>102</v>
      </c>
      <c r="B104" s="33">
        <v>2390</v>
      </c>
      <c r="C104" s="34" t="s">
        <v>238</v>
      </c>
      <c r="D104" s="10">
        <v>1756.3</v>
      </c>
      <c r="E104" s="35">
        <v>0.25</v>
      </c>
      <c r="F104" s="35">
        <f t="shared" ref="F104:F132" si="12">E104*D104</f>
        <v>439.07499999999999</v>
      </c>
      <c r="G104" s="35">
        <f>409.45+29.625</f>
        <v>439.07499999999999</v>
      </c>
      <c r="H104" s="11">
        <f t="shared" si="7"/>
        <v>0</v>
      </c>
      <c r="I104" s="109">
        <v>738486</v>
      </c>
      <c r="J104" s="111" t="s">
        <v>239</v>
      </c>
      <c r="K104" s="111" t="s">
        <v>11</v>
      </c>
      <c r="L104" s="111" t="s">
        <v>47</v>
      </c>
      <c r="M104" s="37"/>
      <c r="N104" s="59">
        <v>45602</v>
      </c>
      <c r="O104" s="59">
        <v>45621</v>
      </c>
      <c r="P104" s="140"/>
      <c r="Q104" s="140"/>
    </row>
    <row r="105" spans="1:17" s="233" customFormat="1" x14ac:dyDescent="0.25">
      <c r="A105" s="223">
        <v>103</v>
      </c>
      <c r="B105" s="235">
        <v>2391</v>
      </c>
      <c r="C105" s="246" t="s">
        <v>240</v>
      </c>
      <c r="D105" s="226">
        <v>460.5</v>
      </c>
      <c r="E105" s="237">
        <v>0.25</v>
      </c>
      <c r="F105" s="237">
        <f t="shared" si="12"/>
        <v>115.125</v>
      </c>
      <c r="G105" s="237">
        <f>F105</f>
        <v>115.125</v>
      </c>
      <c r="H105" s="227">
        <f t="shared" si="7"/>
        <v>0</v>
      </c>
      <c r="I105" s="238">
        <v>952571</v>
      </c>
      <c r="J105" s="241" t="s">
        <v>241</v>
      </c>
      <c r="K105" s="239" t="s">
        <v>14</v>
      </c>
      <c r="L105" s="239" t="s">
        <v>55</v>
      </c>
      <c r="M105" s="245"/>
      <c r="N105" s="232"/>
      <c r="O105" s="232"/>
      <c r="P105" s="232"/>
      <c r="Q105" s="232"/>
    </row>
    <row r="106" spans="1:17" s="233" customFormat="1" x14ac:dyDescent="0.25">
      <c r="A106" s="223">
        <v>104</v>
      </c>
      <c r="B106" s="235">
        <v>2500</v>
      </c>
      <c r="C106" s="246" t="s">
        <v>242</v>
      </c>
      <c r="D106" s="226">
        <v>2933.9</v>
      </c>
      <c r="E106" s="237">
        <v>0.25</v>
      </c>
      <c r="F106" s="237">
        <f t="shared" si="12"/>
        <v>733.47500000000002</v>
      </c>
      <c r="G106" s="237">
        <f>F106</f>
        <v>733.47500000000002</v>
      </c>
      <c r="H106" s="227">
        <f t="shared" si="7"/>
        <v>0</v>
      </c>
      <c r="I106" s="238">
        <v>19597106</v>
      </c>
      <c r="J106" s="241" t="s">
        <v>243</v>
      </c>
      <c r="K106" s="239" t="s">
        <v>11</v>
      </c>
      <c r="L106" s="239" t="s">
        <v>47</v>
      </c>
      <c r="M106" s="245">
        <v>95499996</v>
      </c>
      <c r="N106" s="232"/>
      <c r="O106" s="232"/>
      <c r="P106" s="232"/>
      <c r="Q106" s="232"/>
    </row>
    <row r="107" spans="1:17" s="1" customFormat="1" x14ac:dyDescent="0.25">
      <c r="A107" s="47">
        <v>105</v>
      </c>
      <c r="B107" s="33">
        <v>2501</v>
      </c>
      <c r="C107" s="34" t="s">
        <v>244</v>
      </c>
      <c r="D107" s="10">
        <v>1118.7</v>
      </c>
      <c r="E107" s="35">
        <v>0.25</v>
      </c>
      <c r="F107" s="35">
        <f t="shared" si="12"/>
        <v>279.67500000000001</v>
      </c>
      <c r="G107" s="35">
        <v>279.67500000000001</v>
      </c>
      <c r="H107" s="11">
        <f t="shared" si="7"/>
        <v>0</v>
      </c>
      <c r="I107" s="109">
        <v>15593565</v>
      </c>
      <c r="J107" s="110" t="s">
        <v>245</v>
      </c>
      <c r="K107" s="111" t="s">
        <v>11</v>
      </c>
      <c r="L107" s="111" t="s">
        <v>47</v>
      </c>
      <c r="M107" s="37"/>
      <c r="N107" s="59">
        <v>45651</v>
      </c>
      <c r="O107" s="140"/>
      <c r="P107" s="140"/>
      <c r="Q107" s="140"/>
    </row>
    <row r="108" spans="1:17" s="233" customFormat="1" x14ac:dyDescent="0.25">
      <c r="A108" s="223">
        <v>106</v>
      </c>
      <c r="B108" s="235">
        <v>2502</v>
      </c>
      <c r="C108" s="246" t="s">
        <v>27</v>
      </c>
      <c r="D108" s="226">
        <v>971.8</v>
      </c>
      <c r="E108" s="237">
        <v>0.25</v>
      </c>
      <c r="F108" s="237">
        <f t="shared" si="12"/>
        <v>242.95</v>
      </c>
      <c r="G108" s="237">
        <f>F108</f>
        <v>242.95</v>
      </c>
      <c r="H108" s="227">
        <f t="shared" si="7"/>
        <v>0</v>
      </c>
      <c r="I108" s="238">
        <v>6231138</v>
      </c>
      <c r="J108" s="241" t="s">
        <v>246</v>
      </c>
      <c r="K108" s="239" t="s">
        <v>11</v>
      </c>
      <c r="L108" s="239" t="s">
        <v>47</v>
      </c>
      <c r="M108" s="245"/>
      <c r="N108" s="232"/>
      <c r="O108" s="232"/>
      <c r="P108" s="232"/>
      <c r="Q108" s="232"/>
    </row>
    <row r="109" spans="1:17" s="1" customFormat="1" x14ac:dyDescent="0.25">
      <c r="A109" s="47">
        <v>107</v>
      </c>
      <c r="B109" s="33">
        <v>2503</v>
      </c>
      <c r="C109" s="34" t="s">
        <v>247</v>
      </c>
      <c r="D109" s="10">
        <v>1111.3</v>
      </c>
      <c r="E109" s="35">
        <v>0.25</v>
      </c>
      <c r="F109" s="35">
        <f t="shared" si="12"/>
        <v>277.82499999999999</v>
      </c>
      <c r="G109" s="35">
        <f>266.625+11.2</f>
        <v>277.82499999999999</v>
      </c>
      <c r="H109" s="11">
        <f t="shared" si="7"/>
        <v>0</v>
      </c>
      <c r="I109" s="109">
        <v>568083</v>
      </c>
      <c r="J109" s="110" t="s">
        <v>248</v>
      </c>
      <c r="K109" s="111" t="s">
        <v>249</v>
      </c>
      <c r="L109" s="111" t="s">
        <v>250</v>
      </c>
      <c r="M109" s="37"/>
      <c r="N109" s="59">
        <v>45628</v>
      </c>
      <c r="O109" s="59">
        <v>45650</v>
      </c>
      <c r="P109" s="140"/>
      <c r="Q109" s="140"/>
    </row>
    <row r="110" spans="1:17" s="1" customFormat="1" x14ac:dyDescent="0.25">
      <c r="A110" s="47">
        <v>108</v>
      </c>
      <c r="B110" s="33">
        <v>2505</v>
      </c>
      <c r="C110" s="34" t="s">
        <v>251</v>
      </c>
      <c r="D110" s="10">
        <v>608</v>
      </c>
      <c r="E110" s="35">
        <v>0.25</v>
      </c>
      <c r="F110" s="35">
        <f t="shared" si="12"/>
        <v>152</v>
      </c>
      <c r="G110" s="35">
        <f>151.6</f>
        <v>151.6</v>
      </c>
      <c r="H110" s="11">
        <f t="shared" si="7"/>
        <v>0.40000000000000568</v>
      </c>
      <c r="I110" s="109">
        <v>257889</v>
      </c>
      <c r="J110" s="110" t="s">
        <v>252</v>
      </c>
      <c r="K110" s="111" t="s">
        <v>11</v>
      </c>
      <c r="L110" s="111" t="s">
        <v>47</v>
      </c>
      <c r="M110" s="37">
        <v>99492623</v>
      </c>
      <c r="N110" s="59">
        <v>45621</v>
      </c>
      <c r="O110" s="140"/>
      <c r="P110" s="140"/>
      <c r="Q110" s="140"/>
    </row>
    <row r="111" spans="1:17" s="16" customFormat="1" x14ac:dyDescent="0.25">
      <c r="A111" s="47">
        <v>109</v>
      </c>
      <c r="B111" s="33">
        <v>2506</v>
      </c>
      <c r="C111" s="34" t="s">
        <v>253</v>
      </c>
      <c r="D111" s="10">
        <v>587.20000000000005</v>
      </c>
      <c r="E111" s="35">
        <v>0.25</v>
      </c>
      <c r="F111" s="35">
        <f t="shared" si="12"/>
        <v>146.80000000000001</v>
      </c>
      <c r="G111" s="35">
        <f t="shared" ref="G111:G121" si="13">F111</f>
        <v>146.80000000000001</v>
      </c>
      <c r="H111" s="11">
        <f t="shared" si="7"/>
        <v>0</v>
      </c>
      <c r="I111" s="109">
        <v>11082822</v>
      </c>
      <c r="J111" s="110" t="s">
        <v>254</v>
      </c>
      <c r="K111" s="111" t="s">
        <v>18</v>
      </c>
      <c r="L111" s="111" t="s">
        <v>47</v>
      </c>
      <c r="M111" s="37"/>
      <c r="N111" s="143">
        <v>45810</v>
      </c>
      <c r="O111" s="32"/>
      <c r="P111" s="32"/>
      <c r="Q111" s="32"/>
    </row>
    <row r="112" spans="1:17" s="233" customFormat="1" x14ac:dyDescent="0.25">
      <c r="A112" s="223">
        <v>110</v>
      </c>
      <c r="B112" s="235">
        <v>2507</v>
      </c>
      <c r="C112" s="246" t="s">
        <v>255</v>
      </c>
      <c r="D112" s="226">
        <v>1176.9000000000001</v>
      </c>
      <c r="E112" s="237">
        <v>0.25</v>
      </c>
      <c r="F112" s="237">
        <f t="shared" si="12"/>
        <v>294.22500000000002</v>
      </c>
      <c r="G112" s="237">
        <f t="shared" si="13"/>
        <v>294.22500000000002</v>
      </c>
      <c r="H112" s="227">
        <f t="shared" si="7"/>
        <v>0</v>
      </c>
      <c r="I112" s="238">
        <v>21947545</v>
      </c>
      <c r="J112" s="241" t="s">
        <v>256</v>
      </c>
      <c r="K112" s="239" t="s">
        <v>11</v>
      </c>
      <c r="L112" s="239" t="s">
        <v>47</v>
      </c>
      <c r="M112" s="245"/>
      <c r="N112" s="232"/>
      <c r="O112" s="232"/>
      <c r="P112" s="232"/>
      <c r="Q112" s="232"/>
    </row>
    <row r="113" spans="1:17" s="233" customFormat="1" x14ac:dyDescent="0.25">
      <c r="A113" s="223">
        <v>111</v>
      </c>
      <c r="B113" s="235">
        <v>2509</v>
      </c>
      <c r="C113" s="246" t="s">
        <v>257</v>
      </c>
      <c r="D113" s="226">
        <v>1148.2</v>
      </c>
      <c r="E113" s="237">
        <v>0.25</v>
      </c>
      <c r="F113" s="237">
        <f t="shared" si="12"/>
        <v>287.05</v>
      </c>
      <c r="G113" s="237">
        <f t="shared" si="13"/>
        <v>287.05</v>
      </c>
      <c r="H113" s="227">
        <f t="shared" si="7"/>
        <v>0</v>
      </c>
      <c r="I113" s="238">
        <v>5739429</v>
      </c>
      <c r="J113" s="241" t="s">
        <v>258</v>
      </c>
      <c r="K113" s="239" t="s">
        <v>16</v>
      </c>
      <c r="L113" s="239" t="s">
        <v>47</v>
      </c>
      <c r="M113" s="245">
        <v>92733224</v>
      </c>
      <c r="N113" s="232"/>
      <c r="O113" s="232"/>
      <c r="P113" s="232"/>
      <c r="Q113" s="232"/>
    </row>
    <row r="114" spans="1:17" s="1" customFormat="1" x14ac:dyDescent="0.25">
      <c r="A114" s="47">
        <v>112</v>
      </c>
      <c r="B114" s="33">
        <v>2510</v>
      </c>
      <c r="C114" s="34" t="s">
        <v>259</v>
      </c>
      <c r="D114" s="10">
        <v>1037.5999999999999</v>
      </c>
      <c r="E114" s="35">
        <v>0.25</v>
      </c>
      <c r="F114" s="35">
        <f t="shared" si="12"/>
        <v>259.39999999999998</v>
      </c>
      <c r="G114" s="35">
        <f t="shared" si="13"/>
        <v>259.39999999999998</v>
      </c>
      <c r="H114" s="11">
        <f t="shared" si="7"/>
        <v>0</v>
      </c>
      <c r="I114" s="109">
        <v>5542574</v>
      </c>
      <c r="J114" s="95" t="s">
        <v>260</v>
      </c>
      <c r="K114" s="94" t="s">
        <v>11</v>
      </c>
      <c r="L114" s="94" t="s">
        <v>47</v>
      </c>
      <c r="M114" s="39"/>
      <c r="N114" s="59">
        <v>45686</v>
      </c>
      <c r="O114" s="140"/>
      <c r="P114" s="140"/>
      <c r="Q114" s="140"/>
    </row>
    <row r="115" spans="1:17" s="233" customFormat="1" x14ac:dyDescent="0.25">
      <c r="A115" s="223">
        <v>113</v>
      </c>
      <c r="B115" s="235">
        <v>2511</v>
      </c>
      <c r="C115" s="246" t="s">
        <v>261</v>
      </c>
      <c r="D115" s="226">
        <v>585.70000000000005</v>
      </c>
      <c r="E115" s="237">
        <v>0.25</v>
      </c>
      <c r="F115" s="237">
        <f t="shared" si="12"/>
        <v>146.42500000000001</v>
      </c>
      <c r="G115" s="237">
        <f t="shared" si="13"/>
        <v>146.42500000000001</v>
      </c>
      <c r="H115" s="227">
        <f t="shared" si="7"/>
        <v>0</v>
      </c>
      <c r="I115" s="238">
        <v>1109954</v>
      </c>
      <c r="J115" s="241" t="s">
        <v>262</v>
      </c>
      <c r="K115" s="239" t="s">
        <v>132</v>
      </c>
      <c r="L115" s="239" t="s">
        <v>133</v>
      </c>
      <c r="M115" s="245"/>
      <c r="N115" s="232"/>
      <c r="O115" s="232"/>
      <c r="P115" s="232"/>
      <c r="Q115" s="232"/>
    </row>
    <row r="116" spans="1:17" s="1" customFormat="1" x14ac:dyDescent="0.25">
      <c r="A116" s="60">
        <v>114</v>
      </c>
      <c r="B116" s="61">
        <v>2512</v>
      </c>
      <c r="C116" s="79" t="s">
        <v>263</v>
      </c>
      <c r="D116" s="63">
        <v>634.70000000000005</v>
      </c>
      <c r="E116" s="65">
        <v>0.25</v>
      </c>
      <c r="F116" s="65">
        <f t="shared" si="12"/>
        <v>158.67500000000001</v>
      </c>
      <c r="G116" s="65">
        <f t="shared" si="13"/>
        <v>158.67500000000001</v>
      </c>
      <c r="H116" s="64">
        <f t="shared" si="7"/>
        <v>0</v>
      </c>
      <c r="I116" s="114">
        <v>990628</v>
      </c>
      <c r="J116" s="115" t="s">
        <v>264</v>
      </c>
      <c r="K116" s="116" t="s">
        <v>146</v>
      </c>
      <c r="L116" s="116" t="s">
        <v>47</v>
      </c>
      <c r="M116" s="80">
        <v>91232518</v>
      </c>
      <c r="N116" s="140" t="s">
        <v>147</v>
      </c>
      <c r="O116" s="140"/>
      <c r="P116" s="140"/>
      <c r="Q116" s="140"/>
    </row>
    <row r="117" spans="1:17" s="233" customFormat="1" x14ac:dyDescent="0.25">
      <c r="A117" s="223">
        <v>115</v>
      </c>
      <c r="B117" s="235">
        <v>2513</v>
      </c>
      <c r="C117" s="246" t="s">
        <v>28</v>
      </c>
      <c r="D117" s="226">
        <v>1143.5999999999999</v>
      </c>
      <c r="E117" s="237">
        <v>0.25</v>
      </c>
      <c r="F117" s="237">
        <f t="shared" si="12"/>
        <v>285.89999999999998</v>
      </c>
      <c r="G117" s="237">
        <f t="shared" si="13"/>
        <v>285.89999999999998</v>
      </c>
      <c r="H117" s="227">
        <f t="shared" si="7"/>
        <v>0</v>
      </c>
      <c r="I117" s="238">
        <v>6332123</v>
      </c>
      <c r="J117" s="241" t="s">
        <v>265</v>
      </c>
      <c r="K117" s="239" t="s">
        <v>146</v>
      </c>
      <c r="L117" s="239" t="s">
        <v>47</v>
      </c>
      <c r="M117" s="245">
        <v>98777808</v>
      </c>
      <c r="N117" s="232"/>
      <c r="O117" s="232"/>
      <c r="P117" s="232"/>
      <c r="Q117" s="232"/>
    </row>
    <row r="118" spans="1:17" s="233" customFormat="1" x14ac:dyDescent="0.25">
      <c r="A118" s="223">
        <v>116</v>
      </c>
      <c r="B118" s="249">
        <v>2514</v>
      </c>
      <c r="C118" s="250" t="s">
        <v>266</v>
      </c>
      <c r="D118" s="226">
        <v>592.70000000000005</v>
      </c>
      <c r="E118" s="251">
        <v>0.25</v>
      </c>
      <c r="F118" s="251">
        <f t="shared" si="12"/>
        <v>148.17500000000001</v>
      </c>
      <c r="G118" s="237">
        <f t="shared" si="13"/>
        <v>148.17500000000001</v>
      </c>
      <c r="H118" s="227">
        <f t="shared" si="7"/>
        <v>0</v>
      </c>
      <c r="I118" s="252">
        <v>10795387</v>
      </c>
      <c r="J118" s="253" t="s">
        <v>267</v>
      </c>
      <c r="K118" s="254" t="s">
        <v>146</v>
      </c>
      <c r="L118" s="254" t="s">
        <v>47</v>
      </c>
      <c r="M118" s="255">
        <v>96744447</v>
      </c>
      <c r="N118" s="232"/>
      <c r="O118" s="232"/>
      <c r="P118" s="232"/>
      <c r="Q118" s="232"/>
    </row>
    <row r="119" spans="1:17" s="1" customFormat="1" x14ac:dyDescent="0.25">
      <c r="A119" s="7">
        <v>117</v>
      </c>
      <c r="B119" s="33">
        <v>2515</v>
      </c>
      <c r="C119" s="34" t="s">
        <v>268</v>
      </c>
      <c r="D119" s="10">
        <v>1721.7</v>
      </c>
      <c r="E119" s="35">
        <v>0.25</v>
      </c>
      <c r="F119" s="35">
        <f t="shared" si="12"/>
        <v>430.42500000000001</v>
      </c>
      <c r="G119" s="35">
        <f t="shared" si="13"/>
        <v>430.42500000000001</v>
      </c>
      <c r="H119" s="11">
        <f t="shared" si="7"/>
        <v>0</v>
      </c>
      <c r="I119" s="109">
        <v>5638084</v>
      </c>
      <c r="J119" s="95" t="s">
        <v>269</v>
      </c>
      <c r="K119" s="94" t="s">
        <v>11</v>
      </c>
      <c r="L119" s="94" t="s">
        <v>47</v>
      </c>
      <c r="M119" s="39">
        <v>92597738</v>
      </c>
      <c r="N119" s="59">
        <v>45684</v>
      </c>
      <c r="O119" s="140"/>
      <c r="P119" s="140"/>
      <c r="Q119" s="140"/>
    </row>
    <row r="120" spans="1:17" s="233" customFormat="1" x14ac:dyDescent="0.25">
      <c r="A120" s="223">
        <v>118</v>
      </c>
      <c r="B120" s="235">
        <v>2516</v>
      </c>
      <c r="C120" s="246" t="s">
        <v>270</v>
      </c>
      <c r="D120" s="226">
        <v>568.1</v>
      </c>
      <c r="E120" s="237">
        <v>0.25</v>
      </c>
      <c r="F120" s="237">
        <f t="shared" si="12"/>
        <v>142.02500000000001</v>
      </c>
      <c r="G120" s="237">
        <f t="shared" si="13"/>
        <v>142.02500000000001</v>
      </c>
      <c r="H120" s="227">
        <f t="shared" si="7"/>
        <v>0</v>
      </c>
      <c r="I120" s="238">
        <v>21934588</v>
      </c>
      <c r="J120" s="241" t="s">
        <v>271</v>
      </c>
      <c r="K120" s="239" t="s">
        <v>11</v>
      </c>
      <c r="L120" s="239" t="s">
        <v>47</v>
      </c>
      <c r="M120" s="245">
        <v>98094444</v>
      </c>
      <c r="N120" s="232"/>
      <c r="O120" s="232"/>
      <c r="P120" s="232"/>
      <c r="Q120" s="232"/>
    </row>
    <row r="121" spans="1:17" s="233" customFormat="1" x14ac:dyDescent="0.25">
      <c r="A121" s="223">
        <v>119</v>
      </c>
      <c r="B121" s="235">
        <v>2517</v>
      </c>
      <c r="C121" s="246" t="s">
        <v>29</v>
      </c>
      <c r="D121" s="226">
        <v>2983.8</v>
      </c>
      <c r="E121" s="237">
        <v>0.25</v>
      </c>
      <c r="F121" s="237">
        <f t="shared" si="12"/>
        <v>745.95</v>
      </c>
      <c r="G121" s="237">
        <f t="shared" si="13"/>
        <v>745.95</v>
      </c>
      <c r="H121" s="227">
        <f t="shared" si="7"/>
        <v>0</v>
      </c>
      <c r="I121" s="239">
        <v>6231419</v>
      </c>
      <c r="J121" s="241" t="s">
        <v>272</v>
      </c>
      <c r="K121" s="239" t="s">
        <v>18</v>
      </c>
      <c r="L121" s="239" t="s">
        <v>47</v>
      </c>
      <c r="M121" s="235"/>
      <c r="N121" s="232"/>
      <c r="O121" s="232"/>
      <c r="P121" s="232"/>
      <c r="Q121" s="232"/>
    </row>
    <row r="122" spans="1:17" s="16" customFormat="1" x14ac:dyDescent="0.25">
      <c r="A122" s="47">
        <v>120</v>
      </c>
      <c r="B122" s="33">
        <v>2518</v>
      </c>
      <c r="C122" s="37" t="s">
        <v>273</v>
      </c>
      <c r="D122" s="10">
        <v>1116.9000000000001</v>
      </c>
      <c r="E122" s="35">
        <v>0.25</v>
      </c>
      <c r="F122" s="35">
        <f t="shared" si="12"/>
        <v>279.22500000000002</v>
      </c>
      <c r="G122" s="35">
        <f>279.2+0.025</f>
        <v>279.22499999999997</v>
      </c>
      <c r="H122" s="11">
        <f t="shared" si="7"/>
        <v>0</v>
      </c>
      <c r="I122" s="109">
        <v>27683344</v>
      </c>
      <c r="J122" s="110" t="s">
        <v>274</v>
      </c>
      <c r="K122" s="111" t="s">
        <v>14</v>
      </c>
      <c r="L122" s="111" t="s">
        <v>55</v>
      </c>
      <c r="M122" s="37"/>
      <c r="N122" s="143">
        <v>45600</v>
      </c>
      <c r="O122" s="143">
        <v>45643</v>
      </c>
      <c r="P122" s="32"/>
      <c r="Q122" s="32"/>
    </row>
    <row r="123" spans="1:17" s="1" customFormat="1" x14ac:dyDescent="0.25">
      <c r="A123" s="7">
        <v>121</v>
      </c>
      <c r="B123" s="33">
        <v>2519</v>
      </c>
      <c r="C123" s="9" t="s">
        <v>275</v>
      </c>
      <c r="D123" s="10">
        <v>598.9</v>
      </c>
      <c r="E123" s="35">
        <v>0.25</v>
      </c>
      <c r="F123" s="35">
        <f t="shared" si="12"/>
        <v>149.72499999999999</v>
      </c>
      <c r="G123" s="35">
        <f>F123</f>
        <v>149.72499999999999</v>
      </c>
      <c r="H123" s="11">
        <f t="shared" si="7"/>
        <v>0</v>
      </c>
      <c r="I123" s="111">
        <v>19923785</v>
      </c>
      <c r="J123" s="95" t="s">
        <v>276</v>
      </c>
      <c r="K123" s="94" t="s">
        <v>18</v>
      </c>
      <c r="L123" s="94" t="s">
        <v>47</v>
      </c>
      <c r="M123" s="17"/>
      <c r="N123" s="59">
        <v>45686</v>
      </c>
      <c r="O123" s="140"/>
      <c r="P123" s="140"/>
      <c r="Q123" s="140"/>
    </row>
    <row r="124" spans="1:17" s="1" customFormat="1" x14ac:dyDescent="0.25">
      <c r="A124" s="49">
        <v>122</v>
      </c>
      <c r="B124" s="28">
        <v>2520</v>
      </c>
      <c r="C124" s="26" t="s">
        <v>277</v>
      </c>
      <c r="D124" s="27">
        <v>1178.9000000000001</v>
      </c>
      <c r="E124" s="22">
        <v>0.25</v>
      </c>
      <c r="F124" s="22">
        <f t="shared" si="12"/>
        <v>294.72500000000002</v>
      </c>
      <c r="G124" s="22">
        <f>F124</f>
        <v>294.72500000000002</v>
      </c>
      <c r="H124" s="22">
        <f t="shared" si="7"/>
        <v>0</v>
      </c>
      <c r="I124" s="98">
        <v>1297459</v>
      </c>
      <c r="J124" s="97" t="s">
        <v>278</v>
      </c>
      <c r="K124" s="98" t="s">
        <v>50</v>
      </c>
      <c r="L124" s="98" t="s">
        <v>51</v>
      </c>
      <c r="M124" s="28"/>
      <c r="N124" s="59">
        <v>45628</v>
      </c>
      <c r="O124" s="140"/>
      <c r="P124" s="140"/>
      <c r="Q124" s="140"/>
    </row>
    <row r="125" spans="1:17" s="1" customFormat="1" x14ac:dyDescent="0.25">
      <c r="A125" s="47">
        <v>123</v>
      </c>
      <c r="B125" s="8">
        <v>2521</v>
      </c>
      <c r="C125" s="9" t="s">
        <v>279</v>
      </c>
      <c r="D125" s="10">
        <v>1714.7</v>
      </c>
      <c r="E125" s="11">
        <v>0.25</v>
      </c>
      <c r="F125" s="11">
        <f t="shared" si="12"/>
        <v>428.67500000000001</v>
      </c>
      <c r="G125" s="11">
        <f>426.025+2.65</f>
        <v>428.67499999999995</v>
      </c>
      <c r="H125" s="11">
        <f t="shared" si="7"/>
        <v>0</v>
      </c>
      <c r="I125" s="92">
        <v>5146927</v>
      </c>
      <c r="J125" s="91" t="s">
        <v>280</v>
      </c>
      <c r="K125" s="92" t="s">
        <v>50</v>
      </c>
      <c r="L125" s="92" t="s">
        <v>51</v>
      </c>
      <c r="M125" s="8">
        <v>96399028</v>
      </c>
      <c r="N125" s="59">
        <v>45635</v>
      </c>
      <c r="O125" s="59">
        <v>45663</v>
      </c>
      <c r="P125" s="140"/>
      <c r="Q125" s="140"/>
    </row>
    <row r="126" spans="1:17" s="233" customFormat="1" x14ac:dyDescent="0.25">
      <c r="A126" s="223">
        <v>124</v>
      </c>
      <c r="B126" s="224">
        <v>2522</v>
      </c>
      <c r="C126" s="234" t="s">
        <v>244</v>
      </c>
      <c r="D126" s="226">
        <v>563.5</v>
      </c>
      <c r="E126" s="227">
        <v>0.25</v>
      </c>
      <c r="F126" s="227">
        <f t="shared" si="12"/>
        <v>140.875</v>
      </c>
      <c r="G126" s="227">
        <f>F126</f>
        <v>140.875</v>
      </c>
      <c r="H126" s="227">
        <f t="shared" si="7"/>
        <v>0</v>
      </c>
      <c r="I126" s="230">
        <v>4530913</v>
      </c>
      <c r="J126" s="229" t="s">
        <v>281</v>
      </c>
      <c r="K126" s="230" t="s">
        <v>81</v>
      </c>
      <c r="L126" s="230" t="s">
        <v>82</v>
      </c>
      <c r="M126" s="224"/>
      <c r="N126" s="232"/>
      <c r="O126" s="232"/>
      <c r="P126" s="232"/>
      <c r="Q126" s="232"/>
    </row>
    <row r="127" spans="1:17" s="1" customFormat="1" x14ac:dyDescent="0.25">
      <c r="A127" s="47">
        <v>125</v>
      </c>
      <c r="B127" s="8">
        <v>2523</v>
      </c>
      <c r="C127" s="9" t="s">
        <v>44</v>
      </c>
      <c r="D127" s="10">
        <v>565.79999999999995</v>
      </c>
      <c r="E127" s="11">
        <v>0.25</v>
      </c>
      <c r="F127" s="11">
        <f t="shared" si="12"/>
        <v>141.44999999999999</v>
      </c>
      <c r="G127" s="11">
        <f>F127</f>
        <v>141.44999999999999</v>
      </c>
      <c r="H127" s="11">
        <f t="shared" si="7"/>
        <v>0</v>
      </c>
      <c r="I127" s="92">
        <v>4909387</v>
      </c>
      <c r="J127" s="91" t="s">
        <v>282</v>
      </c>
      <c r="K127" s="92" t="s">
        <v>18</v>
      </c>
      <c r="L127" s="92" t="s">
        <v>47</v>
      </c>
      <c r="M127" s="8"/>
      <c r="N127" s="59">
        <v>45658</v>
      </c>
      <c r="O127" s="140"/>
      <c r="P127" s="140"/>
      <c r="Q127" s="140"/>
    </row>
    <row r="128" spans="1:17" s="233" customFormat="1" x14ac:dyDescent="0.25">
      <c r="A128" s="223">
        <v>126</v>
      </c>
      <c r="B128" s="224">
        <v>2524</v>
      </c>
      <c r="C128" s="234" t="s">
        <v>283</v>
      </c>
      <c r="D128" s="226">
        <v>574.6</v>
      </c>
      <c r="E128" s="227">
        <v>0.25</v>
      </c>
      <c r="F128" s="227">
        <f t="shared" si="12"/>
        <v>143.65</v>
      </c>
      <c r="G128" s="227">
        <f>F128</f>
        <v>143.65</v>
      </c>
      <c r="H128" s="227">
        <f t="shared" si="7"/>
        <v>0</v>
      </c>
      <c r="I128" s="228">
        <v>5827884</v>
      </c>
      <c r="J128" s="229" t="s">
        <v>284</v>
      </c>
      <c r="K128" s="230" t="s">
        <v>11</v>
      </c>
      <c r="L128" s="230" t="s">
        <v>47</v>
      </c>
      <c r="M128" s="234"/>
      <c r="N128" s="232"/>
      <c r="O128" s="232"/>
      <c r="P128" s="232"/>
      <c r="Q128" s="232"/>
    </row>
    <row r="129" spans="1:17" s="221" customFormat="1" x14ac:dyDescent="0.25">
      <c r="A129" s="60">
        <v>127</v>
      </c>
      <c r="B129" s="67">
        <v>2526</v>
      </c>
      <c r="C129" s="62" t="s">
        <v>285</v>
      </c>
      <c r="D129" s="63">
        <v>503.9</v>
      </c>
      <c r="E129" s="64">
        <v>0.25</v>
      </c>
      <c r="F129" s="64">
        <f t="shared" si="12"/>
        <v>125.97499999999999</v>
      </c>
      <c r="G129" s="64">
        <f>F129</f>
        <v>125.97499999999999</v>
      </c>
      <c r="H129" s="64">
        <f t="shared" si="7"/>
        <v>0</v>
      </c>
      <c r="I129" s="108">
        <v>5827579</v>
      </c>
      <c r="J129" s="219" t="s">
        <v>301</v>
      </c>
      <c r="K129" s="108" t="s">
        <v>11</v>
      </c>
      <c r="L129" s="108" t="s">
        <v>47</v>
      </c>
      <c r="M129" s="67"/>
      <c r="N129" s="222">
        <v>45902</v>
      </c>
      <c r="O129" s="220"/>
      <c r="P129" s="220"/>
      <c r="Q129" s="220"/>
    </row>
    <row r="130" spans="1:17" s="1" customFormat="1" x14ac:dyDescent="0.25">
      <c r="A130" s="47">
        <v>128</v>
      </c>
      <c r="B130" s="8">
        <v>2529</v>
      </c>
      <c r="C130" s="9" t="s">
        <v>287</v>
      </c>
      <c r="D130" s="10">
        <v>388.9</v>
      </c>
      <c r="E130" s="11">
        <v>0.25</v>
      </c>
      <c r="F130" s="11">
        <f t="shared" si="12"/>
        <v>97.224999999999994</v>
      </c>
      <c r="G130" s="11">
        <f>94.6+2.625</f>
        <v>97.224999999999994</v>
      </c>
      <c r="H130" s="11">
        <f t="shared" si="7"/>
        <v>0</v>
      </c>
      <c r="I130" s="77">
        <v>6375262</v>
      </c>
      <c r="J130" s="122" t="s">
        <v>288</v>
      </c>
      <c r="K130" s="92" t="s">
        <v>18</v>
      </c>
      <c r="L130" s="92" t="s">
        <v>47</v>
      </c>
      <c r="M130" s="9">
        <v>95144359</v>
      </c>
      <c r="N130" s="59">
        <v>45602</v>
      </c>
      <c r="O130" s="59">
        <v>45650</v>
      </c>
      <c r="P130" s="140"/>
      <c r="Q130" s="140"/>
    </row>
    <row r="131" spans="1:17" s="1" customFormat="1" x14ac:dyDescent="0.25">
      <c r="A131" s="47">
        <v>129</v>
      </c>
      <c r="B131" s="8">
        <v>2530</v>
      </c>
      <c r="C131" s="9" t="s">
        <v>289</v>
      </c>
      <c r="D131" s="10">
        <v>481</v>
      </c>
      <c r="E131" s="11">
        <v>0.25</v>
      </c>
      <c r="F131" s="11">
        <f t="shared" si="12"/>
        <v>120.25</v>
      </c>
      <c r="G131" s="11">
        <f>F131</f>
        <v>120.25</v>
      </c>
      <c r="H131" s="11">
        <f t="shared" si="7"/>
        <v>0</v>
      </c>
      <c r="I131" s="77">
        <v>7506751</v>
      </c>
      <c r="J131" s="122" t="s">
        <v>290</v>
      </c>
      <c r="K131" s="92" t="s">
        <v>18</v>
      </c>
      <c r="L131" s="92" t="s">
        <v>47</v>
      </c>
      <c r="M131" s="9">
        <v>92269060</v>
      </c>
      <c r="N131" s="143">
        <v>45628</v>
      </c>
      <c r="O131" s="140"/>
      <c r="P131" s="140"/>
      <c r="Q131" s="140"/>
    </row>
    <row r="132" spans="1:17" s="1" customFormat="1" x14ac:dyDescent="0.25">
      <c r="A132" s="47">
        <v>130</v>
      </c>
      <c r="B132" s="8">
        <v>3166</v>
      </c>
      <c r="C132" s="40" t="s">
        <v>17</v>
      </c>
      <c r="D132" s="10">
        <v>2395.6999999999998</v>
      </c>
      <c r="E132" s="11">
        <v>0.25</v>
      </c>
      <c r="F132" s="11">
        <f t="shared" si="12"/>
        <v>598.92499999999995</v>
      </c>
      <c r="G132" s="11">
        <f>596.4+2.525</f>
        <v>598.92499999999995</v>
      </c>
      <c r="H132" s="11">
        <f t="shared" ref="H132" si="14">F132-G132</f>
        <v>0</v>
      </c>
      <c r="I132" s="92">
        <v>6381786</v>
      </c>
      <c r="J132" s="91" t="s">
        <v>291</v>
      </c>
      <c r="K132" s="92" t="s">
        <v>18</v>
      </c>
      <c r="L132" s="92" t="s">
        <v>47</v>
      </c>
      <c r="M132" s="8"/>
      <c r="N132" s="59">
        <v>45607</v>
      </c>
      <c r="O132" s="143">
        <v>45628</v>
      </c>
      <c r="P132" s="140"/>
      <c r="Q132" s="140"/>
    </row>
    <row r="133" spans="1:17" s="1" customFormat="1" ht="24" x14ac:dyDescent="0.4">
      <c r="A133" s="38"/>
      <c r="B133" s="17"/>
      <c r="C133" s="123" t="s">
        <v>302</v>
      </c>
      <c r="D133" s="124">
        <f>SUM(D3:D132)</f>
        <v>179270.39999999999</v>
      </c>
      <c r="E133" s="124" t="s">
        <v>303</v>
      </c>
      <c r="F133" s="124">
        <f>SUM(F3:F132)</f>
        <v>44817.599999999999</v>
      </c>
      <c r="G133" s="124">
        <f t="shared" ref="G133:H133" si="15">SUM(G3:G132)</f>
        <v>44815.45</v>
      </c>
      <c r="H133" s="124">
        <f t="shared" si="15"/>
        <v>2.1500000000000057</v>
      </c>
      <c r="I133" s="38"/>
      <c r="J133" s="31"/>
      <c r="K133" s="17"/>
      <c r="L133" s="17"/>
      <c r="M133" s="39"/>
      <c r="N133" s="140"/>
      <c r="O133" s="140"/>
      <c r="P133" s="140"/>
      <c r="Q133" s="140"/>
    </row>
    <row r="134" spans="1:17" s="1" customFormat="1" x14ac:dyDescent="0.25">
      <c r="A134" s="23"/>
      <c r="B134" s="6"/>
      <c r="C134" s="24"/>
      <c r="D134" s="87"/>
      <c r="G134" s="125">
        <f>G124+G34+G32</f>
        <v>1125.425</v>
      </c>
      <c r="I134" s="23"/>
      <c r="J134" s="73"/>
      <c r="K134" s="6"/>
      <c r="L134" s="6"/>
      <c r="N134" s="140"/>
      <c r="O134" s="140"/>
      <c r="P134" s="140"/>
      <c r="Q134" s="140"/>
    </row>
    <row r="135" spans="1:17" s="1" customFormat="1" x14ac:dyDescent="0.25">
      <c r="A135" s="23"/>
      <c r="B135" s="6"/>
      <c r="C135" s="24"/>
      <c r="D135" s="87"/>
      <c r="H135" s="125">
        <f>G133-G134</f>
        <v>43690.024999999994</v>
      </c>
      <c r="I135" s="23"/>
      <c r="J135" s="73"/>
      <c r="K135" s="6"/>
      <c r="L135" s="6"/>
      <c r="N135" s="140"/>
      <c r="O135" s="140"/>
      <c r="P135" s="140"/>
      <c r="Q135" s="140"/>
    </row>
    <row r="136" spans="1:17" s="1" customFormat="1" x14ac:dyDescent="0.25">
      <c r="A136" s="23"/>
      <c r="B136" s="6"/>
      <c r="C136" s="24"/>
      <c r="D136" s="87"/>
      <c r="H136" s="126">
        <f>H135/F133</f>
        <v>0.97484079915033373</v>
      </c>
      <c r="I136" s="23"/>
      <c r="J136" s="73"/>
      <c r="K136" s="6"/>
      <c r="L136" s="6"/>
      <c r="N136" s="140"/>
      <c r="O136" s="140"/>
      <c r="P136" s="140"/>
      <c r="Q136" s="140"/>
    </row>
    <row r="137" spans="1:17" s="1" customFormat="1" x14ac:dyDescent="0.25">
      <c r="A137" s="23"/>
      <c r="B137" s="6"/>
      <c r="C137" s="24"/>
      <c r="D137" s="87"/>
      <c r="I137" s="23"/>
      <c r="J137" s="73"/>
      <c r="K137" s="6"/>
      <c r="L137" s="6"/>
      <c r="N137" s="140"/>
      <c r="O137" s="140"/>
      <c r="P137" s="140"/>
      <c r="Q137" s="140"/>
    </row>
  </sheetData>
  <mergeCells count="1">
    <mergeCell ref="A1:M1"/>
  </mergeCells>
  <conditionalFormatting sqref="J6">
    <cfRule type="duplicateValues" dxfId="107" priority="2"/>
  </conditionalFormatting>
  <conditionalFormatting sqref="J17">
    <cfRule type="duplicateValues" dxfId="106" priority="8"/>
  </conditionalFormatting>
  <conditionalFormatting sqref="J57">
    <cfRule type="duplicateValues" dxfId="105" priority="1"/>
  </conditionalFormatting>
  <conditionalFormatting sqref="J67">
    <cfRule type="duplicateValues" dxfId="104" priority="10"/>
  </conditionalFormatting>
  <conditionalFormatting sqref="J87">
    <cfRule type="duplicateValues" dxfId="103" priority="11"/>
  </conditionalFormatting>
  <conditionalFormatting sqref="J98">
    <cfRule type="duplicateValues" dxfId="102" priority="7"/>
  </conditionalFormatting>
  <conditionalFormatting sqref="J99">
    <cfRule type="duplicateValues" dxfId="101" priority="9"/>
  </conditionalFormatting>
  <conditionalFormatting sqref="J115">
    <cfRule type="duplicateValues" dxfId="100" priority="6"/>
  </conditionalFormatting>
  <conditionalFormatting sqref="J118">
    <cfRule type="duplicateValues" dxfId="99" priority="5"/>
  </conditionalFormatting>
  <conditionalFormatting sqref="J119:J122 J124">
    <cfRule type="duplicateValues" dxfId="98" priority="4"/>
  </conditionalFormatting>
  <conditionalFormatting sqref="J123">
    <cfRule type="duplicateValues" dxfId="97" priority="3"/>
  </conditionalFormatting>
  <conditionalFormatting sqref="J125:J137 J102:J114 J88:J97 J100 J68:J86 J61:J66 J2:J5 J18:J56 J116 J7:J16 J58:J59">
    <cfRule type="duplicateValues" dxfId="96" priority="12"/>
  </conditionalFormatting>
  <pageMargins left="0.7" right="0.7" top="0.75" bottom="0.75" header="0.3" footer="0.3"/>
  <pageSetup paperSize="9" scale="54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91CE-F193-489E-89C6-B1E284677408}">
  <dimension ref="A1:Q137"/>
  <sheetViews>
    <sheetView view="pageBreakPreview" topLeftCell="A113" zoomScale="98" zoomScaleNormal="100" zoomScaleSheetLayoutView="98" workbookViewId="0">
      <selection activeCell="C81" sqref="C81"/>
    </sheetView>
  </sheetViews>
  <sheetFormatPr defaultRowHeight="15" x14ac:dyDescent="0.25"/>
  <cols>
    <col min="1" max="1" width="4" bestFit="1" customWidth="1"/>
    <col min="2" max="2" width="12.5703125" bestFit="1" customWidth="1"/>
    <col min="3" max="3" width="35.7109375" customWidth="1"/>
    <col min="4" max="4" width="17.85546875" bestFit="1" customWidth="1"/>
    <col min="5" max="5" width="10.7109375" bestFit="1" customWidth="1"/>
    <col min="6" max="7" width="16.28515625" bestFit="1" customWidth="1"/>
    <col min="8" max="8" width="11.28515625" customWidth="1"/>
    <col min="9" max="9" width="13.7109375" customWidth="1"/>
    <col min="10" max="10" width="14.28515625" customWidth="1"/>
    <col min="11" max="11" width="12.5703125" customWidth="1"/>
    <col min="12" max="13" width="10.42578125" bestFit="1" customWidth="1"/>
    <col min="14" max="14" width="10.140625" bestFit="1" customWidth="1"/>
    <col min="15" max="15" width="10.42578125" bestFit="1" customWidth="1"/>
    <col min="16" max="16" width="10.140625" bestFit="1" customWidth="1"/>
  </cols>
  <sheetData>
    <row r="1" spans="1:14" s="1" customFormat="1" x14ac:dyDescent="0.25">
      <c r="A1" s="487" t="s">
        <v>0</v>
      </c>
      <c r="B1" s="488"/>
      <c r="C1" s="488"/>
      <c r="D1" s="488"/>
      <c r="E1" s="488"/>
      <c r="F1" s="488"/>
      <c r="G1" s="488"/>
      <c r="H1" s="488"/>
      <c r="I1" s="488"/>
    </row>
    <row r="2" spans="1:14" s="6" customFormat="1" ht="30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4" t="s">
        <v>6</v>
      </c>
      <c r="H2" s="4" t="s">
        <v>6</v>
      </c>
      <c r="I2" s="4" t="s">
        <v>7</v>
      </c>
      <c r="N2" s="3"/>
    </row>
    <row r="3" spans="1:14" s="1" customFormat="1" ht="14.65" customHeight="1" x14ac:dyDescent="0.25">
      <c r="A3" s="7">
        <v>1</v>
      </c>
      <c r="B3" s="13">
        <v>2022</v>
      </c>
      <c r="C3" s="46" t="s">
        <v>45</v>
      </c>
      <c r="D3" s="19"/>
      <c r="E3" s="20">
        <v>0.25</v>
      </c>
      <c r="F3" s="20">
        <f t="shared" ref="F3:F66" si="0">E3*D3</f>
        <v>0</v>
      </c>
      <c r="G3" s="20"/>
      <c r="H3" s="20"/>
      <c r="I3" s="88">
        <v>8542496</v>
      </c>
      <c r="J3" s="23"/>
      <c r="N3" s="19"/>
    </row>
    <row r="4" spans="1:14" s="1" customFormat="1" ht="14.65" customHeight="1" x14ac:dyDescent="0.25">
      <c r="A4" s="7">
        <v>2</v>
      </c>
      <c r="B4" s="13">
        <v>2026</v>
      </c>
      <c r="C4" s="18" t="s">
        <v>48</v>
      </c>
      <c r="D4" s="19">
        <v>590.5</v>
      </c>
      <c r="E4" s="20">
        <v>0.25</v>
      </c>
      <c r="F4" s="20">
        <f t="shared" si="0"/>
        <v>147.625</v>
      </c>
      <c r="G4" s="20">
        <f>F4</f>
        <v>147.625</v>
      </c>
      <c r="H4" s="20">
        <f>F4-G4</f>
        <v>0</v>
      </c>
      <c r="I4" s="88">
        <v>5352667</v>
      </c>
      <c r="J4" s="23"/>
      <c r="N4" s="19"/>
    </row>
    <row r="5" spans="1:14" s="1" customFormat="1" ht="14.65" customHeight="1" x14ac:dyDescent="0.25">
      <c r="A5" s="47">
        <v>3</v>
      </c>
      <c r="B5" s="8">
        <v>2027</v>
      </c>
      <c r="C5" s="9" t="s">
        <v>52</v>
      </c>
      <c r="D5" s="10">
        <v>239.9</v>
      </c>
      <c r="E5" s="11">
        <v>0.25</v>
      </c>
      <c r="F5" s="11">
        <f t="shared" si="0"/>
        <v>59.975000000000001</v>
      </c>
      <c r="G5" s="20">
        <f t="shared" ref="G5:G68" si="1">F5</f>
        <v>59.975000000000001</v>
      </c>
      <c r="H5" s="11">
        <f t="shared" ref="H5:H68" si="2">F5-G5</f>
        <v>0</v>
      </c>
      <c r="I5" s="77">
        <v>19187402</v>
      </c>
      <c r="J5" s="15">
        <v>45637</v>
      </c>
      <c r="K5" s="41">
        <v>45658</v>
      </c>
      <c r="N5" s="19"/>
    </row>
    <row r="6" spans="1:14" s="1" customFormat="1" ht="14.65" customHeight="1" x14ac:dyDescent="0.25">
      <c r="A6" s="47">
        <v>4</v>
      </c>
      <c r="B6" s="8">
        <v>2033</v>
      </c>
      <c r="C6" s="9" t="s">
        <v>19</v>
      </c>
      <c r="D6" s="10">
        <v>865.4</v>
      </c>
      <c r="E6" s="11">
        <v>0.25</v>
      </c>
      <c r="F6" s="11">
        <f t="shared" si="0"/>
        <v>216.35</v>
      </c>
      <c r="G6" s="20">
        <f t="shared" si="1"/>
        <v>216.35</v>
      </c>
      <c r="H6" s="11">
        <f t="shared" si="2"/>
        <v>0</v>
      </c>
      <c r="I6" s="77">
        <v>1290824</v>
      </c>
      <c r="J6" s="15">
        <v>45643</v>
      </c>
      <c r="K6" s="41">
        <v>45677</v>
      </c>
      <c r="N6" s="19"/>
    </row>
    <row r="7" spans="1:14" s="1" customFormat="1" ht="14.65" customHeight="1" x14ac:dyDescent="0.25">
      <c r="A7" s="47">
        <v>5</v>
      </c>
      <c r="B7" s="8">
        <v>2036</v>
      </c>
      <c r="C7" s="9" t="s">
        <v>56</v>
      </c>
      <c r="D7" s="10">
        <v>578.79999999999995</v>
      </c>
      <c r="E7" s="11">
        <v>0.25</v>
      </c>
      <c r="F7" s="11">
        <f t="shared" si="0"/>
        <v>144.69999999999999</v>
      </c>
      <c r="G7" s="20">
        <f t="shared" si="1"/>
        <v>144.69999999999999</v>
      </c>
      <c r="H7" s="11">
        <f t="shared" si="2"/>
        <v>0</v>
      </c>
      <c r="I7" s="77">
        <v>8201282</v>
      </c>
      <c r="J7" s="78">
        <v>45628</v>
      </c>
      <c r="K7" s="1" t="s">
        <v>304</v>
      </c>
      <c r="N7" s="19"/>
    </row>
    <row r="8" spans="1:14" s="1" customFormat="1" ht="14.65" customHeight="1" x14ac:dyDescent="0.25">
      <c r="A8" s="47">
        <v>6</v>
      </c>
      <c r="B8" s="8">
        <v>2051</v>
      </c>
      <c r="C8" s="9" t="s">
        <v>58</v>
      </c>
      <c r="D8" s="10">
        <v>595.9</v>
      </c>
      <c r="E8" s="11">
        <v>0.25</v>
      </c>
      <c r="F8" s="11">
        <f t="shared" si="0"/>
        <v>148.97499999999999</v>
      </c>
      <c r="G8" s="20">
        <f t="shared" si="1"/>
        <v>148.97499999999999</v>
      </c>
      <c r="H8" s="11">
        <f t="shared" si="2"/>
        <v>0</v>
      </c>
      <c r="I8" s="77">
        <v>575519</v>
      </c>
      <c r="J8" s="15">
        <v>45635</v>
      </c>
      <c r="K8" s="41">
        <v>45658</v>
      </c>
      <c r="N8" s="19"/>
    </row>
    <row r="9" spans="1:14" s="1" customFormat="1" ht="14.65" customHeight="1" x14ac:dyDescent="0.25">
      <c r="A9" s="7">
        <v>7</v>
      </c>
      <c r="B9" s="13">
        <v>2095</v>
      </c>
      <c r="C9" s="18" t="s">
        <v>20</v>
      </c>
      <c r="D9" s="19">
        <v>1042.2</v>
      </c>
      <c r="E9" s="20">
        <v>0.25</v>
      </c>
      <c r="F9" s="20">
        <f t="shared" si="0"/>
        <v>260.55</v>
      </c>
      <c r="G9" s="20">
        <f t="shared" si="1"/>
        <v>260.55</v>
      </c>
      <c r="H9" s="20">
        <f t="shared" si="2"/>
        <v>0</v>
      </c>
      <c r="I9" s="88">
        <v>26224</v>
      </c>
      <c r="J9" s="23"/>
      <c r="N9" s="19"/>
    </row>
    <row r="10" spans="1:14" s="1" customFormat="1" ht="13.9" customHeight="1" x14ac:dyDescent="0.25">
      <c r="A10" s="47">
        <v>8</v>
      </c>
      <c r="B10" s="8">
        <v>2097</v>
      </c>
      <c r="C10" s="9" t="s">
        <v>61</v>
      </c>
      <c r="D10" s="10">
        <v>591.6</v>
      </c>
      <c r="E10" s="11">
        <v>0.25</v>
      </c>
      <c r="F10" s="11">
        <f t="shared" si="0"/>
        <v>147.9</v>
      </c>
      <c r="G10" s="20">
        <f t="shared" si="1"/>
        <v>147.9</v>
      </c>
      <c r="H10" s="11">
        <f t="shared" si="2"/>
        <v>0</v>
      </c>
      <c r="I10" s="77">
        <v>677206</v>
      </c>
      <c r="J10" s="15">
        <v>45645</v>
      </c>
      <c r="N10" s="19"/>
    </row>
    <row r="11" spans="1:14" s="1" customFormat="1" ht="14.65" customHeight="1" x14ac:dyDescent="0.25">
      <c r="A11" s="47">
        <v>9</v>
      </c>
      <c r="B11" s="8">
        <v>2098</v>
      </c>
      <c r="C11" s="9" t="s">
        <v>63</v>
      </c>
      <c r="D11" s="10">
        <v>620.4</v>
      </c>
      <c r="E11" s="11">
        <v>0.25</v>
      </c>
      <c r="F11" s="11">
        <f t="shared" si="0"/>
        <v>155.1</v>
      </c>
      <c r="G11" s="20">
        <f t="shared" si="1"/>
        <v>155.1</v>
      </c>
      <c r="H11" s="11">
        <f t="shared" si="2"/>
        <v>0</v>
      </c>
      <c r="I11" s="77">
        <v>1065899</v>
      </c>
      <c r="J11" s="15">
        <v>45637</v>
      </c>
      <c r="N11" s="19"/>
    </row>
    <row r="12" spans="1:14" s="1" customFormat="1" ht="14.65" customHeight="1" x14ac:dyDescent="0.25">
      <c r="A12" s="47">
        <v>10</v>
      </c>
      <c r="B12" s="8">
        <v>2100</v>
      </c>
      <c r="C12" s="9" t="s">
        <v>65</v>
      </c>
      <c r="D12" s="10">
        <v>1116</v>
      </c>
      <c r="E12" s="11">
        <v>0.25</v>
      </c>
      <c r="F12" s="11">
        <f t="shared" si="0"/>
        <v>279</v>
      </c>
      <c r="G12" s="20">
        <f t="shared" si="1"/>
        <v>279</v>
      </c>
      <c r="H12" s="11">
        <f t="shared" si="2"/>
        <v>0</v>
      </c>
      <c r="I12" s="77">
        <v>5550806</v>
      </c>
      <c r="J12" s="15">
        <v>45650</v>
      </c>
      <c r="K12" s="1" t="s">
        <v>305</v>
      </c>
      <c r="N12" s="19"/>
    </row>
    <row r="13" spans="1:14" s="16" customFormat="1" ht="14.65" customHeight="1" x14ac:dyDescent="0.25">
      <c r="A13" s="47">
        <v>11</v>
      </c>
      <c r="B13" s="8">
        <v>2101</v>
      </c>
      <c r="C13" s="9" t="s">
        <v>68</v>
      </c>
      <c r="D13" s="10">
        <v>582.29999999999995</v>
      </c>
      <c r="E13" s="11">
        <v>0.25</v>
      </c>
      <c r="F13" s="11">
        <f t="shared" si="0"/>
        <v>145.57499999999999</v>
      </c>
      <c r="G13" s="20">
        <f t="shared" si="1"/>
        <v>145.57499999999999</v>
      </c>
      <c r="H13" s="11">
        <f t="shared" si="2"/>
        <v>0</v>
      </c>
      <c r="I13" s="92">
        <v>1145267</v>
      </c>
      <c r="J13" s="15">
        <v>45663</v>
      </c>
      <c r="N13" s="10"/>
    </row>
    <row r="14" spans="1:14" s="1" customFormat="1" ht="14.65" customHeight="1" x14ac:dyDescent="0.25">
      <c r="A14" s="47">
        <v>12</v>
      </c>
      <c r="B14" s="8">
        <v>2112</v>
      </c>
      <c r="C14" s="9" t="s">
        <v>71</v>
      </c>
      <c r="D14" s="10">
        <v>1159.2</v>
      </c>
      <c r="E14" s="11">
        <v>0.25</v>
      </c>
      <c r="F14" s="11">
        <f t="shared" si="0"/>
        <v>289.8</v>
      </c>
      <c r="G14" s="20">
        <f t="shared" si="1"/>
        <v>289.8</v>
      </c>
      <c r="H14" s="11">
        <f t="shared" si="2"/>
        <v>0</v>
      </c>
      <c r="I14" s="77">
        <v>11412524</v>
      </c>
      <c r="J14" s="15">
        <v>45643</v>
      </c>
      <c r="K14" s="41">
        <v>45685</v>
      </c>
      <c r="N14" s="19"/>
    </row>
    <row r="15" spans="1:14" s="1" customFormat="1" ht="14.65" customHeight="1" x14ac:dyDescent="0.25">
      <c r="A15" s="47">
        <v>13</v>
      </c>
      <c r="B15" s="8">
        <v>2120</v>
      </c>
      <c r="C15" s="9" t="s">
        <v>73</v>
      </c>
      <c r="D15" s="10">
        <v>568</v>
      </c>
      <c r="E15" s="11">
        <v>0.25</v>
      </c>
      <c r="F15" s="11">
        <f t="shared" si="0"/>
        <v>142</v>
      </c>
      <c r="G15" s="20">
        <f t="shared" si="1"/>
        <v>142</v>
      </c>
      <c r="H15" s="11">
        <f t="shared" si="2"/>
        <v>0</v>
      </c>
      <c r="I15" s="77">
        <v>1298606</v>
      </c>
      <c r="J15" s="15">
        <v>45628</v>
      </c>
      <c r="K15" s="41">
        <v>45663</v>
      </c>
      <c r="N15" s="19"/>
    </row>
    <row r="16" spans="1:14" s="1" customFormat="1" ht="14.65" customHeight="1" x14ac:dyDescent="0.25">
      <c r="A16" s="47">
        <v>14</v>
      </c>
      <c r="B16" s="8">
        <v>2125</v>
      </c>
      <c r="C16" s="48" t="s">
        <v>75</v>
      </c>
      <c r="D16" s="10">
        <v>567.79999999999995</v>
      </c>
      <c r="E16" s="11">
        <v>0.25</v>
      </c>
      <c r="F16" s="11">
        <f t="shared" si="0"/>
        <v>141.94999999999999</v>
      </c>
      <c r="G16" s="20">
        <f t="shared" si="1"/>
        <v>141.94999999999999</v>
      </c>
      <c r="H16" s="11">
        <f t="shared" si="2"/>
        <v>0</v>
      </c>
      <c r="I16" s="92">
        <v>6539352</v>
      </c>
      <c r="J16" s="15">
        <v>45628</v>
      </c>
      <c r="K16" s="41">
        <v>45686</v>
      </c>
      <c r="N16" s="19"/>
    </row>
    <row r="17" spans="1:14" s="1" customFormat="1" ht="14.65" customHeight="1" x14ac:dyDescent="0.25">
      <c r="A17" s="47">
        <v>15</v>
      </c>
      <c r="B17" s="8">
        <v>2128</v>
      </c>
      <c r="C17" s="9" t="s">
        <v>77</v>
      </c>
      <c r="D17" s="10">
        <v>1258</v>
      </c>
      <c r="E17" s="11">
        <v>0.25</v>
      </c>
      <c r="F17" s="11">
        <f t="shared" si="0"/>
        <v>314.5</v>
      </c>
      <c r="G17" s="20">
        <f t="shared" si="1"/>
        <v>314.5</v>
      </c>
      <c r="H17" s="11">
        <f t="shared" si="2"/>
        <v>0</v>
      </c>
      <c r="I17" s="77">
        <v>4648259</v>
      </c>
      <c r="J17" s="15">
        <v>45651</v>
      </c>
      <c r="N17" s="19"/>
    </row>
    <row r="18" spans="1:14" s="1" customFormat="1" ht="14.65" customHeight="1" x14ac:dyDescent="0.25">
      <c r="A18" s="47">
        <v>16</v>
      </c>
      <c r="B18" s="8">
        <v>2137</v>
      </c>
      <c r="C18" s="9" t="s">
        <v>79</v>
      </c>
      <c r="D18" s="10">
        <v>664</v>
      </c>
      <c r="E18" s="11">
        <v>0.25</v>
      </c>
      <c r="F18" s="11">
        <f t="shared" si="0"/>
        <v>166</v>
      </c>
      <c r="G18" s="20">
        <f t="shared" si="1"/>
        <v>166</v>
      </c>
      <c r="H18" s="11">
        <f t="shared" si="2"/>
        <v>0</v>
      </c>
      <c r="I18" s="77">
        <v>10285189</v>
      </c>
      <c r="J18" s="15">
        <v>45635</v>
      </c>
      <c r="K18" s="41">
        <v>45658</v>
      </c>
      <c r="N18" s="19"/>
    </row>
    <row r="19" spans="1:14" s="1" customFormat="1" ht="14.65" customHeight="1" x14ac:dyDescent="0.25">
      <c r="A19" s="7">
        <v>17</v>
      </c>
      <c r="B19" s="13">
        <v>2144</v>
      </c>
      <c r="C19" s="18" t="s">
        <v>83</v>
      </c>
      <c r="D19" s="19">
        <v>2847.2</v>
      </c>
      <c r="E19" s="20">
        <v>0.25</v>
      </c>
      <c r="F19" s="20">
        <f t="shared" si="0"/>
        <v>711.8</v>
      </c>
      <c r="G19" s="20">
        <f t="shared" si="1"/>
        <v>711.8</v>
      </c>
      <c r="H19" s="20">
        <f t="shared" si="2"/>
        <v>0</v>
      </c>
      <c r="I19" s="88">
        <v>532494</v>
      </c>
      <c r="J19" s="23"/>
      <c r="N19" s="19"/>
    </row>
    <row r="20" spans="1:14" s="1" customFormat="1" ht="14.65" customHeight="1" x14ac:dyDescent="0.25">
      <c r="A20" s="47">
        <v>18</v>
      </c>
      <c r="B20" s="8">
        <v>2148</v>
      </c>
      <c r="C20" s="9" t="s">
        <v>85</v>
      </c>
      <c r="D20" s="10">
        <v>2176.8000000000002</v>
      </c>
      <c r="E20" s="11">
        <v>0.25</v>
      </c>
      <c r="F20" s="11">
        <f t="shared" si="0"/>
        <v>544.20000000000005</v>
      </c>
      <c r="G20" s="20">
        <f t="shared" si="1"/>
        <v>544.20000000000005</v>
      </c>
      <c r="H20" s="11">
        <f t="shared" si="2"/>
        <v>0</v>
      </c>
      <c r="I20" s="77">
        <v>6466788</v>
      </c>
      <c r="J20" s="15">
        <v>45628</v>
      </c>
      <c r="K20" s="41">
        <v>45637</v>
      </c>
      <c r="L20" s="41">
        <v>45663</v>
      </c>
      <c r="N20" s="19"/>
    </row>
    <row r="21" spans="1:14" s="1" customFormat="1" ht="14.65" customHeight="1" x14ac:dyDescent="0.25">
      <c r="A21" s="127">
        <v>19</v>
      </c>
      <c r="B21" s="128">
        <v>2150</v>
      </c>
      <c r="C21" s="129" t="s">
        <v>30</v>
      </c>
      <c r="D21" s="130">
        <v>4965.8</v>
      </c>
      <c r="E21" s="131">
        <v>0.25</v>
      </c>
      <c r="F21" s="131">
        <f t="shared" si="0"/>
        <v>1241.45</v>
      </c>
      <c r="G21" s="20">
        <f t="shared" si="1"/>
        <v>1241.45</v>
      </c>
      <c r="H21" s="131">
        <f t="shared" si="2"/>
        <v>0</v>
      </c>
      <c r="I21" s="132">
        <v>6657734</v>
      </c>
      <c r="J21" s="133" t="s">
        <v>306</v>
      </c>
      <c r="N21" s="19"/>
    </row>
    <row r="22" spans="1:14" s="1" customFormat="1" ht="14.65" customHeight="1" x14ac:dyDescent="0.25">
      <c r="A22" s="47">
        <v>20</v>
      </c>
      <c r="B22" s="8">
        <v>2151</v>
      </c>
      <c r="C22" s="9" t="s">
        <v>88</v>
      </c>
      <c r="D22" s="10">
        <v>1113.5</v>
      </c>
      <c r="E22" s="11">
        <v>0.25</v>
      </c>
      <c r="F22" s="11">
        <f t="shared" si="0"/>
        <v>278.375</v>
      </c>
      <c r="G22" s="20">
        <f t="shared" si="1"/>
        <v>278.375</v>
      </c>
      <c r="H22" s="11">
        <f t="shared" si="2"/>
        <v>0</v>
      </c>
      <c r="I22" s="77">
        <v>2190491</v>
      </c>
      <c r="J22" s="15">
        <v>45628</v>
      </c>
      <c r="K22" s="41">
        <v>45663</v>
      </c>
      <c r="N22" s="19"/>
    </row>
    <row r="23" spans="1:14" s="1" customFormat="1" ht="14.65" customHeight="1" x14ac:dyDescent="0.25">
      <c r="A23" s="7">
        <v>21</v>
      </c>
      <c r="B23" s="13">
        <v>2155</v>
      </c>
      <c r="C23" s="18" t="s">
        <v>90</v>
      </c>
      <c r="D23" s="19">
        <v>492.3</v>
      </c>
      <c r="E23" s="20">
        <v>0.25</v>
      </c>
      <c r="F23" s="20">
        <f t="shared" si="0"/>
        <v>123.075</v>
      </c>
      <c r="G23" s="20">
        <f t="shared" si="1"/>
        <v>123.075</v>
      </c>
      <c r="H23" s="20">
        <f t="shared" si="2"/>
        <v>0</v>
      </c>
      <c r="I23" s="88">
        <v>21145036</v>
      </c>
      <c r="J23" s="23"/>
      <c r="N23" s="19"/>
    </row>
    <row r="24" spans="1:14" s="1" customFormat="1" ht="14.65" customHeight="1" x14ac:dyDescent="0.25">
      <c r="A24" s="47">
        <v>22</v>
      </c>
      <c r="B24" s="8">
        <v>2168</v>
      </c>
      <c r="C24" s="9" t="s">
        <v>10</v>
      </c>
      <c r="D24" s="10">
        <v>1738.7</v>
      </c>
      <c r="E24" s="11">
        <v>0.25</v>
      </c>
      <c r="F24" s="11">
        <f t="shared" si="0"/>
        <v>434.67500000000001</v>
      </c>
      <c r="G24" s="20">
        <f t="shared" si="1"/>
        <v>434.67500000000001</v>
      </c>
      <c r="H24" s="11">
        <f t="shared" si="2"/>
        <v>0</v>
      </c>
      <c r="I24" s="77">
        <v>941022</v>
      </c>
      <c r="J24" s="15">
        <v>45628</v>
      </c>
      <c r="K24" s="41">
        <v>45658</v>
      </c>
      <c r="N24" s="19"/>
    </row>
    <row r="25" spans="1:14" s="1" customFormat="1" ht="14.65" customHeight="1" x14ac:dyDescent="0.25">
      <c r="A25" s="47">
        <v>23</v>
      </c>
      <c r="B25" s="8">
        <v>2198</v>
      </c>
      <c r="C25" s="9" t="s">
        <v>93</v>
      </c>
      <c r="D25" s="10">
        <v>1108.0999999999999</v>
      </c>
      <c r="E25" s="11">
        <v>0.25</v>
      </c>
      <c r="F25" s="11">
        <f t="shared" si="0"/>
        <v>277.02499999999998</v>
      </c>
      <c r="G25" s="20">
        <f t="shared" si="1"/>
        <v>277.02499999999998</v>
      </c>
      <c r="H25" s="11">
        <f t="shared" si="2"/>
        <v>0</v>
      </c>
      <c r="I25" s="77">
        <v>10331933</v>
      </c>
      <c r="J25" s="15">
        <v>45637</v>
      </c>
      <c r="K25" s="41">
        <v>45663</v>
      </c>
      <c r="N25" s="19"/>
    </row>
    <row r="26" spans="1:14" s="16" customFormat="1" ht="14.65" customHeight="1" x14ac:dyDescent="0.25">
      <c r="A26" s="47">
        <v>24</v>
      </c>
      <c r="B26" s="8">
        <v>2205</v>
      </c>
      <c r="C26" s="9" t="s">
        <v>95</v>
      </c>
      <c r="D26" s="10">
        <v>610</v>
      </c>
      <c r="E26" s="11">
        <v>0.25</v>
      </c>
      <c r="F26" s="11">
        <f t="shared" si="0"/>
        <v>152.5</v>
      </c>
      <c r="G26" s="20">
        <f t="shared" si="1"/>
        <v>152.5</v>
      </c>
      <c r="H26" s="11">
        <f t="shared" si="2"/>
        <v>0</v>
      </c>
      <c r="I26" s="77">
        <v>26733843</v>
      </c>
      <c r="J26" s="78">
        <v>45628</v>
      </c>
      <c r="K26" s="78">
        <v>45663</v>
      </c>
      <c r="N26" s="10"/>
    </row>
    <row r="27" spans="1:14" s="1" customFormat="1" ht="14.65" customHeight="1" x14ac:dyDescent="0.25">
      <c r="A27" s="47">
        <v>25</v>
      </c>
      <c r="B27" s="8">
        <v>2207</v>
      </c>
      <c r="C27" s="9" t="s">
        <v>31</v>
      </c>
      <c r="D27" s="10">
        <v>1123</v>
      </c>
      <c r="E27" s="11">
        <v>0.25</v>
      </c>
      <c r="F27" s="11">
        <f t="shared" si="0"/>
        <v>280.75</v>
      </c>
      <c r="G27" s="20">
        <f t="shared" si="1"/>
        <v>280.75</v>
      </c>
      <c r="H27" s="11">
        <f t="shared" si="2"/>
        <v>0</v>
      </c>
      <c r="I27" s="77">
        <v>1386691</v>
      </c>
      <c r="J27" s="15">
        <v>45621</v>
      </c>
      <c r="K27" s="78">
        <v>45652</v>
      </c>
      <c r="N27" s="19"/>
    </row>
    <row r="28" spans="1:14" s="1" customFormat="1" ht="14.65" customHeight="1" x14ac:dyDescent="0.25">
      <c r="A28" s="7">
        <v>26</v>
      </c>
      <c r="B28" s="17">
        <v>2209</v>
      </c>
      <c r="C28" s="18" t="s">
        <v>98</v>
      </c>
      <c r="D28" s="43">
        <v>540</v>
      </c>
      <c r="E28" s="29">
        <v>0.25</v>
      </c>
      <c r="F28" s="29">
        <f t="shared" si="0"/>
        <v>135</v>
      </c>
      <c r="G28" s="20">
        <f t="shared" si="1"/>
        <v>135</v>
      </c>
      <c r="H28" s="20">
        <f t="shared" si="2"/>
        <v>0</v>
      </c>
      <c r="I28" s="93">
        <v>821878</v>
      </c>
      <c r="J28" s="23"/>
      <c r="N28" s="43"/>
    </row>
    <row r="29" spans="1:14" s="1" customFormat="1" ht="14.65" customHeight="1" x14ac:dyDescent="0.25">
      <c r="A29" s="7">
        <v>27</v>
      </c>
      <c r="B29" s="17">
        <v>2213</v>
      </c>
      <c r="C29" s="18" t="s">
        <v>100</v>
      </c>
      <c r="D29" s="43">
        <v>2132.1</v>
      </c>
      <c r="E29" s="29">
        <v>0.25</v>
      </c>
      <c r="F29" s="29">
        <f t="shared" si="0"/>
        <v>533.02499999999998</v>
      </c>
      <c r="G29" s="20">
        <f t="shared" si="1"/>
        <v>533.02499999999998</v>
      </c>
      <c r="H29" s="20">
        <f t="shared" si="2"/>
        <v>0</v>
      </c>
      <c r="I29" s="93">
        <v>594176</v>
      </c>
      <c r="J29" s="23"/>
      <c r="N29" s="43"/>
    </row>
    <row r="30" spans="1:14" s="1" customFormat="1" ht="14.65" customHeight="1" x14ac:dyDescent="0.25">
      <c r="A30" s="60">
        <v>28</v>
      </c>
      <c r="B30" s="61">
        <v>2223</v>
      </c>
      <c r="C30" s="62" t="s">
        <v>32</v>
      </c>
      <c r="D30" s="213">
        <v>2683.4</v>
      </c>
      <c r="E30" s="65">
        <v>0.25</v>
      </c>
      <c r="F30" s="65">
        <f t="shared" si="0"/>
        <v>670.85</v>
      </c>
      <c r="G30" s="20">
        <f t="shared" si="1"/>
        <v>670.85</v>
      </c>
      <c r="H30" s="64">
        <f t="shared" si="2"/>
        <v>0</v>
      </c>
      <c r="I30" s="106">
        <v>2297206</v>
      </c>
      <c r="J30" s="214">
        <v>45663</v>
      </c>
      <c r="K30" s="215" t="s">
        <v>293</v>
      </c>
      <c r="L30" s="215"/>
      <c r="M30" s="41">
        <v>45691</v>
      </c>
      <c r="N30" s="43"/>
    </row>
    <row r="31" spans="1:14" s="1" customFormat="1" ht="14.65" customHeight="1" x14ac:dyDescent="0.25">
      <c r="A31" s="7">
        <v>29</v>
      </c>
      <c r="B31" s="17">
        <v>2229</v>
      </c>
      <c r="C31" s="18" t="s">
        <v>103</v>
      </c>
      <c r="D31" s="43">
        <v>3430</v>
      </c>
      <c r="E31" s="29">
        <v>0.25</v>
      </c>
      <c r="F31" s="29">
        <f t="shared" si="0"/>
        <v>857.5</v>
      </c>
      <c r="G31" s="20">
        <f t="shared" si="1"/>
        <v>857.5</v>
      </c>
      <c r="H31" s="20">
        <f t="shared" si="2"/>
        <v>0</v>
      </c>
      <c r="I31" s="88">
        <v>1031091</v>
      </c>
      <c r="J31" s="23"/>
      <c r="N31" s="43"/>
    </row>
    <row r="32" spans="1:14" s="1" customFormat="1" ht="14.65" customHeight="1" x14ac:dyDescent="0.25">
      <c r="A32" s="7">
        <v>30</v>
      </c>
      <c r="B32" s="17">
        <v>2230</v>
      </c>
      <c r="C32" s="18" t="s">
        <v>21</v>
      </c>
      <c r="D32" s="19">
        <v>776.3</v>
      </c>
      <c r="E32" s="20">
        <v>0.25</v>
      </c>
      <c r="F32" s="29">
        <f t="shared" si="0"/>
        <v>194.07499999999999</v>
      </c>
      <c r="G32" s="20">
        <f t="shared" si="1"/>
        <v>194.07499999999999</v>
      </c>
      <c r="H32" s="20">
        <f t="shared" si="2"/>
        <v>0</v>
      </c>
      <c r="I32" s="88">
        <v>18633243</v>
      </c>
      <c r="J32" s="23"/>
      <c r="N32" s="19"/>
    </row>
    <row r="33" spans="1:17" s="1" customFormat="1" ht="14.65" customHeight="1" x14ac:dyDescent="0.25">
      <c r="A33" s="7">
        <v>31</v>
      </c>
      <c r="B33" s="17">
        <v>2232</v>
      </c>
      <c r="C33" s="42" t="s">
        <v>22</v>
      </c>
      <c r="D33" s="43">
        <v>1182.9000000000001</v>
      </c>
      <c r="E33" s="29">
        <v>0.25</v>
      </c>
      <c r="F33" s="29">
        <f t="shared" si="0"/>
        <v>295.72500000000002</v>
      </c>
      <c r="G33" s="20">
        <f t="shared" si="1"/>
        <v>295.72500000000002</v>
      </c>
      <c r="H33" s="20">
        <f t="shared" si="2"/>
        <v>0</v>
      </c>
      <c r="I33" s="88">
        <v>1994004</v>
      </c>
      <c r="J33" s="23"/>
      <c r="N33" s="43"/>
    </row>
    <row r="34" spans="1:17" s="137" customFormat="1" ht="14.65" customHeight="1" x14ac:dyDescent="0.25">
      <c r="A34" s="127">
        <v>32</v>
      </c>
      <c r="B34" s="134">
        <v>2234</v>
      </c>
      <c r="C34" s="129" t="s">
        <v>107</v>
      </c>
      <c r="D34" s="130">
        <v>2019.5</v>
      </c>
      <c r="E34" s="131">
        <v>0.25</v>
      </c>
      <c r="F34" s="135">
        <f t="shared" si="0"/>
        <v>504.875</v>
      </c>
      <c r="G34" s="20">
        <f t="shared" si="1"/>
        <v>504.875</v>
      </c>
      <c r="H34" s="131">
        <f t="shared" si="2"/>
        <v>0</v>
      </c>
      <c r="I34" s="136">
        <v>1235299</v>
      </c>
      <c r="J34" s="133" t="s">
        <v>307</v>
      </c>
      <c r="N34" s="130"/>
    </row>
    <row r="35" spans="1:17" s="16" customFormat="1" ht="14.65" customHeight="1" x14ac:dyDescent="0.25">
      <c r="A35" s="47">
        <v>33</v>
      </c>
      <c r="B35" s="33">
        <v>2238</v>
      </c>
      <c r="C35" s="9" t="s">
        <v>23</v>
      </c>
      <c r="D35" s="10">
        <v>549.9</v>
      </c>
      <c r="E35" s="11">
        <v>0.25</v>
      </c>
      <c r="F35" s="35">
        <f t="shared" si="0"/>
        <v>137.47499999999999</v>
      </c>
      <c r="G35" s="20">
        <f t="shared" si="1"/>
        <v>137.47499999999999</v>
      </c>
      <c r="H35" s="11">
        <f t="shared" si="2"/>
        <v>0</v>
      </c>
      <c r="I35" s="92">
        <v>1322446</v>
      </c>
      <c r="J35" s="15">
        <v>45810</v>
      </c>
      <c r="N35" s="10"/>
    </row>
    <row r="36" spans="1:17" s="1" customFormat="1" ht="14.65" customHeight="1" x14ac:dyDescent="0.25">
      <c r="A36" s="47">
        <v>34</v>
      </c>
      <c r="B36" s="33">
        <v>2244</v>
      </c>
      <c r="C36" s="9" t="s">
        <v>110</v>
      </c>
      <c r="D36" s="10">
        <v>4174.8999999999996</v>
      </c>
      <c r="E36" s="11">
        <v>0.25</v>
      </c>
      <c r="F36" s="35">
        <f t="shared" si="0"/>
        <v>1043.7249999999999</v>
      </c>
      <c r="G36" s="20">
        <f t="shared" si="1"/>
        <v>1043.7249999999999</v>
      </c>
      <c r="H36" s="11">
        <f t="shared" si="2"/>
        <v>0</v>
      </c>
      <c r="I36" s="77">
        <v>5474148</v>
      </c>
      <c r="J36" s="15">
        <v>45643</v>
      </c>
      <c r="K36" s="41">
        <v>45655</v>
      </c>
      <c r="N36" s="19"/>
    </row>
    <row r="37" spans="1:17" s="1" customFormat="1" ht="14.65" customHeight="1" x14ac:dyDescent="0.25">
      <c r="A37" s="47">
        <v>35</v>
      </c>
      <c r="B37" s="33">
        <v>2245</v>
      </c>
      <c r="C37" s="9" t="s">
        <v>112</v>
      </c>
      <c r="D37" s="10">
        <v>1764.9</v>
      </c>
      <c r="E37" s="11">
        <v>0.25</v>
      </c>
      <c r="F37" s="35">
        <f t="shared" si="0"/>
        <v>441.22500000000002</v>
      </c>
      <c r="G37" s="20">
        <f t="shared" si="1"/>
        <v>441.22500000000002</v>
      </c>
      <c r="H37" s="11">
        <f t="shared" si="2"/>
        <v>0</v>
      </c>
      <c r="I37" s="77">
        <v>925058</v>
      </c>
      <c r="J37" s="15">
        <v>45637</v>
      </c>
      <c r="K37" s="41">
        <v>45684</v>
      </c>
      <c r="N37" s="19"/>
    </row>
    <row r="38" spans="1:17" s="1" customFormat="1" ht="14.65" customHeight="1" x14ac:dyDescent="0.25">
      <c r="A38" s="47">
        <v>36</v>
      </c>
      <c r="B38" s="33">
        <v>2250</v>
      </c>
      <c r="C38" s="9" t="s">
        <v>114</v>
      </c>
      <c r="D38" s="10">
        <v>600.9</v>
      </c>
      <c r="E38" s="11">
        <v>0.25</v>
      </c>
      <c r="F38" s="35">
        <f t="shared" si="0"/>
        <v>150.22499999999999</v>
      </c>
      <c r="G38" s="20">
        <f t="shared" si="1"/>
        <v>150.22499999999999</v>
      </c>
      <c r="H38" s="11">
        <f t="shared" si="2"/>
        <v>0</v>
      </c>
      <c r="I38" s="77">
        <v>10206245</v>
      </c>
      <c r="J38" s="15">
        <v>45628</v>
      </c>
      <c r="K38" s="41">
        <v>45663</v>
      </c>
      <c r="N38" s="19"/>
    </row>
    <row r="39" spans="1:17" s="1" customFormat="1" ht="14.65" customHeight="1" x14ac:dyDescent="0.25">
      <c r="A39" s="47">
        <v>37</v>
      </c>
      <c r="B39" s="33">
        <v>2252</v>
      </c>
      <c r="C39" s="9" t="s">
        <v>33</v>
      </c>
      <c r="D39" s="10">
        <v>1702.9</v>
      </c>
      <c r="E39" s="11">
        <v>0.25</v>
      </c>
      <c r="F39" s="35">
        <f t="shared" si="0"/>
        <v>425.72500000000002</v>
      </c>
      <c r="G39" s="20">
        <f t="shared" si="1"/>
        <v>425.72500000000002</v>
      </c>
      <c r="H39" s="11">
        <f t="shared" si="2"/>
        <v>0</v>
      </c>
      <c r="I39" s="77">
        <v>1133208</v>
      </c>
      <c r="J39" s="15">
        <v>45637</v>
      </c>
      <c r="K39" s="41">
        <v>45658</v>
      </c>
      <c r="N39" s="19"/>
    </row>
    <row r="40" spans="1:17" s="1" customFormat="1" ht="14.65" customHeight="1" x14ac:dyDescent="0.25">
      <c r="A40" s="47">
        <v>38</v>
      </c>
      <c r="B40" s="33">
        <v>2267</v>
      </c>
      <c r="C40" s="57" t="s">
        <v>117</v>
      </c>
      <c r="D40" s="10">
        <v>2288.5</v>
      </c>
      <c r="E40" s="11">
        <v>0.25</v>
      </c>
      <c r="F40" s="35">
        <f t="shared" si="0"/>
        <v>572.125</v>
      </c>
      <c r="G40" s="20">
        <f t="shared" si="1"/>
        <v>572.125</v>
      </c>
      <c r="H40" s="11">
        <f t="shared" si="2"/>
        <v>0</v>
      </c>
      <c r="I40" s="77">
        <v>18700662</v>
      </c>
      <c r="J40" s="15">
        <v>45628</v>
      </c>
      <c r="K40" s="41">
        <v>45658</v>
      </c>
      <c r="N40" s="19"/>
    </row>
    <row r="41" spans="1:17" s="1" customFormat="1" ht="15" customHeight="1" x14ac:dyDescent="0.25">
      <c r="A41" s="47">
        <v>39</v>
      </c>
      <c r="B41" s="33">
        <v>2281</v>
      </c>
      <c r="C41" s="9" t="s">
        <v>119</v>
      </c>
      <c r="D41" s="10">
        <v>1074.8</v>
      </c>
      <c r="E41" s="11">
        <v>0.25</v>
      </c>
      <c r="F41" s="35">
        <f t="shared" si="0"/>
        <v>268.7</v>
      </c>
      <c r="G41" s="20">
        <f t="shared" si="1"/>
        <v>268.7</v>
      </c>
      <c r="H41" s="11">
        <f t="shared" si="2"/>
        <v>0</v>
      </c>
      <c r="I41" s="92">
        <v>2166167</v>
      </c>
      <c r="J41" s="30"/>
      <c r="K41" s="41">
        <v>45658</v>
      </c>
      <c r="N41" s="19"/>
    </row>
    <row r="42" spans="1:17" s="16" customFormat="1" ht="14.65" customHeight="1" x14ac:dyDescent="0.25">
      <c r="A42" s="47">
        <v>40</v>
      </c>
      <c r="B42" s="33">
        <v>2285</v>
      </c>
      <c r="C42" s="9" t="s">
        <v>12</v>
      </c>
      <c r="D42" s="10">
        <v>2073.8000000000002</v>
      </c>
      <c r="E42" s="11">
        <v>0.25</v>
      </c>
      <c r="F42" s="35">
        <f t="shared" si="0"/>
        <v>518.45000000000005</v>
      </c>
      <c r="G42" s="20">
        <f t="shared" si="1"/>
        <v>518.45000000000005</v>
      </c>
      <c r="H42" s="11">
        <f t="shared" si="2"/>
        <v>0</v>
      </c>
      <c r="I42" s="92">
        <v>21077904</v>
      </c>
      <c r="J42" s="15">
        <v>45963</v>
      </c>
      <c r="N42" s="10"/>
    </row>
    <row r="43" spans="1:17" s="16" customFormat="1" ht="14.65" customHeight="1" x14ac:dyDescent="0.25">
      <c r="A43" s="47">
        <v>41</v>
      </c>
      <c r="B43" s="33">
        <v>2294</v>
      </c>
      <c r="C43" s="9" t="s">
        <v>122</v>
      </c>
      <c r="D43" s="10">
        <v>5029.8</v>
      </c>
      <c r="E43" s="11">
        <v>0.25</v>
      </c>
      <c r="F43" s="35">
        <f t="shared" si="0"/>
        <v>1257.45</v>
      </c>
      <c r="G43" s="20">
        <f t="shared" si="1"/>
        <v>1257.45</v>
      </c>
      <c r="H43" s="11">
        <f t="shared" si="2"/>
        <v>0</v>
      </c>
      <c r="I43" s="77">
        <v>1917308</v>
      </c>
      <c r="J43" s="15">
        <v>45621</v>
      </c>
      <c r="K43" s="78">
        <v>45652</v>
      </c>
      <c r="N43" s="10"/>
    </row>
    <row r="44" spans="1:17" s="1" customFormat="1" ht="14.65" customHeight="1" x14ac:dyDescent="0.25">
      <c r="A44" s="49">
        <v>42</v>
      </c>
      <c r="B44" s="25">
        <v>2297</v>
      </c>
      <c r="C44" s="26" t="s">
        <v>124</v>
      </c>
      <c r="D44" s="27">
        <v>1740.8</v>
      </c>
      <c r="E44" s="22">
        <v>0.25</v>
      </c>
      <c r="F44" s="21">
        <f t="shared" si="0"/>
        <v>435.2</v>
      </c>
      <c r="G44" s="20">
        <f t="shared" si="1"/>
        <v>435.2</v>
      </c>
      <c r="H44" s="22">
        <f t="shared" si="2"/>
        <v>0</v>
      </c>
      <c r="I44" s="96">
        <v>19351695</v>
      </c>
      <c r="J44" s="58" t="s">
        <v>308</v>
      </c>
      <c r="N44" s="19"/>
    </row>
    <row r="45" spans="1:17" s="1" customFormat="1" ht="14.65" customHeight="1" x14ac:dyDescent="0.25">
      <c r="A45" s="47">
        <v>43</v>
      </c>
      <c r="B45" s="33">
        <v>2298</v>
      </c>
      <c r="C45" s="9" t="s">
        <v>126</v>
      </c>
      <c r="D45" s="10">
        <v>3417.6</v>
      </c>
      <c r="E45" s="11">
        <v>0.25</v>
      </c>
      <c r="F45" s="35">
        <f t="shared" si="0"/>
        <v>854.4</v>
      </c>
      <c r="G45" s="20">
        <f t="shared" si="1"/>
        <v>854.4</v>
      </c>
      <c r="H45" s="11">
        <f t="shared" si="2"/>
        <v>0</v>
      </c>
      <c r="I45" s="77">
        <v>6681518</v>
      </c>
      <c r="J45" s="15">
        <v>45658</v>
      </c>
      <c r="K45" s="78">
        <v>45663</v>
      </c>
      <c r="L45" s="41">
        <v>45665</v>
      </c>
      <c r="M45" s="41">
        <v>45670</v>
      </c>
      <c r="N45" s="19">
        <v>45672</v>
      </c>
      <c r="O45" s="41">
        <v>45677</v>
      </c>
      <c r="P45" s="41">
        <v>45679</v>
      </c>
      <c r="Q45" s="1" t="s">
        <v>309</v>
      </c>
    </row>
    <row r="46" spans="1:17" s="1" customFormat="1" ht="14.65" customHeight="1" x14ac:dyDescent="0.25">
      <c r="A46" s="7">
        <v>44</v>
      </c>
      <c r="B46" s="17">
        <v>2300</v>
      </c>
      <c r="C46" s="18" t="s">
        <v>128</v>
      </c>
      <c r="D46" s="19">
        <v>1139.5999999999999</v>
      </c>
      <c r="E46" s="20">
        <v>0.25</v>
      </c>
      <c r="F46" s="29">
        <f t="shared" si="0"/>
        <v>284.89999999999998</v>
      </c>
      <c r="G46" s="20">
        <f t="shared" si="1"/>
        <v>284.89999999999998</v>
      </c>
      <c r="H46" s="20">
        <f t="shared" si="2"/>
        <v>0</v>
      </c>
      <c r="I46" s="88">
        <v>447833</v>
      </c>
      <c r="J46" s="23"/>
      <c r="N46" s="19"/>
    </row>
    <row r="47" spans="1:17" s="16" customFormat="1" ht="14.65" customHeight="1" x14ac:dyDescent="0.25">
      <c r="A47" s="47">
        <v>45</v>
      </c>
      <c r="B47" s="33">
        <v>2301</v>
      </c>
      <c r="C47" s="9" t="s">
        <v>130</v>
      </c>
      <c r="D47" s="10">
        <v>1809.4</v>
      </c>
      <c r="E47" s="11">
        <v>0.25</v>
      </c>
      <c r="F47" s="35">
        <f t="shared" si="0"/>
        <v>452.35</v>
      </c>
      <c r="G47" s="20">
        <f t="shared" si="1"/>
        <v>452.35</v>
      </c>
      <c r="H47" s="11">
        <f t="shared" si="2"/>
        <v>0</v>
      </c>
      <c r="I47" s="77">
        <v>23600713</v>
      </c>
      <c r="J47" s="15">
        <v>45628</v>
      </c>
      <c r="K47" s="78">
        <v>45658</v>
      </c>
      <c r="N47" s="10"/>
    </row>
    <row r="48" spans="1:17" s="1" customFormat="1" x14ac:dyDescent="0.25">
      <c r="A48" s="7">
        <v>46</v>
      </c>
      <c r="B48" s="17">
        <v>2302</v>
      </c>
      <c r="C48" s="18" t="s">
        <v>134</v>
      </c>
      <c r="D48" s="19">
        <v>350.4</v>
      </c>
      <c r="E48" s="20">
        <v>0.25</v>
      </c>
      <c r="F48" s="29">
        <f t="shared" si="0"/>
        <v>87.6</v>
      </c>
      <c r="G48" s="20">
        <f t="shared" si="1"/>
        <v>87.6</v>
      </c>
      <c r="H48" s="20">
        <f t="shared" si="2"/>
        <v>0</v>
      </c>
      <c r="I48" s="88">
        <v>20260365</v>
      </c>
      <c r="J48" s="23"/>
      <c r="N48" s="19"/>
    </row>
    <row r="49" spans="1:14" s="1" customFormat="1" ht="14.65" customHeight="1" x14ac:dyDescent="0.25">
      <c r="A49" s="7">
        <v>47</v>
      </c>
      <c r="B49" s="17">
        <v>2303</v>
      </c>
      <c r="C49" s="18" t="s">
        <v>13</v>
      </c>
      <c r="D49" s="19">
        <v>1147.5999999999999</v>
      </c>
      <c r="E49" s="20">
        <v>0.25</v>
      </c>
      <c r="F49" s="29">
        <f t="shared" si="0"/>
        <v>286.89999999999998</v>
      </c>
      <c r="G49" s="20">
        <f t="shared" si="1"/>
        <v>286.89999999999998</v>
      </c>
      <c r="H49" s="20">
        <f t="shared" si="2"/>
        <v>0</v>
      </c>
      <c r="I49" s="88">
        <v>18636198</v>
      </c>
      <c r="J49" s="23"/>
      <c r="N49" s="19"/>
    </row>
    <row r="50" spans="1:14" s="1" customFormat="1" ht="15" customHeight="1" x14ac:dyDescent="0.25">
      <c r="A50" s="7">
        <v>48</v>
      </c>
      <c r="B50" s="17">
        <v>2304</v>
      </c>
      <c r="C50" s="18" t="s">
        <v>24</v>
      </c>
      <c r="D50" s="19">
        <v>559.9</v>
      </c>
      <c r="E50" s="20">
        <v>0.25</v>
      </c>
      <c r="F50" s="29">
        <f t="shared" si="0"/>
        <v>139.97499999999999</v>
      </c>
      <c r="G50" s="20">
        <f t="shared" si="1"/>
        <v>139.97499999999999</v>
      </c>
      <c r="H50" s="20">
        <f t="shared" si="2"/>
        <v>0</v>
      </c>
      <c r="I50" s="88">
        <v>7290532</v>
      </c>
      <c r="J50" s="23"/>
      <c r="N50" s="19"/>
    </row>
    <row r="51" spans="1:14" s="1" customFormat="1" x14ac:dyDescent="0.25">
      <c r="A51" s="7">
        <v>49</v>
      </c>
      <c r="B51" s="17">
        <v>2306</v>
      </c>
      <c r="C51" s="18" t="s">
        <v>34</v>
      </c>
      <c r="D51" s="19">
        <v>363.9</v>
      </c>
      <c r="E51" s="20">
        <v>0.25</v>
      </c>
      <c r="F51" s="29">
        <f t="shared" si="0"/>
        <v>90.974999999999994</v>
      </c>
      <c r="G51" s="20">
        <f t="shared" si="1"/>
        <v>90.974999999999994</v>
      </c>
      <c r="H51" s="20">
        <f t="shared" si="2"/>
        <v>0</v>
      </c>
      <c r="I51" s="90">
        <v>26425746</v>
      </c>
      <c r="J51" s="23"/>
      <c r="N51" s="19"/>
    </row>
    <row r="52" spans="1:14" s="1" customFormat="1" ht="14.65" customHeight="1" x14ac:dyDescent="0.25">
      <c r="A52" s="60">
        <v>50</v>
      </c>
      <c r="B52" s="61">
        <v>2307</v>
      </c>
      <c r="C52" s="62" t="s">
        <v>139</v>
      </c>
      <c r="D52" s="63">
        <v>2910.6</v>
      </c>
      <c r="E52" s="64">
        <v>0.25</v>
      </c>
      <c r="F52" s="65">
        <f t="shared" si="0"/>
        <v>727.65</v>
      </c>
      <c r="G52" s="20">
        <f t="shared" si="1"/>
        <v>727.65</v>
      </c>
      <c r="H52" s="64">
        <f t="shared" si="2"/>
        <v>0</v>
      </c>
      <c r="I52" s="106">
        <v>1485446</v>
      </c>
      <c r="J52" s="68"/>
      <c r="N52" s="19"/>
    </row>
    <row r="53" spans="1:14" s="1" customFormat="1" x14ac:dyDescent="0.25">
      <c r="A53" s="7">
        <v>51</v>
      </c>
      <c r="B53" s="17">
        <v>2309</v>
      </c>
      <c r="C53" s="18" t="s">
        <v>35</v>
      </c>
      <c r="D53" s="19">
        <v>1134.2</v>
      </c>
      <c r="E53" s="20">
        <v>0.25</v>
      </c>
      <c r="F53" s="29">
        <f t="shared" si="0"/>
        <v>283.55</v>
      </c>
      <c r="G53" s="20">
        <f t="shared" si="1"/>
        <v>283.55</v>
      </c>
      <c r="H53" s="20">
        <f t="shared" si="2"/>
        <v>0</v>
      </c>
      <c r="I53" s="90">
        <v>2733875</v>
      </c>
      <c r="J53" s="23"/>
      <c r="N53" s="19"/>
    </row>
    <row r="54" spans="1:14" s="1" customFormat="1" ht="14.65" customHeight="1" x14ac:dyDescent="0.25">
      <c r="A54" s="7">
        <v>52</v>
      </c>
      <c r="B54" s="17">
        <v>2310</v>
      </c>
      <c r="C54" s="18" t="s">
        <v>142</v>
      </c>
      <c r="D54" s="19">
        <v>5095.2</v>
      </c>
      <c r="E54" s="20">
        <v>0.25</v>
      </c>
      <c r="F54" s="29">
        <f t="shared" si="0"/>
        <v>1273.8</v>
      </c>
      <c r="G54" s="20">
        <f t="shared" si="1"/>
        <v>1273.8</v>
      </c>
      <c r="H54" s="20">
        <f t="shared" si="2"/>
        <v>0</v>
      </c>
      <c r="I54" s="88">
        <v>10612452</v>
      </c>
      <c r="J54" s="23"/>
      <c r="N54" s="19"/>
    </row>
    <row r="55" spans="1:14" s="1" customFormat="1" x14ac:dyDescent="0.25">
      <c r="A55" s="47">
        <v>53</v>
      </c>
      <c r="B55" s="33">
        <v>2311</v>
      </c>
      <c r="C55" s="9" t="s">
        <v>144</v>
      </c>
      <c r="D55" s="10">
        <v>594.4</v>
      </c>
      <c r="E55" s="11">
        <v>0.25</v>
      </c>
      <c r="F55" s="35">
        <f t="shared" si="0"/>
        <v>148.6</v>
      </c>
      <c r="G55" s="20">
        <f t="shared" si="1"/>
        <v>148.6</v>
      </c>
      <c r="H55" s="11">
        <f t="shared" si="2"/>
        <v>0</v>
      </c>
      <c r="I55" s="77">
        <v>14874655</v>
      </c>
      <c r="J55" s="15">
        <v>45677</v>
      </c>
      <c r="N55" s="19"/>
    </row>
    <row r="56" spans="1:14" s="1" customFormat="1" x14ac:dyDescent="0.25">
      <c r="A56" s="47">
        <v>54</v>
      </c>
      <c r="B56" s="33">
        <v>2312</v>
      </c>
      <c r="C56" s="9" t="s">
        <v>36</v>
      </c>
      <c r="D56" s="10">
        <v>1711.9</v>
      </c>
      <c r="E56" s="11">
        <v>0.25</v>
      </c>
      <c r="F56" s="35">
        <f t="shared" si="0"/>
        <v>427.97500000000002</v>
      </c>
      <c r="G56" s="20">
        <f t="shared" si="1"/>
        <v>427.97500000000002</v>
      </c>
      <c r="H56" s="11">
        <f t="shared" si="2"/>
        <v>0</v>
      </c>
      <c r="I56" s="92">
        <v>876418</v>
      </c>
      <c r="J56" s="15">
        <v>45637</v>
      </c>
      <c r="K56" s="41">
        <v>45665</v>
      </c>
      <c r="N56" s="19"/>
    </row>
    <row r="57" spans="1:14" s="1" customFormat="1" x14ac:dyDescent="0.25">
      <c r="A57" s="47">
        <v>55</v>
      </c>
      <c r="B57" s="33">
        <v>2314</v>
      </c>
      <c r="C57" s="9" t="s">
        <v>149</v>
      </c>
      <c r="D57" s="10">
        <v>1131</v>
      </c>
      <c r="E57" s="11">
        <v>0.25</v>
      </c>
      <c r="F57" s="35">
        <f t="shared" si="0"/>
        <v>282.75</v>
      </c>
      <c r="G57" s="20">
        <f t="shared" si="1"/>
        <v>282.75</v>
      </c>
      <c r="H57" s="11">
        <f t="shared" si="2"/>
        <v>0</v>
      </c>
      <c r="I57" s="92">
        <v>7032433</v>
      </c>
      <c r="J57" s="15">
        <v>45644</v>
      </c>
      <c r="K57" s="41">
        <v>45670</v>
      </c>
      <c r="N57" s="19"/>
    </row>
    <row r="58" spans="1:14" s="1" customFormat="1" x14ac:dyDescent="0.25">
      <c r="A58" s="47">
        <v>56</v>
      </c>
      <c r="B58" s="33">
        <v>2316</v>
      </c>
      <c r="C58" s="9" t="s">
        <v>25</v>
      </c>
      <c r="D58" s="10">
        <v>1093.2</v>
      </c>
      <c r="E58" s="11">
        <v>0.25</v>
      </c>
      <c r="F58" s="35">
        <f t="shared" si="0"/>
        <v>273.3</v>
      </c>
      <c r="G58" s="20">
        <f t="shared" si="1"/>
        <v>273.3</v>
      </c>
      <c r="H58" s="11">
        <f t="shared" si="2"/>
        <v>0</v>
      </c>
      <c r="I58" s="77">
        <v>18635847</v>
      </c>
      <c r="J58" s="15">
        <v>45670</v>
      </c>
      <c r="K58" s="78">
        <v>45685</v>
      </c>
      <c r="L58" s="16"/>
      <c r="N58" s="19"/>
    </row>
    <row r="59" spans="1:14" s="1" customFormat="1" x14ac:dyDescent="0.25">
      <c r="A59" s="47">
        <v>57</v>
      </c>
      <c r="B59" s="33">
        <v>2317</v>
      </c>
      <c r="C59" s="9" t="s">
        <v>152</v>
      </c>
      <c r="D59" s="10">
        <v>1453.7</v>
      </c>
      <c r="E59" s="11">
        <v>0.25</v>
      </c>
      <c r="F59" s="35">
        <f t="shared" si="0"/>
        <v>363.42500000000001</v>
      </c>
      <c r="G59" s="20">
        <f t="shared" si="1"/>
        <v>363.42500000000001</v>
      </c>
      <c r="H59" s="11">
        <f t="shared" si="2"/>
        <v>0</v>
      </c>
      <c r="I59" s="92">
        <v>18362174</v>
      </c>
      <c r="J59" s="15">
        <v>45670</v>
      </c>
      <c r="K59" s="78">
        <v>45686</v>
      </c>
      <c r="N59" s="19"/>
    </row>
    <row r="60" spans="1:14" s="1" customFormat="1" ht="14.65" customHeight="1" x14ac:dyDescent="0.25">
      <c r="A60" s="7">
        <v>58</v>
      </c>
      <c r="B60" s="17">
        <v>2318</v>
      </c>
      <c r="C60" s="18" t="s">
        <v>156</v>
      </c>
      <c r="D60" s="19">
        <v>1037.2</v>
      </c>
      <c r="E60" s="20">
        <v>0.25</v>
      </c>
      <c r="F60" s="29">
        <f t="shared" si="0"/>
        <v>259.3</v>
      </c>
      <c r="G60" s="20">
        <f t="shared" si="1"/>
        <v>259.3</v>
      </c>
      <c r="H60" s="20">
        <f t="shared" si="2"/>
        <v>0</v>
      </c>
      <c r="I60" s="88">
        <v>218881</v>
      </c>
      <c r="J60" s="23"/>
      <c r="N60" s="19"/>
    </row>
    <row r="61" spans="1:14" s="1" customFormat="1" ht="14.65" customHeight="1" x14ac:dyDescent="0.25">
      <c r="A61" s="7">
        <v>59</v>
      </c>
      <c r="B61" s="17">
        <v>2319</v>
      </c>
      <c r="C61" s="18" t="s">
        <v>37</v>
      </c>
      <c r="D61" s="19">
        <v>19.600000000000001</v>
      </c>
      <c r="E61" s="20">
        <v>0.25</v>
      </c>
      <c r="F61" s="29">
        <f t="shared" si="0"/>
        <v>4.9000000000000004</v>
      </c>
      <c r="G61" s="20">
        <f t="shared" si="1"/>
        <v>4.9000000000000004</v>
      </c>
      <c r="H61" s="20">
        <f t="shared" si="2"/>
        <v>0</v>
      </c>
      <c r="I61" s="90">
        <v>5006545</v>
      </c>
      <c r="J61" s="23"/>
      <c r="N61" s="19"/>
    </row>
    <row r="62" spans="1:14" s="1" customFormat="1" x14ac:dyDescent="0.25">
      <c r="A62" s="7">
        <v>60</v>
      </c>
      <c r="B62" s="17">
        <v>2320</v>
      </c>
      <c r="C62" s="18" t="s">
        <v>159</v>
      </c>
      <c r="D62" s="19">
        <v>1664.8</v>
      </c>
      <c r="E62" s="20">
        <v>0.25</v>
      </c>
      <c r="F62" s="29">
        <f t="shared" si="0"/>
        <v>416.2</v>
      </c>
      <c r="G62" s="20">
        <f t="shared" si="1"/>
        <v>416.2</v>
      </c>
      <c r="H62" s="20">
        <f t="shared" si="2"/>
        <v>0</v>
      </c>
      <c r="I62" s="90">
        <v>21957384</v>
      </c>
      <c r="J62" s="23"/>
      <c r="N62" s="19"/>
    </row>
    <row r="63" spans="1:14" s="1" customFormat="1" x14ac:dyDescent="0.25">
      <c r="A63" s="7">
        <v>61</v>
      </c>
      <c r="B63" s="17">
        <v>2322</v>
      </c>
      <c r="C63" s="18" t="s">
        <v>161</v>
      </c>
      <c r="D63" s="19">
        <v>1019.9</v>
      </c>
      <c r="E63" s="20">
        <v>0.25</v>
      </c>
      <c r="F63" s="29">
        <f t="shared" si="0"/>
        <v>254.97499999999999</v>
      </c>
      <c r="G63" s="20">
        <f t="shared" si="1"/>
        <v>254.97499999999999</v>
      </c>
      <c r="H63" s="20">
        <f t="shared" si="2"/>
        <v>0</v>
      </c>
      <c r="I63" s="90">
        <v>102559</v>
      </c>
      <c r="J63" s="23"/>
      <c r="N63" s="19"/>
    </row>
    <row r="64" spans="1:14" s="1" customFormat="1" x14ac:dyDescent="0.25">
      <c r="A64" s="7">
        <v>62</v>
      </c>
      <c r="B64" s="17">
        <v>2323</v>
      </c>
      <c r="C64" s="18" t="s">
        <v>163</v>
      </c>
      <c r="D64" s="19">
        <v>1149.4000000000001</v>
      </c>
      <c r="E64" s="20">
        <v>0.25</v>
      </c>
      <c r="F64" s="29">
        <f t="shared" si="0"/>
        <v>287.35000000000002</v>
      </c>
      <c r="G64" s="20">
        <f t="shared" si="1"/>
        <v>287.35000000000002</v>
      </c>
      <c r="H64" s="20">
        <f t="shared" si="2"/>
        <v>0</v>
      </c>
      <c r="I64" s="90">
        <v>1235899</v>
      </c>
      <c r="J64" s="23"/>
      <c r="N64" s="19"/>
    </row>
    <row r="65" spans="1:14" s="137" customFormat="1" ht="14.65" customHeight="1" x14ac:dyDescent="0.25">
      <c r="A65" s="127">
        <v>63</v>
      </c>
      <c r="B65" s="134">
        <v>2324</v>
      </c>
      <c r="C65" s="129" t="s">
        <v>165</v>
      </c>
      <c r="D65" s="130">
        <v>1717.2</v>
      </c>
      <c r="E65" s="131">
        <v>0.25</v>
      </c>
      <c r="F65" s="135">
        <f t="shared" si="0"/>
        <v>429.3</v>
      </c>
      <c r="G65" s="20">
        <f t="shared" si="1"/>
        <v>429.3</v>
      </c>
      <c r="H65" s="131">
        <f t="shared" si="2"/>
        <v>0</v>
      </c>
      <c r="I65" s="132">
        <v>12239373</v>
      </c>
      <c r="J65" s="133" t="s">
        <v>307</v>
      </c>
      <c r="N65" s="130"/>
    </row>
    <row r="66" spans="1:14" s="1" customFormat="1" ht="14.65" customHeight="1" x14ac:dyDescent="0.25">
      <c r="A66" s="47">
        <v>64</v>
      </c>
      <c r="B66" s="33">
        <v>2325</v>
      </c>
      <c r="C66" s="9" t="s">
        <v>167</v>
      </c>
      <c r="D66" s="10">
        <v>1724.3</v>
      </c>
      <c r="E66" s="11">
        <v>0.25</v>
      </c>
      <c r="F66" s="35">
        <f t="shared" si="0"/>
        <v>431.07499999999999</v>
      </c>
      <c r="G66" s="20">
        <f t="shared" si="1"/>
        <v>431.07499999999999</v>
      </c>
      <c r="H66" s="11">
        <f t="shared" si="2"/>
        <v>0</v>
      </c>
      <c r="I66" s="77">
        <v>3802037</v>
      </c>
      <c r="J66" s="15">
        <v>45643</v>
      </c>
      <c r="K66" s="41">
        <v>45663</v>
      </c>
      <c r="N66" s="19"/>
    </row>
    <row r="67" spans="1:14" s="1" customFormat="1" ht="14.65" customHeight="1" x14ac:dyDescent="0.25">
      <c r="A67" s="47">
        <v>65</v>
      </c>
      <c r="B67" s="33">
        <v>2327</v>
      </c>
      <c r="C67" s="9" t="s">
        <v>169</v>
      </c>
      <c r="D67" s="10">
        <v>589.6</v>
      </c>
      <c r="E67" s="11">
        <v>0.25</v>
      </c>
      <c r="F67" s="35">
        <f t="shared" ref="F67:F102" si="3">E67*D67</f>
        <v>147.4</v>
      </c>
      <c r="G67" s="20">
        <f t="shared" si="1"/>
        <v>147.4</v>
      </c>
      <c r="H67" s="11">
        <f t="shared" si="2"/>
        <v>0</v>
      </c>
      <c r="I67" s="92">
        <v>7568982</v>
      </c>
      <c r="J67" s="15">
        <v>45631</v>
      </c>
      <c r="K67" s="41">
        <v>45670</v>
      </c>
      <c r="N67" s="19"/>
    </row>
    <row r="68" spans="1:14" s="1" customFormat="1" ht="14.65" customHeight="1" x14ac:dyDescent="0.25">
      <c r="A68" s="7">
        <v>66</v>
      </c>
      <c r="B68" s="17">
        <v>2329</v>
      </c>
      <c r="C68" s="18" t="s">
        <v>171</v>
      </c>
      <c r="D68" s="19">
        <v>596.29999999999995</v>
      </c>
      <c r="E68" s="20">
        <v>0.25</v>
      </c>
      <c r="F68" s="29">
        <f t="shared" si="3"/>
        <v>149.07499999999999</v>
      </c>
      <c r="G68" s="20">
        <f t="shared" si="1"/>
        <v>149.07499999999999</v>
      </c>
      <c r="H68" s="20">
        <f t="shared" si="2"/>
        <v>0</v>
      </c>
      <c r="I68" s="88">
        <v>500599</v>
      </c>
      <c r="J68" s="23"/>
      <c r="N68" s="19"/>
    </row>
    <row r="69" spans="1:14" s="1" customFormat="1" x14ac:dyDescent="0.25">
      <c r="A69" s="7">
        <v>67</v>
      </c>
      <c r="B69" s="17">
        <v>2331</v>
      </c>
      <c r="C69" s="18" t="s">
        <v>173</v>
      </c>
      <c r="D69" s="19">
        <v>1148.7</v>
      </c>
      <c r="E69" s="20">
        <v>0.25</v>
      </c>
      <c r="F69" s="29">
        <f t="shared" si="3"/>
        <v>287.17500000000001</v>
      </c>
      <c r="G69" s="20">
        <f t="shared" ref="G69:G132" si="4">F69</f>
        <v>287.17500000000001</v>
      </c>
      <c r="H69" s="20">
        <f t="shared" ref="H69:H132" si="5">F69-G69</f>
        <v>0</v>
      </c>
      <c r="I69" s="88">
        <v>574696</v>
      </c>
      <c r="J69" s="23"/>
      <c r="N69" s="19"/>
    </row>
    <row r="70" spans="1:14" s="1" customFormat="1" ht="14.65" customHeight="1" x14ac:dyDescent="0.25">
      <c r="A70" s="60">
        <v>68</v>
      </c>
      <c r="B70" s="61">
        <v>2332</v>
      </c>
      <c r="C70" s="62" t="s">
        <v>175</v>
      </c>
      <c r="D70" s="63">
        <v>3936.7</v>
      </c>
      <c r="E70" s="64">
        <v>0.25</v>
      </c>
      <c r="F70" s="65">
        <f t="shared" si="3"/>
        <v>984.17499999999995</v>
      </c>
      <c r="G70" s="20">
        <f t="shared" si="4"/>
        <v>984.17499999999995</v>
      </c>
      <c r="H70" s="64">
        <f t="shared" si="5"/>
        <v>0</v>
      </c>
      <c r="I70" s="106">
        <v>1409668</v>
      </c>
      <c r="J70" s="68" t="s">
        <v>328</v>
      </c>
      <c r="N70" s="19"/>
    </row>
    <row r="71" spans="1:14" s="1" customFormat="1" ht="14.65" customHeight="1" x14ac:dyDescent="0.25">
      <c r="A71" s="47">
        <v>69</v>
      </c>
      <c r="B71" s="33">
        <v>2333</v>
      </c>
      <c r="C71" s="9" t="s">
        <v>177</v>
      </c>
      <c r="D71" s="10">
        <v>591.29999999999995</v>
      </c>
      <c r="E71" s="35">
        <v>0.25</v>
      </c>
      <c r="F71" s="35">
        <f t="shared" si="3"/>
        <v>147.82499999999999</v>
      </c>
      <c r="G71" s="20">
        <f t="shared" si="4"/>
        <v>147.82499999999999</v>
      </c>
      <c r="H71" s="11">
        <f t="shared" si="5"/>
        <v>0</v>
      </c>
      <c r="I71" s="109">
        <v>732042</v>
      </c>
      <c r="J71" s="15">
        <v>45658</v>
      </c>
      <c r="N71" s="19"/>
    </row>
    <row r="72" spans="1:14" s="1" customFormat="1" ht="14.65" customHeight="1" x14ac:dyDescent="0.25">
      <c r="A72" s="47">
        <v>70</v>
      </c>
      <c r="B72" s="33">
        <v>2334</v>
      </c>
      <c r="C72" s="9" t="s">
        <v>38</v>
      </c>
      <c r="D72" s="10">
        <v>1159</v>
      </c>
      <c r="E72" s="35">
        <v>0.25</v>
      </c>
      <c r="F72" s="35">
        <f t="shared" si="3"/>
        <v>289.75</v>
      </c>
      <c r="G72" s="20">
        <f t="shared" si="4"/>
        <v>289.75</v>
      </c>
      <c r="H72" s="11">
        <f t="shared" si="5"/>
        <v>0</v>
      </c>
      <c r="I72" s="109">
        <v>390755</v>
      </c>
      <c r="J72" s="15">
        <v>45651</v>
      </c>
      <c r="K72" s="78">
        <v>45670</v>
      </c>
      <c r="N72" s="19"/>
    </row>
    <row r="73" spans="1:14" s="1" customFormat="1" ht="14.65" customHeight="1" x14ac:dyDescent="0.25">
      <c r="A73" s="7">
        <v>71</v>
      </c>
      <c r="B73" s="17">
        <v>2335</v>
      </c>
      <c r="C73" s="18" t="s">
        <v>180</v>
      </c>
      <c r="D73" s="19">
        <v>1121</v>
      </c>
      <c r="E73" s="29">
        <v>0.25</v>
      </c>
      <c r="F73" s="29">
        <f t="shared" si="3"/>
        <v>280.25</v>
      </c>
      <c r="G73" s="20">
        <f t="shared" si="4"/>
        <v>280.25</v>
      </c>
      <c r="H73" s="20">
        <f t="shared" si="5"/>
        <v>0</v>
      </c>
      <c r="I73" s="93">
        <v>6221853</v>
      </c>
      <c r="J73" s="23"/>
      <c r="N73" s="19"/>
    </row>
    <row r="74" spans="1:14" s="1" customFormat="1" ht="14.65" customHeight="1" x14ac:dyDescent="0.25">
      <c r="A74" s="47">
        <v>72</v>
      </c>
      <c r="B74" s="33">
        <v>2336</v>
      </c>
      <c r="C74" s="9" t="s">
        <v>39</v>
      </c>
      <c r="D74" s="10">
        <v>1161.5999999999999</v>
      </c>
      <c r="E74" s="35">
        <v>0.25</v>
      </c>
      <c r="F74" s="35">
        <f t="shared" si="3"/>
        <v>290.39999999999998</v>
      </c>
      <c r="G74" s="20">
        <f t="shared" si="4"/>
        <v>290.39999999999998</v>
      </c>
      <c r="H74" s="11">
        <f t="shared" si="5"/>
        <v>0</v>
      </c>
      <c r="I74" s="109">
        <v>380513</v>
      </c>
      <c r="J74" s="15">
        <v>45643</v>
      </c>
      <c r="K74" s="1" t="s">
        <v>326</v>
      </c>
      <c r="N74" s="19"/>
    </row>
    <row r="75" spans="1:14" s="1" customFormat="1" ht="14.65" customHeight="1" x14ac:dyDescent="0.25">
      <c r="A75" s="7">
        <v>73</v>
      </c>
      <c r="B75" s="17">
        <v>2337</v>
      </c>
      <c r="C75" s="18" t="s">
        <v>183</v>
      </c>
      <c r="D75" s="19">
        <v>587.4</v>
      </c>
      <c r="E75" s="29">
        <v>0.25</v>
      </c>
      <c r="F75" s="29">
        <f t="shared" si="3"/>
        <v>146.85</v>
      </c>
      <c r="G75" s="20">
        <f t="shared" si="4"/>
        <v>146.85</v>
      </c>
      <c r="H75" s="20">
        <f t="shared" si="5"/>
        <v>0</v>
      </c>
      <c r="I75" s="94">
        <v>813786</v>
      </c>
      <c r="J75" s="23"/>
      <c r="N75" s="19"/>
    </row>
    <row r="76" spans="1:14" s="1" customFormat="1" ht="14.65" customHeight="1" x14ac:dyDescent="0.25">
      <c r="A76" s="7">
        <v>74</v>
      </c>
      <c r="B76" s="17">
        <v>2338</v>
      </c>
      <c r="C76" s="18" t="s">
        <v>185</v>
      </c>
      <c r="D76" s="19">
        <v>244.4</v>
      </c>
      <c r="E76" s="29">
        <v>0.25</v>
      </c>
      <c r="F76" s="29">
        <f t="shared" si="3"/>
        <v>61.1</v>
      </c>
      <c r="G76" s="20">
        <f t="shared" si="4"/>
        <v>61.1</v>
      </c>
      <c r="H76" s="20">
        <f t="shared" si="5"/>
        <v>0</v>
      </c>
      <c r="I76" s="93">
        <v>902553</v>
      </c>
      <c r="J76" s="23"/>
      <c r="N76" s="19"/>
    </row>
    <row r="77" spans="1:14" s="16" customFormat="1" ht="14.65" customHeight="1" x14ac:dyDescent="0.25">
      <c r="A77" s="47">
        <v>75</v>
      </c>
      <c r="B77" s="33">
        <v>2342</v>
      </c>
      <c r="C77" s="9" t="s">
        <v>40</v>
      </c>
      <c r="D77" s="10">
        <v>1141.9000000000001</v>
      </c>
      <c r="E77" s="35">
        <v>0.25</v>
      </c>
      <c r="F77" s="35">
        <f t="shared" si="3"/>
        <v>285.47500000000002</v>
      </c>
      <c r="G77" s="20">
        <f t="shared" si="4"/>
        <v>285.47500000000002</v>
      </c>
      <c r="H77" s="11">
        <f t="shared" si="5"/>
        <v>0</v>
      </c>
      <c r="I77" s="109">
        <v>6107751</v>
      </c>
      <c r="J77" s="71">
        <v>45963</v>
      </c>
      <c r="N77" s="10"/>
    </row>
    <row r="78" spans="1:14" s="1" customFormat="1" ht="14.65" customHeight="1" x14ac:dyDescent="0.25">
      <c r="A78" s="7">
        <v>76</v>
      </c>
      <c r="B78" s="17">
        <v>2344</v>
      </c>
      <c r="C78" s="18" t="s">
        <v>188</v>
      </c>
      <c r="D78" s="19">
        <v>3547.9</v>
      </c>
      <c r="E78" s="29">
        <v>0.25</v>
      </c>
      <c r="F78" s="29">
        <f t="shared" si="3"/>
        <v>886.97500000000002</v>
      </c>
      <c r="G78" s="20">
        <f t="shared" si="4"/>
        <v>886.97500000000002</v>
      </c>
      <c r="H78" s="20">
        <f t="shared" si="5"/>
        <v>0</v>
      </c>
      <c r="I78" s="93">
        <v>1071884</v>
      </c>
      <c r="J78" s="70"/>
      <c r="N78" s="19"/>
    </row>
    <row r="79" spans="1:14" s="1" customFormat="1" ht="14.65" customHeight="1" x14ac:dyDescent="0.25">
      <c r="A79" s="7">
        <v>77</v>
      </c>
      <c r="B79" s="17">
        <v>2345</v>
      </c>
      <c r="C79" s="18" t="s">
        <v>41</v>
      </c>
      <c r="D79" s="19">
        <v>1182.5</v>
      </c>
      <c r="E79" s="29">
        <v>0.25</v>
      </c>
      <c r="F79" s="29">
        <f t="shared" si="3"/>
        <v>295.625</v>
      </c>
      <c r="G79" s="20">
        <f t="shared" si="4"/>
        <v>295.625</v>
      </c>
      <c r="H79" s="20">
        <f t="shared" si="5"/>
        <v>0</v>
      </c>
      <c r="I79" s="93">
        <v>1298574</v>
      </c>
      <c r="J79" s="70"/>
      <c r="N79" s="19"/>
    </row>
    <row r="80" spans="1:14" s="1" customFormat="1" x14ac:dyDescent="0.25">
      <c r="A80" s="7">
        <v>78</v>
      </c>
      <c r="B80" s="17">
        <v>2346</v>
      </c>
      <c r="C80" s="18" t="s">
        <v>191</v>
      </c>
      <c r="D80" s="19">
        <v>598.9</v>
      </c>
      <c r="E80" s="29">
        <v>0.25</v>
      </c>
      <c r="F80" s="29">
        <f t="shared" si="3"/>
        <v>149.72499999999999</v>
      </c>
      <c r="G80" s="20">
        <f t="shared" si="4"/>
        <v>149.72499999999999</v>
      </c>
      <c r="H80" s="20">
        <f t="shared" si="5"/>
        <v>0</v>
      </c>
      <c r="I80" s="93">
        <v>26080834</v>
      </c>
      <c r="J80" s="70"/>
      <c r="N80" s="19"/>
    </row>
    <row r="81" spans="1:14" s="1" customFormat="1" ht="14.65" customHeight="1" x14ac:dyDescent="0.25">
      <c r="A81" s="47">
        <v>79</v>
      </c>
      <c r="B81" s="33">
        <v>2347</v>
      </c>
      <c r="C81" s="9" t="s">
        <v>193</v>
      </c>
      <c r="D81" s="10">
        <v>804.3</v>
      </c>
      <c r="E81" s="35">
        <v>0.25</v>
      </c>
      <c r="F81" s="35">
        <f t="shared" si="3"/>
        <v>201.07499999999999</v>
      </c>
      <c r="G81" s="20">
        <f t="shared" si="4"/>
        <v>201.07499999999999</v>
      </c>
      <c r="H81" s="11">
        <f t="shared" si="5"/>
        <v>0</v>
      </c>
      <c r="I81" s="109">
        <v>3036144</v>
      </c>
      <c r="J81" s="71">
        <v>45628</v>
      </c>
      <c r="K81" s="41">
        <v>45658</v>
      </c>
      <c r="N81" s="19"/>
    </row>
    <row r="82" spans="1:14" s="1" customFormat="1" ht="14.65" customHeight="1" x14ac:dyDescent="0.25">
      <c r="A82" s="47">
        <v>80</v>
      </c>
      <c r="B82" s="33">
        <v>2348</v>
      </c>
      <c r="C82" s="9" t="s">
        <v>195</v>
      </c>
      <c r="D82" s="10">
        <v>1350.2</v>
      </c>
      <c r="E82" s="35">
        <v>0.25</v>
      </c>
      <c r="F82" s="35">
        <f t="shared" si="3"/>
        <v>337.55</v>
      </c>
      <c r="G82" s="20">
        <f t="shared" si="4"/>
        <v>337.55</v>
      </c>
      <c r="H82" s="11">
        <f t="shared" si="5"/>
        <v>0</v>
      </c>
      <c r="I82" s="109">
        <v>25374403</v>
      </c>
      <c r="J82" s="44"/>
      <c r="K82" s="41">
        <v>45658</v>
      </c>
      <c r="N82" s="19"/>
    </row>
    <row r="83" spans="1:14" s="16" customFormat="1" ht="14.65" customHeight="1" x14ac:dyDescent="0.25">
      <c r="A83" s="47">
        <v>81</v>
      </c>
      <c r="B83" s="33">
        <v>2350</v>
      </c>
      <c r="C83" s="9" t="s">
        <v>197</v>
      </c>
      <c r="D83" s="10">
        <v>1129.5</v>
      </c>
      <c r="E83" s="35">
        <v>0.25</v>
      </c>
      <c r="F83" s="35">
        <f t="shared" si="3"/>
        <v>282.375</v>
      </c>
      <c r="G83" s="20">
        <f t="shared" si="4"/>
        <v>282.375</v>
      </c>
      <c r="H83" s="11">
        <f t="shared" si="5"/>
        <v>0</v>
      </c>
      <c r="I83" s="109">
        <v>734135</v>
      </c>
      <c r="J83" s="71">
        <v>45665</v>
      </c>
      <c r="N83" s="10"/>
    </row>
    <row r="84" spans="1:14" s="1" customFormat="1" ht="14.65" customHeight="1" x14ac:dyDescent="0.25">
      <c r="A84" s="7">
        <v>82</v>
      </c>
      <c r="B84" s="17">
        <v>2351</v>
      </c>
      <c r="C84" s="18" t="s">
        <v>199</v>
      </c>
      <c r="D84" s="19">
        <v>503.6</v>
      </c>
      <c r="E84" s="29">
        <v>0.25</v>
      </c>
      <c r="F84" s="29">
        <f t="shared" si="3"/>
        <v>125.9</v>
      </c>
      <c r="G84" s="20">
        <f t="shared" si="4"/>
        <v>125.9</v>
      </c>
      <c r="H84" s="20">
        <f t="shared" si="5"/>
        <v>0</v>
      </c>
      <c r="I84" s="93">
        <v>19521995</v>
      </c>
      <c r="J84" s="70"/>
      <c r="N84" s="19"/>
    </row>
    <row r="85" spans="1:14" s="1" customFormat="1" x14ac:dyDescent="0.25">
      <c r="A85" s="47">
        <v>83</v>
      </c>
      <c r="B85" s="33">
        <v>2353</v>
      </c>
      <c r="C85" s="9" t="s">
        <v>42</v>
      </c>
      <c r="D85" s="10">
        <v>593.9</v>
      </c>
      <c r="E85" s="35">
        <v>0.25</v>
      </c>
      <c r="F85" s="35">
        <f t="shared" si="3"/>
        <v>148.47499999999999</v>
      </c>
      <c r="G85" s="20">
        <f t="shared" si="4"/>
        <v>148.47499999999999</v>
      </c>
      <c r="H85" s="11">
        <f t="shared" si="5"/>
        <v>0</v>
      </c>
      <c r="I85" s="109">
        <v>2088123</v>
      </c>
      <c r="J85" s="71">
        <v>45677</v>
      </c>
      <c r="K85" s="16"/>
      <c r="N85" s="19"/>
    </row>
    <row r="86" spans="1:14" s="1" customFormat="1" ht="14.65" customHeight="1" x14ac:dyDescent="0.25">
      <c r="A86" s="7">
        <v>84</v>
      </c>
      <c r="B86" s="17">
        <v>2355</v>
      </c>
      <c r="C86" s="18" t="s">
        <v>202</v>
      </c>
      <c r="D86" s="19">
        <v>1127.4000000000001</v>
      </c>
      <c r="E86" s="29">
        <v>0.25</v>
      </c>
      <c r="F86" s="29">
        <f t="shared" si="3"/>
        <v>281.85000000000002</v>
      </c>
      <c r="G86" s="20">
        <f t="shared" si="4"/>
        <v>281.85000000000002</v>
      </c>
      <c r="H86" s="20">
        <f t="shared" si="5"/>
        <v>0</v>
      </c>
      <c r="I86" s="93">
        <v>1129734</v>
      </c>
      <c r="J86" s="70"/>
      <c r="N86" s="19"/>
    </row>
    <row r="87" spans="1:14" s="1" customFormat="1" ht="14.65" customHeight="1" x14ac:dyDescent="0.25">
      <c r="A87" s="7">
        <v>85</v>
      </c>
      <c r="B87" s="17">
        <v>2356</v>
      </c>
      <c r="C87" s="18" t="s">
        <v>204</v>
      </c>
      <c r="D87" s="19">
        <v>1705.1</v>
      </c>
      <c r="E87" s="29">
        <v>0.25</v>
      </c>
      <c r="F87" s="29">
        <f t="shared" si="3"/>
        <v>426.27499999999998</v>
      </c>
      <c r="G87" s="20">
        <f t="shared" si="4"/>
        <v>426.27499999999998</v>
      </c>
      <c r="H87" s="20">
        <f t="shared" si="5"/>
        <v>0</v>
      </c>
      <c r="I87" s="93">
        <v>252996</v>
      </c>
      <c r="J87" s="70"/>
      <c r="N87" s="19"/>
    </row>
    <row r="88" spans="1:14" s="1" customFormat="1" x14ac:dyDescent="0.25">
      <c r="A88" s="7">
        <v>86</v>
      </c>
      <c r="B88" s="17">
        <v>2358</v>
      </c>
      <c r="C88" s="18" t="s">
        <v>206</v>
      </c>
      <c r="D88" s="19">
        <v>597.1</v>
      </c>
      <c r="E88" s="29">
        <v>0.25</v>
      </c>
      <c r="F88" s="29">
        <f t="shared" si="3"/>
        <v>149.27500000000001</v>
      </c>
      <c r="G88" s="20">
        <f t="shared" si="4"/>
        <v>149.27500000000001</v>
      </c>
      <c r="H88" s="20">
        <f t="shared" si="5"/>
        <v>0</v>
      </c>
      <c r="I88" s="93">
        <v>812235</v>
      </c>
      <c r="J88" s="70"/>
      <c r="N88" s="19"/>
    </row>
    <row r="89" spans="1:14" s="1" customFormat="1" x14ac:dyDescent="0.25">
      <c r="A89" s="47">
        <v>87</v>
      </c>
      <c r="B89" s="33">
        <v>2360</v>
      </c>
      <c r="C89" s="9" t="s">
        <v>208</v>
      </c>
      <c r="D89" s="72">
        <v>1286.0999999999999</v>
      </c>
      <c r="E89" s="35">
        <v>0.25</v>
      </c>
      <c r="F89" s="35">
        <f t="shared" si="3"/>
        <v>321.52499999999998</v>
      </c>
      <c r="G89" s="20">
        <f t="shared" si="4"/>
        <v>321.52499999999998</v>
      </c>
      <c r="H89" s="11">
        <f t="shared" si="5"/>
        <v>0</v>
      </c>
      <c r="I89" s="109">
        <v>6791757</v>
      </c>
      <c r="J89" s="71">
        <v>45656</v>
      </c>
      <c r="K89" s="41">
        <v>45670</v>
      </c>
      <c r="N89" s="43"/>
    </row>
    <row r="90" spans="1:14" s="1" customFormat="1" x14ac:dyDescent="0.25">
      <c r="A90" s="7">
        <v>88</v>
      </c>
      <c r="B90" s="17">
        <v>2361</v>
      </c>
      <c r="C90" s="18" t="s">
        <v>210</v>
      </c>
      <c r="D90" s="43">
        <v>2304.9</v>
      </c>
      <c r="E90" s="29">
        <v>0.25</v>
      </c>
      <c r="F90" s="29">
        <f t="shared" si="3"/>
        <v>576.22500000000002</v>
      </c>
      <c r="G90" s="20">
        <f t="shared" si="4"/>
        <v>576.22500000000002</v>
      </c>
      <c r="H90" s="20">
        <f t="shared" si="5"/>
        <v>0</v>
      </c>
      <c r="I90" s="93">
        <v>3083395</v>
      </c>
      <c r="J90" s="70"/>
      <c r="N90" s="43"/>
    </row>
    <row r="91" spans="1:14" s="1" customFormat="1" x14ac:dyDescent="0.25">
      <c r="A91" s="7">
        <v>89</v>
      </c>
      <c r="B91" s="17">
        <v>2362</v>
      </c>
      <c r="C91" s="18" t="s">
        <v>212</v>
      </c>
      <c r="D91" s="43">
        <v>3218.3</v>
      </c>
      <c r="E91" s="29">
        <v>0.25</v>
      </c>
      <c r="F91" s="29">
        <f t="shared" si="3"/>
        <v>804.57500000000005</v>
      </c>
      <c r="G91" s="20">
        <f t="shared" si="4"/>
        <v>804.57500000000005</v>
      </c>
      <c r="H91" s="20">
        <f t="shared" si="5"/>
        <v>0</v>
      </c>
      <c r="I91" s="93">
        <v>614569</v>
      </c>
      <c r="J91" s="70"/>
      <c r="N91" s="43"/>
    </row>
    <row r="92" spans="1:14" s="1" customFormat="1" x14ac:dyDescent="0.25">
      <c r="A92" s="7">
        <v>90</v>
      </c>
      <c r="B92" s="17">
        <v>2365</v>
      </c>
      <c r="C92" s="42" t="s">
        <v>214</v>
      </c>
      <c r="D92" s="19">
        <v>2353.9</v>
      </c>
      <c r="E92" s="29">
        <v>0.25</v>
      </c>
      <c r="F92" s="29">
        <f t="shared" si="3"/>
        <v>588.47500000000002</v>
      </c>
      <c r="G92" s="20">
        <f t="shared" si="4"/>
        <v>588.47500000000002</v>
      </c>
      <c r="H92" s="20">
        <f t="shared" si="5"/>
        <v>0</v>
      </c>
      <c r="I92" s="93">
        <v>18164859</v>
      </c>
      <c r="J92" s="70"/>
      <c r="N92" s="19"/>
    </row>
    <row r="93" spans="1:14" s="16" customFormat="1" ht="30" x14ac:dyDescent="0.25">
      <c r="A93" s="47">
        <v>91</v>
      </c>
      <c r="B93" s="33">
        <v>2366</v>
      </c>
      <c r="C93" s="217" t="s">
        <v>43</v>
      </c>
      <c r="D93" s="72">
        <v>1380.4</v>
      </c>
      <c r="E93" s="35">
        <v>0.25</v>
      </c>
      <c r="F93" s="35">
        <f t="shared" si="3"/>
        <v>345.1</v>
      </c>
      <c r="G93" s="20">
        <f t="shared" si="4"/>
        <v>345.1</v>
      </c>
      <c r="H93" s="11">
        <f t="shared" si="5"/>
        <v>0</v>
      </c>
      <c r="I93" s="109">
        <v>5737041</v>
      </c>
      <c r="J93" s="78">
        <v>45810</v>
      </c>
      <c r="N93" s="72"/>
    </row>
    <row r="94" spans="1:14" s="16" customFormat="1" x14ac:dyDescent="0.25">
      <c r="A94" s="47">
        <v>92</v>
      </c>
      <c r="B94" s="33">
        <v>2368</v>
      </c>
      <c r="C94" s="34" t="s">
        <v>26</v>
      </c>
      <c r="D94" s="10">
        <v>2245.8000000000002</v>
      </c>
      <c r="E94" s="35">
        <v>0.25</v>
      </c>
      <c r="F94" s="35">
        <f t="shared" si="3"/>
        <v>561.45000000000005</v>
      </c>
      <c r="G94" s="20">
        <f t="shared" si="4"/>
        <v>561.45000000000005</v>
      </c>
      <c r="H94" s="11">
        <f t="shared" si="5"/>
        <v>0</v>
      </c>
      <c r="I94" s="109">
        <v>14028352</v>
      </c>
      <c r="J94" s="71">
        <v>45963</v>
      </c>
      <c r="N94" s="10"/>
    </row>
    <row r="95" spans="1:14" s="86" customFormat="1" x14ac:dyDescent="0.25">
      <c r="A95" s="49">
        <v>93</v>
      </c>
      <c r="B95" s="25">
        <v>2369</v>
      </c>
      <c r="C95" s="179" t="s">
        <v>218</v>
      </c>
      <c r="D95" s="27">
        <v>560.20000000000005</v>
      </c>
      <c r="E95" s="21">
        <v>0.25</v>
      </c>
      <c r="F95" s="21">
        <f t="shared" si="3"/>
        <v>140.05000000000001</v>
      </c>
      <c r="G95" s="20">
        <f t="shared" si="4"/>
        <v>140.05000000000001</v>
      </c>
      <c r="H95" s="22">
        <f t="shared" si="5"/>
        <v>0</v>
      </c>
      <c r="I95" s="180">
        <v>1305728</v>
      </c>
      <c r="J95" s="185" t="s">
        <v>300</v>
      </c>
      <c r="N95" s="27"/>
    </row>
    <row r="96" spans="1:14" s="1" customFormat="1" x14ac:dyDescent="0.25">
      <c r="A96" s="47">
        <v>94</v>
      </c>
      <c r="B96" s="33">
        <v>2370</v>
      </c>
      <c r="C96" s="112" t="s">
        <v>220</v>
      </c>
      <c r="D96" s="10">
        <v>1713.5</v>
      </c>
      <c r="E96" s="35">
        <v>0.25</v>
      </c>
      <c r="F96" s="35">
        <f t="shared" si="3"/>
        <v>428.375</v>
      </c>
      <c r="G96" s="20">
        <f t="shared" si="4"/>
        <v>428.375</v>
      </c>
      <c r="H96" s="11">
        <f t="shared" si="5"/>
        <v>0</v>
      </c>
      <c r="I96" s="109">
        <v>15082454</v>
      </c>
      <c r="J96" s="71">
        <v>45665</v>
      </c>
      <c r="K96" s="16"/>
      <c r="N96" s="19"/>
    </row>
    <row r="97" spans="1:14" s="1" customFormat="1" x14ac:dyDescent="0.25">
      <c r="A97" s="7">
        <v>95</v>
      </c>
      <c r="B97" s="17">
        <v>2371</v>
      </c>
      <c r="C97" s="75" t="s">
        <v>222</v>
      </c>
      <c r="D97" s="19">
        <v>1938</v>
      </c>
      <c r="E97" s="29">
        <v>0.25</v>
      </c>
      <c r="F97" s="29">
        <f t="shared" si="3"/>
        <v>484.5</v>
      </c>
      <c r="G97" s="20">
        <f t="shared" si="4"/>
        <v>484.5</v>
      </c>
      <c r="H97" s="20">
        <f t="shared" si="5"/>
        <v>0</v>
      </c>
      <c r="I97" s="93">
        <v>4710817</v>
      </c>
      <c r="J97" s="70"/>
      <c r="N97" s="19"/>
    </row>
    <row r="98" spans="1:14" s="1" customFormat="1" x14ac:dyDescent="0.25">
      <c r="A98" s="7">
        <v>96</v>
      </c>
      <c r="B98" s="17">
        <v>2373</v>
      </c>
      <c r="C98" s="76" t="s">
        <v>224</v>
      </c>
      <c r="D98" s="19">
        <v>1183.2</v>
      </c>
      <c r="E98" s="29">
        <v>0.25</v>
      </c>
      <c r="F98" s="29">
        <f t="shared" si="3"/>
        <v>295.8</v>
      </c>
      <c r="G98" s="20">
        <f t="shared" si="4"/>
        <v>295.8</v>
      </c>
      <c r="H98" s="20">
        <f t="shared" si="5"/>
        <v>0</v>
      </c>
      <c r="I98" s="93">
        <v>593009</v>
      </c>
      <c r="J98" s="70"/>
      <c r="N98" s="19"/>
    </row>
    <row r="99" spans="1:14" s="1" customFormat="1" x14ac:dyDescent="0.25">
      <c r="A99" s="7">
        <v>97</v>
      </c>
      <c r="B99" s="17">
        <v>2374</v>
      </c>
      <c r="C99" s="75" t="s">
        <v>226</v>
      </c>
      <c r="D99" s="19">
        <v>578.1</v>
      </c>
      <c r="E99" s="29">
        <v>0.25</v>
      </c>
      <c r="F99" s="29">
        <f t="shared" si="3"/>
        <v>144.52500000000001</v>
      </c>
      <c r="G99" s="20">
        <f t="shared" si="4"/>
        <v>144.52500000000001</v>
      </c>
      <c r="H99" s="20">
        <f t="shared" si="5"/>
        <v>0</v>
      </c>
      <c r="I99" s="93">
        <v>27683269</v>
      </c>
      <c r="J99" s="70"/>
      <c r="N99" s="19"/>
    </row>
    <row r="100" spans="1:14" s="1" customFormat="1" x14ac:dyDescent="0.25">
      <c r="A100" s="47">
        <v>98</v>
      </c>
      <c r="B100" s="33">
        <v>2380</v>
      </c>
      <c r="C100" s="112" t="s">
        <v>228</v>
      </c>
      <c r="D100" s="10">
        <v>414.2</v>
      </c>
      <c r="E100" s="35">
        <v>0.25</v>
      </c>
      <c r="F100" s="35">
        <f t="shared" si="3"/>
        <v>103.55</v>
      </c>
      <c r="G100" s="20">
        <f t="shared" si="4"/>
        <v>103.55</v>
      </c>
      <c r="H100" s="11">
        <f t="shared" si="5"/>
        <v>0</v>
      </c>
      <c r="I100" s="109">
        <v>614536</v>
      </c>
      <c r="J100" s="71">
        <v>45643</v>
      </c>
      <c r="N100" s="19"/>
    </row>
    <row r="101" spans="1:14" s="1" customFormat="1" x14ac:dyDescent="0.25">
      <c r="A101" s="47">
        <v>99</v>
      </c>
      <c r="B101" s="33">
        <v>2381</v>
      </c>
      <c r="C101" s="112" t="s">
        <v>230</v>
      </c>
      <c r="D101" s="10">
        <v>1090</v>
      </c>
      <c r="E101" s="35">
        <v>0.25</v>
      </c>
      <c r="F101" s="35">
        <f t="shared" si="3"/>
        <v>272.5</v>
      </c>
      <c r="G101" s="20">
        <f t="shared" si="4"/>
        <v>272.5</v>
      </c>
      <c r="H101" s="11">
        <f t="shared" si="5"/>
        <v>0</v>
      </c>
      <c r="I101" s="109">
        <v>830452</v>
      </c>
      <c r="J101" s="71">
        <v>45645</v>
      </c>
      <c r="K101" s="41">
        <v>45963</v>
      </c>
      <c r="N101" s="19"/>
    </row>
    <row r="102" spans="1:14" s="1" customFormat="1" x14ac:dyDescent="0.25">
      <c r="A102" s="47">
        <v>100</v>
      </c>
      <c r="B102" s="33">
        <v>2383</v>
      </c>
      <c r="C102" s="37" t="s">
        <v>232</v>
      </c>
      <c r="D102" s="10">
        <v>146.5</v>
      </c>
      <c r="E102" s="35">
        <v>0.25</v>
      </c>
      <c r="F102" s="35">
        <f t="shared" si="3"/>
        <v>36.625</v>
      </c>
      <c r="G102" s="20">
        <f t="shared" si="4"/>
        <v>36.625</v>
      </c>
      <c r="H102" s="11">
        <f t="shared" si="5"/>
        <v>0</v>
      </c>
      <c r="I102" s="111">
        <v>11427078</v>
      </c>
      <c r="J102" s="71">
        <v>45650</v>
      </c>
      <c r="K102" s="41">
        <v>45810</v>
      </c>
      <c r="N102" s="19"/>
    </row>
    <row r="103" spans="1:14" s="1" customFormat="1" x14ac:dyDescent="0.25">
      <c r="A103" s="47">
        <v>101</v>
      </c>
      <c r="B103" s="33">
        <v>2385</v>
      </c>
      <c r="C103" s="77" t="s">
        <v>236</v>
      </c>
      <c r="D103" s="10">
        <v>1179.3</v>
      </c>
      <c r="E103" s="35">
        <v>0.25</v>
      </c>
      <c r="F103" s="35">
        <f>D103*E103</f>
        <v>294.82499999999999</v>
      </c>
      <c r="G103" s="20">
        <f t="shared" si="4"/>
        <v>294.82499999999999</v>
      </c>
      <c r="H103" s="11">
        <f t="shared" si="5"/>
        <v>0</v>
      </c>
      <c r="I103" s="109">
        <v>3039422</v>
      </c>
      <c r="J103" s="78">
        <v>45663</v>
      </c>
      <c r="N103" s="19"/>
    </row>
    <row r="104" spans="1:14" s="1" customFormat="1" x14ac:dyDescent="0.25">
      <c r="A104" s="47">
        <v>102</v>
      </c>
      <c r="B104" s="33">
        <v>2390</v>
      </c>
      <c r="C104" s="34" t="s">
        <v>238</v>
      </c>
      <c r="D104" s="10">
        <v>1709.7</v>
      </c>
      <c r="E104" s="35">
        <v>0.25</v>
      </c>
      <c r="F104" s="35">
        <f t="shared" ref="F104:F132" si="6">E104*D104</f>
        <v>427.42500000000001</v>
      </c>
      <c r="G104" s="20">
        <f t="shared" si="4"/>
        <v>427.42500000000001</v>
      </c>
      <c r="H104" s="11">
        <f t="shared" si="5"/>
        <v>0</v>
      </c>
      <c r="I104" s="109">
        <v>738486</v>
      </c>
      <c r="J104" s="41">
        <v>45621</v>
      </c>
      <c r="K104" s="41">
        <v>45658</v>
      </c>
      <c r="N104" s="19"/>
    </row>
    <row r="105" spans="1:14" s="1" customFormat="1" x14ac:dyDescent="0.25">
      <c r="A105" s="7">
        <v>103</v>
      </c>
      <c r="B105" s="17">
        <v>2391</v>
      </c>
      <c r="C105" s="74" t="s">
        <v>240</v>
      </c>
      <c r="D105" s="19">
        <v>565.79999999999995</v>
      </c>
      <c r="E105" s="29">
        <v>0.25</v>
      </c>
      <c r="F105" s="29">
        <f t="shared" si="6"/>
        <v>141.44999999999999</v>
      </c>
      <c r="G105" s="20">
        <f t="shared" si="4"/>
        <v>141.44999999999999</v>
      </c>
      <c r="H105" s="20">
        <f t="shared" si="5"/>
        <v>0</v>
      </c>
      <c r="I105" s="93">
        <v>952571</v>
      </c>
      <c r="N105" s="19"/>
    </row>
    <row r="106" spans="1:14" s="1" customFormat="1" x14ac:dyDescent="0.25">
      <c r="A106" s="7">
        <v>104</v>
      </c>
      <c r="B106" s="17">
        <v>2500</v>
      </c>
      <c r="C106" s="74" t="s">
        <v>242</v>
      </c>
      <c r="D106" s="19">
        <v>2714.5</v>
      </c>
      <c r="E106" s="29">
        <v>0.25</v>
      </c>
      <c r="F106" s="29">
        <f t="shared" si="6"/>
        <v>678.625</v>
      </c>
      <c r="G106" s="20">
        <f t="shared" si="4"/>
        <v>678.625</v>
      </c>
      <c r="H106" s="20">
        <f t="shared" si="5"/>
        <v>0</v>
      </c>
      <c r="I106" s="93">
        <v>19597106</v>
      </c>
      <c r="N106" s="19"/>
    </row>
    <row r="107" spans="1:14" s="1" customFormat="1" x14ac:dyDescent="0.25">
      <c r="A107" s="47">
        <v>105</v>
      </c>
      <c r="B107" s="33">
        <v>2501</v>
      </c>
      <c r="C107" s="34" t="s">
        <v>244</v>
      </c>
      <c r="D107" s="10">
        <v>1127.4000000000001</v>
      </c>
      <c r="E107" s="35">
        <v>0.25</v>
      </c>
      <c r="F107" s="35">
        <f t="shared" si="6"/>
        <v>281.85000000000002</v>
      </c>
      <c r="G107" s="20">
        <f t="shared" si="4"/>
        <v>281.85000000000002</v>
      </c>
      <c r="H107" s="11">
        <f t="shared" si="5"/>
        <v>0</v>
      </c>
      <c r="I107" s="109">
        <v>15593565</v>
      </c>
      <c r="J107" s="78">
        <v>45651</v>
      </c>
      <c r="K107" s="41">
        <v>45685</v>
      </c>
      <c r="N107" s="19"/>
    </row>
    <row r="108" spans="1:14" s="1" customFormat="1" x14ac:dyDescent="0.25">
      <c r="A108" s="7">
        <v>106</v>
      </c>
      <c r="B108" s="17">
        <v>2502</v>
      </c>
      <c r="C108" s="74" t="s">
        <v>27</v>
      </c>
      <c r="D108" s="19">
        <v>1245.7</v>
      </c>
      <c r="E108" s="29">
        <v>0.25</v>
      </c>
      <c r="F108" s="29">
        <f t="shared" si="6"/>
        <v>311.42500000000001</v>
      </c>
      <c r="G108" s="20">
        <f t="shared" si="4"/>
        <v>311.42500000000001</v>
      </c>
      <c r="H108" s="20">
        <f t="shared" si="5"/>
        <v>0</v>
      </c>
      <c r="I108" s="93">
        <v>6231138</v>
      </c>
      <c r="N108" s="19"/>
    </row>
    <row r="109" spans="1:14" s="1" customFormat="1" x14ac:dyDescent="0.25">
      <c r="A109" s="47">
        <v>107</v>
      </c>
      <c r="B109" s="33">
        <v>2503</v>
      </c>
      <c r="C109" s="34" t="s">
        <v>247</v>
      </c>
      <c r="D109" s="10">
        <v>1085.9000000000001</v>
      </c>
      <c r="E109" s="35">
        <v>0.25</v>
      </c>
      <c r="F109" s="35">
        <f t="shared" si="6"/>
        <v>271.47500000000002</v>
      </c>
      <c r="G109" s="20">
        <f t="shared" si="4"/>
        <v>271.47500000000002</v>
      </c>
      <c r="H109" s="11">
        <f t="shared" si="5"/>
        <v>0</v>
      </c>
      <c r="I109" s="109">
        <v>568083</v>
      </c>
      <c r="J109" s="78">
        <v>45650</v>
      </c>
      <c r="N109" s="19"/>
    </row>
    <row r="110" spans="1:14" s="1" customFormat="1" x14ac:dyDescent="0.25">
      <c r="A110" s="7">
        <v>108</v>
      </c>
      <c r="B110" s="17">
        <v>2505</v>
      </c>
      <c r="C110" s="74" t="s">
        <v>251</v>
      </c>
      <c r="D110" s="19">
        <v>590.4</v>
      </c>
      <c r="E110" s="29">
        <v>0.25</v>
      </c>
      <c r="F110" s="29">
        <f t="shared" si="6"/>
        <v>147.6</v>
      </c>
      <c r="G110" s="20">
        <f t="shared" si="4"/>
        <v>147.6</v>
      </c>
      <c r="H110" s="20">
        <f t="shared" si="5"/>
        <v>0</v>
      </c>
      <c r="I110" s="93">
        <v>257889</v>
      </c>
      <c r="N110" s="19"/>
    </row>
    <row r="111" spans="1:14" s="16" customFormat="1" x14ac:dyDescent="0.25">
      <c r="A111" s="47">
        <v>109</v>
      </c>
      <c r="B111" s="33">
        <v>2506</v>
      </c>
      <c r="C111" s="34" t="s">
        <v>253</v>
      </c>
      <c r="D111" s="10">
        <v>570.1</v>
      </c>
      <c r="E111" s="35">
        <v>0.25</v>
      </c>
      <c r="F111" s="35">
        <f t="shared" si="6"/>
        <v>142.52500000000001</v>
      </c>
      <c r="G111" s="20">
        <f t="shared" si="4"/>
        <v>142.52500000000001</v>
      </c>
      <c r="H111" s="11">
        <f t="shared" si="5"/>
        <v>0</v>
      </c>
      <c r="I111" s="109">
        <v>11082822</v>
      </c>
      <c r="J111" s="78">
        <v>45810</v>
      </c>
      <c r="N111" s="10"/>
    </row>
    <row r="112" spans="1:14" s="1" customFormat="1" x14ac:dyDescent="0.25">
      <c r="A112" s="7">
        <v>110</v>
      </c>
      <c r="B112" s="17">
        <v>2507</v>
      </c>
      <c r="C112" s="74" t="s">
        <v>255</v>
      </c>
      <c r="D112" s="19">
        <v>687</v>
      </c>
      <c r="E112" s="29">
        <v>0.25</v>
      </c>
      <c r="F112" s="29">
        <f t="shared" si="6"/>
        <v>171.75</v>
      </c>
      <c r="G112" s="20">
        <f t="shared" si="4"/>
        <v>171.75</v>
      </c>
      <c r="H112" s="20">
        <f t="shared" si="5"/>
        <v>0</v>
      </c>
      <c r="I112" s="93">
        <v>21947545</v>
      </c>
      <c r="N112" s="19"/>
    </row>
    <row r="113" spans="1:14" s="16" customFormat="1" x14ac:dyDescent="0.25">
      <c r="A113" s="47">
        <v>111</v>
      </c>
      <c r="B113" s="33">
        <v>2509</v>
      </c>
      <c r="C113" s="34" t="s">
        <v>257</v>
      </c>
      <c r="D113" s="10">
        <v>1574.8</v>
      </c>
      <c r="E113" s="35">
        <v>0.25</v>
      </c>
      <c r="F113" s="35">
        <f t="shared" si="6"/>
        <v>393.7</v>
      </c>
      <c r="G113" s="20">
        <f t="shared" si="4"/>
        <v>393.7</v>
      </c>
      <c r="H113" s="11">
        <f t="shared" si="5"/>
        <v>0</v>
      </c>
      <c r="I113" s="109">
        <v>5739429</v>
      </c>
      <c r="J113" s="78">
        <v>45993</v>
      </c>
      <c r="K113" s="78">
        <v>45993</v>
      </c>
      <c r="N113" s="10"/>
    </row>
    <row r="114" spans="1:14" s="1" customFormat="1" x14ac:dyDescent="0.25">
      <c r="A114" s="47">
        <v>112</v>
      </c>
      <c r="B114" s="33">
        <v>2510</v>
      </c>
      <c r="C114" s="34" t="s">
        <v>259</v>
      </c>
      <c r="D114" s="10">
        <v>1089</v>
      </c>
      <c r="E114" s="35">
        <v>0.25</v>
      </c>
      <c r="F114" s="35">
        <f t="shared" si="6"/>
        <v>272.25</v>
      </c>
      <c r="G114" s="20">
        <f t="shared" si="4"/>
        <v>272.25</v>
      </c>
      <c r="H114" s="11">
        <f t="shared" si="5"/>
        <v>0</v>
      </c>
      <c r="I114" s="109">
        <v>5542574</v>
      </c>
      <c r="J114" s="78">
        <v>45686</v>
      </c>
      <c r="N114" s="19"/>
    </row>
    <row r="115" spans="1:14" s="1" customFormat="1" x14ac:dyDescent="0.25">
      <c r="A115" s="7">
        <v>113</v>
      </c>
      <c r="B115" s="17">
        <v>2511</v>
      </c>
      <c r="C115" s="74" t="s">
        <v>261</v>
      </c>
      <c r="D115" s="19">
        <v>549.9</v>
      </c>
      <c r="E115" s="29">
        <v>0.25</v>
      </c>
      <c r="F115" s="29">
        <f t="shared" si="6"/>
        <v>137.47499999999999</v>
      </c>
      <c r="G115" s="20">
        <f t="shared" si="4"/>
        <v>137.47499999999999</v>
      </c>
      <c r="H115" s="20">
        <f t="shared" si="5"/>
        <v>0</v>
      </c>
      <c r="I115" s="93">
        <v>1109954</v>
      </c>
      <c r="N115" s="19"/>
    </row>
    <row r="116" spans="1:14" s="69" customFormat="1" x14ac:dyDescent="0.25">
      <c r="A116" s="60">
        <v>114</v>
      </c>
      <c r="B116" s="61">
        <v>2512</v>
      </c>
      <c r="C116" s="79" t="s">
        <v>263</v>
      </c>
      <c r="D116" s="63">
        <v>573.4</v>
      </c>
      <c r="E116" s="65">
        <v>0.25</v>
      </c>
      <c r="F116" s="65">
        <f t="shared" si="6"/>
        <v>143.35</v>
      </c>
      <c r="G116" s="20">
        <f t="shared" si="4"/>
        <v>143.35</v>
      </c>
      <c r="H116" s="64">
        <f t="shared" si="5"/>
        <v>0</v>
      </c>
      <c r="I116" s="114">
        <v>990628</v>
      </c>
      <c r="J116" s="69" t="s">
        <v>147</v>
      </c>
      <c r="N116" s="63"/>
    </row>
    <row r="117" spans="1:14" s="69" customFormat="1" x14ac:dyDescent="0.25">
      <c r="A117" s="60">
        <v>115</v>
      </c>
      <c r="B117" s="61">
        <v>2513</v>
      </c>
      <c r="C117" s="79" t="s">
        <v>28</v>
      </c>
      <c r="D117" s="63">
        <v>1236.5999999999999</v>
      </c>
      <c r="E117" s="65">
        <v>0.25</v>
      </c>
      <c r="F117" s="65">
        <f t="shared" si="6"/>
        <v>309.14999999999998</v>
      </c>
      <c r="G117" s="20">
        <f t="shared" si="4"/>
        <v>309.14999999999998</v>
      </c>
      <c r="H117" s="64">
        <f t="shared" si="5"/>
        <v>0</v>
      </c>
      <c r="I117" s="114">
        <v>6332123</v>
      </c>
      <c r="J117" s="258">
        <v>45963</v>
      </c>
      <c r="N117" s="63"/>
    </row>
    <row r="118" spans="1:14" s="1" customFormat="1" x14ac:dyDescent="0.25">
      <c r="A118" s="7">
        <v>116</v>
      </c>
      <c r="B118" s="81">
        <v>2514</v>
      </c>
      <c r="C118" s="82" t="s">
        <v>266</v>
      </c>
      <c r="D118" s="19">
        <v>469.4</v>
      </c>
      <c r="E118" s="83">
        <v>0.25</v>
      </c>
      <c r="F118" s="83">
        <f t="shared" si="6"/>
        <v>117.35</v>
      </c>
      <c r="G118" s="20">
        <f t="shared" si="4"/>
        <v>117.35</v>
      </c>
      <c r="H118" s="20">
        <f t="shared" si="5"/>
        <v>0</v>
      </c>
      <c r="I118" s="117">
        <v>10795387</v>
      </c>
      <c r="N118" s="19"/>
    </row>
    <row r="119" spans="1:14" s="1" customFormat="1" x14ac:dyDescent="0.25">
      <c r="A119" s="47">
        <v>117</v>
      </c>
      <c r="B119" s="33">
        <v>2515</v>
      </c>
      <c r="C119" s="34" t="s">
        <v>268</v>
      </c>
      <c r="D119" s="10">
        <v>1671.7</v>
      </c>
      <c r="E119" s="35">
        <v>0.25</v>
      </c>
      <c r="F119" s="35">
        <f t="shared" si="6"/>
        <v>417.92500000000001</v>
      </c>
      <c r="G119" s="20">
        <f t="shared" si="4"/>
        <v>417.92500000000001</v>
      </c>
      <c r="H119" s="11">
        <f t="shared" si="5"/>
        <v>0</v>
      </c>
      <c r="I119" s="109">
        <v>5638084</v>
      </c>
      <c r="J119" s="41">
        <v>45684</v>
      </c>
      <c r="N119" s="19"/>
    </row>
    <row r="120" spans="1:14" s="1" customFormat="1" x14ac:dyDescent="0.25">
      <c r="A120" s="7">
        <v>118</v>
      </c>
      <c r="B120" s="17">
        <v>2516</v>
      </c>
      <c r="C120" s="74" t="s">
        <v>270</v>
      </c>
      <c r="D120" s="19">
        <v>610.20000000000005</v>
      </c>
      <c r="E120" s="29">
        <v>0.25</v>
      </c>
      <c r="F120" s="29">
        <f t="shared" si="6"/>
        <v>152.55000000000001</v>
      </c>
      <c r="G120" s="20">
        <f t="shared" si="4"/>
        <v>152.55000000000001</v>
      </c>
      <c r="H120" s="20">
        <f t="shared" si="5"/>
        <v>0</v>
      </c>
      <c r="I120" s="93">
        <v>21934588</v>
      </c>
      <c r="N120" s="19"/>
    </row>
    <row r="121" spans="1:14" s="1" customFormat="1" x14ac:dyDescent="0.25">
      <c r="A121" s="7">
        <v>119</v>
      </c>
      <c r="B121" s="17">
        <v>2517</v>
      </c>
      <c r="C121" s="74" t="s">
        <v>29</v>
      </c>
      <c r="D121" s="19">
        <v>2824.6</v>
      </c>
      <c r="E121" s="29">
        <v>0.25</v>
      </c>
      <c r="F121" s="29">
        <f t="shared" si="6"/>
        <v>706.15</v>
      </c>
      <c r="G121" s="20">
        <f t="shared" si="4"/>
        <v>706.15</v>
      </c>
      <c r="H121" s="20">
        <f t="shared" si="5"/>
        <v>0</v>
      </c>
      <c r="I121" s="94">
        <v>6231419</v>
      </c>
      <c r="N121" s="19"/>
    </row>
    <row r="122" spans="1:14" s="1" customFormat="1" x14ac:dyDescent="0.25">
      <c r="A122" s="47">
        <v>120</v>
      </c>
      <c r="B122" s="33">
        <v>2518</v>
      </c>
      <c r="C122" s="37" t="s">
        <v>273</v>
      </c>
      <c r="D122" s="10">
        <v>1180.3</v>
      </c>
      <c r="E122" s="35">
        <v>0.25</v>
      </c>
      <c r="F122" s="35">
        <f t="shared" si="6"/>
        <v>295.07499999999999</v>
      </c>
      <c r="G122" s="20">
        <f t="shared" si="4"/>
        <v>295.07499999999999</v>
      </c>
      <c r="H122" s="11">
        <f t="shared" si="5"/>
        <v>0</v>
      </c>
      <c r="I122" s="109">
        <v>27683344</v>
      </c>
      <c r="J122" s="78">
        <v>45643</v>
      </c>
      <c r="K122" s="78">
        <v>45672</v>
      </c>
      <c r="N122" s="19"/>
    </row>
    <row r="123" spans="1:14" s="1" customFormat="1" x14ac:dyDescent="0.25">
      <c r="A123" s="47">
        <v>121</v>
      </c>
      <c r="B123" s="33">
        <v>2519</v>
      </c>
      <c r="C123" s="9" t="s">
        <v>275</v>
      </c>
      <c r="D123" s="10">
        <v>594.29999999999995</v>
      </c>
      <c r="E123" s="35">
        <v>0.25</v>
      </c>
      <c r="F123" s="35">
        <f t="shared" si="6"/>
        <v>148.57499999999999</v>
      </c>
      <c r="G123" s="20">
        <f t="shared" si="4"/>
        <v>148.57499999999999</v>
      </c>
      <c r="H123" s="11">
        <f t="shared" si="5"/>
        <v>0</v>
      </c>
      <c r="I123" s="111">
        <v>19923785</v>
      </c>
      <c r="J123" s="78">
        <v>45686</v>
      </c>
      <c r="N123" s="19"/>
    </row>
    <row r="124" spans="1:14" s="1" customFormat="1" x14ac:dyDescent="0.25">
      <c r="A124" s="7">
        <v>122</v>
      </c>
      <c r="B124" s="13">
        <v>2520</v>
      </c>
      <c r="C124" s="18" t="s">
        <v>277</v>
      </c>
      <c r="D124" s="19">
        <v>1155.9000000000001</v>
      </c>
      <c r="E124" s="20">
        <v>0.25</v>
      </c>
      <c r="F124" s="20">
        <f t="shared" si="6"/>
        <v>288.97500000000002</v>
      </c>
      <c r="G124" s="20">
        <f t="shared" si="4"/>
        <v>288.97500000000002</v>
      </c>
      <c r="H124" s="20">
        <f t="shared" si="5"/>
        <v>0</v>
      </c>
      <c r="I124" s="90">
        <v>1297459</v>
      </c>
      <c r="N124" s="19"/>
    </row>
    <row r="125" spans="1:14" s="1" customFormat="1" x14ac:dyDescent="0.25">
      <c r="A125" s="47">
        <v>123</v>
      </c>
      <c r="B125" s="8">
        <v>2521</v>
      </c>
      <c r="C125" s="9" t="s">
        <v>279</v>
      </c>
      <c r="D125" s="10">
        <v>1718.3</v>
      </c>
      <c r="E125" s="11">
        <v>0.25</v>
      </c>
      <c r="F125" s="11">
        <f t="shared" si="6"/>
        <v>429.57499999999999</v>
      </c>
      <c r="G125" s="20">
        <f t="shared" si="4"/>
        <v>429.57499999999999</v>
      </c>
      <c r="H125" s="11">
        <f t="shared" si="5"/>
        <v>0</v>
      </c>
      <c r="I125" s="92">
        <v>5146927</v>
      </c>
      <c r="J125" s="78">
        <v>45663</v>
      </c>
      <c r="N125" s="19"/>
    </row>
    <row r="126" spans="1:14" s="1" customFormat="1" x14ac:dyDescent="0.25">
      <c r="A126" s="7">
        <v>124</v>
      </c>
      <c r="B126" s="13">
        <v>2522</v>
      </c>
      <c r="C126" s="18" t="s">
        <v>244</v>
      </c>
      <c r="D126" s="19">
        <v>593.5</v>
      </c>
      <c r="E126" s="20">
        <v>0.25</v>
      </c>
      <c r="F126" s="20">
        <f t="shared" si="6"/>
        <v>148.375</v>
      </c>
      <c r="G126" s="20">
        <f t="shared" si="4"/>
        <v>148.375</v>
      </c>
      <c r="H126" s="20">
        <f t="shared" si="5"/>
        <v>0</v>
      </c>
      <c r="I126" s="90">
        <v>4530913</v>
      </c>
      <c r="N126" s="19"/>
    </row>
    <row r="127" spans="1:14" s="1" customFormat="1" x14ac:dyDescent="0.25">
      <c r="A127" s="47">
        <v>125</v>
      </c>
      <c r="B127" s="8">
        <v>2523</v>
      </c>
      <c r="C127" s="9" t="s">
        <v>44</v>
      </c>
      <c r="D127" s="10">
        <v>562.6</v>
      </c>
      <c r="E127" s="11">
        <v>0.25</v>
      </c>
      <c r="F127" s="11">
        <f t="shared" si="6"/>
        <v>140.65</v>
      </c>
      <c r="G127" s="20">
        <f t="shared" si="4"/>
        <v>140.65</v>
      </c>
      <c r="H127" s="11">
        <f t="shared" si="5"/>
        <v>0</v>
      </c>
      <c r="I127" s="92">
        <v>4909387</v>
      </c>
      <c r="J127" s="78">
        <v>45658</v>
      </c>
      <c r="N127" s="19"/>
    </row>
    <row r="128" spans="1:14" s="1" customFormat="1" x14ac:dyDescent="0.25">
      <c r="A128" s="7">
        <v>126</v>
      </c>
      <c r="B128" s="13">
        <v>2524</v>
      </c>
      <c r="C128" s="18" t="s">
        <v>283</v>
      </c>
      <c r="D128" s="19">
        <v>593.4</v>
      </c>
      <c r="E128" s="20">
        <v>0.25</v>
      </c>
      <c r="F128" s="20">
        <f t="shared" si="6"/>
        <v>148.35</v>
      </c>
      <c r="G128" s="20">
        <f t="shared" si="4"/>
        <v>148.35</v>
      </c>
      <c r="H128" s="20">
        <f t="shared" si="5"/>
        <v>0</v>
      </c>
      <c r="I128" s="88">
        <v>5827884</v>
      </c>
      <c r="N128" s="19"/>
    </row>
    <row r="129" spans="1:14" s="221" customFormat="1" x14ac:dyDescent="0.25">
      <c r="A129" s="60">
        <v>127</v>
      </c>
      <c r="B129" s="67">
        <v>2526</v>
      </c>
      <c r="C129" s="62" t="s">
        <v>285</v>
      </c>
      <c r="D129" s="63">
        <v>475.3</v>
      </c>
      <c r="E129" s="64">
        <v>0.25</v>
      </c>
      <c r="F129" s="64">
        <f t="shared" si="6"/>
        <v>118.825</v>
      </c>
      <c r="G129" s="20">
        <f t="shared" si="4"/>
        <v>118.825</v>
      </c>
      <c r="H129" s="64">
        <f t="shared" si="5"/>
        <v>0</v>
      </c>
      <c r="I129" s="108">
        <v>5827579</v>
      </c>
      <c r="J129" s="222">
        <v>45902</v>
      </c>
      <c r="N129" s="63"/>
    </row>
    <row r="130" spans="1:14" s="1" customFormat="1" x14ac:dyDescent="0.25">
      <c r="A130" s="49">
        <v>128</v>
      </c>
      <c r="B130" s="28">
        <v>2529</v>
      </c>
      <c r="C130" s="26" t="s">
        <v>287</v>
      </c>
      <c r="D130" s="27">
        <v>1140.5999999999999</v>
      </c>
      <c r="E130" s="22">
        <v>0.25</v>
      </c>
      <c r="F130" s="22">
        <f t="shared" si="6"/>
        <v>285.14999999999998</v>
      </c>
      <c r="G130" s="20">
        <f t="shared" si="4"/>
        <v>285.14999999999998</v>
      </c>
      <c r="H130" s="22">
        <f t="shared" si="5"/>
        <v>0</v>
      </c>
      <c r="I130" s="96">
        <v>6375262</v>
      </c>
      <c r="J130" s="85">
        <v>45613</v>
      </c>
      <c r="N130" s="19"/>
    </row>
    <row r="131" spans="1:14" s="1" customFormat="1" x14ac:dyDescent="0.25">
      <c r="A131" s="47">
        <v>129</v>
      </c>
      <c r="B131" s="8">
        <v>2530</v>
      </c>
      <c r="C131" s="9" t="s">
        <v>289</v>
      </c>
      <c r="D131" s="10">
        <v>413.1</v>
      </c>
      <c r="E131" s="11">
        <v>0.25</v>
      </c>
      <c r="F131" s="11">
        <f t="shared" si="6"/>
        <v>103.27500000000001</v>
      </c>
      <c r="G131" s="20">
        <f t="shared" si="4"/>
        <v>103.27500000000001</v>
      </c>
      <c r="H131" s="11">
        <f t="shared" si="5"/>
        <v>0</v>
      </c>
      <c r="I131" s="77">
        <v>7506751</v>
      </c>
      <c r="J131" s="78">
        <v>45628</v>
      </c>
      <c r="N131" s="19"/>
    </row>
    <row r="132" spans="1:14" s="1" customFormat="1" x14ac:dyDescent="0.25">
      <c r="A132" s="7">
        <v>130</v>
      </c>
      <c r="B132" s="8">
        <v>3166</v>
      </c>
      <c r="C132" s="40" t="s">
        <v>17</v>
      </c>
      <c r="D132" s="10">
        <v>2267.3000000000002</v>
      </c>
      <c r="E132" s="11">
        <v>0.25</v>
      </c>
      <c r="F132" s="11">
        <f t="shared" si="6"/>
        <v>566.82500000000005</v>
      </c>
      <c r="G132" s="20">
        <f t="shared" si="4"/>
        <v>566.82500000000005</v>
      </c>
      <c r="H132" s="11">
        <f t="shared" si="5"/>
        <v>0</v>
      </c>
      <c r="I132" s="92">
        <v>6381786</v>
      </c>
      <c r="J132" s="78">
        <v>45628</v>
      </c>
      <c r="K132" s="1" t="s">
        <v>310</v>
      </c>
      <c r="N132" s="19"/>
    </row>
    <row r="133" spans="1:14" s="45" customFormat="1" ht="13.5" x14ac:dyDescent="0.25">
      <c r="A133" s="156"/>
      <c r="B133" s="157"/>
      <c r="C133" s="158" t="s">
        <v>302</v>
      </c>
      <c r="D133" s="159">
        <f t="shared" ref="D133:M133" si="7">SUM(D3:D132)</f>
        <v>171827.19999999992</v>
      </c>
      <c r="E133" s="159"/>
      <c r="F133" s="159">
        <f t="shared" si="7"/>
        <v>42956.799999999981</v>
      </c>
      <c r="G133" s="159">
        <f t="shared" si="7"/>
        <v>42956.799999999981</v>
      </c>
      <c r="H133" s="159">
        <f t="shared" si="7"/>
        <v>0</v>
      </c>
      <c r="I133" s="159"/>
      <c r="J133" s="159">
        <f t="shared" si="7"/>
        <v>3106240</v>
      </c>
      <c r="K133" s="159">
        <f t="shared" si="7"/>
        <v>1736046</v>
      </c>
      <c r="L133" s="159">
        <f t="shared" si="7"/>
        <v>91328</v>
      </c>
      <c r="M133" s="159">
        <f t="shared" si="7"/>
        <v>91361</v>
      </c>
      <c r="N133" s="159"/>
    </row>
    <row r="134" spans="1:14" s="1" customFormat="1" x14ac:dyDescent="0.25">
      <c r="A134" s="23"/>
      <c r="B134" s="6"/>
      <c r="C134" s="24"/>
      <c r="D134" s="87"/>
      <c r="I134" s="23"/>
      <c r="N134" s="87"/>
    </row>
    <row r="135" spans="1:14" s="1" customFormat="1" x14ac:dyDescent="0.25">
      <c r="A135" s="23"/>
      <c r="B135" s="6"/>
      <c r="C135" s="24"/>
      <c r="D135" s="87"/>
      <c r="G135" s="125">
        <f>G130+G65+G44+G34+G21</f>
        <v>2895.9750000000004</v>
      </c>
      <c r="H135" s="125">
        <f>G133-G135</f>
        <v>40060.824999999983</v>
      </c>
      <c r="I135" s="139">
        <f>H135/F133</f>
        <v>0.93258401463796181</v>
      </c>
      <c r="N135" s="87"/>
    </row>
    <row r="136" spans="1:14" s="1" customFormat="1" x14ac:dyDescent="0.25">
      <c r="A136" s="23"/>
      <c r="B136" s="6"/>
      <c r="C136" s="24"/>
      <c r="D136" s="87"/>
      <c r="I136" s="23"/>
      <c r="N136" s="87"/>
    </row>
    <row r="137" spans="1:14" s="1" customFormat="1" x14ac:dyDescent="0.25">
      <c r="A137" s="23"/>
      <c r="B137" s="6"/>
      <c r="C137" s="24"/>
      <c r="D137" s="87"/>
      <c r="I137" s="23"/>
      <c r="N137" s="87"/>
    </row>
  </sheetData>
  <mergeCells count="1">
    <mergeCell ref="A1:I1"/>
  </mergeCells>
  <pageMargins left="0.7" right="0.7" top="0.75" bottom="0.75" header="0.3" footer="0.3"/>
  <pageSetup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1164-83AA-487D-BC0C-6DA7D288757E}">
  <dimension ref="A1:BQ136"/>
  <sheetViews>
    <sheetView view="pageBreakPreview" topLeftCell="A113" zoomScaleNormal="130" zoomScaleSheetLayoutView="100" workbookViewId="0">
      <selection activeCell="C81" sqref="C81"/>
    </sheetView>
  </sheetViews>
  <sheetFormatPr defaultRowHeight="15" x14ac:dyDescent="0.25"/>
  <cols>
    <col min="1" max="1" width="4" bestFit="1" customWidth="1"/>
    <col min="2" max="2" width="12.5703125" bestFit="1" customWidth="1"/>
    <col min="3" max="3" width="33.7109375" customWidth="1"/>
    <col min="4" max="4" width="18.28515625" bestFit="1" customWidth="1"/>
    <col min="5" max="5" width="8.42578125" customWidth="1"/>
    <col min="6" max="8" width="16.42578125" bestFit="1" customWidth="1"/>
    <col min="9" max="9" width="9" hidden="1" customWidth="1"/>
    <col min="10" max="10" width="17.28515625" hidden="1" customWidth="1"/>
    <col min="11" max="11" width="17" hidden="1" customWidth="1"/>
    <col min="12" max="12" width="14.7109375" hidden="1" customWidth="1"/>
    <col min="13" max="13" width="9" hidden="1" customWidth="1"/>
    <col min="14" max="14" width="11.28515625" customWidth="1"/>
    <col min="15" max="15" width="24.28515625" bestFit="1" customWidth="1"/>
    <col min="16" max="16" width="10.42578125" bestFit="1" customWidth="1"/>
    <col min="17" max="17" width="9.42578125" bestFit="1" customWidth="1"/>
  </cols>
  <sheetData>
    <row r="1" spans="1:15" s="1" customFormat="1" x14ac:dyDescent="0.25">
      <c r="A1" s="487" t="s">
        <v>0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9"/>
      <c r="N1" s="140"/>
    </row>
    <row r="2" spans="1:15" s="6" customFormat="1" ht="30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4"/>
      <c r="H2" s="4"/>
      <c r="I2" s="4" t="s">
        <v>7</v>
      </c>
      <c r="J2" s="5" t="s">
        <v>8</v>
      </c>
      <c r="K2" s="4" t="s">
        <v>9</v>
      </c>
      <c r="L2" s="4"/>
      <c r="M2" s="4"/>
      <c r="N2" s="141"/>
    </row>
    <row r="3" spans="1:15" s="1" customFormat="1" ht="14.65" customHeight="1" x14ac:dyDescent="0.25">
      <c r="A3" s="7">
        <v>1</v>
      </c>
      <c r="B3" s="13">
        <v>2022</v>
      </c>
      <c r="C3" s="46" t="s">
        <v>45</v>
      </c>
      <c r="D3" s="19"/>
      <c r="E3" s="20">
        <v>0.25</v>
      </c>
      <c r="F3" s="20">
        <f t="shared" ref="F3:F66" si="0">E3*D3</f>
        <v>0</v>
      </c>
      <c r="G3" s="20"/>
      <c r="H3" s="20">
        <f t="shared" ref="H3:H66" si="1">F3-G3</f>
        <v>0</v>
      </c>
      <c r="I3" s="88">
        <v>8542496</v>
      </c>
      <c r="J3" s="89" t="s">
        <v>46</v>
      </c>
      <c r="K3" s="90" t="s">
        <v>11</v>
      </c>
      <c r="L3" s="90" t="s">
        <v>47</v>
      </c>
      <c r="M3" s="14">
        <v>99198330</v>
      </c>
      <c r="N3" s="140"/>
    </row>
    <row r="4" spans="1:15" s="1" customFormat="1" ht="14.65" customHeight="1" x14ac:dyDescent="0.25">
      <c r="A4" s="7">
        <v>2</v>
      </c>
      <c r="B4" s="13">
        <v>2026</v>
      </c>
      <c r="C4" s="18" t="s">
        <v>48</v>
      </c>
      <c r="D4" s="19">
        <v>612.5</v>
      </c>
      <c r="E4" s="20">
        <v>0.25</v>
      </c>
      <c r="F4" s="20">
        <f t="shared" si="0"/>
        <v>153.125</v>
      </c>
      <c r="G4" s="20">
        <f>F4</f>
        <v>153.125</v>
      </c>
      <c r="H4" s="20">
        <f t="shared" si="1"/>
        <v>0</v>
      </c>
      <c r="I4" s="88">
        <v>5352667</v>
      </c>
      <c r="J4" s="89" t="s">
        <v>49</v>
      </c>
      <c r="K4" s="90" t="s">
        <v>50</v>
      </c>
      <c r="L4" s="90" t="s">
        <v>51</v>
      </c>
      <c r="M4" s="14">
        <v>96669695</v>
      </c>
      <c r="N4" s="140"/>
    </row>
    <row r="5" spans="1:15" s="1" customFormat="1" ht="14.65" customHeight="1" x14ac:dyDescent="0.25">
      <c r="A5" s="47">
        <v>3</v>
      </c>
      <c r="B5" s="8">
        <v>2027</v>
      </c>
      <c r="C5" s="9" t="s">
        <v>52</v>
      </c>
      <c r="D5" s="10">
        <v>97.6</v>
      </c>
      <c r="E5" s="11">
        <v>0.25</v>
      </c>
      <c r="F5" s="11">
        <f t="shared" si="0"/>
        <v>24.4</v>
      </c>
      <c r="G5" s="20">
        <f t="shared" ref="G5:G68" si="2">F5</f>
        <v>24.4</v>
      </c>
      <c r="H5" s="11">
        <f t="shared" si="1"/>
        <v>0</v>
      </c>
      <c r="I5" s="77">
        <v>19187402</v>
      </c>
      <c r="J5" s="91" t="s">
        <v>53</v>
      </c>
      <c r="K5" s="92" t="s">
        <v>11</v>
      </c>
      <c r="L5" s="92" t="s">
        <v>47</v>
      </c>
      <c r="M5" s="12"/>
      <c r="N5" s="143">
        <v>45658</v>
      </c>
    </row>
    <row r="6" spans="1:15" s="1" customFormat="1" ht="14.65" customHeight="1" x14ac:dyDescent="0.25">
      <c r="A6" s="47">
        <v>4</v>
      </c>
      <c r="B6" s="8">
        <v>2033</v>
      </c>
      <c r="C6" s="9" t="s">
        <v>19</v>
      </c>
      <c r="D6" s="10">
        <v>1060.4000000000001</v>
      </c>
      <c r="E6" s="11">
        <v>0.25</v>
      </c>
      <c r="F6" s="11">
        <f t="shared" si="0"/>
        <v>265.10000000000002</v>
      </c>
      <c r="G6" s="20">
        <f t="shared" si="2"/>
        <v>265.10000000000002</v>
      </c>
      <c r="H6" s="11">
        <f t="shared" si="1"/>
        <v>0</v>
      </c>
      <c r="I6" s="77">
        <v>1290824</v>
      </c>
      <c r="J6" s="89" t="s">
        <v>54</v>
      </c>
      <c r="K6" s="90" t="s">
        <v>14</v>
      </c>
      <c r="L6" s="90" t="s">
        <v>55</v>
      </c>
      <c r="M6" s="14">
        <v>97064018</v>
      </c>
      <c r="N6" s="143">
        <v>45677</v>
      </c>
    </row>
    <row r="7" spans="1:15" s="1" customFormat="1" ht="14.65" customHeight="1" x14ac:dyDescent="0.25">
      <c r="A7" s="47">
        <v>5</v>
      </c>
      <c r="B7" s="8">
        <v>2036</v>
      </c>
      <c r="C7" s="9" t="s">
        <v>56</v>
      </c>
      <c r="D7" s="10">
        <v>485</v>
      </c>
      <c r="E7" s="11">
        <v>0.25</v>
      </c>
      <c r="F7" s="11">
        <f t="shared" si="0"/>
        <v>121.25</v>
      </c>
      <c r="G7" s="20">
        <f t="shared" si="2"/>
        <v>121.25</v>
      </c>
      <c r="H7" s="11">
        <f t="shared" si="1"/>
        <v>0</v>
      </c>
      <c r="I7" s="77">
        <v>8201282</v>
      </c>
      <c r="J7" s="89" t="s">
        <v>57</v>
      </c>
      <c r="K7" s="90" t="s">
        <v>14</v>
      </c>
      <c r="L7" s="90" t="s">
        <v>55</v>
      </c>
      <c r="M7" s="14">
        <v>91425474</v>
      </c>
      <c r="N7" s="143">
        <v>45663</v>
      </c>
      <c r="O7" s="78">
        <v>45691</v>
      </c>
    </row>
    <row r="8" spans="1:15" s="1" customFormat="1" ht="14.65" customHeight="1" x14ac:dyDescent="0.25">
      <c r="A8" s="47">
        <v>6</v>
      </c>
      <c r="B8" s="8">
        <v>2051</v>
      </c>
      <c r="C8" s="9" t="s">
        <v>58</v>
      </c>
      <c r="D8" s="10">
        <v>620.1</v>
      </c>
      <c r="E8" s="11">
        <v>0.25</v>
      </c>
      <c r="F8" s="11">
        <f t="shared" si="0"/>
        <v>155.02500000000001</v>
      </c>
      <c r="G8" s="20">
        <f t="shared" si="2"/>
        <v>155.02500000000001</v>
      </c>
      <c r="H8" s="11">
        <f t="shared" si="1"/>
        <v>0</v>
      </c>
      <c r="I8" s="77">
        <v>575519</v>
      </c>
      <c r="J8" s="91" t="s">
        <v>59</v>
      </c>
      <c r="K8" s="92" t="s">
        <v>14</v>
      </c>
      <c r="L8" s="92" t="s">
        <v>55</v>
      </c>
      <c r="M8" s="8">
        <v>99486262</v>
      </c>
      <c r="N8" s="143">
        <v>45658</v>
      </c>
      <c r="O8" s="78">
        <v>45672</v>
      </c>
    </row>
    <row r="9" spans="1:15" s="1" customFormat="1" ht="14.65" customHeight="1" x14ac:dyDescent="0.25">
      <c r="A9" s="7">
        <v>7</v>
      </c>
      <c r="B9" s="13">
        <v>2095</v>
      </c>
      <c r="C9" s="18" t="s">
        <v>20</v>
      </c>
      <c r="D9" s="19">
        <v>984.6</v>
      </c>
      <c r="E9" s="20">
        <v>0.25</v>
      </c>
      <c r="F9" s="20">
        <f t="shared" si="0"/>
        <v>246.15</v>
      </c>
      <c r="G9" s="20">
        <f t="shared" si="2"/>
        <v>246.15</v>
      </c>
      <c r="H9" s="20">
        <f t="shared" si="1"/>
        <v>0</v>
      </c>
      <c r="I9" s="88">
        <v>26224</v>
      </c>
      <c r="J9" s="89" t="s">
        <v>60</v>
      </c>
      <c r="K9" s="90" t="s">
        <v>14</v>
      </c>
      <c r="L9" s="90" t="s">
        <v>55</v>
      </c>
      <c r="M9" s="14">
        <v>96177155</v>
      </c>
      <c r="N9" s="140"/>
    </row>
    <row r="10" spans="1:15" s="1" customFormat="1" ht="13.9" customHeight="1" x14ac:dyDescent="0.25">
      <c r="A10" s="7">
        <v>8</v>
      </c>
      <c r="B10" s="13">
        <v>2097</v>
      </c>
      <c r="C10" s="18" t="s">
        <v>61</v>
      </c>
      <c r="D10" s="19">
        <v>596</v>
      </c>
      <c r="E10" s="20">
        <v>0.25</v>
      </c>
      <c r="F10" s="20">
        <f t="shared" si="0"/>
        <v>149</v>
      </c>
      <c r="G10" s="20">
        <f t="shared" si="2"/>
        <v>149</v>
      </c>
      <c r="H10" s="20">
        <f t="shared" si="1"/>
        <v>0</v>
      </c>
      <c r="I10" s="88">
        <v>677206</v>
      </c>
      <c r="J10" s="89" t="s">
        <v>62</v>
      </c>
      <c r="K10" s="90" t="s">
        <v>50</v>
      </c>
      <c r="L10" s="90" t="s">
        <v>51</v>
      </c>
      <c r="M10" s="14">
        <v>99083310</v>
      </c>
      <c r="N10" s="140"/>
    </row>
    <row r="11" spans="1:15" s="1" customFormat="1" ht="14.65" customHeight="1" x14ac:dyDescent="0.25">
      <c r="A11" s="7">
        <v>9</v>
      </c>
      <c r="B11" s="13">
        <v>2098</v>
      </c>
      <c r="C11" s="18" t="s">
        <v>63</v>
      </c>
      <c r="D11" s="19">
        <v>645.5</v>
      </c>
      <c r="E11" s="20">
        <v>0.25</v>
      </c>
      <c r="F11" s="20">
        <f t="shared" si="0"/>
        <v>161.375</v>
      </c>
      <c r="G11" s="20">
        <f t="shared" si="2"/>
        <v>161.375</v>
      </c>
      <c r="H11" s="20">
        <f t="shared" si="1"/>
        <v>0</v>
      </c>
      <c r="I11" s="88">
        <v>1065899</v>
      </c>
      <c r="J11" s="89" t="s">
        <v>64</v>
      </c>
      <c r="K11" s="90" t="s">
        <v>11</v>
      </c>
      <c r="L11" s="90" t="s">
        <v>47</v>
      </c>
      <c r="M11" s="18"/>
      <c r="N11" s="140"/>
    </row>
    <row r="12" spans="1:15" s="1" customFormat="1" ht="14.65" customHeight="1" x14ac:dyDescent="0.25">
      <c r="A12" s="47">
        <v>10</v>
      </c>
      <c r="B12" s="8">
        <v>2100</v>
      </c>
      <c r="C12" s="9" t="s">
        <v>65</v>
      </c>
      <c r="D12" s="10">
        <v>913.3</v>
      </c>
      <c r="E12" s="11">
        <v>0.25</v>
      </c>
      <c r="F12" s="11">
        <f t="shared" si="0"/>
        <v>228.32499999999999</v>
      </c>
      <c r="G12" s="20">
        <f t="shared" si="2"/>
        <v>228.32499999999999</v>
      </c>
      <c r="H12" s="11">
        <f t="shared" si="1"/>
        <v>0</v>
      </c>
      <c r="I12" s="77">
        <v>5550806</v>
      </c>
      <c r="J12" s="91" t="s">
        <v>66</v>
      </c>
      <c r="K12" s="92" t="s">
        <v>15</v>
      </c>
      <c r="L12" s="92" t="s">
        <v>67</v>
      </c>
      <c r="M12" s="12">
        <v>95614480</v>
      </c>
      <c r="N12" s="143">
        <v>45650</v>
      </c>
      <c r="O12" s="41">
        <v>45810</v>
      </c>
    </row>
    <row r="13" spans="1:15" s="1" customFormat="1" ht="14.65" customHeight="1" x14ac:dyDescent="0.25">
      <c r="A13" s="47">
        <v>11</v>
      </c>
      <c r="B13" s="8">
        <v>2101</v>
      </c>
      <c r="C13" s="9" t="s">
        <v>68</v>
      </c>
      <c r="D13" s="10">
        <v>616.4</v>
      </c>
      <c r="E13" s="11">
        <v>0.25</v>
      </c>
      <c r="F13" s="11">
        <f t="shared" si="0"/>
        <v>154.1</v>
      </c>
      <c r="G13" s="20">
        <f t="shared" si="2"/>
        <v>154.1</v>
      </c>
      <c r="H13" s="11">
        <f t="shared" si="1"/>
        <v>0</v>
      </c>
      <c r="I13" s="92">
        <v>1145267</v>
      </c>
      <c r="J13" s="89" t="s">
        <v>69</v>
      </c>
      <c r="K13" s="90" t="s">
        <v>18</v>
      </c>
      <c r="L13" s="90" t="s">
        <v>47</v>
      </c>
      <c r="M13" s="13"/>
      <c r="N13" s="59">
        <v>45663</v>
      </c>
      <c r="O13" s="160" t="s">
        <v>311</v>
      </c>
    </row>
    <row r="14" spans="1:15" s="1" customFormat="1" ht="14.65" customHeight="1" x14ac:dyDescent="0.25">
      <c r="A14" s="47">
        <v>12</v>
      </c>
      <c r="B14" s="8">
        <v>2112</v>
      </c>
      <c r="C14" s="9" t="s">
        <v>71</v>
      </c>
      <c r="D14" s="10">
        <v>1180.4000000000001</v>
      </c>
      <c r="E14" s="11">
        <v>0.25</v>
      </c>
      <c r="F14" s="11">
        <f t="shared" si="0"/>
        <v>295.10000000000002</v>
      </c>
      <c r="G14" s="20">
        <f t="shared" si="2"/>
        <v>295.10000000000002</v>
      </c>
      <c r="H14" s="11">
        <f t="shared" si="1"/>
        <v>0</v>
      </c>
      <c r="I14" s="77">
        <v>11412524</v>
      </c>
      <c r="J14" s="91" t="s">
        <v>72</v>
      </c>
      <c r="K14" s="92" t="s">
        <v>11</v>
      </c>
      <c r="L14" s="92" t="s">
        <v>47</v>
      </c>
      <c r="M14" s="12">
        <v>93337934</v>
      </c>
      <c r="N14" s="143">
        <v>45685</v>
      </c>
    </row>
    <row r="15" spans="1:15" s="1" customFormat="1" ht="14.65" customHeight="1" x14ac:dyDescent="0.25">
      <c r="A15" s="47">
        <v>13</v>
      </c>
      <c r="B15" s="8">
        <v>2120</v>
      </c>
      <c r="C15" s="9" t="s">
        <v>73</v>
      </c>
      <c r="D15" s="10">
        <v>589.4</v>
      </c>
      <c r="E15" s="11">
        <v>0.25</v>
      </c>
      <c r="F15" s="11">
        <f t="shared" si="0"/>
        <v>147.35</v>
      </c>
      <c r="G15" s="20">
        <f t="shared" si="2"/>
        <v>147.35</v>
      </c>
      <c r="H15" s="11">
        <f t="shared" si="1"/>
        <v>0</v>
      </c>
      <c r="I15" s="77">
        <v>1298606</v>
      </c>
      <c r="J15" s="89" t="s">
        <v>74</v>
      </c>
      <c r="K15" s="90" t="s">
        <v>11</v>
      </c>
      <c r="L15" s="90" t="s">
        <v>47</v>
      </c>
      <c r="M15" s="14">
        <v>97064018</v>
      </c>
      <c r="N15" s="59">
        <v>45663</v>
      </c>
      <c r="O15" s="1" t="s">
        <v>331</v>
      </c>
    </row>
    <row r="16" spans="1:15" s="1" customFormat="1" ht="14.65" customHeight="1" x14ac:dyDescent="0.25">
      <c r="A16" s="47">
        <v>14</v>
      </c>
      <c r="B16" s="8">
        <v>2125</v>
      </c>
      <c r="C16" s="48" t="s">
        <v>75</v>
      </c>
      <c r="D16" s="10">
        <v>547</v>
      </c>
      <c r="E16" s="11">
        <v>0.25</v>
      </c>
      <c r="F16" s="11">
        <f t="shared" si="0"/>
        <v>136.75</v>
      </c>
      <c r="G16" s="20">
        <f t="shared" si="2"/>
        <v>136.75</v>
      </c>
      <c r="H16" s="11">
        <f t="shared" si="1"/>
        <v>0</v>
      </c>
      <c r="I16" s="92">
        <v>6539352</v>
      </c>
      <c r="J16" s="91" t="s">
        <v>76</v>
      </c>
      <c r="K16" s="92" t="s">
        <v>18</v>
      </c>
      <c r="L16" s="92" t="s">
        <v>47</v>
      </c>
      <c r="M16" s="8"/>
      <c r="N16" s="143">
        <v>45686</v>
      </c>
      <c r="O16" s="16"/>
    </row>
    <row r="17" spans="1:69" s="1" customFormat="1" ht="14.65" customHeight="1" x14ac:dyDescent="0.25">
      <c r="A17" s="7">
        <v>15</v>
      </c>
      <c r="B17" s="13">
        <v>2128</v>
      </c>
      <c r="C17" s="18" t="s">
        <v>77</v>
      </c>
      <c r="D17" s="19">
        <v>1000.2</v>
      </c>
      <c r="E17" s="20">
        <v>0.25</v>
      </c>
      <c r="F17" s="20">
        <f t="shared" si="0"/>
        <v>250.05</v>
      </c>
      <c r="G17" s="20">
        <f t="shared" si="2"/>
        <v>250.05</v>
      </c>
      <c r="H17" s="20">
        <f t="shared" si="1"/>
        <v>0</v>
      </c>
      <c r="I17" s="88">
        <v>4648259</v>
      </c>
      <c r="J17" s="89" t="s">
        <v>78</v>
      </c>
      <c r="K17" s="90" t="s">
        <v>11</v>
      </c>
      <c r="L17" s="90" t="s">
        <v>47</v>
      </c>
      <c r="M17" s="14">
        <v>99492747</v>
      </c>
      <c r="N17" s="140"/>
    </row>
    <row r="18" spans="1:69" s="1" customFormat="1" ht="14.65" customHeight="1" x14ac:dyDescent="0.25">
      <c r="A18" s="47">
        <v>16</v>
      </c>
      <c r="B18" s="8">
        <v>2137</v>
      </c>
      <c r="C18" s="9" t="s">
        <v>79</v>
      </c>
      <c r="D18" s="10">
        <v>627.4</v>
      </c>
      <c r="E18" s="11">
        <v>0.25</v>
      </c>
      <c r="F18" s="11">
        <f t="shared" si="0"/>
        <v>156.85</v>
      </c>
      <c r="G18" s="20">
        <f t="shared" si="2"/>
        <v>156.85</v>
      </c>
      <c r="H18" s="11">
        <f t="shared" si="1"/>
        <v>0</v>
      </c>
      <c r="I18" s="77">
        <v>10285189</v>
      </c>
      <c r="J18" s="91" t="s">
        <v>80</v>
      </c>
      <c r="K18" s="92" t="s">
        <v>81</v>
      </c>
      <c r="L18" s="92" t="s">
        <v>82</v>
      </c>
      <c r="M18" s="12">
        <v>91160451</v>
      </c>
      <c r="N18" s="59">
        <v>45658</v>
      </c>
      <c r="O18" s="78">
        <v>45963</v>
      </c>
    </row>
    <row r="19" spans="1:69" s="1" customFormat="1" ht="14.65" customHeight="1" x14ac:dyDescent="0.25">
      <c r="A19" s="7">
        <v>17</v>
      </c>
      <c r="B19" s="13">
        <v>2144</v>
      </c>
      <c r="C19" s="18" t="s">
        <v>83</v>
      </c>
      <c r="D19" s="19">
        <v>2326.5</v>
      </c>
      <c r="E19" s="20">
        <v>0.25</v>
      </c>
      <c r="F19" s="20">
        <f t="shared" si="0"/>
        <v>581.625</v>
      </c>
      <c r="G19" s="20">
        <f t="shared" si="2"/>
        <v>581.625</v>
      </c>
      <c r="H19" s="20">
        <f t="shared" si="1"/>
        <v>0</v>
      </c>
      <c r="I19" s="88">
        <v>532494</v>
      </c>
      <c r="J19" s="89" t="s">
        <v>84</v>
      </c>
      <c r="K19" s="90" t="s">
        <v>11</v>
      </c>
      <c r="L19" s="90" t="s">
        <v>47</v>
      </c>
      <c r="M19" s="14">
        <v>92251158</v>
      </c>
      <c r="N19" s="140"/>
    </row>
    <row r="20" spans="1:69" s="1" customFormat="1" ht="14.65" customHeight="1" x14ac:dyDescent="0.25">
      <c r="A20" s="47">
        <v>18</v>
      </c>
      <c r="B20" s="8">
        <v>2148</v>
      </c>
      <c r="C20" s="9" t="s">
        <v>85</v>
      </c>
      <c r="D20" s="10">
        <v>1926.4</v>
      </c>
      <c r="E20" s="11">
        <v>0.25</v>
      </c>
      <c r="F20" s="11">
        <f t="shared" si="0"/>
        <v>481.6</v>
      </c>
      <c r="G20" s="20">
        <f t="shared" si="2"/>
        <v>481.6</v>
      </c>
      <c r="H20" s="11">
        <f t="shared" si="1"/>
        <v>0</v>
      </c>
      <c r="I20" s="77">
        <v>6466788</v>
      </c>
      <c r="J20" s="91" t="s">
        <v>86</v>
      </c>
      <c r="K20" s="92" t="s">
        <v>50</v>
      </c>
      <c r="L20" s="92" t="s">
        <v>51</v>
      </c>
      <c r="M20" s="12">
        <v>99011887</v>
      </c>
      <c r="N20" s="32" t="s">
        <v>312</v>
      </c>
      <c r="O20" s="41">
        <v>45665</v>
      </c>
      <c r="P20" s="41">
        <v>45686</v>
      </c>
    </row>
    <row r="21" spans="1:69" s="16" customFormat="1" ht="14.65" customHeight="1" x14ac:dyDescent="0.25">
      <c r="A21" s="47">
        <v>19</v>
      </c>
      <c r="B21" s="8">
        <v>2150</v>
      </c>
      <c r="C21" s="9" t="s">
        <v>30</v>
      </c>
      <c r="D21" s="10">
        <v>5237.7</v>
      </c>
      <c r="E21" s="11">
        <v>0.25</v>
      </c>
      <c r="F21" s="11">
        <f t="shared" si="0"/>
        <v>1309.425</v>
      </c>
      <c r="G21" s="20">
        <f t="shared" si="2"/>
        <v>1309.425</v>
      </c>
      <c r="H21" s="11">
        <f t="shared" si="1"/>
        <v>0</v>
      </c>
      <c r="I21" s="77">
        <v>6657734</v>
      </c>
      <c r="J21" s="91" t="s">
        <v>87</v>
      </c>
      <c r="K21" s="92" t="s">
        <v>11</v>
      </c>
      <c r="L21" s="92" t="s">
        <v>47</v>
      </c>
      <c r="M21" s="12">
        <v>99319163</v>
      </c>
      <c r="N21" s="32" t="s">
        <v>313</v>
      </c>
      <c r="O21" s="78">
        <v>45657</v>
      </c>
      <c r="P21" s="41">
        <v>45686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s="1" customFormat="1" ht="14.65" customHeight="1" x14ac:dyDescent="0.25">
      <c r="A22" s="47">
        <v>20</v>
      </c>
      <c r="B22" s="8">
        <v>2151</v>
      </c>
      <c r="C22" s="9" t="s">
        <v>88</v>
      </c>
      <c r="D22" s="10">
        <v>1024</v>
      </c>
      <c r="E22" s="11">
        <v>0.25</v>
      </c>
      <c r="F22" s="11">
        <f t="shared" si="0"/>
        <v>256</v>
      </c>
      <c r="G22" s="20">
        <f t="shared" si="2"/>
        <v>256</v>
      </c>
      <c r="H22" s="11">
        <f t="shared" si="1"/>
        <v>0</v>
      </c>
      <c r="I22" s="77">
        <v>2190491</v>
      </c>
      <c r="J22" s="91" t="s">
        <v>89</v>
      </c>
      <c r="K22" s="92" t="s">
        <v>11</v>
      </c>
      <c r="L22" s="92" t="s">
        <v>47</v>
      </c>
      <c r="M22" s="12">
        <v>92591034</v>
      </c>
      <c r="N22" s="143">
        <v>45663</v>
      </c>
      <c r="O22" s="41">
        <v>45679</v>
      </c>
    </row>
    <row r="23" spans="1:69" s="1" customFormat="1" ht="14.65" customHeight="1" x14ac:dyDescent="0.25">
      <c r="A23" s="7">
        <v>21</v>
      </c>
      <c r="B23" s="13">
        <v>2155</v>
      </c>
      <c r="C23" s="18" t="s">
        <v>90</v>
      </c>
      <c r="D23" s="19">
        <v>450.6</v>
      </c>
      <c r="E23" s="20">
        <v>0.25</v>
      </c>
      <c r="F23" s="20">
        <f t="shared" si="0"/>
        <v>112.65</v>
      </c>
      <c r="G23" s="20">
        <f t="shared" si="2"/>
        <v>112.65</v>
      </c>
      <c r="H23" s="20">
        <f t="shared" si="1"/>
        <v>0</v>
      </c>
      <c r="I23" s="88">
        <v>21145036</v>
      </c>
      <c r="J23" s="89" t="s">
        <v>91</v>
      </c>
      <c r="K23" s="90" t="s">
        <v>50</v>
      </c>
      <c r="L23" s="90" t="s">
        <v>51</v>
      </c>
      <c r="M23" s="14">
        <v>92847990</v>
      </c>
      <c r="N23" s="140"/>
    </row>
    <row r="24" spans="1:69" s="1" customFormat="1" ht="14.65" customHeight="1" x14ac:dyDescent="0.25">
      <c r="A24" s="47">
        <v>22</v>
      </c>
      <c r="B24" s="8">
        <v>2168</v>
      </c>
      <c r="C24" s="9" t="s">
        <v>10</v>
      </c>
      <c r="D24" s="10">
        <v>2168.9</v>
      </c>
      <c r="E24" s="11">
        <v>0.25</v>
      </c>
      <c r="F24" s="11">
        <f t="shared" si="0"/>
        <v>542.22500000000002</v>
      </c>
      <c r="G24" s="20">
        <f t="shared" si="2"/>
        <v>542.22500000000002</v>
      </c>
      <c r="H24" s="11">
        <f t="shared" si="1"/>
        <v>0</v>
      </c>
      <c r="I24" s="77">
        <v>941022</v>
      </c>
      <c r="J24" s="91" t="s">
        <v>92</v>
      </c>
      <c r="K24" s="92" t="s">
        <v>11</v>
      </c>
      <c r="L24" s="92" t="s">
        <v>47</v>
      </c>
      <c r="M24" s="12">
        <v>99542444</v>
      </c>
      <c r="N24" s="143">
        <v>45658</v>
      </c>
      <c r="P24" s="41">
        <v>45691</v>
      </c>
    </row>
    <row r="25" spans="1:69" s="1" customFormat="1" ht="14.65" customHeight="1" x14ac:dyDescent="0.25">
      <c r="A25" s="47">
        <v>23</v>
      </c>
      <c r="B25" s="8">
        <v>2198</v>
      </c>
      <c r="C25" s="9" t="s">
        <v>93</v>
      </c>
      <c r="D25" s="10">
        <v>1043.2</v>
      </c>
      <c r="E25" s="11">
        <v>0.25</v>
      </c>
      <c r="F25" s="11">
        <f t="shared" si="0"/>
        <v>260.8</v>
      </c>
      <c r="G25" s="20">
        <f t="shared" si="2"/>
        <v>260.8</v>
      </c>
      <c r="H25" s="11">
        <f t="shared" si="1"/>
        <v>0</v>
      </c>
      <c r="I25" s="77">
        <v>10331933</v>
      </c>
      <c r="J25" s="91" t="s">
        <v>94</v>
      </c>
      <c r="K25" s="92" t="s">
        <v>11</v>
      </c>
      <c r="L25" s="92" t="s">
        <v>47</v>
      </c>
      <c r="M25" s="12">
        <v>99490105</v>
      </c>
      <c r="N25" s="143">
        <v>45663</v>
      </c>
      <c r="O25" s="41">
        <v>45679</v>
      </c>
    </row>
    <row r="26" spans="1:69" s="1" customFormat="1" ht="14.65" customHeight="1" x14ac:dyDescent="0.25">
      <c r="A26" s="47">
        <v>24</v>
      </c>
      <c r="B26" s="8">
        <v>2205</v>
      </c>
      <c r="C26" s="9" t="s">
        <v>95</v>
      </c>
      <c r="D26" s="10">
        <v>607.79999999999995</v>
      </c>
      <c r="E26" s="11">
        <v>0.25</v>
      </c>
      <c r="F26" s="11">
        <f t="shared" si="0"/>
        <v>151.94999999999999</v>
      </c>
      <c r="G26" s="20">
        <f t="shared" si="2"/>
        <v>151.94999999999999</v>
      </c>
      <c r="H26" s="11">
        <f t="shared" si="1"/>
        <v>0</v>
      </c>
      <c r="I26" s="77">
        <v>26733843</v>
      </c>
      <c r="J26" s="89" t="s">
        <v>96</v>
      </c>
      <c r="K26" s="90" t="s">
        <v>11</v>
      </c>
      <c r="L26" s="90" t="s">
        <v>47</v>
      </c>
      <c r="M26" s="14">
        <v>98966301</v>
      </c>
      <c r="N26" s="143">
        <v>45663</v>
      </c>
      <c r="O26" s="41">
        <v>45686</v>
      </c>
    </row>
    <row r="27" spans="1:69" s="1" customFormat="1" ht="14.65" customHeight="1" x14ac:dyDescent="0.25">
      <c r="A27" s="47">
        <v>25</v>
      </c>
      <c r="B27" s="8">
        <v>2207</v>
      </c>
      <c r="C27" s="9" t="s">
        <v>31</v>
      </c>
      <c r="D27" s="10">
        <v>1198.8</v>
      </c>
      <c r="E27" s="11">
        <v>0.25</v>
      </c>
      <c r="F27" s="11">
        <f t="shared" si="0"/>
        <v>299.7</v>
      </c>
      <c r="G27" s="20">
        <f t="shared" si="2"/>
        <v>299.7</v>
      </c>
      <c r="H27" s="11">
        <f t="shared" si="1"/>
        <v>0</v>
      </c>
      <c r="I27" s="77">
        <v>1386691</v>
      </c>
      <c r="J27" s="91" t="s">
        <v>97</v>
      </c>
      <c r="K27" s="92" t="s">
        <v>81</v>
      </c>
      <c r="L27" s="92" t="s">
        <v>82</v>
      </c>
      <c r="M27" s="12">
        <v>91337606</v>
      </c>
      <c r="N27" s="143">
        <v>45655</v>
      </c>
      <c r="O27" s="137" t="s">
        <v>314</v>
      </c>
    </row>
    <row r="28" spans="1:69" s="1" customFormat="1" ht="14.65" customHeight="1" x14ac:dyDescent="0.25">
      <c r="A28" s="7">
        <v>26</v>
      </c>
      <c r="B28" s="17">
        <v>2209</v>
      </c>
      <c r="C28" s="18" t="s">
        <v>98</v>
      </c>
      <c r="D28" s="43">
        <v>531.9</v>
      </c>
      <c r="E28" s="29">
        <v>0.25</v>
      </c>
      <c r="F28" s="29">
        <f t="shared" si="0"/>
        <v>132.97499999999999</v>
      </c>
      <c r="G28" s="20">
        <f t="shared" si="2"/>
        <v>132.97499999999999</v>
      </c>
      <c r="H28" s="20">
        <f t="shared" si="1"/>
        <v>0</v>
      </c>
      <c r="I28" s="93">
        <v>821878</v>
      </c>
      <c r="J28" s="89" t="s">
        <v>99</v>
      </c>
      <c r="K28" s="94" t="s">
        <v>11</v>
      </c>
      <c r="L28" s="94" t="s">
        <v>47</v>
      </c>
      <c r="M28" s="38">
        <v>92927906</v>
      </c>
      <c r="N28" s="140"/>
    </row>
    <row r="29" spans="1:69" s="1" customFormat="1" ht="14.65" customHeight="1" x14ac:dyDescent="0.25">
      <c r="A29" s="7">
        <v>27</v>
      </c>
      <c r="B29" s="17">
        <v>2213</v>
      </c>
      <c r="C29" s="18" t="s">
        <v>100</v>
      </c>
      <c r="D29" s="43">
        <v>1693.8</v>
      </c>
      <c r="E29" s="29">
        <v>0.25</v>
      </c>
      <c r="F29" s="29">
        <f t="shared" si="0"/>
        <v>423.45</v>
      </c>
      <c r="G29" s="20">
        <f t="shared" si="2"/>
        <v>423.45</v>
      </c>
      <c r="H29" s="20">
        <f t="shared" si="1"/>
        <v>0</v>
      </c>
      <c r="I29" s="93">
        <v>594176</v>
      </c>
      <c r="J29" s="95" t="s">
        <v>101</v>
      </c>
      <c r="K29" s="94" t="s">
        <v>11</v>
      </c>
      <c r="L29" s="94" t="s">
        <v>47</v>
      </c>
      <c r="M29" s="38">
        <v>92971719</v>
      </c>
      <c r="N29" s="140"/>
    </row>
    <row r="30" spans="1:69" s="1" customFormat="1" ht="14.65" customHeight="1" x14ac:dyDescent="0.25">
      <c r="A30" s="60">
        <v>28</v>
      </c>
      <c r="B30" s="61">
        <v>2223</v>
      </c>
      <c r="C30" s="62" t="s">
        <v>32</v>
      </c>
      <c r="D30" s="213">
        <v>2739.7</v>
      </c>
      <c r="E30" s="65">
        <v>0.25</v>
      </c>
      <c r="F30" s="65">
        <f t="shared" si="0"/>
        <v>684.92499999999995</v>
      </c>
      <c r="G30" s="20">
        <f t="shared" si="2"/>
        <v>684.92499999999995</v>
      </c>
      <c r="H30" s="64">
        <f t="shared" si="1"/>
        <v>0</v>
      </c>
      <c r="I30" s="106">
        <v>2297206</v>
      </c>
      <c r="J30" s="107" t="s">
        <v>102</v>
      </c>
      <c r="K30" s="108" t="s">
        <v>14</v>
      </c>
      <c r="L30" s="108" t="s">
        <v>55</v>
      </c>
      <c r="M30" s="66">
        <v>99489917</v>
      </c>
      <c r="N30" s="216">
        <v>45718</v>
      </c>
    </row>
    <row r="31" spans="1:69" s="1" customFormat="1" ht="14.65" customHeight="1" x14ac:dyDescent="0.25">
      <c r="A31" s="7">
        <v>29</v>
      </c>
      <c r="B31" s="17">
        <v>2229</v>
      </c>
      <c r="C31" s="18" t="s">
        <v>103</v>
      </c>
      <c r="D31" s="43">
        <v>3526.8</v>
      </c>
      <c r="E31" s="29">
        <v>0.25</v>
      </c>
      <c r="F31" s="29">
        <f t="shared" si="0"/>
        <v>881.7</v>
      </c>
      <c r="G31" s="20">
        <f t="shared" si="2"/>
        <v>881.7</v>
      </c>
      <c r="H31" s="20">
        <f t="shared" si="1"/>
        <v>0</v>
      </c>
      <c r="I31" s="88">
        <v>1031091</v>
      </c>
      <c r="J31" s="89" t="s">
        <v>104</v>
      </c>
      <c r="K31" s="90" t="s">
        <v>14</v>
      </c>
      <c r="L31" s="90" t="s">
        <v>55</v>
      </c>
      <c r="M31" s="14">
        <v>92727567</v>
      </c>
      <c r="N31" s="140"/>
    </row>
    <row r="32" spans="1:69" s="1" customFormat="1" ht="14.65" customHeight="1" x14ac:dyDescent="0.25">
      <c r="A32" s="7">
        <v>30</v>
      </c>
      <c r="B32" s="17">
        <v>2230</v>
      </c>
      <c r="C32" s="18" t="s">
        <v>21</v>
      </c>
      <c r="D32" s="19">
        <v>904.5</v>
      </c>
      <c r="E32" s="20">
        <v>0.25</v>
      </c>
      <c r="F32" s="29">
        <f t="shared" si="0"/>
        <v>226.125</v>
      </c>
      <c r="G32" s="20">
        <f t="shared" si="2"/>
        <v>226.125</v>
      </c>
      <c r="H32" s="20">
        <f t="shared" si="1"/>
        <v>0</v>
      </c>
      <c r="I32" s="88">
        <v>18633243</v>
      </c>
      <c r="J32" s="89" t="s">
        <v>105</v>
      </c>
      <c r="K32" s="90" t="s">
        <v>11</v>
      </c>
      <c r="L32" s="90" t="s">
        <v>47</v>
      </c>
      <c r="M32" s="14">
        <v>92201223</v>
      </c>
      <c r="N32" s="140"/>
    </row>
    <row r="33" spans="1:69" s="1" customFormat="1" ht="14.65" customHeight="1" x14ac:dyDescent="0.25">
      <c r="A33" s="7">
        <v>31</v>
      </c>
      <c r="B33" s="17">
        <v>2232</v>
      </c>
      <c r="C33" s="42" t="s">
        <v>22</v>
      </c>
      <c r="D33" s="43">
        <v>1236.2</v>
      </c>
      <c r="E33" s="29">
        <v>0.25</v>
      </c>
      <c r="F33" s="29">
        <f t="shared" si="0"/>
        <v>309.05</v>
      </c>
      <c r="G33" s="20">
        <f t="shared" si="2"/>
        <v>309.05</v>
      </c>
      <c r="H33" s="20">
        <f t="shared" si="1"/>
        <v>0</v>
      </c>
      <c r="I33" s="88">
        <v>1994004</v>
      </c>
      <c r="J33" s="89" t="s">
        <v>106</v>
      </c>
      <c r="K33" s="90" t="s">
        <v>11</v>
      </c>
      <c r="L33" s="90" t="s">
        <v>47</v>
      </c>
      <c r="M33" s="14">
        <v>92535442</v>
      </c>
      <c r="N33" s="140"/>
    </row>
    <row r="34" spans="1:69" s="1" customFormat="1" ht="14.65" customHeight="1" x14ac:dyDescent="0.25">
      <c r="A34" s="7">
        <v>32</v>
      </c>
      <c r="B34" s="17">
        <v>2234</v>
      </c>
      <c r="C34" s="18" t="s">
        <v>107</v>
      </c>
      <c r="D34" s="19">
        <v>2210.8000000000002</v>
      </c>
      <c r="E34" s="20">
        <v>0.25</v>
      </c>
      <c r="F34" s="29">
        <f t="shared" si="0"/>
        <v>552.70000000000005</v>
      </c>
      <c r="G34" s="20">
        <f t="shared" si="2"/>
        <v>552.70000000000005</v>
      </c>
      <c r="H34" s="20">
        <f t="shared" si="1"/>
        <v>0</v>
      </c>
      <c r="I34" s="90">
        <v>1235299</v>
      </c>
      <c r="J34" s="89" t="s">
        <v>108</v>
      </c>
      <c r="K34" s="90" t="s">
        <v>50</v>
      </c>
      <c r="L34" s="90" t="s">
        <v>51</v>
      </c>
      <c r="M34" s="13">
        <v>92656157</v>
      </c>
      <c r="N34" s="140"/>
    </row>
    <row r="35" spans="1:69" s="16" customFormat="1" ht="14.65" customHeight="1" x14ac:dyDescent="0.25">
      <c r="A35" s="47">
        <v>33</v>
      </c>
      <c r="B35" s="33">
        <v>2238</v>
      </c>
      <c r="C35" s="9" t="s">
        <v>23</v>
      </c>
      <c r="D35" s="10">
        <v>593.5</v>
      </c>
      <c r="E35" s="11">
        <v>0.25</v>
      </c>
      <c r="F35" s="35">
        <f t="shared" si="0"/>
        <v>148.375</v>
      </c>
      <c r="G35" s="20">
        <f t="shared" si="2"/>
        <v>148.375</v>
      </c>
      <c r="H35" s="11">
        <f t="shared" si="1"/>
        <v>0</v>
      </c>
      <c r="I35" s="92">
        <v>1322446</v>
      </c>
      <c r="J35" s="91" t="s">
        <v>109</v>
      </c>
      <c r="K35" s="92" t="s">
        <v>11</v>
      </c>
      <c r="L35" s="92" t="s">
        <v>47</v>
      </c>
      <c r="M35" s="8">
        <v>98882280</v>
      </c>
      <c r="N35" s="143">
        <v>45810</v>
      </c>
    </row>
    <row r="36" spans="1:69" s="1" customFormat="1" ht="14.65" customHeight="1" x14ac:dyDescent="0.25">
      <c r="A36" s="51">
        <v>34</v>
      </c>
      <c r="B36" s="99">
        <v>2244</v>
      </c>
      <c r="C36" s="53" t="s">
        <v>110</v>
      </c>
      <c r="D36" s="54">
        <v>3980.2</v>
      </c>
      <c r="E36" s="55">
        <v>0.25</v>
      </c>
      <c r="F36" s="100">
        <f t="shared" si="0"/>
        <v>995.05</v>
      </c>
      <c r="G36" s="20">
        <f t="shared" si="2"/>
        <v>995.05</v>
      </c>
      <c r="H36" s="55">
        <f t="shared" si="1"/>
        <v>0</v>
      </c>
      <c r="I36" s="142">
        <v>5474148</v>
      </c>
      <c r="J36" s="102" t="s">
        <v>111</v>
      </c>
      <c r="K36" s="101" t="s">
        <v>11</v>
      </c>
      <c r="L36" s="101" t="s">
        <v>47</v>
      </c>
      <c r="M36" s="56">
        <v>99092789</v>
      </c>
      <c r="N36" s="140" t="s">
        <v>315</v>
      </c>
      <c r="R36" s="177">
        <f>1335.45/6</f>
        <v>222.57500000000002</v>
      </c>
      <c r="S36" s="177" t="s">
        <v>316</v>
      </c>
      <c r="T36" s="177"/>
      <c r="U36" s="177"/>
      <c r="V36" s="1" t="s">
        <v>317</v>
      </c>
    </row>
    <row r="37" spans="1:69" s="1" customFormat="1" ht="14.65" customHeight="1" x14ac:dyDescent="0.25">
      <c r="A37" s="47">
        <v>35</v>
      </c>
      <c r="B37" s="33">
        <v>2245</v>
      </c>
      <c r="C37" s="9" t="s">
        <v>112</v>
      </c>
      <c r="D37" s="10">
        <v>1838.5</v>
      </c>
      <c r="E37" s="11">
        <v>0.25</v>
      </c>
      <c r="F37" s="35">
        <f t="shared" si="0"/>
        <v>459.625</v>
      </c>
      <c r="G37" s="20">
        <f t="shared" si="2"/>
        <v>459.625</v>
      </c>
      <c r="H37" s="11">
        <f t="shared" si="1"/>
        <v>0</v>
      </c>
      <c r="I37" s="77">
        <v>925058</v>
      </c>
      <c r="J37" s="89" t="s">
        <v>113</v>
      </c>
      <c r="K37" s="90" t="s">
        <v>14</v>
      </c>
      <c r="L37" s="90" t="s">
        <v>55</v>
      </c>
      <c r="M37" s="14">
        <v>95048614</v>
      </c>
      <c r="N37" s="59">
        <v>45684</v>
      </c>
    </row>
    <row r="38" spans="1:69" s="1" customFormat="1" ht="14.65" customHeight="1" x14ac:dyDescent="0.25">
      <c r="A38" s="47">
        <v>36</v>
      </c>
      <c r="B38" s="33">
        <v>2250</v>
      </c>
      <c r="C38" s="9" t="s">
        <v>114</v>
      </c>
      <c r="D38" s="10">
        <v>614.29999999999995</v>
      </c>
      <c r="E38" s="11">
        <v>0.25</v>
      </c>
      <c r="F38" s="35">
        <f t="shared" si="0"/>
        <v>153.57499999999999</v>
      </c>
      <c r="G38" s="20">
        <f t="shared" si="2"/>
        <v>153.57499999999999</v>
      </c>
      <c r="H38" s="11">
        <f t="shared" si="1"/>
        <v>0</v>
      </c>
      <c r="I38" s="77">
        <v>10206245</v>
      </c>
      <c r="J38" s="91" t="s">
        <v>115</v>
      </c>
      <c r="K38" s="92" t="s">
        <v>11</v>
      </c>
      <c r="L38" s="92" t="s">
        <v>47</v>
      </c>
      <c r="M38" s="12">
        <v>90666623</v>
      </c>
      <c r="N38" s="143">
        <v>45663</v>
      </c>
      <c r="O38" s="78">
        <v>45690</v>
      </c>
    </row>
    <row r="39" spans="1:69" s="1" customFormat="1" ht="14.65" customHeight="1" x14ac:dyDescent="0.25">
      <c r="A39" s="47">
        <v>37</v>
      </c>
      <c r="B39" s="33">
        <v>2252</v>
      </c>
      <c r="C39" s="9" t="s">
        <v>33</v>
      </c>
      <c r="D39" s="10">
        <v>1867.5</v>
      </c>
      <c r="E39" s="11">
        <v>0.25</v>
      </c>
      <c r="F39" s="35">
        <f t="shared" si="0"/>
        <v>466.875</v>
      </c>
      <c r="G39" s="20">
        <f t="shared" si="2"/>
        <v>466.875</v>
      </c>
      <c r="H39" s="11">
        <f t="shared" si="1"/>
        <v>0</v>
      </c>
      <c r="I39" s="77">
        <v>1133208</v>
      </c>
      <c r="J39" s="91" t="s">
        <v>116</v>
      </c>
      <c r="K39" s="92" t="s">
        <v>81</v>
      </c>
      <c r="L39" s="92" t="s">
        <v>82</v>
      </c>
      <c r="M39" s="12">
        <v>92817678</v>
      </c>
      <c r="N39" s="143">
        <v>45658</v>
      </c>
      <c r="O39" s="41">
        <v>45685</v>
      </c>
    </row>
    <row r="40" spans="1:69" s="1" customFormat="1" ht="14.65" customHeight="1" x14ac:dyDescent="0.25">
      <c r="A40" s="47">
        <v>38</v>
      </c>
      <c r="B40" s="33">
        <v>2267</v>
      </c>
      <c r="C40" s="57" t="s">
        <v>117</v>
      </c>
      <c r="D40" s="10">
        <v>2496</v>
      </c>
      <c r="E40" s="11">
        <v>0.25</v>
      </c>
      <c r="F40" s="35">
        <f t="shared" si="0"/>
        <v>624</v>
      </c>
      <c r="G40" s="20">
        <f t="shared" si="2"/>
        <v>624</v>
      </c>
      <c r="H40" s="11">
        <f t="shared" si="1"/>
        <v>0</v>
      </c>
      <c r="I40" s="77">
        <v>18700662</v>
      </c>
      <c r="J40" s="91" t="s">
        <v>118</v>
      </c>
      <c r="K40" s="92" t="s">
        <v>11</v>
      </c>
      <c r="L40" s="92" t="s">
        <v>47</v>
      </c>
      <c r="M40" s="12">
        <v>91106550</v>
      </c>
      <c r="N40" s="143">
        <v>45658</v>
      </c>
      <c r="O40" s="41">
        <v>45685</v>
      </c>
    </row>
    <row r="41" spans="1:69" s="1" customFormat="1" ht="15" customHeight="1" x14ac:dyDescent="0.25">
      <c r="A41" s="47">
        <v>39</v>
      </c>
      <c r="B41" s="33">
        <v>2281</v>
      </c>
      <c r="C41" s="9" t="s">
        <v>119</v>
      </c>
      <c r="D41" s="10">
        <v>1241.3</v>
      </c>
      <c r="E41" s="11">
        <v>0.25</v>
      </c>
      <c r="F41" s="35">
        <f t="shared" si="0"/>
        <v>310.32499999999999</v>
      </c>
      <c r="G41" s="20">
        <f t="shared" si="2"/>
        <v>310.32499999999999</v>
      </c>
      <c r="H41" s="11">
        <f t="shared" si="1"/>
        <v>0</v>
      </c>
      <c r="I41" s="92">
        <v>2166167</v>
      </c>
      <c r="J41" s="91" t="s">
        <v>120</v>
      </c>
      <c r="K41" s="92" t="s">
        <v>11</v>
      </c>
      <c r="L41" s="92" t="s">
        <v>47</v>
      </c>
      <c r="M41" s="8">
        <v>99090486</v>
      </c>
      <c r="N41" s="143">
        <v>45658</v>
      </c>
    </row>
    <row r="42" spans="1:69" s="1" customFormat="1" ht="14.65" customHeight="1" x14ac:dyDescent="0.25">
      <c r="A42" s="7">
        <v>40</v>
      </c>
      <c r="B42" s="17">
        <v>2285</v>
      </c>
      <c r="C42" s="18" t="s">
        <v>12</v>
      </c>
      <c r="D42" s="19">
        <v>1784.9</v>
      </c>
      <c r="E42" s="20">
        <v>0.25</v>
      </c>
      <c r="F42" s="29">
        <f t="shared" si="0"/>
        <v>446.22500000000002</v>
      </c>
      <c r="G42" s="20">
        <f t="shared" si="2"/>
        <v>446.22500000000002</v>
      </c>
      <c r="H42" s="20">
        <f t="shared" si="1"/>
        <v>0</v>
      </c>
      <c r="I42" s="90">
        <v>21077904</v>
      </c>
      <c r="J42" s="89" t="s">
        <v>121</v>
      </c>
      <c r="K42" s="90" t="s">
        <v>14</v>
      </c>
      <c r="L42" s="90" t="s">
        <v>55</v>
      </c>
      <c r="M42" s="13">
        <v>92930610</v>
      </c>
      <c r="N42" s="140"/>
    </row>
    <row r="43" spans="1:69" s="1" customFormat="1" ht="14.65" customHeight="1" x14ac:dyDescent="0.25">
      <c r="A43" s="47">
        <v>41</v>
      </c>
      <c r="B43" s="33">
        <v>2294</v>
      </c>
      <c r="C43" s="9" t="s">
        <v>122</v>
      </c>
      <c r="D43" s="10">
        <v>5786.9</v>
      </c>
      <c r="E43" s="11">
        <v>0.25</v>
      </c>
      <c r="F43" s="35">
        <f t="shared" si="0"/>
        <v>1446.7249999999999</v>
      </c>
      <c r="G43" s="20">
        <f t="shared" si="2"/>
        <v>1446.7249999999999</v>
      </c>
      <c r="H43" s="11">
        <f t="shared" si="1"/>
        <v>0</v>
      </c>
      <c r="I43" s="77">
        <v>1917308</v>
      </c>
      <c r="J43" s="91" t="s">
        <v>123</v>
      </c>
      <c r="K43" s="92" t="s">
        <v>14</v>
      </c>
      <c r="L43" s="92" t="s">
        <v>55</v>
      </c>
      <c r="M43" s="12">
        <v>95878499</v>
      </c>
      <c r="N43" s="143">
        <v>45655</v>
      </c>
      <c r="O43" s="41">
        <v>45677</v>
      </c>
    </row>
    <row r="44" spans="1:69" s="16" customFormat="1" ht="14.65" customHeight="1" x14ac:dyDescent="0.25">
      <c r="A44" s="47">
        <v>42</v>
      </c>
      <c r="B44" s="33">
        <v>2297</v>
      </c>
      <c r="C44" s="9" t="s">
        <v>124</v>
      </c>
      <c r="D44" s="10">
        <v>1982.3</v>
      </c>
      <c r="E44" s="11">
        <v>0.25</v>
      </c>
      <c r="F44" s="35">
        <f t="shared" si="0"/>
        <v>495.57499999999999</v>
      </c>
      <c r="G44" s="20">
        <f t="shared" si="2"/>
        <v>495.57499999999999</v>
      </c>
      <c r="H44" s="11">
        <f t="shared" si="1"/>
        <v>0</v>
      </c>
      <c r="I44" s="77">
        <v>19351695</v>
      </c>
      <c r="J44" s="91" t="s">
        <v>125</v>
      </c>
      <c r="K44" s="92" t="s">
        <v>11</v>
      </c>
      <c r="L44" s="92" t="s">
        <v>47</v>
      </c>
      <c r="M44" s="12"/>
      <c r="N44" s="143">
        <v>45648</v>
      </c>
      <c r="O44" s="41">
        <v>45677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s="1" customFormat="1" ht="14.65" customHeight="1" x14ac:dyDescent="0.25">
      <c r="A45" s="47">
        <v>43</v>
      </c>
      <c r="B45" s="33">
        <v>2298</v>
      </c>
      <c r="C45" s="9" t="s">
        <v>126</v>
      </c>
      <c r="D45" s="10">
        <v>3441.8</v>
      </c>
      <c r="E45" s="11">
        <v>0.25</v>
      </c>
      <c r="F45" s="35">
        <f t="shared" si="0"/>
        <v>860.45</v>
      </c>
      <c r="G45" s="20">
        <f t="shared" si="2"/>
        <v>860.45</v>
      </c>
      <c r="H45" s="11">
        <f t="shared" si="1"/>
        <v>0</v>
      </c>
      <c r="I45" s="77">
        <v>6681518</v>
      </c>
      <c r="J45" s="91" t="s">
        <v>127</v>
      </c>
      <c r="K45" s="92" t="s">
        <v>14</v>
      </c>
      <c r="L45" s="92" t="s">
        <v>55</v>
      </c>
      <c r="M45" s="12">
        <v>99125223</v>
      </c>
      <c r="N45" s="143">
        <v>45686</v>
      </c>
      <c r="O45" s="41">
        <v>45691</v>
      </c>
      <c r="P45" s="41">
        <v>45810</v>
      </c>
      <c r="Q45" s="41">
        <v>45963</v>
      </c>
      <c r="R45" s="1" t="s">
        <v>331</v>
      </c>
    </row>
    <row r="46" spans="1:69" s="1" customFormat="1" ht="14.65" customHeight="1" x14ac:dyDescent="0.25">
      <c r="A46" s="7">
        <v>44</v>
      </c>
      <c r="B46" s="17">
        <v>2300</v>
      </c>
      <c r="C46" s="18" t="s">
        <v>128</v>
      </c>
      <c r="D46" s="19">
        <v>1153.2</v>
      </c>
      <c r="E46" s="20">
        <v>0.25</v>
      </c>
      <c r="F46" s="29">
        <f t="shared" si="0"/>
        <v>288.3</v>
      </c>
      <c r="G46" s="20">
        <f t="shared" si="2"/>
        <v>288.3</v>
      </c>
      <c r="H46" s="20">
        <f t="shared" si="1"/>
        <v>0</v>
      </c>
      <c r="I46" s="88">
        <v>447833</v>
      </c>
      <c r="J46" s="89" t="s">
        <v>129</v>
      </c>
      <c r="K46" s="90" t="s">
        <v>81</v>
      </c>
      <c r="L46" s="90" t="s">
        <v>82</v>
      </c>
      <c r="M46" s="14">
        <v>92005673</v>
      </c>
      <c r="N46" s="140"/>
    </row>
    <row r="47" spans="1:69" s="1" customFormat="1" ht="14.65" customHeight="1" x14ac:dyDescent="0.25">
      <c r="A47" s="47">
        <v>45</v>
      </c>
      <c r="B47" s="33">
        <v>2301</v>
      </c>
      <c r="C47" s="9" t="s">
        <v>130</v>
      </c>
      <c r="D47" s="10">
        <v>1527.6</v>
      </c>
      <c r="E47" s="11">
        <v>0.25</v>
      </c>
      <c r="F47" s="35">
        <f t="shared" si="0"/>
        <v>381.9</v>
      </c>
      <c r="G47" s="20">
        <f t="shared" si="2"/>
        <v>381.9</v>
      </c>
      <c r="H47" s="11">
        <f t="shared" si="1"/>
        <v>0</v>
      </c>
      <c r="I47" s="77">
        <v>23600713</v>
      </c>
      <c r="J47" s="91" t="s">
        <v>131</v>
      </c>
      <c r="K47" s="92" t="s">
        <v>132</v>
      </c>
      <c r="L47" s="92" t="s">
        <v>133</v>
      </c>
      <c r="M47" s="12">
        <v>92930610</v>
      </c>
      <c r="N47" s="143">
        <v>45658</v>
      </c>
      <c r="O47" s="41">
        <v>45677</v>
      </c>
    </row>
    <row r="48" spans="1:69" s="1" customFormat="1" x14ac:dyDescent="0.25">
      <c r="A48" s="7">
        <v>46</v>
      </c>
      <c r="B48" s="17">
        <v>2302</v>
      </c>
      <c r="C48" s="18" t="s">
        <v>134</v>
      </c>
      <c r="D48" s="19">
        <v>376.1</v>
      </c>
      <c r="E48" s="20">
        <v>0.25</v>
      </c>
      <c r="F48" s="29">
        <f t="shared" si="0"/>
        <v>94.025000000000006</v>
      </c>
      <c r="G48" s="20">
        <f t="shared" si="2"/>
        <v>94.025000000000006</v>
      </c>
      <c r="H48" s="20">
        <f t="shared" si="1"/>
        <v>0</v>
      </c>
      <c r="I48" s="88">
        <v>20260365</v>
      </c>
      <c r="J48" s="104" t="s">
        <v>135</v>
      </c>
      <c r="K48" s="90" t="s">
        <v>81</v>
      </c>
      <c r="L48" s="90" t="s">
        <v>82</v>
      </c>
      <c r="M48" s="14">
        <v>99125223</v>
      </c>
      <c r="N48" s="140"/>
    </row>
    <row r="49" spans="1:15" s="1" customFormat="1" ht="14.65" customHeight="1" x14ac:dyDescent="0.25">
      <c r="A49" s="7">
        <v>47</v>
      </c>
      <c r="B49" s="17">
        <v>2303</v>
      </c>
      <c r="C49" s="18" t="s">
        <v>13</v>
      </c>
      <c r="D49" s="19">
        <v>1162.7</v>
      </c>
      <c r="E49" s="20">
        <v>0.25</v>
      </c>
      <c r="F49" s="29">
        <f t="shared" si="0"/>
        <v>290.67500000000001</v>
      </c>
      <c r="G49" s="20">
        <f t="shared" si="2"/>
        <v>290.67500000000001</v>
      </c>
      <c r="H49" s="20">
        <f t="shared" si="1"/>
        <v>0</v>
      </c>
      <c r="I49" s="88">
        <v>18636198</v>
      </c>
      <c r="J49" s="105" t="s">
        <v>136</v>
      </c>
      <c r="K49" s="90" t="s">
        <v>14</v>
      </c>
      <c r="L49" s="90" t="s">
        <v>47</v>
      </c>
      <c r="M49" s="14">
        <v>92726444</v>
      </c>
      <c r="N49" s="140"/>
    </row>
    <row r="50" spans="1:15" s="1" customFormat="1" ht="15" customHeight="1" x14ac:dyDescent="0.25">
      <c r="A50" s="7">
        <v>48</v>
      </c>
      <c r="B50" s="17">
        <v>2304</v>
      </c>
      <c r="C50" s="18" t="s">
        <v>24</v>
      </c>
      <c r="D50" s="19">
        <v>567.70000000000005</v>
      </c>
      <c r="E50" s="20">
        <v>0.25</v>
      </c>
      <c r="F50" s="29">
        <f t="shared" si="0"/>
        <v>141.92500000000001</v>
      </c>
      <c r="G50" s="20">
        <f t="shared" si="2"/>
        <v>141.92500000000001</v>
      </c>
      <c r="H50" s="20">
        <f t="shared" si="1"/>
        <v>0</v>
      </c>
      <c r="I50" s="88">
        <v>7290532</v>
      </c>
      <c r="J50" s="89" t="s">
        <v>137</v>
      </c>
      <c r="K50" s="90" t="s">
        <v>11</v>
      </c>
      <c r="L50" s="90" t="s">
        <v>47</v>
      </c>
      <c r="M50" s="14">
        <v>95117299</v>
      </c>
      <c r="N50" s="140"/>
    </row>
    <row r="51" spans="1:15" s="1" customFormat="1" x14ac:dyDescent="0.25">
      <c r="A51" s="7">
        <v>49</v>
      </c>
      <c r="B51" s="17">
        <v>2306</v>
      </c>
      <c r="C51" s="18" t="s">
        <v>34</v>
      </c>
      <c r="D51" s="19">
        <v>346.2</v>
      </c>
      <c r="E51" s="20">
        <v>0.25</v>
      </c>
      <c r="F51" s="29">
        <f t="shared" si="0"/>
        <v>86.55</v>
      </c>
      <c r="G51" s="20">
        <f t="shared" si="2"/>
        <v>86.55</v>
      </c>
      <c r="H51" s="20">
        <f t="shared" si="1"/>
        <v>0</v>
      </c>
      <c r="I51" s="90">
        <v>26425746</v>
      </c>
      <c r="J51" s="89" t="s">
        <v>138</v>
      </c>
      <c r="K51" s="90" t="s">
        <v>14</v>
      </c>
      <c r="L51" s="90" t="s">
        <v>55</v>
      </c>
      <c r="M51" s="13">
        <v>99587923</v>
      </c>
      <c r="N51" s="140">
        <v>2.875</v>
      </c>
    </row>
    <row r="52" spans="1:15" s="1" customFormat="1" ht="14.65" customHeight="1" x14ac:dyDescent="0.25">
      <c r="A52" s="60">
        <v>50</v>
      </c>
      <c r="B52" s="61">
        <v>2307</v>
      </c>
      <c r="C52" s="62" t="s">
        <v>139</v>
      </c>
      <c r="D52" s="63">
        <v>2669.4</v>
      </c>
      <c r="E52" s="64">
        <v>0.25</v>
      </c>
      <c r="F52" s="65">
        <f t="shared" si="0"/>
        <v>667.35</v>
      </c>
      <c r="G52" s="20">
        <f t="shared" si="2"/>
        <v>667.35</v>
      </c>
      <c r="H52" s="64">
        <f t="shared" si="1"/>
        <v>0</v>
      </c>
      <c r="I52" s="106">
        <v>1485446</v>
      </c>
      <c r="J52" s="107" t="s">
        <v>140</v>
      </c>
      <c r="K52" s="108" t="s">
        <v>50</v>
      </c>
      <c r="L52" s="108" t="s">
        <v>51</v>
      </c>
      <c r="M52" s="66">
        <v>96405050</v>
      </c>
      <c r="N52" s="140" t="s">
        <v>318</v>
      </c>
    </row>
    <row r="53" spans="1:15" s="1" customFormat="1" x14ac:dyDescent="0.25">
      <c r="A53" s="7">
        <v>51</v>
      </c>
      <c r="B53" s="17">
        <v>2309</v>
      </c>
      <c r="C53" s="18" t="s">
        <v>35</v>
      </c>
      <c r="D53" s="19">
        <v>1198.8</v>
      </c>
      <c r="E53" s="20">
        <v>0.25</v>
      </c>
      <c r="F53" s="29">
        <f t="shared" si="0"/>
        <v>299.7</v>
      </c>
      <c r="G53" s="20">
        <f t="shared" si="2"/>
        <v>299.7</v>
      </c>
      <c r="H53" s="20">
        <f t="shared" si="1"/>
        <v>0</v>
      </c>
      <c r="I53" s="90">
        <v>2733875</v>
      </c>
      <c r="J53" s="89" t="s">
        <v>141</v>
      </c>
      <c r="K53" s="90" t="s">
        <v>11</v>
      </c>
      <c r="L53" s="90" t="s">
        <v>47</v>
      </c>
      <c r="M53" s="13">
        <v>99580134</v>
      </c>
      <c r="N53" s="140"/>
    </row>
    <row r="54" spans="1:15" s="1" customFormat="1" ht="14.65" customHeight="1" x14ac:dyDescent="0.25">
      <c r="A54" s="7">
        <v>52</v>
      </c>
      <c r="B54" s="17">
        <v>2310</v>
      </c>
      <c r="C54" s="18" t="s">
        <v>142</v>
      </c>
      <c r="D54" s="19">
        <v>5012.3</v>
      </c>
      <c r="E54" s="20">
        <v>0.25</v>
      </c>
      <c r="F54" s="29">
        <f t="shared" si="0"/>
        <v>1253.075</v>
      </c>
      <c r="G54" s="20">
        <f t="shared" si="2"/>
        <v>1253.075</v>
      </c>
      <c r="H54" s="20">
        <f t="shared" si="1"/>
        <v>0</v>
      </c>
      <c r="I54" s="88">
        <v>10612452</v>
      </c>
      <c r="J54" s="89" t="s">
        <v>143</v>
      </c>
      <c r="K54" s="90" t="s">
        <v>11</v>
      </c>
      <c r="L54" s="90" t="s">
        <v>47</v>
      </c>
      <c r="M54" s="14">
        <v>98882353</v>
      </c>
      <c r="N54" s="140"/>
    </row>
    <row r="55" spans="1:15" s="1" customFormat="1" x14ac:dyDescent="0.25">
      <c r="A55" s="7">
        <v>53</v>
      </c>
      <c r="B55" s="17">
        <v>2311</v>
      </c>
      <c r="C55" s="18" t="s">
        <v>144</v>
      </c>
      <c r="D55" s="19">
        <v>594.6</v>
      </c>
      <c r="E55" s="20">
        <v>0.25</v>
      </c>
      <c r="F55" s="29">
        <f t="shared" si="0"/>
        <v>148.65</v>
      </c>
      <c r="G55" s="20">
        <f t="shared" si="2"/>
        <v>148.65</v>
      </c>
      <c r="H55" s="20">
        <f t="shared" si="1"/>
        <v>0</v>
      </c>
      <c r="I55" s="88">
        <v>14874655</v>
      </c>
      <c r="J55" s="89" t="s">
        <v>145</v>
      </c>
      <c r="K55" s="90" t="s">
        <v>146</v>
      </c>
      <c r="L55" s="90" t="s">
        <v>47</v>
      </c>
      <c r="M55" s="14">
        <v>99580134</v>
      </c>
      <c r="N55" s="140"/>
    </row>
    <row r="56" spans="1:15" s="1" customFormat="1" x14ac:dyDescent="0.25">
      <c r="A56" s="47">
        <v>54</v>
      </c>
      <c r="B56" s="33">
        <v>2312</v>
      </c>
      <c r="C56" s="9" t="s">
        <v>36</v>
      </c>
      <c r="D56" s="10">
        <v>1672.5</v>
      </c>
      <c r="E56" s="11">
        <v>0.25</v>
      </c>
      <c r="F56" s="35">
        <f t="shared" si="0"/>
        <v>418.125</v>
      </c>
      <c r="G56" s="20">
        <f t="shared" si="2"/>
        <v>418.125</v>
      </c>
      <c r="H56" s="11">
        <f t="shared" si="1"/>
        <v>0</v>
      </c>
      <c r="I56" s="92">
        <v>876418</v>
      </c>
      <c r="J56" s="91" t="s">
        <v>148</v>
      </c>
      <c r="K56" s="92" t="s">
        <v>15</v>
      </c>
      <c r="L56" s="92" t="s">
        <v>67</v>
      </c>
      <c r="M56" s="8">
        <v>93340442</v>
      </c>
      <c r="N56" s="143">
        <v>45999</v>
      </c>
      <c r="O56" s="41">
        <v>45810</v>
      </c>
    </row>
    <row r="57" spans="1:15" s="1" customFormat="1" x14ac:dyDescent="0.25">
      <c r="A57" s="47">
        <v>55</v>
      </c>
      <c r="B57" s="33">
        <v>2314</v>
      </c>
      <c r="C57" s="9" t="s">
        <v>149</v>
      </c>
      <c r="D57" s="10">
        <v>1046.3</v>
      </c>
      <c r="E57" s="11">
        <v>0.25</v>
      </c>
      <c r="F57" s="35">
        <f t="shared" si="0"/>
        <v>261.57499999999999</v>
      </c>
      <c r="G57" s="20">
        <f t="shared" si="2"/>
        <v>261.57499999999999</v>
      </c>
      <c r="H57" s="11">
        <f t="shared" si="1"/>
        <v>0</v>
      </c>
      <c r="I57" s="92">
        <v>7032433</v>
      </c>
      <c r="J57" s="91" t="s">
        <v>150</v>
      </c>
      <c r="K57" s="92" t="s">
        <v>11</v>
      </c>
      <c r="L57" s="92" t="s">
        <v>47</v>
      </c>
      <c r="M57" s="8">
        <v>96264331</v>
      </c>
      <c r="N57" s="143">
        <v>45670</v>
      </c>
      <c r="O57" s="1" t="s">
        <v>331</v>
      </c>
    </row>
    <row r="58" spans="1:15" s="1" customFormat="1" x14ac:dyDescent="0.25">
      <c r="A58" s="47">
        <v>56</v>
      </c>
      <c r="B58" s="33">
        <v>2316</v>
      </c>
      <c r="C58" s="9" t="s">
        <v>25</v>
      </c>
      <c r="D58" s="10">
        <v>1720.4</v>
      </c>
      <c r="E58" s="11">
        <v>0.25</v>
      </c>
      <c r="F58" s="35">
        <f t="shared" si="0"/>
        <v>430.1</v>
      </c>
      <c r="G58" s="20">
        <f t="shared" si="2"/>
        <v>430.1</v>
      </c>
      <c r="H58" s="11">
        <f t="shared" si="1"/>
        <v>0</v>
      </c>
      <c r="I58" s="77">
        <v>18635847</v>
      </c>
      <c r="J58" s="89" t="s">
        <v>151</v>
      </c>
      <c r="K58" s="90" t="s">
        <v>11</v>
      </c>
      <c r="L58" s="90" t="s">
        <v>47</v>
      </c>
      <c r="M58" s="14">
        <v>92117746</v>
      </c>
      <c r="N58" s="140"/>
    </row>
    <row r="59" spans="1:15" s="1" customFormat="1" x14ac:dyDescent="0.25">
      <c r="A59" s="47">
        <v>57</v>
      </c>
      <c r="B59" s="33">
        <v>2317</v>
      </c>
      <c r="C59" s="9" t="s">
        <v>152</v>
      </c>
      <c r="D59" s="10">
        <v>1943.4</v>
      </c>
      <c r="E59" s="11">
        <v>0.25</v>
      </c>
      <c r="F59" s="35">
        <f t="shared" si="0"/>
        <v>485.85</v>
      </c>
      <c r="G59" s="20">
        <f t="shared" si="2"/>
        <v>485.85</v>
      </c>
      <c r="H59" s="11">
        <f t="shared" si="1"/>
        <v>0</v>
      </c>
      <c r="I59" s="92">
        <v>18362174</v>
      </c>
      <c r="J59" s="91" t="s">
        <v>153</v>
      </c>
      <c r="K59" s="92" t="s">
        <v>154</v>
      </c>
      <c r="L59" s="92" t="s">
        <v>155</v>
      </c>
      <c r="M59" s="8">
        <v>97503992</v>
      </c>
      <c r="N59" s="143">
        <v>45686</v>
      </c>
    </row>
    <row r="60" spans="1:15" s="1" customFormat="1" ht="14.65" customHeight="1" x14ac:dyDescent="0.25">
      <c r="A60" s="7">
        <v>58</v>
      </c>
      <c r="B60" s="17">
        <v>2318</v>
      </c>
      <c r="C60" s="18" t="s">
        <v>156</v>
      </c>
      <c r="D60" s="19">
        <v>1117.4000000000001</v>
      </c>
      <c r="E60" s="20">
        <v>0.25</v>
      </c>
      <c r="F60" s="29">
        <f t="shared" si="0"/>
        <v>279.35000000000002</v>
      </c>
      <c r="G60" s="20">
        <f t="shared" si="2"/>
        <v>279.35000000000002</v>
      </c>
      <c r="H60" s="20">
        <f t="shared" si="1"/>
        <v>0</v>
      </c>
      <c r="I60" s="88">
        <v>218881</v>
      </c>
      <c r="J60" s="89" t="s">
        <v>157</v>
      </c>
      <c r="K60" s="90" t="s">
        <v>11</v>
      </c>
      <c r="L60" s="90" t="s">
        <v>47</v>
      </c>
      <c r="M60" s="14">
        <v>99619074</v>
      </c>
      <c r="N60" s="140"/>
    </row>
    <row r="61" spans="1:15" s="1" customFormat="1" ht="14.65" customHeight="1" x14ac:dyDescent="0.25">
      <c r="A61" s="7">
        <v>59</v>
      </c>
      <c r="B61" s="17">
        <v>2319</v>
      </c>
      <c r="C61" s="18" t="s">
        <v>37</v>
      </c>
      <c r="D61" s="19">
        <v>484.7</v>
      </c>
      <c r="E61" s="20">
        <v>0.25</v>
      </c>
      <c r="F61" s="29">
        <f t="shared" si="0"/>
        <v>121.175</v>
      </c>
      <c r="G61" s="20">
        <f t="shared" si="2"/>
        <v>121.175</v>
      </c>
      <c r="H61" s="20">
        <f t="shared" si="1"/>
        <v>0</v>
      </c>
      <c r="I61" s="90">
        <v>5006545</v>
      </c>
      <c r="J61" s="89" t="s">
        <v>158</v>
      </c>
      <c r="K61" s="90" t="s">
        <v>11</v>
      </c>
      <c r="L61" s="90" t="s">
        <v>47</v>
      </c>
      <c r="M61" s="13">
        <v>94079727</v>
      </c>
      <c r="N61" s="140"/>
    </row>
    <row r="62" spans="1:15" s="1" customFormat="1" x14ac:dyDescent="0.25">
      <c r="A62" s="7">
        <v>60</v>
      </c>
      <c r="B62" s="17">
        <v>2320</v>
      </c>
      <c r="C62" s="18" t="s">
        <v>159</v>
      </c>
      <c r="D62" s="19">
        <v>1617.5</v>
      </c>
      <c r="E62" s="20">
        <v>0.25</v>
      </c>
      <c r="F62" s="29">
        <f t="shared" si="0"/>
        <v>404.375</v>
      </c>
      <c r="G62" s="20">
        <f t="shared" si="2"/>
        <v>404.375</v>
      </c>
      <c r="H62" s="20">
        <f t="shared" si="1"/>
        <v>0</v>
      </c>
      <c r="I62" s="90">
        <v>21957384</v>
      </c>
      <c r="J62" s="89" t="s">
        <v>160</v>
      </c>
      <c r="K62" s="90" t="s">
        <v>11</v>
      </c>
      <c r="L62" s="90" t="s">
        <v>47</v>
      </c>
      <c r="M62" s="13"/>
      <c r="N62" s="140"/>
    </row>
    <row r="63" spans="1:15" s="1" customFormat="1" x14ac:dyDescent="0.25">
      <c r="A63" s="7">
        <v>61</v>
      </c>
      <c r="B63" s="17">
        <v>2322</v>
      </c>
      <c r="C63" s="18" t="s">
        <v>161</v>
      </c>
      <c r="D63" s="19">
        <v>1075.3</v>
      </c>
      <c r="E63" s="20">
        <v>0.25</v>
      </c>
      <c r="F63" s="29">
        <f t="shared" si="0"/>
        <v>268.82499999999999</v>
      </c>
      <c r="G63" s="20">
        <f t="shared" si="2"/>
        <v>268.82499999999999</v>
      </c>
      <c r="H63" s="20">
        <f t="shared" si="1"/>
        <v>0</v>
      </c>
      <c r="I63" s="90">
        <v>102559</v>
      </c>
      <c r="J63" s="89" t="s">
        <v>162</v>
      </c>
      <c r="K63" s="90" t="s">
        <v>11</v>
      </c>
      <c r="L63" s="90" t="s">
        <v>47</v>
      </c>
      <c r="M63" s="13">
        <v>99486744</v>
      </c>
      <c r="N63" s="140"/>
    </row>
    <row r="64" spans="1:15" s="1" customFormat="1" x14ac:dyDescent="0.25">
      <c r="A64" s="7">
        <v>62</v>
      </c>
      <c r="B64" s="17">
        <v>2323</v>
      </c>
      <c r="C64" s="18" t="s">
        <v>163</v>
      </c>
      <c r="D64" s="19">
        <v>1193.3</v>
      </c>
      <c r="E64" s="20">
        <v>0.25</v>
      </c>
      <c r="F64" s="29">
        <f t="shared" si="0"/>
        <v>298.32499999999999</v>
      </c>
      <c r="G64" s="20">
        <f t="shared" si="2"/>
        <v>298.32499999999999</v>
      </c>
      <c r="H64" s="20">
        <f t="shared" si="1"/>
        <v>0</v>
      </c>
      <c r="I64" s="90">
        <v>1235899</v>
      </c>
      <c r="J64" s="89" t="s">
        <v>164</v>
      </c>
      <c r="K64" s="90" t="s">
        <v>14</v>
      </c>
      <c r="L64" s="90" t="s">
        <v>55</v>
      </c>
      <c r="M64" s="13">
        <v>96170087</v>
      </c>
      <c r="N64" s="140"/>
    </row>
    <row r="65" spans="1:69" s="16" customFormat="1" ht="14.65" customHeight="1" x14ac:dyDescent="0.25">
      <c r="A65" s="47">
        <v>63</v>
      </c>
      <c r="B65" s="33">
        <v>2324</v>
      </c>
      <c r="C65" s="9" t="s">
        <v>165</v>
      </c>
      <c r="D65" s="10">
        <v>1824.9</v>
      </c>
      <c r="E65" s="11">
        <v>0.25</v>
      </c>
      <c r="F65" s="35">
        <f t="shared" si="0"/>
        <v>456.22500000000002</v>
      </c>
      <c r="G65" s="20">
        <f t="shared" si="2"/>
        <v>456.22500000000002</v>
      </c>
      <c r="H65" s="11">
        <f t="shared" si="1"/>
        <v>0</v>
      </c>
      <c r="I65" s="77">
        <v>12239373</v>
      </c>
      <c r="J65" s="91" t="s">
        <v>166</v>
      </c>
      <c r="K65" s="92" t="s">
        <v>11</v>
      </c>
      <c r="L65" s="92" t="s">
        <v>47</v>
      </c>
      <c r="M65" s="12">
        <v>99589535</v>
      </c>
      <c r="N65" s="143">
        <v>45658</v>
      </c>
      <c r="O65" s="78">
        <v>45670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s="1" customFormat="1" ht="14.65" customHeight="1" x14ac:dyDescent="0.25">
      <c r="A66" s="47">
        <v>64</v>
      </c>
      <c r="B66" s="33">
        <v>2325</v>
      </c>
      <c r="C66" s="9" t="s">
        <v>167</v>
      </c>
      <c r="D66" s="10">
        <v>1755.5</v>
      </c>
      <c r="E66" s="11">
        <v>0.25</v>
      </c>
      <c r="F66" s="35">
        <f t="shared" si="0"/>
        <v>438.875</v>
      </c>
      <c r="G66" s="20">
        <f t="shared" si="2"/>
        <v>438.875</v>
      </c>
      <c r="H66" s="11">
        <f t="shared" si="1"/>
        <v>0</v>
      </c>
      <c r="I66" s="77">
        <v>3802037</v>
      </c>
      <c r="J66" s="91" t="s">
        <v>168</v>
      </c>
      <c r="K66" s="92" t="s">
        <v>11</v>
      </c>
      <c r="L66" s="92" t="s">
        <v>47</v>
      </c>
      <c r="M66" s="12">
        <v>99481404</v>
      </c>
      <c r="N66" s="143">
        <v>45663</v>
      </c>
      <c r="O66" s="78">
        <v>45679</v>
      </c>
    </row>
    <row r="67" spans="1:69" s="1" customFormat="1" ht="14.65" customHeight="1" x14ac:dyDescent="0.25">
      <c r="A67" s="47">
        <v>65</v>
      </c>
      <c r="B67" s="33">
        <v>2327</v>
      </c>
      <c r="C67" s="9" t="s">
        <v>169</v>
      </c>
      <c r="D67" s="10">
        <v>628.29999999999995</v>
      </c>
      <c r="E67" s="11">
        <v>0.25</v>
      </c>
      <c r="F67" s="35">
        <f t="shared" ref="F67:F102" si="3">E67*D67</f>
        <v>157.07499999999999</v>
      </c>
      <c r="G67" s="20">
        <f t="shared" si="2"/>
        <v>157.07499999999999</v>
      </c>
      <c r="H67" s="11">
        <f t="shared" ref="H67:H130" si="4">F67-G67</f>
        <v>0</v>
      </c>
      <c r="I67" s="92">
        <v>7568982</v>
      </c>
      <c r="J67" s="91" t="s">
        <v>170</v>
      </c>
      <c r="K67" s="92" t="s">
        <v>11</v>
      </c>
      <c r="L67" s="92" t="s">
        <v>47</v>
      </c>
      <c r="M67" s="8">
        <v>99496653</v>
      </c>
      <c r="N67" s="143">
        <v>45670</v>
      </c>
      <c r="O67" s="78">
        <v>45690</v>
      </c>
    </row>
    <row r="68" spans="1:69" s="1" customFormat="1" ht="14.65" customHeight="1" x14ac:dyDescent="0.25">
      <c r="A68" s="7">
        <v>66</v>
      </c>
      <c r="B68" s="17">
        <v>2329</v>
      </c>
      <c r="C68" s="18" t="s">
        <v>171</v>
      </c>
      <c r="D68" s="19">
        <v>812.1</v>
      </c>
      <c r="E68" s="20">
        <v>0.25</v>
      </c>
      <c r="F68" s="29">
        <f t="shared" si="3"/>
        <v>203.02500000000001</v>
      </c>
      <c r="G68" s="20">
        <f t="shared" si="2"/>
        <v>203.02500000000001</v>
      </c>
      <c r="H68" s="20">
        <f t="shared" si="4"/>
        <v>0</v>
      </c>
      <c r="I68" s="88">
        <v>500599</v>
      </c>
      <c r="J68" s="89" t="s">
        <v>172</v>
      </c>
      <c r="K68" s="90" t="s">
        <v>11</v>
      </c>
      <c r="L68" s="90" t="s">
        <v>47</v>
      </c>
      <c r="M68" s="14">
        <v>99435565</v>
      </c>
      <c r="N68" s="140"/>
    </row>
    <row r="69" spans="1:69" s="1" customFormat="1" x14ac:dyDescent="0.25">
      <c r="A69" s="7">
        <v>67</v>
      </c>
      <c r="B69" s="17">
        <v>2331</v>
      </c>
      <c r="C69" s="18" t="s">
        <v>173</v>
      </c>
      <c r="D69" s="19">
        <v>1247.2</v>
      </c>
      <c r="E69" s="20">
        <v>0.25</v>
      </c>
      <c r="F69" s="29">
        <f t="shared" si="3"/>
        <v>311.8</v>
      </c>
      <c r="G69" s="20">
        <f t="shared" ref="G69:G132" si="5">F69</f>
        <v>311.8</v>
      </c>
      <c r="H69" s="20">
        <f t="shared" si="4"/>
        <v>0</v>
      </c>
      <c r="I69" s="88">
        <v>574696</v>
      </c>
      <c r="J69" s="89" t="s">
        <v>174</v>
      </c>
      <c r="K69" s="90" t="s">
        <v>14</v>
      </c>
      <c r="L69" s="90" t="s">
        <v>55</v>
      </c>
      <c r="M69" s="14">
        <v>92556868</v>
      </c>
      <c r="N69" s="140"/>
    </row>
    <row r="70" spans="1:69" s="1" customFormat="1" ht="14.65" customHeight="1" x14ac:dyDescent="0.25">
      <c r="A70" s="7">
        <v>68</v>
      </c>
      <c r="B70" s="17">
        <v>2332</v>
      </c>
      <c r="C70" s="18" t="s">
        <v>175</v>
      </c>
      <c r="D70" s="19">
        <v>3542.7</v>
      </c>
      <c r="E70" s="20">
        <v>0.25</v>
      </c>
      <c r="F70" s="29">
        <f t="shared" si="3"/>
        <v>885.67499999999995</v>
      </c>
      <c r="G70" s="20">
        <f t="shared" si="5"/>
        <v>885.67499999999995</v>
      </c>
      <c r="H70" s="20">
        <f t="shared" si="4"/>
        <v>0</v>
      </c>
      <c r="I70" s="88">
        <v>1409668</v>
      </c>
      <c r="J70" s="89" t="s">
        <v>176</v>
      </c>
      <c r="K70" s="90" t="s">
        <v>11</v>
      </c>
      <c r="L70" s="90" t="s">
        <v>47</v>
      </c>
      <c r="M70" s="14">
        <v>99493202</v>
      </c>
      <c r="N70" s="140"/>
    </row>
    <row r="71" spans="1:69" s="1" customFormat="1" ht="14.65" customHeight="1" x14ac:dyDescent="0.25">
      <c r="A71" s="47">
        <v>69</v>
      </c>
      <c r="B71" s="33">
        <v>2333</v>
      </c>
      <c r="C71" s="9" t="s">
        <v>177</v>
      </c>
      <c r="D71" s="10">
        <v>1034.2</v>
      </c>
      <c r="E71" s="35">
        <v>0.25</v>
      </c>
      <c r="F71" s="35">
        <f t="shared" si="3"/>
        <v>258.55</v>
      </c>
      <c r="G71" s="20">
        <f t="shared" si="5"/>
        <v>258.55</v>
      </c>
      <c r="H71" s="11">
        <f t="shared" si="4"/>
        <v>0</v>
      </c>
      <c r="I71" s="109">
        <v>732042</v>
      </c>
      <c r="J71" s="110" t="s">
        <v>178</v>
      </c>
      <c r="K71" s="111" t="s">
        <v>11</v>
      </c>
      <c r="L71" s="111" t="s">
        <v>47</v>
      </c>
      <c r="M71" s="36">
        <v>92551330</v>
      </c>
      <c r="N71" s="143">
        <v>45658</v>
      </c>
    </row>
    <row r="72" spans="1:69" s="1" customFormat="1" ht="14.65" customHeight="1" x14ac:dyDescent="0.25">
      <c r="A72" s="47">
        <v>70</v>
      </c>
      <c r="B72" s="33">
        <v>2334</v>
      </c>
      <c r="C72" s="9" t="s">
        <v>38</v>
      </c>
      <c r="D72" s="10">
        <v>1835.8</v>
      </c>
      <c r="E72" s="35">
        <v>0.25</v>
      </c>
      <c r="F72" s="35">
        <f t="shared" si="3"/>
        <v>458.95</v>
      </c>
      <c r="G72" s="20">
        <f t="shared" si="5"/>
        <v>458.95</v>
      </c>
      <c r="H72" s="11">
        <f t="shared" si="4"/>
        <v>0</v>
      </c>
      <c r="I72" s="109">
        <v>390755</v>
      </c>
      <c r="J72" s="91" t="s">
        <v>179</v>
      </c>
      <c r="K72" s="92" t="s">
        <v>11</v>
      </c>
      <c r="L72" s="92" t="s">
        <v>47</v>
      </c>
      <c r="M72" s="36">
        <v>99488361</v>
      </c>
      <c r="N72" s="143">
        <v>45670</v>
      </c>
      <c r="O72" s="41">
        <v>45691</v>
      </c>
    </row>
    <row r="73" spans="1:69" s="1" customFormat="1" ht="14.65" customHeight="1" x14ac:dyDescent="0.25">
      <c r="A73" s="7">
        <v>71</v>
      </c>
      <c r="B73" s="17">
        <v>2335</v>
      </c>
      <c r="C73" s="18" t="s">
        <v>180</v>
      </c>
      <c r="D73" s="19">
        <v>1203</v>
      </c>
      <c r="E73" s="29">
        <v>0.25</v>
      </c>
      <c r="F73" s="29">
        <f t="shared" si="3"/>
        <v>300.75</v>
      </c>
      <c r="G73" s="20">
        <f t="shared" si="5"/>
        <v>300.75</v>
      </c>
      <c r="H73" s="20">
        <f t="shared" si="4"/>
        <v>0</v>
      </c>
      <c r="I73" s="93">
        <v>6221853</v>
      </c>
      <c r="J73" s="95" t="s">
        <v>181</v>
      </c>
      <c r="K73" s="94" t="s">
        <v>11</v>
      </c>
      <c r="L73" s="94" t="s">
        <v>47</v>
      </c>
      <c r="M73" s="38">
        <v>99807670</v>
      </c>
      <c r="N73" s="140"/>
    </row>
    <row r="74" spans="1:69" s="137" customFormat="1" ht="14.65" customHeight="1" x14ac:dyDescent="0.25">
      <c r="A74" s="127">
        <v>72</v>
      </c>
      <c r="B74" s="134">
        <v>2336</v>
      </c>
      <c r="C74" s="129" t="s">
        <v>39</v>
      </c>
      <c r="D74" s="130">
        <v>1176.3</v>
      </c>
      <c r="E74" s="135">
        <v>0.25</v>
      </c>
      <c r="F74" s="135">
        <f t="shared" si="3"/>
        <v>294.07499999999999</v>
      </c>
      <c r="G74" s="20">
        <f t="shared" si="5"/>
        <v>294.07499999999999</v>
      </c>
      <c r="H74" s="131">
        <f t="shared" si="4"/>
        <v>0</v>
      </c>
      <c r="I74" s="161">
        <v>380513</v>
      </c>
      <c r="J74" s="162" t="s">
        <v>182</v>
      </c>
      <c r="K74" s="163" t="s">
        <v>11</v>
      </c>
      <c r="L74" s="163" t="s">
        <v>47</v>
      </c>
      <c r="M74" s="164">
        <v>99490146</v>
      </c>
      <c r="N74" s="166" t="s">
        <v>327</v>
      </c>
    </row>
    <row r="75" spans="1:69" s="1" customFormat="1" ht="14.65" customHeight="1" x14ac:dyDescent="0.25">
      <c r="A75" s="7">
        <v>73</v>
      </c>
      <c r="B75" s="17">
        <v>2337</v>
      </c>
      <c r="C75" s="18" t="s">
        <v>183</v>
      </c>
      <c r="D75" s="19">
        <v>590.79999999999995</v>
      </c>
      <c r="E75" s="29">
        <v>0.25</v>
      </c>
      <c r="F75" s="29">
        <f t="shared" si="3"/>
        <v>147.69999999999999</v>
      </c>
      <c r="G75" s="20">
        <f t="shared" si="5"/>
        <v>147.69999999999999</v>
      </c>
      <c r="H75" s="20">
        <f t="shared" si="4"/>
        <v>0</v>
      </c>
      <c r="I75" s="94">
        <v>813786</v>
      </c>
      <c r="J75" s="95" t="s">
        <v>184</v>
      </c>
      <c r="K75" s="94" t="s">
        <v>11</v>
      </c>
      <c r="L75" s="94" t="s">
        <v>47</v>
      </c>
      <c r="M75" s="17">
        <v>99293129</v>
      </c>
      <c r="N75" s="140"/>
    </row>
    <row r="76" spans="1:69" s="1" customFormat="1" ht="14.65" customHeight="1" x14ac:dyDescent="0.25">
      <c r="A76" s="7">
        <v>74</v>
      </c>
      <c r="B76" s="17">
        <v>2338</v>
      </c>
      <c r="C76" s="18" t="s">
        <v>185</v>
      </c>
      <c r="D76" s="19">
        <v>260.89999999999998</v>
      </c>
      <c r="E76" s="29">
        <v>0.25</v>
      </c>
      <c r="F76" s="29">
        <f t="shared" si="3"/>
        <v>65.224999999999994</v>
      </c>
      <c r="G76" s="20">
        <f t="shared" si="5"/>
        <v>65.224999999999994</v>
      </c>
      <c r="H76" s="20">
        <f t="shared" si="4"/>
        <v>0</v>
      </c>
      <c r="I76" s="93">
        <v>902553</v>
      </c>
      <c r="J76" s="95" t="s">
        <v>186</v>
      </c>
      <c r="K76" s="94" t="s">
        <v>11</v>
      </c>
      <c r="L76" s="94" t="s">
        <v>47</v>
      </c>
      <c r="M76" s="38">
        <v>90837777</v>
      </c>
      <c r="N76" s="140"/>
    </row>
    <row r="77" spans="1:69" s="16" customFormat="1" ht="14.65" customHeight="1" x14ac:dyDescent="0.25">
      <c r="A77" s="47">
        <v>75</v>
      </c>
      <c r="B77" s="33">
        <v>2342</v>
      </c>
      <c r="C77" s="9" t="s">
        <v>40</v>
      </c>
      <c r="D77" s="10">
        <v>837.8</v>
      </c>
      <c r="E77" s="35">
        <v>0.25</v>
      </c>
      <c r="F77" s="35">
        <f t="shared" si="3"/>
        <v>209.45</v>
      </c>
      <c r="G77" s="20">
        <f t="shared" si="5"/>
        <v>209.45</v>
      </c>
      <c r="H77" s="11">
        <f t="shared" si="4"/>
        <v>0</v>
      </c>
      <c r="I77" s="109">
        <v>6107751</v>
      </c>
      <c r="J77" s="110" t="s">
        <v>187</v>
      </c>
      <c r="K77" s="111" t="s">
        <v>16</v>
      </c>
      <c r="L77" s="111" t="s">
        <v>47</v>
      </c>
      <c r="M77" s="36">
        <v>97191244</v>
      </c>
      <c r="N77" s="154">
        <v>45963</v>
      </c>
    </row>
    <row r="78" spans="1:69" s="1" customFormat="1" ht="14.65" customHeight="1" x14ac:dyDescent="0.25">
      <c r="A78" s="7">
        <v>76</v>
      </c>
      <c r="B78" s="17">
        <v>2344</v>
      </c>
      <c r="C78" s="18" t="s">
        <v>188</v>
      </c>
      <c r="D78" s="19">
        <v>3579.1</v>
      </c>
      <c r="E78" s="29">
        <v>0.25</v>
      </c>
      <c r="F78" s="29">
        <f t="shared" si="3"/>
        <v>894.77499999999998</v>
      </c>
      <c r="G78" s="20">
        <f t="shared" si="5"/>
        <v>894.77499999999998</v>
      </c>
      <c r="H78" s="20">
        <f t="shared" si="4"/>
        <v>0</v>
      </c>
      <c r="I78" s="93">
        <v>1071884</v>
      </c>
      <c r="J78" s="95" t="s">
        <v>189</v>
      </c>
      <c r="K78" s="94" t="s">
        <v>14</v>
      </c>
      <c r="L78" s="94" t="s">
        <v>55</v>
      </c>
      <c r="M78" s="38">
        <v>99480379</v>
      </c>
      <c r="N78" s="144"/>
    </row>
    <row r="79" spans="1:69" s="1" customFormat="1" ht="14.65" customHeight="1" x14ac:dyDescent="0.25">
      <c r="A79" s="7">
        <v>77</v>
      </c>
      <c r="B79" s="17">
        <v>2345</v>
      </c>
      <c r="C79" s="18" t="s">
        <v>41</v>
      </c>
      <c r="D79" s="19">
        <v>1227.3</v>
      </c>
      <c r="E79" s="29">
        <v>0.25</v>
      </c>
      <c r="F79" s="29">
        <f t="shared" si="3"/>
        <v>306.82499999999999</v>
      </c>
      <c r="G79" s="20">
        <f t="shared" si="5"/>
        <v>306.82499999999999</v>
      </c>
      <c r="H79" s="20">
        <f t="shared" si="4"/>
        <v>0</v>
      </c>
      <c r="I79" s="93">
        <v>1298574</v>
      </c>
      <c r="J79" s="95" t="s">
        <v>190</v>
      </c>
      <c r="K79" s="94" t="s">
        <v>14</v>
      </c>
      <c r="L79" s="94" t="s">
        <v>55</v>
      </c>
      <c r="M79" s="38">
        <v>99299199</v>
      </c>
      <c r="N79" s="144"/>
    </row>
    <row r="80" spans="1:69" s="1" customFormat="1" x14ac:dyDescent="0.25">
      <c r="A80" s="7">
        <v>78</v>
      </c>
      <c r="B80" s="17">
        <v>2346</v>
      </c>
      <c r="C80" s="18" t="s">
        <v>191</v>
      </c>
      <c r="D80" s="19">
        <v>616.4</v>
      </c>
      <c r="E80" s="29">
        <v>0.25</v>
      </c>
      <c r="F80" s="29">
        <f t="shared" si="3"/>
        <v>154.1</v>
      </c>
      <c r="G80" s="20">
        <f t="shared" si="5"/>
        <v>154.1</v>
      </c>
      <c r="H80" s="20">
        <f t="shared" si="4"/>
        <v>0</v>
      </c>
      <c r="I80" s="93">
        <v>26080834</v>
      </c>
      <c r="J80" s="95" t="s">
        <v>192</v>
      </c>
      <c r="K80" s="94" t="s">
        <v>81</v>
      </c>
      <c r="L80" s="94" t="s">
        <v>82</v>
      </c>
      <c r="M80" s="38">
        <v>98951760</v>
      </c>
      <c r="N80" s="144"/>
    </row>
    <row r="81" spans="1:69" s="1" customFormat="1" ht="14.65" customHeight="1" x14ac:dyDescent="0.25">
      <c r="A81" s="47">
        <v>79</v>
      </c>
      <c r="B81" s="33">
        <v>2347</v>
      </c>
      <c r="C81" s="9" t="s">
        <v>193</v>
      </c>
      <c r="D81" s="10">
        <v>1152.7</v>
      </c>
      <c r="E81" s="35">
        <v>0.25</v>
      </c>
      <c r="F81" s="35">
        <f t="shared" si="3"/>
        <v>288.17500000000001</v>
      </c>
      <c r="G81" s="20">
        <f t="shared" si="5"/>
        <v>288.17500000000001</v>
      </c>
      <c r="H81" s="11">
        <f t="shared" si="4"/>
        <v>0</v>
      </c>
      <c r="I81" s="109">
        <v>3036144</v>
      </c>
      <c r="J81" s="110" t="s">
        <v>194</v>
      </c>
      <c r="K81" s="111" t="s">
        <v>14</v>
      </c>
      <c r="L81" s="111" t="s">
        <v>55</v>
      </c>
      <c r="M81" s="36">
        <v>99487229</v>
      </c>
      <c r="N81" s="154">
        <v>45658</v>
      </c>
      <c r="O81" s="41">
        <v>45691</v>
      </c>
    </row>
    <row r="82" spans="1:69" s="1" customFormat="1" ht="14.65" customHeight="1" x14ac:dyDescent="0.25">
      <c r="A82" s="47">
        <v>80</v>
      </c>
      <c r="B82" s="33">
        <v>2348</v>
      </c>
      <c r="C82" s="9" t="s">
        <v>195</v>
      </c>
      <c r="D82" s="10">
        <v>1326.1</v>
      </c>
      <c r="E82" s="35">
        <v>0.25</v>
      </c>
      <c r="F82" s="35">
        <f t="shared" si="3"/>
        <v>331.52499999999998</v>
      </c>
      <c r="G82" s="20">
        <f t="shared" si="5"/>
        <v>331.52499999999998</v>
      </c>
      <c r="H82" s="11">
        <f t="shared" si="4"/>
        <v>0</v>
      </c>
      <c r="I82" s="109">
        <v>25374403</v>
      </c>
      <c r="J82" s="110" t="s">
        <v>196</v>
      </c>
      <c r="K82" s="111" t="s">
        <v>154</v>
      </c>
      <c r="L82" s="111" t="s">
        <v>155</v>
      </c>
      <c r="M82" s="36">
        <v>92474433</v>
      </c>
      <c r="N82" s="154">
        <v>45658</v>
      </c>
    </row>
    <row r="83" spans="1:69" s="16" customFormat="1" ht="14.65" customHeight="1" x14ac:dyDescent="0.25">
      <c r="A83" s="47">
        <v>81</v>
      </c>
      <c r="B83" s="33">
        <v>2350</v>
      </c>
      <c r="C83" s="9" t="s">
        <v>197</v>
      </c>
      <c r="D83" s="10">
        <v>1198.3</v>
      </c>
      <c r="E83" s="35">
        <v>0.25</v>
      </c>
      <c r="F83" s="35">
        <f t="shared" si="3"/>
        <v>299.57499999999999</v>
      </c>
      <c r="G83" s="20">
        <f t="shared" si="5"/>
        <v>299.57499999999999</v>
      </c>
      <c r="H83" s="11">
        <f t="shared" si="4"/>
        <v>0</v>
      </c>
      <c r="I83" s="109">
        <v>734135</v>
      </c>
      <c r="J83" s="110" t="s">
        <v>198</v>
      </c>
      <c r="K83" s="111" t="s">
        <v>11</v>
      </c>
      <c r="L83" s="111" t="s">
        <v>47</v>
      </c>
      <c r="M83" s="36">
        <v>99327078</v>
      </c>
      <c r="N83" s="154">
        <v>45665</v>
      </c>
      <c r="O83" s="16" t="s">
        <v>331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s="1" customFormat="1" ht="14.65" customHeight="1" x14ac:dyDescent="0.25">
      <c r="A84" s="7">
        <v>82</v>
      </c>
      <c r="B84" s="17">
        <v>2351</v>
      </c>
      <c r="C84" s="18" t="s">
        <v>199</v>
      </c>
      <c r="D84" s="19">
        <v>519.1</v>
      </c>
      <c r="E84" s="29">
        <v>0.25</v>
      </c>
      <c r="F84" s="29">
        <f t="shared" si="3"/>
        <v>129.77500000000001</v>
      </c>
      <c r="G84" s="20">
        <f t="shared" si="5"/>
        <v>129.77500000000001</v>
      </c>
      <c r="H84" s="20">
        <f t="shared" si="4"/>
        <v>0</v>
      </c>
      <c r="I84" s="93">
        <v>19521995</v>
      </c>
      <c r="J84" s="95" t="s">
        <v>200</v>
      </c>
      <c r="K84" s="94" t="s">
        <v>50</v>
      </c>
      <c r="L84" s="94" t="s">
        <v>51</v>
      </c>
      <c r="M84" s="38">
        <v>92709981</v>
      </c>
      <c r="N84" s="144"/>
    </row>
    <row r="85" spans="1:69" s="1" customFormat="1" x14ac:dyDescent="0.25">
      <c r="A85" s="47">
        <v>83</v>
      </c>
      <c r="B85" s="33">
        <v>2353</v>
      </c>
      <c r="C85" s="9" t="s">
        <v>42</v>
      </c>
      <c r="D85" s="10">
        <v>632.29999999999995</v>
      </c>
      <c r="E85" s="35">
        <v>0.25</v>
      </c>
      <c r="F85" s="35">
        <f t="shared" si="3"/>
        <v>158.07499999999999</v>
      </c>
      <c r="G85" s="20">
        <f t="shared" si="5"/>
        <v>158.07499999999999</v>
      </c>
      <c r="H85" s="11">
        <f t="shared" si="4"/>
        <v>0</v>
      </c>
      <c r="I85" s="109">
        <v>2088123</v>
      </c>
      <c r="J85" s="95" t="s">
        <v>201</v>
      </c>
      <c r="K85" s="94" t="s">
        <v>11</v>
      </c>
      <c r="L85" s="94" t="s">
        <v>47</v>
      </c>
      <c r="M85" s="39"/>
      <c r="N85" s="145">
        <v>45677</v>
      </c>
    </row>
    <row r="86" spans="1:69" s="1" customFormat="1" ht="14.65" customHeight="1" x14ac:dyDescent="0.25">
      <c r="A86" s="7">
        <v>84</v>
      </c>
      <c r="B86" s="17">
        <v>2355</v>
      </c>
      <c r="C86" s="18" t="s">
        <v>202</v>
      </c>
      <c r="D86" s="19">
        <v>1123.9000000000001</v>
      </c>
      <c r="E86" s="29">
        <v>0.25</v>
      </c>
      <c r="F86" s="29">
        <f t="shared" si="3"/>
        <v>280.97500000000002</v>
      </c>
      <c r="G86" s="20">
        <f t="shared" si="5"/>
        <v>280.97500000000002</v>
      </c>
      <c r="H86" s="20">
        <f t="shared" si="4"/>
        <v>0</v>
      </c>
      <c r="I86" s="93">
        <v>1129734</v>
      </c>
      <c r="J86" s="95" t="s">
        <v>203</v>
      </c>
      <c r="K86" s="94" t="s">
        <v>11</v>
      </c>
      <c r="L86" s="94" t="s">
        <v>47</v>
      </c>
      <c r="M86" s="17">
        <v>99481921</v>
      </c>
      <c r="N86" s="144"/>
    </row>
    <row r="87" spans="1:69" s="1" customFormat="1" ht="14.65" customHeight="1" x14ac:dyDescent="0.25">
      <c r="A87" s="7">
        <v>85</v>
      </c>
      <c r="B87" s="17">
        <v>2356</v>
      </c>
      <c r="C87" s="18" t="s">
        <v>204</v>
      </c>
      <c r="D87" s="19">
        <v>1593.1</v>
      </c>
      <c r="E87" s="29">
        <v>0.25</v>
      </c>
      <c r="F87" s="29">
        <f t="shared" si="3"/>
        <v>398.27499999999998</v>
      </c>
      <c r="G87" s="20">
        <f t="shared" si="5"/>
        <v>398.27499999999998</v>
      </c>
      <c r="H87" s="20">
        <f t="shared" si="4"/>
        <v>0</v>
      </c>
      <c r="I87" s="93">
        <v>252996</v>
      </c>
      <c r="J87" s="95" t="s">
        <v>205</v>
      </c>
      <c r="K87" s="94" t="s">
        <v>11</v>
      </c>
      <c r="L87" s="94" t="s">
        <v>47</v>
      </c>
      <c r="M87" s="38">
        <v>99166000</v>
      </c>
      <c r="N87" s="144"/>
    </row>
    <row r="88" spans="1:69" s="1" customFormat="1" x14ac:dyDescent="0.25">
      <c r="A88" s="7">
        <v>86</v>
      </c>
      <c r="B88" s="17">
        <v>2358</v>
      </c>
      <c r="C88" s="18" t="s">
        <v>206</v>
      </c>
      <c r="D88" s="19">
        <v>614.20000000000005</v>
      </c>
      <c r="E88" s="29">
        <v>0.25</v>
      </c>
      <c r="F88" s="29">
        <f t="shared" si="3"/>
        <v>153.55000000000001</v>
      </c>
      <c r="G88" s="20">
        <f t="shared" si="5"/>
        <v>153.55000000000001</v>
      </c>
      <c r="H88" s="20">
        <f t="shared" si="4"/>
        <v>0</v>
      </c>
      <c r="I88" s="93">
        <v>812235</v>
      </c>
      <c r="J88" s="95" t="s">
        <v>207</v>
      </c>
      <c r="K88" s="94" t="s">
        <v>81</v>
      </c>
      <c r="L88" s="94" t="s">
        <v>82</v>
      </c>
      <c r="M88" s="38">
        <v>99496608</v>
      </c>
      <c r="N88" s="144"/>
    </row>
    <row r="89" spans="1:69" s="1" customFormat="1" x14ac:dyDescent="0.25">
      <c r="A89" s="47">
        <v>87</v>
      </c>
      <c r="B89" s="33">
        <v>2360</v>
      </c>
      <c r="C89" s="9" t="s">
        <v>208</v>
      </c>
      <c r="D89" s="72">
        <v>1162.9000000000001</v>
      </c>
      <c r="E89" s="35">
        <v>0.25</v>
      </c>
      <c r="F89" s="35">
        <f t="shared" si="3"/>
        <v>290.72500000000002</v>
      </c>
      <c r="G89" s="20">
        <f t="shared" si="5"/>
        <v>290.72500000000002</v>
      </c>
      <c r="H89" s="11">
        <f t="shared" si="4"/>
        <v>0</v>
      </c>
      <c r="I89" s="109">
        <v>6791757</v>
      </c>
      <c r="J89" s="110" t="s">
        <v>209</v>
      </c>
      <c r="K89" s="111" t="s">
        <v>14</v>
      </c>
      <c r="L89" s="111" t="s">
        <v>55</v>
      </c>
      <c r="M89" s="33">
        <v>98960002</v>
      </c>
      <c r="N89" s="154">
        <v>45670</v>
      </c>
    </row>
    <row r="90" spans="1:69" s="1" customFormat="1" x14ac:dyDescent="0.25">
      <c r="A90" s="7">
        <v>88</v>
      </c>
      <c r="B90" s="17">
        <v>2361</v>
      </c>
      <c r="C90" s="18" t="s">
        <v>210</v>
      </c>
      <c r="D90" s="43">
        <v>2343.6</v>
      </c>
      <c r="E90" s="29">
        <v>0.25</v>
      </c>
      <c r="F90" s="29">
        <f t="shared" si="3"/>
        <v>585.9</v>
      </c>
      <c r="G90" s="20">
        <f t="shared" si="5"/>
        <v>585.9</v>
      </c>
      <c r="H90" s="20">
        <f t="shared" si="4"/>
        <v>0</v>
      </c>
      <c r="I90" s="93">
        <v>3083395</v>
      </c>
      <c r="J90" s="95" t="s">
        <v>211</v>
      </c>
      <c r="K90" s="94" t="s">
        <v>11</v>
      </c>
      <c r="L90" s="94" t="s">
        <v>47</v>
      </c>
      <c r="M90" s="38">
        <v>99287760</v>
      </c>
      <c r="N90" s="144"/>
    </row>
    <row r="91" spans="1:69" s="1" customFormat="1" x14ac:dyDescent="0.25">
      <c r="A91" s="7">
        <v>89</v>
      </c>
      <c r="B91" s="17">
        <v>2362</v>
      </c>
      <c r="C91" s="18" t="s">
        <v>212</v>
      </c>
      <c r="D91" s="43">
        <v>3554.2</v>
      </c>
      <c r="E91" s="29">
        <v>0.25</v>
      </c>
      <c r="F91" s="29">
        <f t="shared" si="3"/>
        <v>888.55</v>
      </c>
      <c r="G91" s="20">
        <f t="shared" si="5"/>
        <v>888.55</v>
      </c>
      <c r="H91" s="20">
        <f t="shared" si="4"/>
        <v>0</v>
      </c>
      <c r="I91" s="93">
        <v>614569</v>
      </c>
      <c r="J91" s="95" t="s">
        <v>213</v>
      </c>
      <c r="K91" s="94" t="s">
        <v>11</v>
      </c>
      <c r="L91" s="94" t="s">
        <v>47</v>
      </c>
      <c r="M91" s="38"/>
      <c r="N91" s="144"/>
    </row>
    <row r="92" spans="1:69" s="1" customFormat="1" x14ac:dyDescent="0.25">
      <c r="A92" s="7">
        <v>90</v>
      </c>
      <c r="B92" s="17">
        <v>2365</v>
      </c>
      <c r="C92" s="42" t="s">
        <v>214</v>
      </c>
      <c r="D92" s="19">
        <v>2526.5</v>
      </c>
      <c r="E92" s="29">
        <v>0.25</v>
      </c>
      <c r="F92" s="29">
        <f t="shared" si="3"/>
        <v>631.625</v>
      </c>
      <c r="G92" s="20">
        <f t="shared" si="5"/>
        <v>631.625</v>
      </c>
      <c r="H92" s="20">
        <f t="shared" si="4"/>
        <v>0</v>
      </c>
      <c r="I92" s="93">
        <v>18164859</v>
      </c>
      <c r="J92" s="95" t="s">
        <v>215</v>
      </c>
      <c r="K92" s="94" t="s">
        <v>14</v>
      </c>
      <c r="L92" s="94" t="s">
        <v>55</v>
      </c>
      <c r="M92" s="39"/>
      <c r="N92" s="144"/>
    </row>
    <row r="93" spans="1:69" s="16" customFormat="1" ht="30" x14ac:dyDescent="0.25">
      <c r="A93" s="47">
        <v>91</v>
      </c>
      <c r="B93" s="33">
        <v>2366</v>
      </c>
      <c r="C93" s="217" t="s">
        <v>43</v>
      </c>
      <c r="D93" s="72">
        <v>1335</v>
      </c>
      <c r="E93" s="35">
        <v>0.25</v>
      </c>
      <c r="F93" s="35">
        <f t="shared" si="3"/>
        <v>333.75</v>
      </c>
      <c r="G93" s="20">
        <f t="shared" si="5"/>
        <v>333.75</v>
      </c>
      <c r="H93" s="11">
        <f t="shared" si="4"/>
        <v>0</v>
      </c>
      <c r="I93" s="109">
        <v>5737041</v>
      </c>
      <c r="J93" s="113" t="s">
        <v>216</v>
      </c>
      <c r="K93" s="111" t="s">
        <v>11</v>
      </c>
      <c r="L93" s="111" t="s">
        <v>47</v>
      </c>
      <c r="M93" s="37">
        <v>99298559</v>
      </c>
      <c r="N93" s="78">
        <v>45810</v>
      </c>
    </row>
    <row r="94" spans="1:69" s="16" customFormat="1" x14ac:dyDescent="0.25">
      <c r="A94" s="47">
        <v>92</v>
      </c>
      <c r="B94" s="33">
        <v>2368</v>
      </c>
      <c r="C94" s="34" t="s">
        <v>26</v>
      </c>
      <c r="D94" s="10">
        <v>2424.6999999999998</v>
      </c>
      <c r="E94" s="35">
        <v>0.25</v>
      </c>
      <c r="F94" s="35">
        <f t="shared" si="3"/>
        <v>606.17499999999995</v>
      </c>
      <c r="G94" s="20">
        <f t="shared" si="5"/>
        <v>606.17499999999995</v>
      </c>
      <c r="H94" s="11">
        <f t="shared" si="4"/>
        <v>0</v>
      </c>
      <c r="I94" s="109">
        <v>14028352</v>
      </c>
      <c r="J94" s="110" t="s">
        <v>217</v>
      </c>
      <c r="K94" s="111" t="s">
        <v>11</v>
      </c>
      <c r="L94" s="111" t="s">
        <v>47</v>
      </c>
      <c r="M94" s="37"/>
      <c r="N94" s="264"/>
    </row>
    <row r="95" spans="1:69" s="86" customFormat="1" x14ac:dyDescent="0.25">
      <c r="A95" s="49">
        <v>93</v>
      </c>
      <c r="B95" s="25">
        <v>2369</v>
      </c>
      <c r="C95" s="179" t="s">
        <v>218</v>
      </c>
      <c r="D95" s="27">
        <v>618.5</v>
      </c>
      <c r="E95" s="21">
        <v>0.25</v>
      </c>
      <c r="F95" s="21">
        <f t="shared" si="3"/>
        <v>154.625</v>
      </c>
      <c r="G95" s="20">
        <f t="shared" si="5"/>
        <v>154.625</v>
      </c>
      <c r="H95" s="22">
        <f t="shared" si="4"/>
        <v>0</v>
      </c>
      <c r="I95" s="180">
        <v>1305728</v>
      </c>
      <c r="J95" s="181" t="s">
        <v>219</v>
      </c>
      <c r="K95" s="182" t="s">
        <v>81</v>
      </c>
      <c r="L95" s="182" t="s">
        <v>82</v>
      </c>
      <c r="M95" s="183"/>
      <c r="N95" s="185" t="s">
        <v>300</v>
      </c>
      <c r="O95" s="186">
        <f>G95+'center-Sept'!G95+'center-Aug'!G95</f>
        <v>442.85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s="1" customFormat="1" x14ac:dyDescent="0.25">
      <c r="A96" s="47">
        <v>94</v>
      </c>
      <c r="B96" s="33">
        <v>2370</v>
      </c>
      <c r="C96" s="112" t="s">
        <v>220</v>
      </c>
      <c r="D96" s="10">
        <v>1755.3</v>
      </c>
      <c r="E96" s="35">
        <v>0.25</v>
      </c>
      <c r="F96" s="35">
        <f t="shared" si="3"/>
        <v>438.82499999999999</v>
      </c>
      <c r="G96" s="20">
        <f t="shared" si="5"/>
        <v>438.82499999999999</v>
      </c>
      <c r="H96" s="11">
        <f t="shared" si="4"/>
        <v>0</v>
      </c>
      <c r="I96" s="109">
        <v>15082454</v>
      </c>
      <c r="J96" s="178" t="s">
        <v>221</v>
      </c>
      <c r="K96" s="111" t="s">
        <v>14</v>
      </c>
      <c r="L96" s="111" t="s">
        <v>55</v>
      </c>
      <c r="M96" s="37">
        <v>92600537</v>
      </c>
      <c r="N96" s="154">
        <v>45665</v>
      </c>
    </row>
    <row r="97" spans="1:16" s="1" customFormat="1" x14ac:dyDescent="0.25">
      <c r="A97" s="7">
        <v>95</v>
      </c>
      <c r="B97" s="17">
        <v>2371</v>
      </c>
      <c r="C97" s="75" t="s">
        <v>222</v>
      </c>
      <c r="D97" s="19">
        <v>1761.6</v>
      </c>
      <c r="E97" s="29">
        <v>0.25</v>
      </c>
      <c r="F97" s="29">
        <f t="shared" si="3"/>
        <v>440.4</v>
      </c>
      <c r="G97" s="20">
        <f t="shared" si="5"/>
        <v>440.4</v>
      </c>
      <c r="H97" s="20">
        <f t="shared" si="4"/>
        <v>0</v>
      </c>
      <c r="I97" s="93">
        <v>4710817</v>
      </c>
      <c r="J97" s="95" t="s">
        <v>223</v>
      </c>
      <c r="K97" s="94" t="s">
        <v>11</v>
      </c>
      <c r="L97" s="94" t="s">
        <v>47</v>
      </c>
      <c r="M97" s="39"/>
      <c r="N97" s="144"/>
    </row>
    <row r="98" spans="1:16" s="1" customFormat="1" x14ac:dyDescent="0.25">
      <c r="A98" s="7">
        <v>96</v>
      </c>
      <c r="B98" s="17">
        <v>2373</v>
      </c>
      <c r="C98" s="76" t="s">
        <v>224</v>
      </c>
      <c r="D98" s="19">
        <v>1234.4000000000001</v>
      </c>
      <c r="E98" s="29">
        <v>0.25</v>
      </c>
      <c r="F98" s="29">
        <f t="shared" si="3"/>
        <v>308.60000000000002</v>
      </c>
      <c r="G98" s="20">
        <f t="shared" si="5"/>
        <v>308.60000000000002</v>
      </c>
      <c r="H98" s="20">
        <f t="shared" si="4"/>
        <v>0</v>
      </c>
      <c r="I98" s="93">
        <v>593009</v>
      </c>
      <c r="J98" s="95" t="s">
        <v>225</v>
      </c>
      <c r="K98" s="94" t="s">
        <v>14</v>
      </c>
      <c r="L98" s="94" t="s">
        <v>55</v>
      </c>
      <c r="M98" s="39"/>
      <c r="N98" s="144"/>
    </row>
    <row r="99" spans="1:16" s="1" customFormat="1" x14ac:dyDescent="0.25">
      <c r="A99" s="7">
        <v>97</v>
      </c>
      <c r="B99" s="17">
        <v>2374</v>
      </c>
      <c r="C99" s="75" t="s">
        <v>226</v>
      </c>
      <c r="D99" s="19">
        <v>611.4</v>
      </c>
      <c r="E99" s="29">
        <v>0.25</v>
      </c>
      <c r="F99" s="29">
        <f t="shared" si="3"/>
        <v>152.85</v>
      </c>
      <c r="G99" s="20">
        <f t="shared" si="5"/>
        <v>152.85</v>
      </c>
      <c r="H99" s="20">
        <f t="shared" si="4"/>
        <v>0</v>
      </c>
      <c r="I99" s="93">
        <v>27683269</v>
      </c>
      <c r="J99" s="95" t="s">
        <v>227</v>
      </c>
      <c r="K99" s="94" t="s">
        <v>50</v>
      </c>
      <c r="L99" s="94" t="s">
        <v>51</v>
      </c>
      <c r="M99" s="39"/>
      <c r="N99" s="144"/>
    </row>
    <row r="100" spans="1:16" s="1" customFormat="1" x14ac:dyDescent="0.25">
      <c r="A100" s="7">
        <v>98</v>
      </c>
      <c r="B100" s="17">
        <v>2380</v>
      </c>
      <c r="C100" s="75" t="s">
        <v>228</v>
      </c>
      <c r="D100" s="19">
        <v>447.1</v>
      </c>
      <c r="E100" s="29">
        <v>0.25</v>
      </c>
      <c r="F100" s="29">
        <f t="shared" si="3"/>
        <v>111.77500000000001</v>
      </c>
      <c r="G100" s="20">
        <f t="shared" si="5"/>
        <v>111.77500000000001</v>
      </c>
      <c r="H100" s="20">
        <f t="shared" si="4"/>
        <v>0</v>
      </c>
      <c r="I100" s="93">
        <v>614536</v>
      </c>
      <c r="J100" s="95" t="s">
        <v>229</v>
      </c>
      <c r="K100" s="94" t="s">
        <v>50</v>
      </c>
      <c r="L100" s="94" t="s">
        <v>51</v>
      </c>
      <c r="M100" s="39"/>
      <c r="N100" s="144"/>
    </row>
    <row r="101" spans="1:16" s="16" customFormat="1" x14ac:dyDescent="0.25">
      <c r="A101" s="47">
        <v>99</v>
      </c>
      <c r="B101" s="33">
        <v>2381</v>
      </c>
      <c r="C101" s="112" t="s">
        <v>230</v>
      </c>
      <c r="D101" s="10">
        <v>1205.5999999999999</v>
      </c>
      <c r="E101" s="35">
        <v>0.25</v>
      </c>
      <c r="F101" s="35">
        <f t="shared" si="3"/>
        <v>301.39999999999998</v>
      </c>
      <c r="G101" s="20">
        <f t="shared" si="5"/>
        <v>301.39999999999998</v>
      </c>
      <c r="H101" s="11">
        <f t="shared" si="4"/>
        <v>0</v>
      </c>
      <c r="I101" s="109">
        <v>830452</v>
      </c>
      <c r="J101" s="113" t="s">
        <v>231</v>
      </c>
      <c r="K101" s="111" t="s">
        <v>11</v>
      </c>
      <c r="L101" s="111" t="s">
        <v>47</v>
      </c>
      <c r="M101" s="37">
        <v>99493365</v>
      </c>
      <c r="N101" s="154">
        <v>45963</v>
      </c>
    </row>
    <row r="102" spans="1:16" s="16" customFormat="1" x14ac:dyDescent="0.25">
      <c r="A102" s="47">
        <v>100</v>
      </c>
      <c r="B102" s="33">
        <v>2383</v>
      </c>
      <c r="C102" s="37" t="s">
        <v>232</v>
      </c>
      <c r="D102" s="10">
        <v>157.1</v>
      </c>
      <c r="E102" s="35">
        <v>0.25</v>
      </c>
      <c r="F102" s="35">
        <f t="shared" si="3"/>
        <v>39.274999999999999</v>
      </c>
      <c r="G102" s="20">
        <f t="shared" si="5"/>
        <v>39.274999999999999</v>
      </c>
      <c r="H102" s="11">
        <f t="shared" si="4"/>
        <v>0</v>
      </c>
      <c r="I102" s="111">
        <v>11427078</v>
      </c>
      <c r="J102" s="110" t="s">
        <v>233</v>
      </c>
      <c r="K102" s="111" t="s">
        <v>234</v>
      </c>
      <c r="L102" s="111" t="s">
        <v>235</v>
      </c>
      <c r="M102" s="33"/>
      <c r="N102" s="154">
        <v>45810</v>
      </c>
    </row>
    <row r="103" spans="1:16" s="1" customFormat="1" x14ac:dyDescent="0.25">
      <c r="A103" s="47">
        <v>101</v>
      </c>
      <c r="B103" s="33">
        <v>2385</v>
      </c>
      <c r="C103" s="77" t="s">
        <v>236</v>
      </c>
      <c r="D103" s="10">
        <v>1198.8</v>
      </c>
      <c r="E103" s="35">
        <v>0.25</v>
      </c>
      <c r="F103" s="35">
        <f>D103*E103</f>
        <v>299.7</v>
      </c>
      <c r="G103" s="20">
        <f t="shared" si="5"/>
        <v>299.7</v>
      </c>
      <c r="H103" s="11">
        <f t="shared" si="4"/>
        <v>0</v>
      </c>
      <c r="I103" s="109">
        <v>3039422</v>
      </c>
      <c r="J103" s="110" t="s">
        <v>237</v>
      </c>
      <c r="K103" s="111" t="s">
        <v>50</v>
      </c>
      <c r="L103" s="111" t="s">
        <v>51</v>
      </c>
      <c r="M103" s="36">
        <v>99589937</v>
      </c>
      <c r="N103" s="143">
        <v>45663</v>
      </c>
      <c r="O103" s="41">
        <v>45691</v>
      </c>
    </row>
    <row r="104" spans="1:16" s="1" customFormat="1" x14ac:dyDescent="0.25">
      <c r="A104" s="47">
        <v>102</v>
      </c>
      <c r="B104" s="33">
        <v>2390</v>
      </c>
      <c r="C104" s="34" t="s">
        <v>238</v>
      </c>
      <c r="D104" s="10">
        <v>1845</v>
      </c>
      <c r="E104" s="35">
        <v>0.25</v>
      </c>
      <c r="F104" s="35">
        <f t="shared" ref="F104:F109" si="6">E104*D104</f>
        <v>461.25</v>
      </c>
      <c r="G104" s="20">
        <f t="shared" si="5"/>
        <v>461.25</v>
      </c>
      <c r="H104" s="11">
        <f t="shared" si="4"/>
        <v>0</v>
      </c>
      <c r="I104" s="109">
        <v>738486</v>
      </c>
      <c r="J104" s="111" t="s">
        <v>239</v>
      </c>
      <c r="K104" s="111" t="s">
        <v>11</v>
      </c>
      <c r="L104" s="111" t="s">
        <v>47</v>
      </c>
      <c r="M104" s="37"/>
      <c r="N104" s="143">
        <v>45658</v>
      </c>
      <c r="O104" s="41">
        <v>45691</v>
      </c>
    </row>
    <row r="105" spans="1:16" s="1" customFormat="1" x14ac:dyDescent="0.25">
      <c r="A105" s="7">
        <v>103</v>
      </c>
      <c r="B105" s="17">
        <v>2391</v>
      </c>
      <c r="C105" s="74" t="s">
        <v>240</v>
      </c>
      <c r="D105" s="19">
        <v>593.9</v>
      </c>
      <c r="E105" s="29">
        <v>0.25</v>
      </c>
      <c r="F105" s="29">
        <f t="shared" si="6"/>
        <v>148.47499999999999</v>
      </c>
      <c r="G105" s="20">
        <f t="shared" si="5"/>
        <v>148.47499999999999</v>
      </c>
      <c r="H105" s="20">
        <f t="shared" si="4"/>
        <v>0</v>
      </c>
      <c r="I105" s="93">
        <v>952571</v>
      </c>
      <c r="J105" s="95" t="s">
        <v>241</v>
      </c>
      <c r="K105" s="94" t="s">
        <v>14</v>
      </c>
      <c r="L105" s="94" t="s">
        <v>55</v>
      </c>
      <c r="M105" s="39"/>
      <c r="N105" s="140"/>
    </row>
    <row r="106" spans="1:16" s="1" customFormat="1" x14ac:dyDescent="0.25">
      <c r="A106" s="7">
        <v>104</v>
      </c>
      <c r="B106" s="17">
        <v>2500</v>
      </c>
      <c r="C106" s="74" t="s">
        <v>242</v>
      </c>
      <c r="D106" s="19">
        <v>2457.1</v>
      </c>
      <c r="E106" s="29">
        <v>0.25</v>
      </c>
      <c r="F106" s="29">
        <f t="shared" si="6"/>
        <v>614.27499999999998</v>
      </c>
      <c r="G106" s="20">
        <f t="shared" si="5"/>
        <v>614.27499999999998</v>
      </c>
      <c r="H106" s="20">
        <f t="shared" si="4"/>
        <v>0</v>
      </c>
      <c r="I106" s="93">
        <v>19597106</v>
      </c>
      <c r="J106" s="95" t="s">
        <v>243</v>
      </c>
      <c r="K106" s="94" t="s">
        <v>11</v>
      </c>
      <c r="L106" s="94" t="s">
        <v>47</v>
      </c>
      <c r="M106" s="39">
        <v>95499996</v>
      </c>
      <c r="N106" s="140"/>
    </row>
    <row r="107" spans="1:16" s="1" customFormat="1" x14ac:dyDescent="0.25">
      <c r="A107" s="47">
        <v>105</v>
      </c>
      <c r="B107" s="33">
        <v>2501</v>
      </c>
      <c r="C107" s="34" t="s">
        <v>244</v>
      </c>
      <c r="D107" s="10">
        <v>1640.2</v>
      </c>
      <c r="E107" s="35">
        <v>0.25</v>
      </c>
      <c r="F107" s="35">
        <f t="shared" si="6"/>
        <v>410.05</v>
      </c>
      <c r="G107" s="20">
        <f t="shared" si="5"/>
        <v>410.05</v>
      </c>
      <c r="H107" s="11">
        <f t="shared" si="4"/>
        <v>0</v>
      </c>
      <c r="I107" s="109">
        <v>15593565</v>
      </c>
      <c r="J107" s="110" t="s">
        <v>245</v>
      </c>
      <c r="K107" s="111" t="s">
        <v>11</v>
      </c>
      <c r="L107" s="111" t="s">
        <v>47</v>
      </c>
      <c r="M107" s="37"/>
      <c r="N107" s="143">
        <v>45685</v>
      </c>
    </row>
    <row r="108" spans="1:16" s="1" customFormat="1" x14ac:dyDescent="0.25">
      <c r="A108" s="7">
        <v>106</v>
      </c>
      <c r="B108" s="17">
        <v>2502</v>
      </c>
      <c r="C108" s="74" t="s">
        <v>27</v>
      </c>
      <c r="D108" s="19">
        <v>1045.5</v>
      </c>
      <c r="E108" s="29">
        <v>0.25</v>
      </c>
      <c r="F108" s="29">
        <f t="shared" si="6"/>
        <v>261.375</v>
      </c>
      <c r="G108" s="20">
        <f t="shared" si="5"/>
        <v>261.375</v>
      </c>
      <c r="H108" s="20">
        <f t="shared" si="4"/>
        <v>0</v>
      </c>
      <c r="I108" s="93">
        <v>6231138</v>
      </c>
      <c r="J108" s="95" t="s">
        <v>246</v>
      </c>
      <c r="K108" s="94" t="s">
        <v>11</v>
      </c>
      <c r="L108" s="94" t="s">
        <v>47</v>
      </c>
      <c r="M108" s="39"/>
      <c r="N108" s="140"/>
    </row>
    <row r="109" spans="1:16" s="1" customFormat="1" x14ac:dyDescent="0.25">
      <c r="A109" s="47">
        <v>107</v>
      </c>
      <c r="B109" s="33">
        <v>2503</v>
      </c>
      <c r="C109" s="34" t="s">
        <v>247</v>
      </c>
      <c r="D109" s="10">
        <v>1000.2</v>
      </c>
      <c r="E109" s="35">
        <v>0.25</v>
      </c>
      <c r="F109" s="35">
        <f t="shared" si="6"/>
        <v>250.05</v>
      </c>
      <c r="G109" s="20">
        <f t="shared" si="5"/>
        <v>250.05</v>
      </c>
      <c r="H109" s="11">
        <f t="shared" si="4"/>
        <v>0</v>
      </c>
      <c r="I109" s="109">
        <v>568083</v>
      </c>
      <c r="J109" s="95" t="s">
        <v>248</v>
      </c>
      <c r="K109" s="94" t="s">
        <v>249</v>
      </c>
      <c r="L109" s="94" t="s">
        <v>250</v>
      </c>
      <c r="M109" s="39"/>
      <c r="N109" s="59">
        <v>45650</v>
      </c>
      <c r="O109" s="1" t="s">
        <v>319</v>
      </c>
      <c r="P109" s="41">
        <v>45684</v>
      </c>
    </row>
    <row r="110" spans="1:16" s="1" customFormat="1" x14ac:dyDescent="0.25">
      <c r="A110" s="7"/>
      <c r="B110" s="17">
        <v>2504</v>
      </c>
      <c r="C110" s="74"/>
      <c r="D110" s="19">
        <v>376</v>
      </c>
      <c r="E110" s="29"/>
      <c r="F110" s="29"/>
      <c r="G110" s="20">
        <f t="shared" si="5"/>
        <v>0</v>
      </c>
      <c r="H110" s="20">
        <f t="shared" si="4"/>
        <v>0</v>
      </c>
      <c r="I110" s="93"/>
      <c r="J110" s="95"/>
      <c r="K110" s="94"/>
      <c r="L110" s="94"/>
      <c r="M110" s="39"/>
      <c r="N110" s="140"/>
    </row>
    <row r="111" spans="1:16" s="1" customFormat="1" x14ac:dyDescent="0.25">
      <c r="A111" s="7">
        <v>108</v>
      </c>
      <c r="B111" s="17">
        <v>2505</v>
      </c>
      <c r="C111" s="74" t="s">
        <v>251</v>
      </c>
      <c r="D111" s="19">
        <v>640.20000000000005</v>
      </c>
      <c r="E111" s="29">
        <v>0.25</v>
      </c>
      <c r="F111" s="29">
        <f t="shared" ref="F111:F133" si="7">E111*D111</f>
        <v>160.05000000000001</v>
      </c>
      <c r="G111" s="20">
        <f t="shared" si="5"/>
        <v>160.05000000000001</v>
      </c>
      <c r="H111" s="20">
        <f t="shared" si="4"/>
        <v>0</v>
      </c>
      <c r="I111" s="93">
        <v>257889</v>
      </c>
      <c r="J111" s="95" t="s">
        <v>252</v>
      </c>
      <c r="K111" s="94" t="s">
        <v>11</v>
      </c>
      <c r="L111" s="94" t="s">
        <v>47</v>
      </c>
      <c r="M111" s="39">
        <v>99492623</v>
      </c>
      <c r="N111" s="140"/>
    </row>
    <row r="112" spans="1:16" s="16" customFormat="1" x14ac:dyDescent="0.25">
      <c r="A112" s="47">
        <v>109</v>
      </c>
      <c r="B112" s="33">
        <v>2506</v>
      </c>
      <c r="C112" s="34" t="s">
        <v>253</v>
      </c>
      <c r="D112" s="10">
        <v>585.29999999999995</v>
      </c>
      <c r="E112" s="35">
        <v>0.25</v>
      </c>
      <c r="F112" s="35">
        <f t="shared" si="7"/>
        <v>146.32499999999999</v>
      </c>
      <c r="G112" s="20">
        <f t="shared" si="5"/>
        <v>146.32499999999999</v>
      </c>
      <c r="H112" s="11">
        <f t="shared" si="4"/>
        <v>0</v>
      </c>
      <c r="I112" s="109">
        <v>11082822</v>
      </c>
      <c r="J112" s="110" t="s">
        <v>254</v>
      </c>
      <c r="K112" s="111" t="s">
        <v>18</v>
      </c>
      <c r="L112" s="111" t="s">
        <v>47</v>
      </c>
      <c r="M112" s="37"/>
      <c r="N112" s="143">
        <v>45810</v>
      </c>
    </row>
    <row r="113" spans="1:15" s="1" customFormat="1" x14ac:dyDescent="0.25">
      <c r="A113" s="7">
        <v>110</v>
      </c>
      <c r="B113" s="17">
        <v>2507</v>
      </c>
      <c r="C113" s="74" t="s">
        <v>255</v>
      </c>
      <c r="D113" s="19">
        <v>622.6</v>
      </c>
      <c r="E113" s="29">
        <v>0.25</v>
      </c>
      <c r="F113" s="29">
        <f t="shared" si="7"/>
        <v>155.65</v>
      </c>
      <c r="G113" s="20">
        <f t="shared" si="5"/>
        <v>155.65</v>
      </c>
      <c r="H113" s="20">
        <f t="shared" si="4"/>
        <v>0</v>
      </c>
      <c r="I113" s="93">
        <v>21947545</v>
      </c>
      <c r="J113" s="95" t="s">
        <v>256</v>
      </c>
      <c r="K113" s="94" t="s">
        <v>11</v>
      </c>
      <c r="L113" s="94" t="s">
        <v>47</v>
      </c>
      <c r="M113" s="39"/>
      <c r="N113" s="140"/>
    </row>
    <row r="114" spans="1:15" s="16" customFormat="1" x14ac:dyDescent="0.25">
      <c r="A114" s="47">
        <v>111</v>
      </c>
      <c r="B114" s="33">
        <v>2509</v>
      </c>
      <c r="C114" s="34" t="s">
        <v>257</v>
      </c>
      <c r="D114" s="10">
        <v>987.9</v>
      </c>
      <c r="E114" s="35">
        <v>0.25</v>
      </c>
      <c r="F114" s="35">
        <f t="shared" si="7"/>
        <v>246.97499999999999</v>
      </c>
      <c r="G114" s="20">
        <f t="shared" si="5"/>
        <v>246.97499999999999</v>
      </c>
      <c r="H114" s="11">
        <f t="shared" si="4"/>
        <v>0</v>
      </c>
      <c r="I114" s="109">
        <v>5739429</v>
      </c>
      <c r="J114" s="110" t="s">
        <v>258</v>
      </c>
      <c r="K114" s="111" t="s">
        <v>16</v>
      </c>
      <c r="L114" s="111" t="s">
        <v>47</v>
      </c>
      <c r="M114" s="37">
        <v>92733224</v>
      </c>
      <c r="N114" s="143">
        <v>45993</v>
      </c>
      <c r="O114" s="16" t="s">
        <v>330</v>
      </c>
    </row>
    <row r="115" spans="1:15" s="1" customFormat="1" x14ac:dyDescent="0.25">
      <c r="A115" s="7">
        <v>112</v>
      </c>
      <c r="B115" s="17">
        <v>2510</v>
      </c>
      <c r="C115" s="74" t="s">
        <v>259</v>
      </c>
      <c r="D115" s="19">
        <v>1232.5</v>
      </c>
      <c r="E115" s="29">
        <v>0.25</v>
      </c>
      <c r="F115" s="29">
        <f t="shared" si="7"/>
        <v>308.125</v>
      </c>
      <c r="G115" s="20">
        <f t="shared" si="5"/>
        <v>308.125</v>
      </c>
      <c r="H115" s="20">
        <f t="shared" si="4"/>
        <v>0</v>
      </c>
      <c r="I115" s="93">
        <v>5542574</v>
      </c>
      <c r="J115" s="95" t="s">
        <v>260</v>
      </c>
      <c r="K115" s="94" t="s">
        <v>11</v>
      </c>
      <c r="L115" s="94" t="s">
        <v>47</v>
      </c>
      <c r="M115" s="39"/>
      <c r="N115" s="140"/>
    </row>
    <row r="116" spans="1:15" s="1" customFormat="1" x14ac:dyDescent="0.25">
      <c r="A116" s="7">
        <v>113</v>
      </c>
      <c r="B116" s="17">
        <v>2511</v>
      </c>
      <c r="C116" s="74" t="s">
        <v>261</v>
      </c>
      <c r="D116" s="19">
        <v>492.3</v>
      </c>
      <c r="E116" s="29">
        <v>0.25</v>
      </c>
      <c r="F116" s="29">
        <f t="shared" si="7"/>
        <v>123.075</v>
      </c>
      <c r="G116" s="20">
        <f t="shared" si="5"/>
        <v>123.075</v>
      </c>
      <c r="H116" s="20">
        <f t="shared" si="4"/>
        <v>0</v>
      </c>
      <c r="I116" s="93">
        <v>1109954</v>
      </c>
      <c r="J116" s="95" t="s">
        <v>262</v>
      </c>
      <c r="K116" s="94" t="s">
        <v>132</v>
      </c>
      <c r="L116" s="94" t="s">
        <v>133</v>
      </c>
      <c r="M116" s="39"/>
      <c r="N116" s="140"/>
    </row>
    <row r="117" spans="1:15" s="1" customFormat="1" x14ac:dyDescent="0.25">
      <c r="A117" s="47">
        <v>114</v>
      </c>
      <c r="B117" s="33">
        <v>2512</v>
      </c>
      <c r="C117" s="34" t="s">
        <v>263</v>
      </c>
      <c r="D117" s="10">
        <v>597.70000000000005</v>
      </c>
      <c r="E117" s="35">
        <v>0.25</v>
      </c>
      <c r="F117" s="35">
        <f t="shared" si="7"/>
        <v>149.42500000000001</v>
      </c>
      <c r="G117" s="20">
        <f t="shared" si="5"/>
        <v>149.42500000000001</v>
      </c>
      <c r="H117" s="11">
        <f t="shared" si="4"/>
        <v>0</v>
      </c>
      <c r="I117" s="109">
        <v>990628</v>
      </c>
      <c r="J117" s="115" t="s">
        <v>264</v>
      </c>
      <c r="K117" s="116" t="s">
        <v>146</v>
      </c>
      <c r="L117" s="116" t="s">
        <v>47</v>
      </c>
      <c r="M117" s="80">
        <v>91232518</v>
      </c>
      <c r="N117" s="143">
        <v>45670</v>
      </c>
      <c r="O117" s="41">
        <v>45691</v>
      </c>
    </row>
    <row r="118" spans="1:15" s="69" customFormat="1" x14ac:dyDescent="0.25">
      <c r="A118" s="60">
        <v>115</v>
      </c>
      <c r="B118" s="61">
        <v>2513</v>
      </c>
      <c r="C118" s="79" t="s">
        <v>28</v>
      </c>
      <c r="D118" s="63">
        <v>1156</v>
      </c>
      <c r="E118" s="65">
        <v>0.25</v>
      </c>
      <c r="F118" s="65">
        <f t="shared" si="7"/>
        <v>289</v>
      </c>
      <c r="G118" s="20">
        <f t="shared" si="5"/>
        <v>289</v>
      </c>
      <c r="H118" s="64">
        <f t="shared" si="4"/>
        <v>0</v>
      </c>
      <c r="I118" s="114">
        <v>6332123</v>
      </c>
      <c r="J118" s="115" t="s">
        <v>265</v>
      </c>
      <c r="K118" s="116" t="s">
        <v>146</v>
      </c>
      <c r="L118" s="116" t="s">
        <v>47</v>
      </c>
      <c r="M118" s="80">
        <v>98777808</v>
      </c>
      <c r="N118" s="258">
        <v>45963</v>
      </c>
    </row>
    <row r="119" spans="1:15" s="1" customFormat="1" x14ac:dyDescent="0.25">
      <c r="A119" s="7">
        <v>116</v>
      </c>
      <c r="B119" s="81">
        <v>2514</v>
      </c>
      <c r="C119" s="82" t="s">
        <v>266</v>
      </c>
      <c r="D119" s="19">
        <v>407.7</v>
      </c>
      <c r="E119" s="83">
        <v>0.25</v>
      </c>
      <c r="F119" s="83">
        <f t="shared" si="7"/>
        <v>101.925</v>
      </c>
      <c r="G119" s="20">
        <f t="shared" si="5"/>
        <v>101.925</v>
      </c>
      <c r="H119" s="20">
        <f t="shared" si="4"/>
        <v>0</v>
      </c>
      <c r="I119" s="117">
        <v>10795387</v>
      </c>
      <c r="J119" s="118" t="s">
        <v>267</v>
      </c>
      <c r="K119" s="119" t="s">
        <v>146</v>
      </c>
      <c r="L119" s="119" t="s">
        <v>47</v>
      </c>
      <c r="M119" s="84">
        <v>96744447</v>
      </c>
      <c r="N119" s="140"/>
    </row>
    <row r="120" spans="1:15" s="1" customFormat="1" x14ac:dyDescent="0.25">
      <c r="A120" s="47">
        <v>117</v>
      </c>
      <c r="B120" s="33">
        <v>2515</v>
      </c>
      <c r="C120" s="34" t="s">
        <v>268</v>
      </c>
      <c r="D120" s="10">
        <v>1773</v>
      </c>
      <c r="E120" s="35">
        <v>0.25</v>
      </c>
      <c r="F120" s="35">
        <f t="shared" si="7"/>
        <v>443.25</v>
      </c>
      <c r="G120" s="20">
        <f t="shared" si="5"/>
        <v>443.25</v>
      </c>
      <c r="H120" s="11">
        <f t="shared" si="4"/>
        <v>0</v>
      </c>
      <c r="I120" s="109">
        <v>5638084</v>
      </c>
      <c r="J120" s="95" t="s">
        <v>269</v>
      </c>
      <c r="K120" s="94" t="s">
        <v>11</v>
      </c>
      <c r="L120" s="94" t="s">
        <v>47</v>
      </c>
      <c r="M120" s="39">
        <v>92597738</v>
      </c>
      <c r="N120" s="59">
        <v>45684</v>
      </c>
    </row>
    <row r="121" spans="1:15" s="1" customFormat="1" x14ac:dyDescent="0.25">
      <c r="A121" s="7">
        <v>118</v>
      </c>
      <c r="B121" s="17">
        <v>2516</v>
      </c>
      <c r="C121" s="74" t="s">
        <v>270</v>
      </c>
      <c r="D121" s="19">
        <v>607.1</v>
      </c>
      <c r="E121" s="29">
        <v>0.25</v>
      </c>
      <c r="F121" s="29">
        <f t="shared" si="7"/>
        <v>151.77500000000001</v>
      </c>
      <c r="G121" s="20">
        <f t="shared" si="5"/>
        <v>151.77500000000001</v>
      </c>
      <c r="H121" s="20">
        <f t="shared" si="4"/>
        <v>0</v>
      </c>
      <c r="I121" s="93">
        <v>21934588</v>
      </c>
      <c r="J121" s="95" t="s">
        <v>271</v>
      </c>
      <c r="K121" s="94" t="s">
        <v>11</v>
      </c>
      <c r="L121" s="94" t="s">
        <v>47</v>
      </c>
      <c r="M121" s="39">
        <v>98094444</v>
      </c>
      <c r="N121" s="140"/>
    </row>
    <row r="122" spans="1:15" s="1" customFormat="1" x14ac:dyDescent="0.25">
      <c r="A122" s="7">
        <v>119</v>
      </c>
      <c r="B122" s="17">
        <v>2517</v>
      </c>
      <c r="C122" s="74" t="s">
        <v>29</v>
      </c>
      <c r="D122" s="19">
        <v>3532</v>
      </c>
      <c r="E122" s="29">
        <v>0.25</v>
      </c>
      <c r="F122" s="29">
        <f t="shared" si="7"/>
        <v>883</v>
      </c>
      <c r="G122" s="20">
        <f t="shared" si="5"/>
        <v>883</v>
      </c>
      <c r="H122" s="20">
        <f t="shared" si="4"/>
        <v>0</v>
      </c>
      <c r="I122" s="94">
        <v>6231419</v>
      </c>
      <c r="J122" s="95" t="s">
        <v>272</v>
      </c>
      <c r="K122" s="94" t="s">
        <v>18</v>
      </c>
      <c r="L122" s="94" t="s">
        <v>47</v>
      </c>
      <c r="M122" s="17"/>
      <c r="N122" s="140"/>
    </row>
    <row r="123" spans="1:15" s="1" customFormat="1" x14ac:dyDescent="0.25">
      <c r="A123" s="47">
        <v>120</v>
      </c>
      <c r="B123" s="33">
        <v>2518</v>
      </c>
      <c r="C123" s="37" t="s">
        <v>273</v>
      </c>
      <c r="D123" s="10">
        <v>1166.0999999999999</v>
      </c>
      <c r="E123" s="35">
        <v>0.25</v>
      </c>
      <c r="F123" s="35">
        <f t="shared" si="7"/>
        <v>291.52499999999998</v>
      </c>
      <c r="G123" s="20">
        <f t="shared" si="5"/>
        <v>291.52499999999998</v>
      </c>
      <c r="H123" s="11">
        <f t="shared" si="4"/>
        <v>0</v>
      </c>
      <c r="I123" s="109">
        <v>27683344</v>
      </c>
      <c r="J123" s="110" t="s">
        <v>274</v>
      </c>
      <c r="K123" s="111" t="s">
        <v>14</v>
      </c>
      <c r="L123" s="111" t="s">
        <v>55</v>
      </c>
      <c r="M123" s="37"/>
      <c r="N123" s="143">
        <v>45672</v>
      </c>
      <c r="O123" s="41">
        <v>45810</v>
      </c>
    </row>
    <row r="124" spans="1:15" s="1" customFormat="1" x14ac:dyDescent="0.25">
      <c r="A124" s="47">
        <v>121</v>
      </c>
      <c r="B124" s="33">
        <v>2519</v>
      </c>
      <c r="C124" s="9" t="s">
        <v>275</v>
      </c>
      <c r="D124" s="10">
        <v>604.20000000000005</v>
      </c>
      <c r="E124" s="35">
        <v>0.25</v>
      </c>
      <c r="F124" s="35">
        <f t="shared" si="7"/>
        <v>151.05000000000001</v>
      </c>
      <c r="G124" s="20">
        <f t="shared" si="5"/>
        <v>151.05000000000001</v>
      </c>
      <c r="H124" s="11">
        <f t="shared" si="4"/>
        <v>0</v>
      </c>
      <c r="I124" s="111">
        <v>19923785</v>
      </c>
      <c r="J124" s="95" t="s">
        <v>276</v>
      </c>
      <c r="K124" s="94" t="s">
        <v>18</v>
      </c>
      <c r="L124" s="94" t="s">
        <v>47</v>
      </c>
      <c r="M124" s="17"/>
      <c r="N124" s="59">
        <v>45686</v>
      </c>
    </row>
    <row r="125" spans="1:15" s="1" customFormat="1" x14ac:dyDescent="0.25">
      <c r="A125" s="7">
        <v>122</v>
      </c>
      <c r="B125" s="13">
        <v>2520</v>
      </c>
      <c r="C125" s="18" t="s">
        <v>277</v>
      </c>
      <c r="D125" s="19">
        <v>1125</v>
      </c>
      <c r="E125" s="20">
        <v>0.25</v>
      </c>
      <c r="F125" s="20">
        <f t="shared" si="7"/>
        <v>281.25</v>
      </c>
      <c r="G125" s="20">
        <f t="shared" si="5"/>
        <v>281.25</v>
      </c>
      <c r="H125" s="20">
        <f t="shared" si="4"/>
        <v>0</v>
      </c>
      <c r="I125" s="90">
        <v>1297459</v>
      </c>
      <c r="J125" s="89" t="s">
        <v>278</v>
      </c>
      <c r="K125" s="90" t="s">
        <v>50</v>
      </c>
      <c r="L125" s="90" t="s">
        <v>51</v>
      </c>
      <c r="M125" s="13"/>
      <c r="N125" s="140"/>
    </row>
    <row r="126" spans="1:15" s="1" customFormat="1" x14ac:dyDescent="0.25">
      <c r="A126" s="7">
        <v>123</v>
      </c>
      <c r="B126" s="13">
        <v>2521</v>
      </c>
      <c r="C126" s="138" t="s">
        <v>279</v>
      </c>
      <c r="D126" s="19">
        <v>1790.9</v>
      </c>
      <c r="E126" s="20">
        <v>0.25</v>
      </c>
      <c r="F126" s="20">
        <f t="shared" si="7"/>
        <v>447.72500000000002</v>
      </c>
      <c r="G126" s="20">
        <f t="shared" si="5"/>
        <v>447.72500000000002</v>
      </c>
      <c r="H126" s="20">
        <f t="shared" si="4"/>
        <v>0</v>
      </c>
      <c r="I126" s="90">
        <v>5146927</v>
      </c>
      <c r="J126" s="89" t="s">
        <v>280</v>
      </c>
      <c r="K126" s="90" t="s">
        <v>50</v>
      </c>
      <c r="L126" s="90" t="s">
        <v>51</v>
      </c>
      <c r="M126" s="13">
        <v>96399028</v>
      </c>
      <c r="N126" s="140"/>
    </row>
    <row r="127" spans="1:15" s="1" customFormat="1" x14ac:dyDescent="0.25">
      <c r="A127" s="7">
        <v>124</v>
      </c>
      <c r="B127" s="13">
        <v>2522</v>
      </c>
      <c r="C127" s="18" t="s">
        <v>244</v>
      </c>
      <c r="D127" s="19">
        <v>614.5</v>
      </c>
      <c r="E127" s="20">
        <v>0.25</v>
      </c>
      <c r="F127" s="20">
        <f t="shared" si="7"/>
        <v>153.625</v>
      </c>
      <c r="G127" s="20">
        <f t="shared" si="5"/>
        <v>153.625</v>
      </c>
      <c r="H127" s="20">
        <f t="shared" si="4"/>
        <v>0</v>
      </c>
      <c r="I127" s="90">
        <v>4530913</v>
      </c>
      <c r="J127" s="89" t="s">
        <v>281</v>
      </c>
      <c r="K127" s="120" t="s">
        <v>81</v>
      </c>
      <c r="L127" s="120" t="s">
        <v>82</v>
      </c>
      <c r="M127" s="13"/>
      <c r="N127" s="140"/>
    </row>
    <row r="128" spans="1:15" s="1" customFormat="1" x14ac:dyDescent="0.25">
      <c r="A128" s="7">
        <v>125</v>
      </c>
      <c r="B128" s="13">
        <v>2523</v>
      </c>
      <c r="C128" s="18" t="s">
        <v>44</v>
      </c>
      <c r="D128" s="19">
        <v>514.20000000000005</v>
      </c>
      <c r="E128" s="20">
        <v>0.25</v>
      </c>
      <c r="F128" s="20">
        <f t="shared" si="7"/>
        <v>128.55000000000001</v>
      </c>
      <c r="G128" s="20">
        <f t="shared" si="5"/>
        <v>128.55000000000001</v>
      </c>
      <c r="H128" s="20">
        <f t="shared" si="4"/>
        <v>0</v>
      </c>
      <c r="I128" s="90">
        <v>4909387</v>
      </c>
      <c r="J128" s="89" t="s">
        <v>282</v>
      </c>
      <c r="K128" s="90" t="s">
        <v>18</v>
      </c>
      <c r="L128" s="90" t="s">
        <v>47</v>
      </c>
      <c r="M128" s="13"/>
      <c r="N128" s="140"/>
    </row>
    <row r="129" spans="1:57" s="1" customFormat="1" x14ac:dyDescent="0.25">
      <c r="A129" s="7">
        <v>126</v>
      </c>
      <c r="B129" s="13">
        <v>2524</v>
      </c>
      <c r="C129" s="18" t="s">
        <v>283</v>
      </c>
      <c r="D129" s="19">
        <v>629.4</v>
      </c>
      <c r="E129" s="20">
        <v>0.25</v>
      </c>
      <c r="F129" s="20">
        <f t="shared" si="7"/>
        <v>157.35</v>
      </c>
      <c r="G129" s="20">
        <f t="shared" si="5"/>
        <v>157.35</v>
      </c>
      <c r="H129" s="20">
        <f t="shared" si="4"/>
        <v>0</v>
      </c>
      <c r="I129" s="88">
        <v>5827884</v>
      </c>
      <c r="J129" s="89" t="s">
        <v>284</v>
      </c>
      <c r="K129" s="90" t="s">
        <v>11</v>
      </c>
      <c r="L129" s="90" t="s">
        <v>47</v>
      </c>
      <c r="M129" s="18"/>
      <c r="N129" s="140"/>
    </row>
    <row r="130" spans="1:57" s="24" customFormat="1" x14ac:dyDescent="0.25">
      <c r="A130" s="7">
        <v>127</v>
      </c>
      <c r="B130" s="13">
        <v>2526</v>
      </c>
      <c r="C130" s="18" t="s">
        <v>285</v>
      </c>
      <c r="D130" s="19">
        <v>415.2</v>
      </c>
      <c r="E130" s="20">
        <v>0.25</v>
      </c>
      <c r="F130" s="20">
        <f t="shared" si="7"/>
        <v>103.8</v>
      </c>
      <c r="G130" s="20">
        <f t="shared" si="5"/>
        <v>103.8</v>
      </c>
      <c r="H130" s="20">
        <f t="shared" si="4"/>
        <v>0</v>
      </c>
      <c r="I130" s="90">
        <v>5827579</v>
      </c>
      <c r="J130" s="89" t="s">
        <v>286</v>
      </c>
      <c r="K130" s="90" t="s">
        <v>50</v>
      </c>
      <c r="L130" s="90" t="s">
        <v>51</v>
      </c>
      <c r="M130" s="13"/>
      <c r="N130" s="146"/>
    </row>
    <row r="131" spans="1:57" s="137" customFormat="1" x14ac:dyDescent="0.25">
      <c r="A131" s="127">
        <v>128</v>
      </c>
      <c r="B131" s="128">
        <v>2529</v>
      </c>
      <c r="C131" s="129" t="s">
        <v>287</v>
      </c>
      <c r="D131" s="130">
        <v>1557.6</v>
      </c>
      <c r="E131" s="131">
        <v>0.25</v>
      </c>
      <c r="F131" s="131">
        <f t="shared" si="7"/>
        <v>389.4</v>
      </c>
      <c r="G131" s="20">
        <f t="shared" si="5"/>
        <v>389.4</v>
      </c>
      <c r="H131" s="131">
        <f t="shared" ref="H131:H133" si="8">F131-G131</f>
        <v>0</v>
      </c>
      <c r="I131" s="132">
        <v>6375262</v>
      </c>
      <c r="J131" s="167" t="s">
        <v>288</v>
      </c>
      <c r="K131" s="136" t="s">
        <v>18</v>
      </c>
      <c r="L131" s="136" t="s">
        <v>47</v>
      </c>
      <c r="M131" s="129">
        <v>95144359</v>
      </c>
      <c r="N131" s="166" t="s">
        <v>70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s="1" customFormat="1" x14ac:dyDescent="0.25">
      <c r="A132" s="7">
        <v>129</v>
      </c>
      <c r="B132" s="13">
        <v>2530</v>
      </c>
      <c r="C132" s="18" t="s">
        <v>289</v>
      </c>
      <c r="D132" s="19">
        <v>403.8</v>
      </c>
      <c r="E132" s="20">
        <v>0.25</v>
      </c>
      <c r="F132" s="20">
        <f t="shared" si="7"/>
        <v>100.95</v>
      </c>
      <c r="G132" s="20">
        <f t="shared" si="5"/>
        <v>100.95</v>
      </c>
      <c r="H132" s="20">
        <f t="shared" si="8"/>
        <v>0</v>
      </c>
      <c r="I132" s="88">
        <v>7506751</v>
      </c>
      <c r="J132" s="121" t="s">
        <v>290</v>
      </c>
      <c r="K132" s="90" t="s">
        <v>18</v>
      </c>
      <c r="L132" s="90" t="s">
        <v>47</v>
      </c>
      <c r="M132" s="18">
        <v>92269060</v>
      </c>
      <c r="N132" s="140"/>
    </row>
    <row r="133" spans="1:57" s="1" customFormat="1" x14ac:dyDescent="0.25">
      <c r="A133" s="47">
        <v>130</v>
      </c>
      <c r="B133" s="8">
        <v>3166</v>
      </c>
      <c r="C133" s="40" t="s">
        <v>17</v>
      </c>
      <c r="D133" s="10">
        <v>2630.3</v>
      </c>
      <c r="E133" s="11">
        <v>0.25</v>
      </c>
      <c r="F133" s="11">
        <f t="shared" si="7"/>
        <v>657.57500000000005</v>
      </c>
      <c r="G133" s="20">
        <f t="shared" ref="G133" si="9">F133</f>
        <v>657.57500000000005</v>
      </c>
      <c r="H133" s="11">
        <f t="shared" si="8"/>
        <v>0</v>
      </c>
      <c r="I133" s="92">
        <v>6381786</v>
      </c>
      <c r="J133" s="91" t="s">
        <v>291</v>
      </c>
      <c r="K133" s="92" t="s">
        <v>18</v>
      </c>
      <c r="L133" s="92" t="s">
        <v>47</v>
      </c>
      <c r="M133" s="8"/>
      <c r="N133" s="59">
        <v>45658</v>
      </c>
      <c r="O133" s="41">
        <v>45810</v>
      </c>
    </row>
    <row r="134" spans="1:57" s="149" customFormat="1" ht="15.75" x14ac:dyDescent="0.25">
      <c r="A134" s="168"/>
      <c r="B134" s="169"/>
      <c r="C134" s="170" t="s">
        <v>302</v>
      </c>
      <c r="D134" s="171">
        <f>SUM(D3:D133)</f>
        <v>177222.10000000006</v>
      </c>
      <c r="E134" s="171" t="s">
        <v>303</v>
      </c>
      <c r="F134" s="171">
        <f>SUM(F3:F133)</f>
        <v>44211.525000000016</v>
      </c>
      <c r="G134" s="171">
        <f>SUM(G3:G133)</f>
        <v>44211.525000000016</v>
      </c>
      <c r="H134" s="171">
        <f>SUM(H3:H133)</f>
        <v>0</v>
      </c>
      <c r="I134" s="168"/>
      <c r="J134" s="172"/>
      <c r="K134" s="169"/>
      <c r="L134" s="169"/>
      <c r="M134" s="148"/>
      <c r="N134" s="173"/>
    </row>
    <row r="135" spans="1:57" s="1" customFormat="1" x14ac:dyDescent="0.25">
      <c r="A135" s="23"/>
      <c r="B135" s="6"/>
      <c r="C135" s="24"/>
      <c r="D135" s="87"/>
      <c r="I135" s="23"/>
      <c r="J135" s="73"/>
      <c r="K135" s="6"/>
      <c r="L135" s="6"/>
      <c r="N135" s="140"/>
    </row>
    <row r="136" spans="1:57" s="1" customFormat="1" x14ac:dyDescent="0.25">
      <c r="A136" s="23"/>
      <c r="B136" s="6"/>
      <c r="C136" s="24"/>
      <c r="D136" s="87"/>
      <c r="G136" s="147">
        <f>G134-445.15</f>
        <v>43766.375000000015</v>
      </c>
      <c r="H136" s="126">
        <f>G136/F134</f>
        <v>0.98993135839580293</v>
      </c>
      <c r="I136" s="23"/>
      <c r="J136" s="73"/>
      <c r="K136" s="6"/>
      <c r="L136" s="6"/>
      <c r="N136" s="140"/>
    </row>
  </sheetData>
  <autoFilter ref="A2:I134" xr:uid="{313E1164-83AA-487D-BC0C-6DA7D288757E}"/>
  <mergeCells count="1">
    <mergeCell ref="A1:M1"/>
  </mergeCells>
  <conditionalFormatting sqref="J6">
    <cfRule type="duplicateValues" dxfId="95" priority="2"/>
  </conditionalFormatting>
  <conditionalFormatting sqref="J17">
    <cfRule type="duplicateValues" dxfId="94" priority="8"/>
  </conditionalFormatting>
  <conditionalFormatting sqref="J57">
    <cfRule type="duplicateValues" dxfId="93" priority="1"/>
  </conditionalFormatting>
  <conditionalFormatting sqref="J67">
    <cfRule type="duplicateValues" dxfId="92" priority="10"/>
  </conditionalFormatting>
  <conditionalFormatting sqref="J87">
    <cfRule type="duplicateValues" dxfId="91" priority="11"/>
  </conditionalFormatting>
  <conditionalFormatting sqref="J98">
    <cfRule type="duplicateValues" dxfId="90" priority="7"/>
  </conditionalFormatting>
  <conditionalFormatting sqref="J99">
    <cfRule type="duplicateValues" dxfId="89" priority="9"/>
  </conditionalFormatting>
  <conditionalFormatting sqref="J116">
    <cfRule type="duplicateValues" dxfId="88" priority="6"/>
  </conditionalFormatting>
  <conditionalFormatting sqref="J119">
    <cfRule type="duplicateValues" dxfId="87" priority="5"/>
  </conditionalFormatting>
  <conditionalFormatting sqref="J120:J123 J125">
    <cfRule type="duplicateValues" dxfId="86" priority="4"/>
  </conditionalFormatting>
  <conditionalFormatting sqref="J124">
    <cfRule type="duplicateValues" dxfId="85" priority="3"/>
  </conditionalFormatting>
  <conditionalFormatting sqref="J126:J136 J102:J115 J88:J97 J100 J68:J86 J61:J66 J2:J5 J18:J56 J117 J7:J16 J58:J59">
    <cfRule type="duplicateValues" dxfId="84" priority="12"/>
  </conditionalFormatting>
  <pageMargins left="0.7" right="0.7" top="0.75" bottom="0.75" header="0.3" footer="0.3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A31D-B9C3-4D2C-9701-B368298EF114}">
  <dimension ref="A1:S134"/>
  <sheetViews>
    <sheetView view="pageBreakPreview" topLeftCell="A119" zoomScale="130" zoomScaleNormal="118" zoomScaleSheetLayoutView="130" workbookViewId="0">
      <selection activeCell="C81" sqref="C81"/>
    </sheetView>
  </sheetViews>
  <sheetFormatPr defaultRowHeight="15" x14ac:dyDescent="0.25"/>
  <cols>
    <col min="1" max="1" width="6" bestFit="1" customWidth="1"/>
    <col min="2" max="2" width="12.7109375" bestFit="1" customWidth="1"/>
    <col min="3" max="3" width="38.42578125" customWidth="1"/>
    <col min="4" max="4" width="14.140625" customWidth="1"/>
    <col min="5" max="5" width="10.140625" bestFit="1" customWidth="1"/>
    <col min="6" max="6" width="14.7109375" customWidth="1"/>
    <col min="7" max="7" width="12.28515625" customWidth="1"/>
    <col min="8" max="8" width="14.28515625" customWidth="1"/>
    <col min="9" max="9" width="9" hidden="1" customWidth="1"/>
    <col min="10" max="10" width="17.28515625" hidden="1" customWidth="1"/>
    <col min="11" max="11" width="17" hidden="1" customWidth="1"/>
    <col min="12" max="12" width="14.85546875" hidden="1" customWidth="1"/>
    <col min="13" max="13" width="9" hidden="1" customWidth="1"/>
    <col min="14" max="14" width="12.28515625" customWidth="1"/>
    <col min="15" max="15" width="14.42578125" bestFit="1" customWidth="1"/>
    <col min="19" max="19" width="12.7109375" bestFit="1" customWidth="1"/>
  </cols>
  <sheetData>
    <row r="1" spans="1:15" x14ac:dyDescent="0.25">
      <c r="A1" s="490" t="s">
        <v>320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</row>
    <row r="2" spans="1:15" ht="15.75" thickBot="1" x14ac:dyDescent="0.3">
      <c r="A2" s="493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5"/>
    </row>
    <row r="3" spans="1:15" ht="30" x14ac:dyDescent="0.25">
      <c r="A3" s="207" t="s">
        <v>1</v>
      </c>
      <c r="B3" s="207" t="s">
        <v>2</v>
      </c>
      <c r="C3" s="207" t="s">
        <v>3</v>
      </c>
      <c r="D3" s="206" t="s">
        <v>4</v>
      </c>
      <c r="E3" s="204" t="s">
        <v>5</v>
      </c>
      <c r="F3" s="204" t="s">
        <v>6</v>
      </c>
      <c r="G3" s="204" t="s">
        <v>321</v>
      </c>
      <c r="H3" s="204" t="s">
        <v>6</v>
      </c>
      <c r="I3" s="204" t="s">
        <v>7</v>
      </c>
      <c r="J3" s="205" t="s">
        <v>8</v>
      </c>
      <c r="K3" s="204" t="s">
        <v>9</v>
      </c>
      <c r="L3" s="204"/>
      <c r="M3" s="204" t="s">
        <v>322</v>
      </c>
    </row>
    <row r="4" spans="1:15" s="16" customFormat="1" x14ac:dyDescent="0.25">
      <c r="A4" s="47">
        <v>1</v>
      </c>
      <c r="B4" s="8">
        <v>2022</v>
      </c>
      <c r="C4" s="266" t="s">
        <v>45</v>
      </c>
      <c r="D4" s="195">
        <v>65.5</v>
      </c>
      <c r="E4" s="192">
        <v>0.25</v>
      </c>
      <c r="F4" s="192">
        <v>16.39</v>
      </c>
      <c r="G4" s="192">
        <f>F4</f>
        <v>16.39</v>
      </c>
      <c r="H4" s="192">
        <f t="shared" ref="H4:H35" si="0">F4-G4</f>
        <v>0</v>
      </c>
      <c r="I4" s="77">
        <v>8542496</v>
      </c>
      <c r="J4" s="91" t="s">
        <v>46</v>
      </c>
      <c r="K4" s="92" t="s">
        <v>11</v>
      </c>
      <c r="L4" s="92" t="s">
        <v>47</v>
      </c>
      <c r="M4" s="12">
        <v>99198330</v>
      </c>
      <c r="N4" s="78">
        <v>45993</v>
      </c>
    </row>
    <row r="5" spans="1:15" x14ac:dyDescent="0.25">
      <c r="A5" s="7">
        <v>2</v>
      </c>
      <c r="B5" s="13">
        <v>2026</v>
      </c>
      <c r="C5" s="18" t="s">
        <v>48</v>
      </c>
      <c r="D5" s="188">
        <v>572.79999999999995</v>
      </c>
      <c r="E5" s="187">
        <v>0.25</v>
      </c>
      <c r="F5" s="187">
        <f t="shared" ref="F5:F36" si="1">E5*D5</f>
        <v>143.19999999999999</v>
      </c>
      <c r="G5" s="192">
        <f t="shared" ref="G5:G68" si="2">F5</f>
        <v>143.19999999999999</v>
      </c>
      <c r="H5" s="187">
        <f t="shared" si="0"/>
        <v>0</v>
      </c>
      <c r="I5" s="88">
        <v>5352667</v>
      </c>
      <c r="J5" s="89" t="s">
        <v>49</v>
      </c>
      <c r="K5" s="90" t="s">
        <v>50</v>
      </c>
      <c r="L5" s="90" t="s">
        <v>51</v>
      </c>
      <c r="M5" s="14">
        <v>96669695</v>
      </c>
    </row>
    <row r="6" spans="1:15" x14ac:dyDescent="0.25">
      <c r="A6" s="7">
        <v>4</v>
      </c>
      <c r="B6" s="13">
        <v>2033</v>
      </c>
      <c r="C6" s="18" t="s">
        <v>19</v>
      </c>
      <c r="D6" s="188">
        <v>958.6</v>
      </c>
      <c r="E6" s="187">
        <v>0.25</v>
      </c>
      <c r="F6" s="187">
        <f t="shared" si="1"/>
        <v>239.65</v>
      </c>
      <c r="G6" s="192">
        <f t="shared" si="2"/>
        <v>239.65</v>
      </c>
      <c r="H6" s="187">
        <f t="shared" si="0"/>
        <v>0</v>
      </c>
      <c r="I6" s="88">
        <v>1290824</v>
      </c>
      <c r="J6" s="89" t="s">
        <v>54</v>
      </c>
      <c r="K6" s="90" t="s">
        <v>14</v>
      </c>
      <c r="L6" s="90" t="s">
        <v>55</v>
      </c>
      <c r="M6" s="14">
        <v>97064018</v>
      </c>
    </row>
    <row r="7" spans="1:15" x14ac:dyDescent="0.25">
      <c r="A7" s="47">
        <v>5</v>
      </c>
      <c r="B7" s="8">
        <v>2036</v>
      </c>
      <c r="C7" s="9" t="s">
        <v>56</v>
      </c>
      <c r="D7" s="195">
        <v>368.8</v>
      </c>
      <c r="E7" s="192">
        <v>0.25</v>
      </c>
      <c r="F7" s="192">
        <f t="shared" si="1"/>
        <v>92.2</v>
      </c>
      <c r="G7" s="192">
        <f t="shared" si="2"/>
        <v>92.2</v>
      </c>
      <c r="H7" s="192">
        <f t="shared" si="0"/>
        <v>0</v>
      </c>
      <c r="I7" s="77">
        <v>8201282</v>
      </c>
      <c r="J7" s="91" t="s">
        <v>57</v>
      </c>
      <c r="K7" s="92" t="s">
        <v>14</v>
      </c>
      <c r="L7" s="92" t="s">
        <v>55</v>
      </c>
      <c r="M7" s="12">
        <v>91425474</v>
      </c>
      <c r="N7" s="78">
        <v>45691</v>
      </c>
    </row>
    <row r="8" spans="1:15" x14ac:dyDescent="0.25">
      <c r="A8" s="47">
        <v>6</v>
      </c>
      <c r="B8" s="8">
        <v>2051</v>
      </c>
      <c r="C8" s="9" t="s">
        <v>58</v>
      </c>
      <c r="D8" s="195">
        <v>572.79999999999995</v>
      </c>
      <c r="E8" s="192">
        <v>0.25</v>
      </c>
      <c r="F8" s="192">
        <f t="shared" si="1"/>
        <v>143.19999999999999</v>
      </c>
      <c r="G8" s="192">
        <f t="shared" si="2"/>
        <v>143.19999999999999</v>
      </c>
      <c r="H8" s="192">
        <f t="shared" si="0"/>
        <v>0</v>
      </c>
      <c r="I8" s="77">
        <v>575519</v>
      </c>
      <c r="J8" s="91" t="s">
        <v>59</v>
      </c>
      <c r="K8" s="92" t="s">
        <v>14</v>
      </c>
      <c r="L8" s="92" t="s">
        <v>55</v>
      </c>
      <c r="M8" s="8">
        <v>99486262</v>
      </c>
      <c r="N8" s="256">
        <v>45672</v>
      </c>
    </row>
    <row r="9" spans="1:15" x14ac:dyDescent="0.25">
      <c r="A9" s="7">
        <v>7</v>
      </c>
      <c r="B9" s="13">
        <v>2095</v>
      </c>
      <c r="C9" s="18" t="s">
        <v>20</v>
      </c>
      <c r="D9" s="188">
        <v>1011.4</v>
      </c>
      <c r="E9" s="187">
        <v>0.25</v>
      </c>
      <c r="F9" s="187">
        <f t="shared" si="1"/>
        <v>252.85</v>
      </c>
      <c r="G9" s="192">
        <f t="shared" si="2"/>
        <v>252.85</v>
      </c>
      <c r="H9" s="187">
        <f t="shared" si="0"/>
        <v>0</v>
      </c>
      <c r="I9" s="88">
        <v>26224</v>
      </c>
      <c r="J9" s="89" t="s">
        <v>60</v>
      </c>
      <c r="K9" s="90" t="s">
        <v>14</v>
      </c>
      <c r="L9" s="90" t="s">
        <v>55</v>
      </c>
      <c r="M9" s="14">
        <v>96177155</v>
      </c>
    </row>
    <row r="10" spans="1:15" x14ac:dyDescent="0.25">
      <c r="A10" s="7">
        <v>8</v>
      </c>
      <c r="B10" s="13">
        <v>2097</v>
      </c>
      <c r="C10" s="18" t="s">
        <v>61</v>
      </c>
      <c r="D10" s="188">
        <v>577.20000000000005</v>
      </c>
      <c r="E10" s="187">
        <v>0.25</v>
      </c>
      <c r="F10" s="187">
        <f t="shared" si="1"/>
        <v>144.30000000000001</v>
      </c>
      <c r="G10" s="192">
        <f t="shared" si="2"/>
        <v>144.30000000000001</v>
      </c>
      <c r="H10" s="187">
        <f t="shared" si="0"/>
        <v>0</v>
      </c>
      <c r="I10" s="88">
        <v>677206</v>
      </c>
      <c r="J10" s="89" t="s">
        <v>62</v>
      </c>
      <c r="K10" s="90" t="s">
        <v>50</v>
      </c>
      <c r="L10" s="90" t="s">
        <v>51</v>
      </c>
      <c r="M10" s="14">
        <v>99083310</v>
      </c>
    </row>
    <row r="11" spans="1:15" x14ac:dyDescent="0.25">
      <c r="A11" s="7">
        <v>9</v>
      </c>
      <c r="B11" s="13">
        <v>2098</v>
      </c>
      <c r="C11" s="18" t="s">
        <v>63</v>
      </c>
      <c r="D11" s="188">
        <v>549.1</v>
      </c>
      <c r="E11" s="187">
        <v>0.25</v>
      </c>
      <c r="F11" s="187">
        <f t="shared" si="1"/>
        <v>137.27500000000001</v>
      </c>
      <c r="G11" s="192">
        <f t="shared" si="2"/>
        <v>137.27500000000001</v>
      </c>
      <c r="H11" s="187">
        <f t="shared" si="0"/>
        <v>0</v>
      </c>
      <c r="I11" s="88">
        <v>1065899</v>
      </c>
      <c r="J11" s="89" t="s">
        <v>64</v>
      </c>
      <c r="K11" s="90" t="s">
        <v>11</v>
      </c>
      <c r="L11" s="90" t="s">
        <v>47</v>
      </c>
      <c r="M11" s="18"/>
    </row>
    <row r="12" spans="1:15" s="16" customFormat="1" x14ac:dyDescent="0.25">
      <c r="A12" s="47">
        <v>10</v>
      </c>
      <c r="B12" s="8">
        <v>2100</v>
      </c>
      <c r="C12" s="9" t="s">
        <v>65</v>
      </c>
      <c r="D12" s="195">
        <v>579.6</v>
      </c>
      <c r="E12" s="192">
        <v>0.25</v>
      </c>
      <c r="F12" s="192">
        <f t="shared" si="1"/>
        <v>144.9</v>
      </c>
      <c r="G12" s="192">
        <f t="shared" si="2"/>
        <v>144.9</v>
      </c>
      <c r="H12" s="192">
        <f t="shared" si="0"/>
        <v>0</v>
      </c>
      <c r="I12" s="77">
        <v>5550806</v>
      </c>
      <c r="J12" s="91" t="s">
        <v>66</v>
      </c>
      <c r="K12" s="92" t="s">
        <v>15</v>
      </c>
      <c r="L12" s="92" t="s">
        <v>67</v>
      </c>
      <c r="M12" s="12">
        <v>95614480</v>
      </c>
      <c r="N12" s="78">
        <v>45810</v>
      </c>
    </row>
    <row r="13" spans="1:15" x14ac:dyDescent="0.25">
      <c r="A13" s="47">
        <v>11</v>
      </c>
      <c r="B13" s="8">
        <v>2101</v>
      </c>
      <c r="C13" s="9" t="s">
        <v>68</v>
      </c>
      <c r="D13" s="195">
        <v>563.70000000000005</v>
      </c>
      <c r="E13" s="192">
        <v>0.25</v>
      </c>
      <c r="F13" s="192">
        <f t="shared" si="1"/>
        <v>140.92500000000001</v>
      </c>
      <c r="G13" s="192">
        <f t="shared" si="2"/>
        <v>140.92500000000001</v>
      </c>
      <c r="H13" s="192">
        <f t="shared" si="0"/>
        <v>0</v>
      </c>
      <c r="I13" s="92">
        <v>1145267</v>
      </c>
      <c r="J13" s="91" t="s">
        <v>69</v>
      </c>
      <c r="K13" s="92" t="s">
        <v>18</v>
      </c>
      <c r="L13" s="92" t="s">
        <v>47</v>
      </c>
      <c r="M13" s="8"/>
      <c r="N13" s="78">
        <v>45663</v>
      </c>
      <c r="O13" s="256">
        <v>45684</v>
      </c>
    </row>
    <row r="14" spans="1:15" x14ac:dyDescent="0.25">
      <c r="A14" s="47">
        <v>12</v>
      </c>
      <c r="B14" s="8">
        <v>2112</v>
      </c>
      <c r="C14" s="9" t="s">
        <v>71</v>
      </c>
      <c r="D14" s="195">
        <v>1061.5999999999999</v>
      </c>
      <c r="E14" s="192">
        <v>0.25</v>
      </c>
      <c r="F14" s="192">
        <f t="shared" si="1"/>
        <v>265.39999999999998</v>
      </c>
      <c r="G14" s="192">
        <f t="shared" si="2"/>
        <v>265.39999999999998</v>
      </c>
      <c r="H14" s="192">
        <f t="shared" si="0"/>
        <v>0</v>
      </c>
      <c r="I14" s="77">
        <v>11412524</v>
      </c>
      <c r="J14" s="91" t="s">
        <v>72</v>
      </c>
      <c r="K14" s="92" t="s">
        <v>11</v>
      </c>
      <c r="L14" s="92" t="s">
        <v>47</v>
      </c>
      <c r="M14" s="12">
        <v>93337934</v>
      </c>
      <c r="N14" s="78">
        <v>45685</v>
      </c>
    </row>
    <row r="15" spans="1:15" s="16" customFormat="1" x14ac:dyDescent="0.25">
      <c r="A15" s="47">
        <v>13</v>
      </c>
      <c r="B15" s="8">
        <v>2120</v>
      </c>
      <c r="C15" s="9" t="s">
        <v>73</v>
      </c>
      <c r="D15" s="195">
        <v>568</v>
      </c>
      <c r="E15" s="192">
        <v>0.25</v>
      </c>
      <c r="F15" s="192">
        <f t="shared" si="1"/>
        <v>142</v>
      </c>
      <c r="G15" s="192">
        <f t="shared" si="2"/>
        <v>142</v>
      </c>
      <c r="H15" s="192">
        <f t="shared" si="0"/>
        <v>0</v>
      </c>
      <c r="I15" s="77">
        <v>1298606</v>
      </c>
      <c r="J15" s="91" t="s">
        <v>74</v>
      </c>
      <c r="K15" s="92" t="s">
        <v>11</v>
      </c>
      <c r="L15" s="92" t="s">
        <v>47</v>
      </c>
      <c r="M15" s="12">
        <v>97064018</v>
      </c>
      <c r="N15" s="16" t="s">
        <v>331</v>
      </c>
    </row>
    <row r="16" spans="1:15" x14ac:dyDescent="0.25">
      <c r="A16" s="47">
        <v>14</v>
      </c>
      <c r="B16" s="8">
        <v>2125</v>
      </c>
      <c r="C16" s="257" t="s">
        <v>75</v>
      </c>
      <c r="D16" s="195">
        <v>502.8</v>
      </c>
      <c r="E16" s="192">
        <v>0.25</v>
      </c>
      <c r="F16" s="192">
        <f t="shared" si="1"/>
        <v>125.7</v>
      </c>
      <c r="G16" s="192">
        <f t="shared" si="2"/>
        <v>125.7</v>
      </c>
      <c r="H16" s="192">
        <f t="shared" si="0"/>
        <v>0</v>
      </c>
      <c r="I16" s="92">
        <v>6539352</v>
      </c>
      <c r="J16" s="91" t="s">
        <v>76</v>
      </c>
      <c r="K16" s="92" t="s">
        <v>18</v>
      </c>
      <c r="L16" s="92" t="s">
        <v>47</v>
      </c>
      <c r="M16" s="8"/>
      <c r="N16" s="78">
        <v>45686</v>
      </c>
      <c r="O16" s="256">
        <v>45691</v>
      </c>
    </row>
    <row r="17" spans="1:15" x14ac:dyDescent="0.25">
      <c r="A17" s="7">
        <v>15</v>
      </c>
      <c r="B17" s="13">
        <v>2128</v>
      </c>
      <c r="C17" s="18" t="s">
        <v>77</v>
      </c>
      <c r="D17" s="188">
        <v>728.8</v>
      </c>
      <c r="E17" s="187">
        <v>0.25</v>
      </c>
      <c r="F17" s="187">
        <f t="shared" si="1"/>
        <v>182.2</v>
      </c>
      <c r="G17" s="192">
        <f t="shared" si="2"/>
        <v>182.2</v>
      </c>
      <c r="H17" s="187">
        <f t="shared" si="0"/>
        <v>0</v>
      </c>
      <c r="I17" s="88">
        <v>4648259</v>
      </c>
      <c r="J17" s="89" t="s">
        <v>78</v>
      </c>
      <c r="K17" s="90" t="s">
        <v>11</v>
      </c>
      <c r="L17" s="90" t="s">
        <v>47</v>
      </c>
      <c r="M17" s="14">
        <v>99492747</v>
      </c>
    </row>
    <row r="18" spans="1:15" s="16" customFormat="1" x14ac:dyDescent="0.25">
      <c r="A18" s="47">
        <v>16</v>
      </c>
      <c r="B18" s="8">
        <v>2137</v>
      </c>
      <c r="C18" s="9" t="s">
        <v>79</v>
      </c>
      <c r="D18" s="195">
        <v>491.4</v>
      </c>
      <c r="E18" s="192">
        <v>0.25</v>
      </c>
      <c r="F18" s="192">
        <f t="shared" si="1"/>
        <v>122.85</v>
      </c>
      <c r="G18" s="192">
        <f t="shared" si="2"/>
        <v>122.85</v>
      </c>
      <c r="H18" s="192">
        <f t="shared" si="0"/>
        <v>0</v>
      </c>
      <c r="I18" s="77">
        <v>10285189</v>
      </c>
      <c r="J18" s="91" t="s">
        <v>80</v>
      </c>
      <c r="K18" s="92" t="s">
        <v>81</v>
      </c>
      <c r="L18" s="92" t="s">
        <v>82</v>
      </c>
      <c r="M18" s="12">
        <v>91160451</v>
      </c>
      <c r="N18" s="78">
        <v>45963</v>
      </c>
    </row>
    <row r="19" spans="1:15" x14ac:dyDescent="0.25">
      <c r="A19" s="7">
        <v>17</v>
      </c>
      <c r="B19" s="13">
        <v>2144</v>
      </c>
      <c r="C19" s="18" t="s">
        <v>83</v>
      </c>
      <c r="D19" s="188">
        <v>2133.6</v>
      </c>
      <c r="E19" s="187">
        <v>0.25</v>
      </c>
      <c r="F19" s="187">
        <f t="shared" si="1"/>
        <v>533.4</v>
      </c>
      <c r="G19" s="192">
        <f t="shared" si="2"/>
        <v>533.4</v>
      </c>
      <c r="H19" s="187">
        <f t="shared" si="0"/>
        <v>0</v>
      </c>
      <c r="I19" s="88">
        <v>532494</v>
      </c>
      <c r="J19" s="89" t="s">
        <v>84</v>
      </c>
      <c r="K19" s="90" t="s">
        <v>11</v>
      </c>
      <c r="L19" s="90" t="s">
        <v>47</v>
      </c>
      <c r="M19" s="14">
        <v>92251158</v>
      </c>
    </row>
    <row r="20" spans="1:15" x14ac:dyDescent="0.25">
      <c r="A20" s="47">
        <v>18</v>
      </c>
      <c r="B20" s="8">
        <v>2148</v>
      </c>
      <c r="C20" s="9" t="s">
        <v>85</v>
      </c>
      <c r="D20" s="195">
        <v>1705.1</v>
      </c>
      <c r="E20" s="192">
        <v>0.25</v>
      </c>
      <c r="F20" s="192">
        <f t="shared" si="1"/>
        <v>426.27499999999998</v>
      </c>
      <c r="G20" s="192">
        <f t="shared" si="2"/>
        <v>426.27499999999998</v>
      </c>
      <c r="H20" s="192">
        <f t="shared" si="0"/>
        <v>0</v>
      </c>
      <c r="I20" s="77">
        <v>6466788</v>
      </c>
      <c r="J20" s="91" t="s">
        <v>86</v>
      </c>
      <c r="K20" s="92" t="s">
        <v>50</v>
      </c>
      <c r="L20" s="92" t="s">
        <v>51</v>
      </c>
      <c r="M20" s="12">
        <v>99011887</v>
      </c>
      <c r="N20" s="78">
        <v>45686</v>
      </c>
      <c r="O20" s="256">
        <v>45963</v>
      </c>
    </row>
    <row r="21" spans="1:15" x14ac:dyDescent="0.25">
      <c r="A21" s="47">
        <v>19</v>
      </c>
      <c r="B21" s="8">
        <v>2150</v>
      </c>
      <c r="C21" s="9" t="s">
        <v>30</v>
      </c>
      <c r="D21" s="195">
        <v>5022.1000000000004</v>
      </c>
      <c r="E21" s="192">
        <v>0.25</v>
      </c>
      <c r="F21" s="192">
        <f t="shared" si="1"/>
        <v>1255.5250000000001</v>
      </c>
      <c r="G21" s="192">
        <f t="shared" si="2"/>
        <v>1255.5250000000001</v>
      </c>
      <c r="H21" s="192">
        <f t="shared" si="0"/>
        <v>0</v>
      </c>
      <c r="I21" s="77">
        <v>6657734</v>
      </c>
      <c r="J21" s="91" t="s">
        <v>87</v>
      </c>
      <c r="K21" s="92" t="s">
        <v>11</v>
      </c>
      <c r="L21" s="92" t="s">
        <v>47</v>
      </c>
      <c r="M21" s="12">
        <v>99319163</v>
      </c>
      <c r="N21" s="78">
        <v>45686</v>
      </c>
    </row>
    <row r="22" spans="1:15" x14ac:dyDescent="0.25">
      <c r="A22" s="47">
        <v>20</v>
      </c>
      <c r="B22" s="8">
        <v>2151</v>
      </c>
      <c r="C22" s="9" t="s">
        <v>88</v>
      </c>
      <c r="D22" s="195">
        <v>926.8</v>
      </c>
      <c r="E22" s="192">
        <v>0.25</v>
      </c>
      <c r="F22" s="192">
        <f t="shared" si="1"/>
        <v>231.7</v>
      </c>
      <c r="G22" s="192">
        <f t="shared" si="2"/>
        <v>231.7</v>
      </c>
      <c r="H22" s="192">
        <f t="shared" si="0"/>
        <v>0</v>
      </c>
      <c r="I22" s="77">
        <v>2190491</v>
      </c>
      <c r="J22" s="91" t="s">
        <v>89</v>
      </c>
      <c r="K22" s="92" t="s">
        <v>11</v>
      </c>
      <c r="L22" s="92" t="s">
        <v>47</v>
      </c>
      <c r="M22" s="12">
        <v>92591034</v>
      </c>
      <c r="N22" s="78">
        <v>45679</v>
      </c>
    </row>
    <row r="23" spans="1:15" x14ac:dyDescent="0.25">
      <c r="A23" s="7">
        <v>21</v>
      </c>
      <c r="B23" s="13">
        <v>2155</v>
      </c>
      <c r="C23" s="18" t="s">
        <v>90</v>
      </c>
      <c r="D23" s="188">
        <v>449.9</v>
      </c>
      <c r="E23" s="187">
        <v>0.25</v>
      </c>
      <c r="F23" s="187">
        <f t="shared" si="1"/>
        <v>112.47499999999999</v>
      </c>
      <c r="G23" s="192">
        <f t="shared" si="2"/>
        <v>112.47499999999999</v>
      </c>
      <c r="H23" s="187">
        <f t="shared" si="0"/>
        <v>0</v>
      </c>
      <c r="I23" s="88">
        <v>21145036</v>
      </c>
      <c r="J23" s="89" t="s">
        <v>91</v>
      </c>
      <c r="K23" s="90" t="s">
        <v>50</v>
      </c>
      <c r="L23" s="90" t="s">
        <v>51</v>
      </c>
      <c r="M23" s="14">
        <v>92847990</v>
      </c>
    </row>
    <row r="24" spans="1:15" x14ac:dyDescent="0.25">
      <c r="A24" s="47">
        <v>22</v>
      </c>
      <c r="B24" s="8">
        <v>2168</v>
      </c>
      <c r="C24" s="9" t="s">
        <v>10</v>
      </c>
      <c r="D24" s="195">
        <v>2300.6</v>
      </c>
      <c r="E24" s="192">
        <v>0.25</v>
      </c>
      <c r="F24" s="192">
        <f t="shared" si="1"/>
        <v>575.15</v>
      </c>
      <c r="G24" s="192">
        <f t="shared" si="2"/>
        <v>575.15</v>
      </c>
      <c r="H24" s="192">
        <f t="shared" si="0"/>
        <v>0</v>
      </c>
      <c r="I24" s="77">
        <v>941022</v>
      </c>
      <c r="J24" s="91" t="s">
        <v>92</v>
      </c>
      <c r="K24" s="92" t="s">
        <v>11</v>
      </c>
      <c r="L24" s="92" t="s">
        <v>47</v>
      </c>
      <c r="M24" s="12">
        <v>99542444</v>
      </c>
      <c r="N24" s="16" t="s">
        <v>325</v>
      </c>
      <c r="O24" s="258">
        <v>45691</v>
      </c>
    </row>
    <row r="25" spans="1:15" x14ac:dyDescent="0.25">
      <c r="A25" s="47">
        <v>23</v>
      </c>
      <c r="B25" s="8">
        <v>2198</v>
      </c>
      <c r="C25" s="9" t="s">
        <v>93</v>
      </c>
      <c r="D25" s="195">
        <v>899.5</v>
      </c>
      <c r="E25" s="192">
        <v>0.25</v>
      </c>
      <c r="F25" s="192">
        <f t="shared" si="1"/>
        <v>224.875</v>
      </c>
      <c r="G25" s="192">
        <f t="shared" si="2"/>
        <v>224.875</v>
      </c>
      <c r="H25" s="192">
        <f t="shared" si="0"/>
        <v>0</v>
      </c>
      <c r="I25" s="77">
        <v>10331933</v>
      </c>
      <c r="J25" s="91" t="s">
        <v>94</v>
      </c>
      <c r="K25" s="92" t="s">
        <v>11</v>
      </c>
      <c r="L25" s="92" t="s">
        <v>47</v>
      </c>
      <c r="M25" s="12">
        <v>99490105</v>
      </c>
      <c r="N25" s="78">
        <v>45679</v>
      </c>
      <c r="O25" s="256">
        <v>45932</v>
      </c>
    </row>
    <row r="26" spans="1:15" x14ac:dyDescent="0.25">
      <c r="A26" s="47">
        <v>24</v>
      </c>
      <c r="B26" s="8">
        <v>2205</v>
      </c>
      <c r="C26" s="9" t="s">
        <v>95</v>
      </c>
      <c r="D26" s="195">
        <v>542.6</v>
      </c>
      <c r="E26" s="192">
        <v>0.25</v>
      </c>
      <c r="F26" s="192">
        <f t="shared" si="1"/>
        <v>135.65</v>
      </c>
      <c r="G26" s="192">
        <f t="shared" si="2"/>
        <v>135.65</v>
      </c>
      <c r="H26" s="192">
        <f t="shared" si="0"/>
        <v>0</v>
      </c>
      <c r="I26" s="77">
        <v>26733843</v>
      </c>
      <c r="J26" s="91" t="s">
        <v>96</v>
      </c>
      <c r="K26" s="92" t="s">
        <v>11</v>
      </c>
      <c r="L26" s="92" t="s">
        <v>47</v>
      </c>
      <c r="M26" s="12">
        <v>98966301</v>
      </c>
      <c r="N26" s="78">
        <v>45686</v>
      </c>
    </row>
    <row r="27" spans="1:15" x14ac:dyDescent="0.25">
      <c r="A27" s="127">
        <v>25</v>
      </c>
      <c r="B27" s="128">
        <v>2207</v>
      </c>
      <c r="C27" s="129" t="s">
        <v>31</v>
      </c>
      <c r="D27" s="211">
        <v>1037.0999999999999</v>
      </c>
      <c r="E27" s="212">
        <v>0.25</v>
      </c>
      <c r="F27" s="212">
        <f t="shared" si="1"/>
        <v>259.27499999999998</v>
      </c>
      <c r="G27" s="192">
        <f t="shared" si="2"/>
        <v>259.27499999999998</v>
      </c>
      <c r="H27" s="212">
        <f t="shared" si="0"/>
        <v>0</v>
      </c>
      <c r="I27" s="132">
        <v>1386691</v>
      </c>
      <c r="J27" s="89" t="s">
        <v>97</v>
      </c>
      <c r="K27" s="90" t="s">
        <v>81</v>
      </c>
      <c r="L27" s="90" t="s">
        <v>82</v>
      </c>
      <c r="M27" s="14">
        <v>91337606</v>
      </c>
      <c r="N27" s="137" t="s">
        <v>314</v>
      </c>
    </row>
    <row r="28" spans="1:15" x14ac:dyDescent="0.25">
      <c r="A28" s="7">
        <v>26</v>
      </c>
      <c r="B28" s="17">
        <v>2209</v>
      </c>
      <c r="C28" s="18" t="s">
        <v>98</v>
      </c>
      <c r="D28" s="191">
        <v>374.1</v>
      </c>
      <c r="E28" s="189">
        <v>0.25</v>
      </c>
      <c r="F28" s="189">
        <f t="shared" si="1"/>
        <v>93.525000000000006</v>
      </c>
      <c r="G28" s="192">
        <f t="shared" si="2"/>
        <v>93.525000000000006</v>
      </c>
      <c r="H28" s="187">
        <f t="shared" si="0"/>
        <v>0</v>
      </c>
      <c r="I28" s="93">
        <v>821878</v>
      </c>
      <c r="J28" s="89" t="s">
        <v>99</v>
      </c>
      <c r="K28" s="94" t="s">
        <v>11</v>
      </c>
      <c r="L28" s="94" t="s">
        <v>47</v>
      </c>
      <c r="M28" s="38">
        <v>92927906</v>
      </c>
    </row>
    <row r="29" spans="1:15" x14ac:dyDescent="0.25">
      <c r="A29" s="7">
        <v>27</v>
      </c>
      <c r="B29" s="17">
        <v>2213</v>
      </c>
      <c r="C29" s="18" t="s">
        <v>100</v>
      </c>
      <c r="D29" s="191">
        <v>2420.4</v>
      </c>
      <c r="E29" s="189">
        <v>0.25</v>
      </c>
      <c r="F29" s="189">
        <f t="shared" si="1"/>
        <v>605.1</v>
      </c>
      <c r="G29" s="192">
        <f t="shared" si="2"/>
        <v>605.1</v>
      </c>
      <c r="H29" s="187">
        <f t="shared" si="0"/>
        <v>0</v>
      </c>
      <c r="I29" s="93">
        <v>594176</v>
      </c>
      <c r="J29" s="95" t="s">
        <v>101</v>
      </c>
      <c r="K29" s="94" t="s">
        <v>11</v>
      </c>
      <c r="L29" s="94" t="s">
        <v>47</v>
      </c>
      <c r="M29" s="38">
        <v>92971719</v>
      </c>
    </row>
    <row r="30" spans="1:15" x14ac:dyDescent="0.25">
      <c r="A30" s="7">
        <v>28</v>
      </c>
      <c r="B30" s="17">
        <v>2223</v>
      </c>
      <c r="C30" s="18" t="s">
        <v>32</v>
      </c>
      <c r="D30" s="191">
        <v>2054.9</v>
      </c>
      <c r="E30" s="189">
        <v>0.25</v>
      </c>
      <c r="F30" s="189">
        <f t="shared" si="1"/>
        <v>513.72500000000002</v>
      </c>
      <c r="G30" s="192">
        <f t="shared" si="2"/>
        <v>513.72500000000002</v>
      </c>
      <c r="H30" s="187">
        <f t="shared" si="0"/>
        <v>0</v>
      </c>
      <c r="I30" s="88">
        <v>2297206</v>
      </c>
      <c r="J30" s="89" t="s">
        <v>102</v>
      </c>
      <c r="K30" s="90" t="s">
        <v>14</v>
      </c>
      <c r="L30" s="90" t="s">
        <v>55</v>
      </c>
      <c r="M30" s="14">
        <v>99489917</v>
      </c>
    </row>
    <row r="31" spans="1:15" x14ac:dyDescent="0.25">
      <c r="A31" s="7">
        <v>29</v>
      </c>
      <c r="B31" s="17">
        <v>2229</v>
      </c>
      <c r="C31" s="18" t="s">
        <v>103</v>
      </c>
      <c r="D31" s="191">
        <v>3365.9</v>
      </c>
      <c r="E31" s="189">
        <v>0.25</v>
      </c>
      <c r="F31" s="189">
        <f t="shared" si="1"/>
        <v>841.47500000000002</v>
      </c>
      <c r="G31" s="192">
        <f t="shared" si="2"/>
        <v>841.47500000000002</v>
      </c>
      <c r="H31" s="187">
        <f t="shared" si="0"/>
        <v>0</v>
      </c>
      <c r="I31" s="88">
        <v>1031091</v>
      </c>
      <c r="J31" s="89" t="s">
        <v>104</v>
      </c>
      <c r="K31" s="90" t="s">
        <v>14</v>
      </c>
      <c r="L31" s="90" t="s">
        <v>55</v>
      </c>
      <c r="M31" s="14">
        <v>92727567</v>
      </c>
    </row>
    <row r="32" spans="1:15" x14ac:dyDescent="0.25">
      <c r="A32" s="7">
        <v>30</v>
      </c>
      <c r="B32" s="17">
        <v>2230</v>
      </c>
      <c r="C32" s="18" t="s">
        <v>21</v>
      </c>
      <c r="D32" s="188">
        <v>907.5</v>
      </c>
      <c r="E32" s="187">
        <v>0.25</v>
      </c>
      <c r="F32" s="189">
        <f t="shared" si="1"/>
        <v>226.875</v>
      </c>
      <c r="G32" s="192">
        <f t="shared" si="2"/>
        <v>226.875</v>
      </c>
      <c r="H32" s="187">
        <f t="shared" si="0"/>
        <v>0</v>
      </c>
      <c r="I32" s="88">
        <v>18633243</v>
      </c>
      <c r="J32" s="89" t="s">
        <v>105</v>
      </c>
      <c r="K32" s="90" t="s">
        <v>11</v>
      </c>
      <c r="L32" s="90" t="s">
        <v>47</v>
      </c>
      <c r="M32" s="14">
        <v>92201223</v>
      </c>
    </row>
    <row r="33" spans="1:19" x14ac:dyDescent="0.25">
      <c r="A33" s="7">
        <v>31</v>
      </c>
      <c r="B33" s="17">
        <v>2232</v>
      </c>
      <c r="C33" s="42" t="s">
        <v>22</v>
      </c>
      <c r="D33" s="191">
        <v>1124.4000000000001</v>
      </c>
      <c r="E33" s="189">
        <v>0.25</v>
      </c>
      <c r="F33" s="189">
        <f t="shared" si="1"/>
        <v>281.10000000000002</v>
      </c>
      <c r="G33" s="192">
        <f t="shared" si="2"/>
        <v>281.10000000000002</v>
      </c>
      <c r="H33" s="187">
        <f t="shared" si="0"/>
        <v>0</v>
      </c>
      <c r="I33" s="88">
        <v>1994004</v>
      </c>
      <c r="J33" s="89" t="s">
        <v>106</v>
      </c>
      <c r="K33" s="90" t="s">
        <v>11</v>
      </c>
      <c r="L33" s="90" t="s">
        <v>47</v>
      </c>
      <c r="M33" s="14">
        <v>92535442</v>
      </c>
    </row>
    <row r="34" spans="1:19" x14ac:dyDescent="0.25">
      <c r="A34" s="7">
        <v>31</v>
      </c>
      <c r="B34" s="17">
        <v>2234</v>
      </c>
      <c r="C34" s="18" t="s">
        <v>107</v>
      </c>
      <c r="D34" s="188">
        <v>2115.6999999999998</v>
      </c>
      <c r="E34" s="187">
        <v>0.25</v>
      </c>
      <c r="F34" s="189">
        <f t="shared" si="1"/>
        <v>528.92499999999995</v>
      </c>
      <c r="G34" s="192">
        <f t="shared" si="2"/>
        <v>528.92499999999995</v>
      </c>
      <c r="H34" s="187">
        <f t="shared" si="0"/>
        <v>0</v>
      </c>
      <c r="I34" s="90">
        <v>1235299</v>
      </c>
      <c r="J34" s="89" t="s">
        <v>108</v>
      </c>
      <c r="K34" s="90" t="s">
        <v>50</v>
      </c>
      <c r="L34" s="90" t="s">
        <v>51</v>
      </c>
      <c r="M34" s="13">
        <v>92656157</v>
      </c>
    </row>
    <row r="35" spans="1:19" s="16" customFormat="1" x14ac:dyDescent="0.25">
      <c r="A35" s="47">
        <v>31</v>
      </c>
      <c r="B35" s="33">
        <v>2238</v>
      </c>
      <c r="C35" s="9" t="s">
        <v>23</v>
      </c>
      <c r="D35" s="195">
        <v>547.29999999999995</v>
      </c>
      <c r="E35" s="192">
        <v>0.25</v>
      </c>
      <c r="F35" s="193">
        <f t="shared" si="1"/>
        <v>136.82499999999999</v>
      </c>
      <c r="G35" s="192">
        <f t="shared" si="2"/>
        <v>136.82499999999999</v>
      </c>
      <c r="H35" s="192">
        <f t="shared" si="0"/>
        <v>0</v>
      </c>
      <c r="I35" s="92">
        <v>1322446</v>
      </c>
      <c r="J35" s="91" t="s">
        <v>109</v>
      </c>
      <c r="K35" s="92" t="s">
        <v>11</v>
      </c>
      <c r="L35" s="92" t="s">
        <v>47</v>
      </c>
      <c r="M35" s="8">
        <v>98882280</v>
      </c>
      <c r="N35" s="78">
        <v>45810</v>
      </c>
    </row>
    <row r="36" spans="1:19" x14ac:dyDescent="0.25">
      <c r="A36" s="259">
        <v>31</v>
      </c>
      <c r="B36" s="260">
        <v>2244</v>
      </c>
      <c r="C36" s="203" t="s">
        <v>110</v>
      </c>
      <c r="D36" s="202">
        <v>3590.5</v>
      </c>
      <c r="E36" s="200">
        <v>0.25</v>
      </c>
      <c r="F36" s="201">
        <f t="shared" si="1"/>
        <v>897.625</v>
      </c>
      <c r="G36" s="192">
        <f t="shared" si="2"/>
        <v>897.625</v>
      </c>
      <c r="H36" s="200">
        <f t="shared" ref="H36:H67" si="3">F36-G36</f>
        <v>0</v>
      </c>
      <c r="I36" s="199">
        <v>5474148</v>
      </c>
      <c r="J36" s="198" t="s">
        <v>111</v>
      </c>
      <c r="K36" s="197" t="s">
        <v>11</v>
      </c>
      <c r="L36" s="197" t="s">
        <v>47</v>
      </c>
      <c r="M36" s="196">
        <v>99092789</v>
      </c>
      <c r="N36" t="s">
        <v>315</v>
      </c>
      <c r="S36" s="256">
        <v>45664</v>
      </c>
    </row>
    <row r="37" spans="1:19" x14ac:dyDescent="0.25">
      <c r="A37" s="47">
        <v>31</v>
      </c>
      <c r="B37" s="33">
        <v>2245</v>
      </c>
      <c r="C37" s="9" t="s">
        <v>112</v>
      </c>
      <c r="D37" s="195">
        <v>1701.3</v>
      </c>
      <c r="E37" s="192">
        <v>0.25</v>
      </c>
      <c r="F37" s="193">
        <f t="shared" ref="F37:F68" si="4">E37*D37</f>
        <v>425.32499999999999</v>
      </c>
      <c r="G37" s="192">
        <f t="shared" si="2"/>
        <v>425.32499999999999</v>
      </c>
      <c r="H37" s="192">
        <f t="shared" si="3"/>
        <v>0</v>
      </c>
      <c r="I37" s="77">
        <v>925058</v>
      </c>
      <c r="J37" s="89" t="s">
        <v>113</v>
      </c>
      <c r="K37" s="90" t="s">
        <v>14</v>
      </c>
      <c r="L37" s="90" t="s">
        <v>55</v>
      </c>
      <c r="M37" s="14">
        <v>95048614</v>
      </c>
      <c r="N37" s="256">
        <v>45684</v>
      </c>
    </row>
    <row r="38" spans="1:19" x14ac:dyDescent="0.25">
      <c r="A38" s="47">
        <v>31</v>
      </c>
      <c r="B38" s="33">
        <v>2250</v>
      </c>
      <c r="C38" s="9" t="s">
        <v>114</v>
      </c>
      <c r="D38" s="195">
        <v>554.29999999999995</v>
      </c>
      <c r="E38" s="192">
        <v>0.25</v>
      </c>
      <c r="F38" s="193">
        <f t="shared" si="4"/>
        <v>138.57499999999999</v>
      </c>
      <c r="G38" s="192">
        <f t="shared" si="2"/>
        <v>138.57499999999999</v>
      </c>
      <c r="H38" s="192">
        <f t="shared" si="3"/>
        <v>0</v>
      </c>
      <c r="I38" s="77">
        <v>10206245</v>
      </c>
      <c r="J38" s="89" t="s">
        <v>115</v>
      </c>
      <c r="K38" s="90" t="s">
        <v>11</v>
      </c>
      <c r="L38" s="90" t="s">
        <v>47</v>
      </c>
      <c r="M38" s="14">
        <v>90666623</v>
      </c>
      <c r="N38" s="256">
        <v>45690</v>
      </c>
    </row>
    <row r="39" spans="1:19" x14ac:dyDescent="0.25">
      <c r="A39" s="7">
        <v>31</v>
      </c>
      <c r="B39" s="33">
        <v>2252</v>
      </c>
      <c r="C39" s="9" t="s">
        <v>33</v>
      </c>
      <c r="D39" s="195">
        <v>1720.5</v>
      </c>
      <c r="E39" s="192">
        <v>0.25</v>
      </c>
      <c r="F39" s="193">
        <f t="shared" si="4"/>
        <v>430.125</v>
      </c>
      <c r="G39" s="192">
        <f t="shared" si="2"/>
        <v>430.125</v>
      </c>
      <c r="H39" s="192">
        <f t="shared" si="3"/>
        <v>0</v>
      </c>
      <c r="I39" s="77">
        <v>1133208</v>
      </c>
      <c r="J39" s="91" t="s">
        <v>116</v>
      </c>
      <c r="K39" s="92" t="s">
        <v>81</v>
      </c>
      <c r="L39" s="92" t="s">
        <v>82</v>
      </c>
      <c r="M39" s="12">
        <v>92817678</v>
      </c>
      <c r="N39" s="78">
        <v>45685</v>
      </c>
    </row>
    <row r="40" spans="1:19" x14ac:dyDescent="0.25">
      <c r="A40" s="47">
        <v>31</v>
      </c>
      <c r="B40" s="33">
        <v>2267</v>
      </c>
      <c r="C40" s="57" t="s">
        <v>117</v>
      </c>
      <c r="D40" s="195">
        <v>1982.3</v>
      </c>
      <c r="E40" s="192">
        <v>0.25</v>
      </c>
      <c r="F40" s="193">
        <f t="shared" si="4"/>
        <v>495.57499999999999</v>
      </c>
      <c r="G40" s="192">
        <f t="shared" si="2"/>
        <v>495.57499999999999</v>
      </c>
      <c r="H40" s="192">
        <f t="shared" si="3"/>
        <v>0</v>
      </c>
      <c r="I40" s="77">
        <v>18700662</v>
      </c>
      <c r="J40" s="89" t="s">
        <v>118</v>
      </c>
      <c r="K40" s="90" t="s">
        <v>11</v>
      </c>
      <c r="L40" s="90" t="s">
        <v>47</v>
      </c>
      <c r="M40" s="14">
        <v>91106550</v>
      </c>
      <c r="N40" s="78">
        <v>45685</v>
      </c>
    </row>
    <row r="41" spans="1:19" x14ac:dyDescent="0.25">
      <c r="A41" s="7">
        <v>31</v>
      </c>
      <c r="B41" s="17">
        <v>2281</v>
      </c>
      <c r="C41" s="18" t="s">
        <v>119</v>
      </c>
      <c r="D41" s="188">
        <v>1069.8</v>
      </c>
      <c r="E41" s="187">
        <v>0.25</v>
      </c>
      <c r="F41" s="189">
        <f t="shared" si="4"/>
        <v>267.45</v>
      </c>
      <c r="G41" s="192">
        <f t="shared" si="2"/>
        <v>267.45</v>
      </c>
      <c r="H41" s="187">
        <f t="shared" si="3"/>
        <v>0</v>
      </c>
      <c r="I41" s="90">
        <v>2166167</v>
      </c>
      <c r="J41" s="89" t="s">
        <v>120</v>
      </c>
      <c r="K41" s="90" t="s">
        <v>11</v>
      </c>
      <c r="L41" s="90" t="s">
        <v>47</v>
      </c>
      <c r="M41" s="13">
        <v>99090486</v>
      </c>
    </row>
    <row r="42" spans="1:19" x14ac:dyDescent="0.25">
      <c r="A42" s="7">
        <v>31</v>
      </c>
      <c r="B42" s="17">
        <v>2285</v>
      </c>
      <c r="C42" s="18" t="s">
        <v>12</v>
      </c>
      <c r="D42" s="188">
        <v>1617</v>
      </c>
      <c r="E42" s="187">
        <v>0.25</v>
      </c>
      <c r="F42" s="189">
        <f t="shared" si="4"/>
        <v>404.25</v>
      </c>
      <c r="G42" s="192">
        <f t="shared" si="2"/>
        <v>404.25</v>
      </c>
      <c r="H42" s="187">
        <f t="shared" si="3"/>
        <v>0</v>
      </c>
      <c r="I42" s="90">
        <v>21077904</v>
      </c>
      <c r="J42" s="89" t="s">
        <v>121</v>
      </c>
      <c r="K42" s="90" t="s">
        <v>14</v>
      </c>
      <c r="L42" s="90" t="s">
        <v>55</v>
      </c>
      <c r="M42" s="13">
        <v>92930610</v>
      </c>
    </row>
    <row r="43" spans="1:19" x14ac:dyDescent="0.25">
      <c r="A43" s="47">
        <v>31</v>
      </c>
      <c r="B43" s="33">
        <v>2294</v>
      </c>
      <c r="C43" s="9" t="s">
        <v>122</v>
      </c>
      <c r="D43" s="195">
        <v>4831.7</v>
      </c>
      <c r="E43" s="192">
        <v>0.25</v>
      </c>
      <c r="F43" s="193">
        <f t="shared" si="4"/>
        <v>1207.925</v>
      </c>
      <c r="G43" s="192">
        <f t="shared" si="2"/>
        <v>1207.925</v>
      </c>
      <c r="H43" s="192">
        <f t="shared" si="3"/>
        <v>0</v>
      </c>
      <c r="I43" s="77">
        <v>1917308</v>
      </c>
      <c r="J43" s="89" t="s">
        <v>123</v>
      </c>
      <c r="K43" s="90" t="s">
        <v>14</v>
      </c>
      <c r="L43" s="90" t="s">
        <v>55</v>
      </c>
      <c r="M43" s="14">
        <v>95878499</v>
      </c>
      <c r="N43" s="78" t="s">
        <v>329</v>
      </c>
      <c r="O43" t="s">
        <v>331</v>
      </c>
    </row>
    <row r="44" spans="1:19" x14ac:dyDescent="0.25">
      <c r="A44" s="47">
        <v>31</v>
      </c>
      <c r="B44" s="33">
        <v>2297</v>
      </c>
      <c r="C44" s="9" t="s">
        <v>124</v>
      </c>
      <c r="D44" s="195">
        <v>2370</v>
      </c>
      <c r="E44" s="192">
        <v>0.25</v>
      </c>
      <c r="F44" s="193">
        <f t="shared" si="4"/>
        <v>592.5</v>
      </c>
      <c r="G44" s="192">
        <f t="shared" si="2"/>
        <v>592.5</v>
      </c>
      <c r="H44" s="192">
        <f t="shared" si="3"/>
        <v>0</v>
      </c>
      <c r="I44" s="77">
        <v>19351695</v>
      </c>
      <c r="J44" s="89" t="s">
        <v>125</v>
      </c>
      <c r="K44" s="90" t="s">
        <v>11</v>
      </c>
      <c r="L44" s="90" t="s">
        <v>47</v>
      </c>
      <c r="M44" s="14"/>
      <c r="N44" s="78">
        <v>45677</v>
      </c>
      <c r="O44" s="256">
        <v>45779</v>
      </c>
    </row>
    <row r="45" spans="1:19" x14ac:dyDescent="0.25">
      <c r="A45" s="7">
        <v>31</v>
      </c>
      <c r="B45" s="17">
        <v>2298</v>
      </c>
      <c r="C45" s="18" t="s">
        <v>126</v>
      </c>
      <c r="D45" s="188">
        <v>2890.7</v>
      </c>
      <c r="E45" s="187">
        <v>0.25</v>
      </c>
      <c r="F45" s="189">
        <f t="shared" si="4"/>
        <v>722.67499999999995</v>
      </c>
      <c r="G45" s="192">
        <f t="shared" si="2"/>
        <v>722.67499999999995</v>
      </c>
      <c r="H45" s="187">
        <f t="shared" si="3"/>
        <v>0</v>
      </c>
      <c r="I45" s="88">
        <v>6681518</v>
      </c>
      <c r="J45" s="89" t="s">
        <v>127</v>
      </c>
      <c r="K45" s="90" t="s">
        <v>14</v>
      </c>
      <c r="L45" s="90" t="s">
        <v>55</v>
      </c>
      <c r="M45" s="14">
        <v>99125223</v>
      </c>
    </row>
    <row r="46" spans="1:19" x14ac:dyDescent="0.25">
      <c r="A46" s="7">
        <v>31</v>
      </c>
      <c r="B46" s="17">
        <v>2300</v>
      </c>
      <c r="C46" s="18" t="s">
        <v>128</v>
      </c>
      <c r="D46" s="188">
        <v>1065.2</v>
      </c>
      <c r="E46" s="187">
        <v>0.25</v>
      </c>
      <c r="F46" s="189">
        <f t="shared" si="4"/>
        <v>266.3</v>
      </c>
      <c r="G46" s="192">
        <f t="shared" si="2"/>
        <v>266.3</v>
      </c>
      <c r="H46" s="187">
        <f t="shared" si="3"/>
        <v>0</v>
      </c>
      <c r="I46" s="88">
        <v>447833</v>
      </c>
      <c r="J46" s="89" t="s">
        <v>129</v>
      </c>
      <c r="K46" s="90" t="s">
        <v>81</v>
      </c>
      <c r="L46" s="90" t="s">
        <v>82</v>
      </c>
      <c r="M46" s="14">
        <v>92005673</v>
      </c>
    </row>
    <row r="47" spans="1:19" x14ac:dyDescent="0.25">
      <c r="A47" s="47">
        <v>31</v>
      </c>
      <c r="B47" s="33">
        <v>2301</v>
      </c>
      <c r="C47" s="9" t="s">
        <v>130</v>
      </c>
      <c r="D47" s="195">
        <v>1506.1</v>
      </c>
      <c r="E47" s="192">
        <v>0.25</v>
      </c>
      <c r="F47" s="193">
        <f t="shared" si="4"/>
        <v>376.52499999999998</v>
      </c>
      <c r="G47" s="192">
        <f t="shared" si="2"/>
        <v>376.52499999999998</v>
      </c>
      <c r="H47" s="192">
        <f t="shared" si="3"/>
        <v>0</v>
      </c>
      <c r="I47" s="77">
        <v>23600713</v>
      </c>
      <c r="J47" s="91" t="s">
        <v>131</v>
      </c>
      <c r="K47" s="92" t="s">
        <v>132</v>
      </c>
      <c r="L47" s="92" t="s">
        <v>133</v>
      </c>
      <c r="M47" s="12">
        <v>92930610</v>
      </c>
      <c r="N47" s="78">
        <v>45677</v>
      </c>
    </row>
    <row r="48" spans="1:19" x14ac:dyDescent="0.25">
      <c r="A48" s="7">
        <v>31</v>
      </c>
      <c r="B48" s="17">
        <v>2302</v>
      </c>
      <c r="C48" s="18" t="s">
        <v>134</v>
      </c>
      <c r="D48" s="188">
        <v>294.39999999999998</v>
      </c>
      <c r="E48" s="187">
        <v>0.25</v>
      </c>
      <c r="F48" s="189">
        <f t="shared" si="4"/>
        <v>73.599999999999994</v>
      </c>
      <c r="G48" s="192">
        <f t="shared" si="2"/>
        <v>73.599999999999994</v>
      </c>
      <c r="H48" s="187">
        <f t="shared" si="3"/>
        <v>0</v>
      </c>
      <c r="I48" s="88">
        <v>20260365</v>
      </c>
      <c r="J48" s="104" t="s">
        <v>135</v>
      </c>
      <c r="K48" s="90" t="s">
        <v>81</v>
      </c>
      <c r="L48" s="90" t="s">
        <v>82</v>
      </c>
      <c r="M48" s="14">
        <v>99125223</v>
      </c>
    </row>
    <row r="49" spans="1:14" x14ac:dyDescent="0.25">
      <c r="A49" s="7">
        <v>31</v>
      </c>
      <c r="B49" s="17">
        <v>2303</v>
      </c>
      <c r="C49" s="18" t="s">
        <v>13</v>
      </c>
      <c r="D49" s="188">
        <v>1032.7</v>
      </c>
      <c r="E49" s="187">
        <v>0.25</v>
      </c>
      <c r="F49" s="189">
        <f t="shared" si="4"/>
        <v>258.17500000000001</v>
      </c>
      <c r="G49" s="192">
        <f t="shared" si="2"/>
        <v>258.17500000000001</v>
      </c>
      <c r="H49" s="187">
        <f t="shared" si="3"/>
        <v>0</v>
      </c>
      <c r="I49" s="88">
        <v>18636198</v>
      </c>
      <c r="J49" s="105" t="s">
        <v>136</v>
      </c>
      <c r="K49" s="90" t="s">
        <v>14</v>
      </c>
      <c r="L49" s="90" t="s">
        <v>47</v>
      </c>
      <c r="M49" s="14">
        <v>92726444</v>
      </c>
    </row>
    <row r="50" spans="1:14" x14ac:dyDescent="0.25">
      <c r="A50" s="7">
        <v>31</v>
      </c>
      <c r="B50" s="17">
        <v>2304</v>
      </c>
      <c r="C50" s="18" t="s">
        <v>24</v>
      </c>
      <c r="D50" s="188">
        <v>507.9</v>
      </c>
      <c r="E50" s="187">
        <v>0.25</v>
      </c>
      <c r="F50" s="189">
        <f t="shared" si="4"/>
        <v>126.97499999999999</v>
      </c>
      <c r="G50" s="192">
        <f t="shared" si="2"/>
        <v>126.97499999999999</v>
      </c>
      <c r="H50" s="187">
        <f t="shared" si="3"/>
        <v>0</v>
      </c>
      <c r="I50" s="88">
        <v>7290532</v>
      </c>
      <c r="J50" s="89" t="s">
        <v>137</v>
      </c>
      <c r="K50" s="90" t="s">
        <v>11</v>
      </c>
      <c r="L50" s="90" t="s">
        <v>47</v>
      </c>
      <c r="M50" s="14">
        <v>95117299</v>
      </c>
    </row>
    <row r="51" spans="1:14" x14ac:dyDescent="0.25">
      <c r="A51" s="7">
        <v>31</v>
      </c>
      <c r="B51" s="17">
        <v>2306</v>
      </c>
      <c r="C51" s="18" t="s">
        <v>34</v>
      </c>
      <c r="D51" s="188">
        <v>705.1</v>
      </c>
      <c r="E51" s="187">
        <v>0.25</v>
      </c>
      <c r="F51" s="189">
        <f t="shared" si="4"/>
        <v>176.27500000000001</v>
      </c>
      <c r="G51" s="192">
        <f t="shared" si="2"/>
        <v>176.27500000000001</v>
      </c>
      <c r="H51" s="187">
        <f t="shared" si="3"/>
        <v>0</v>
      </c>
      <c r="I51" s="90">
        <v>26425746</v>
      </c>
      <c r="J51" s="89" t="s">
        <v>138</v>
      </c>
      <c r="K51" s="90" t="s">
        <v>14</v>
      </c>
      <c r="L51" s="90" t="s">
        <v>55</v>
      </c>
      <c r="M51" s="13">
        <v>99587923</v>
      </c>
    </row>
    <row r="52" spans="1:14" x14ac:dyDescent="0.25">
      <c r="A52" s="7">
        <v>31</v>
      </c>
      <c r="B52" s="17">
        <v>2307</v>
      </c>
      <c r="C52" s="18" t="s">
        <v>139</v>
      </c>
      <c r="D52" s="188">
        <v>2703.2</v>
      </c>
      <c r="E52" s="187">
        <v>0.25</v>
      </c>
      <c r="F52" s="189">
        <f t="shared" si="4"/>
        <v>675.8</v>
      </c>
      <c r="G52" s="192">
        <f t="shared" si="2"/>
        <v>675.8</v>
      </c>
      <c r="H52" s="187">
        <f t="shared" si="3"/>
        <v>0</v>
      </c>
      <c r="I52" s="88">
        <v>1485446</v>
      </c>
      <c r="J52" s="89" t="s">
        <v>140</v>
      </c>
      <c r="K52" s="90" t="s">
        <v>50</v>
      </c>
      <c r="L52" s="90" t="s">
        <v>51</v>
      </c>
      <c r="M52" s="14">
        <v>96405050</v>
      </c>
    </row>
    <row r="53" spans="1:14" x14ac:dyDescent="0.25">
      <c r="A53" s="7">
        <v>31</v>
      </c>
      <c r="B53" s="17">
        <v>2309</v>
      </c>
      <c r="C53" s="18" t="s">
        <v>35</v>
      </c>
      <c r="D53" s="188">
        <v>1129.3</v>
      </c>
      <c r="E53" s="187">
        <v>0.25</v>
      </c>
      <c r="F53" s="189">
        <f t="shared" si="4"/>
        <v>282.32499999999999</v>
      </c>
      <c r="G53" s="192">
        <f t="shared" si="2"/>
        <v>282.32499999999999</v>
      </c>
      <c r="H53" s="187">
        <f t="shared" si="3"/>
        <v>0</v>
      </c>
      <c r="I53" s="90">
        <v>2733875</v>
      </c>
      <c r="J53" s="89" t="s">
        <v>141</v>
      </c>
      <c r="K53" s="90" t="s">
        <v>11</v>
      </c>
      <c r="L53" s="90" t="s">
        <v>47</v>
      </c>
      <c r="M53" s="13">
        <v>99580134</v>
      </c>
    </row>
    <row r="54" spans="1:14" x14ac:dyDescent="0.25">
      <c r="A54" s="7">
        <v>31</v>
      </c>
      <c r="B54" s="17">
        <v>2310</v>
      </c>
      <c r="C54" s="18" t="s">
        <v>142</v>
      </c>
      <c r="D54" s="188">
        <v>4502.2</v>
      </c>
      <c r="E54" s="187">
        <v>0.25</v>
      </c>
      <c r="F54" s="189">
        <f t="shared" si="4"/>
        <v>1125.55</v>
      </c>
      <c r="G54" s="192">
        <f t="shared" si="2"/>
        <v>1125.55</v>
      </c>
      <c r="H54" s="187">
        <f t="shared" si="3"/>
        <v>0</v>
      </c>
      <c r="I54" s="88">
        <v>10612452</v>
      </c>
      <c r="J54" s="89" t="s">
        <v>143</v>
      </c>
      <c r="K54" s="90" t="s">
        <v>11</v>
      </c>
      <c r="L54" s="90" t="s">
        <v>47</v>
      </c>
      <c r="M54" s="14">
        <v>98882353</v>
      </c>
    </row>
    <row r="55" spans="1:14" x14ac:dyDescent="0.25">
      <c r="A55" s="7">
        <v>31</v>
      </c>
      <c r="B55" s="17">
        <v>2311</v>
      </c>
      <c r="C55" s="18" t="s">
        <v>144</v>
      </c>
      <c r="D55" s="188">
        <v>411.7</v>
      </c>
      <c r="E55" s="187">
        <v>0.25</v>
      </c>
      <c r="F55" s="189">
        <f t="shared" si="4"/>
        <v>102.925</v>
      </c>
      <c r="G55" s="192">
        <f t="shared" si="2"/>
        <v>102.925</v>
      </c>
      <c r="H55" s="187">
        <f t="shared" si="3"/>
        <v>0</v>
      </c>
      <c r="I55" s="88">
        <v>14874655</v>
      </c>
      <c r="J55" s="89" t="s">
        <v>145</v>
      </c>
      <c r="K55" s="90" t="s">
        <v>146</v>
      </c>
      <c r="L55" s="90" t="s">
        <v>47</v>
      </c>
      <c r="M55" s="14">
        <v>99580134</v>
      </c>
    </row>
    <row r="56" spans="1:14" s="16" customFormat="1" x14ac:dyDescent="0.25">
      <c r="A56" s="47">
        <v>31</v>
      </c>
      <c r="B56" s="33">
        <v>2312</v>
      </c>
      <c r="C56" s="9" t="s">
        <v>36</v>
      </c>
      <c r="D56" s="195">
        <v>1682.2</v>
      </c>
      <c r="E56" s="192">
        <v>0.25</v>
      </c>
      <c r="F56" s="193">
        <f t="shared" si="4"/>
        <v>420.55</v>
      </c>
      <c r="G56" s="192">
        <f t="shared" si="2"/>
        <v>420.55</v>
      </c>
      <c r="H56" s="192">
        <f t="shared" si="3"/>
        <v>0</v>
      </c>
      <c r="I56" s="92">
        <v>876418</v>
      </c>
      <c r="J56" s="91" t="s">
        <v>148</v>
      </c>
      <c r="K56" s="92" t="s">
        <v>15</v>
      </c>
      <c r="L56" s="92" t="s">
        <v>67</v>
      </c>
      <c r="M56" s="8">
        <v>93340442</v>
      </c>
      <c r="N56" s="78">
        <v>45810</v>
      </c>
    </row>
    <row r="57" spans="1:14" s="16" customFormat="1" x14ac:dyDescent="0.25">
      <c r="A57" s="47">
        <v>31</v>
      </c>
      <c r="B57" s="33">
        <v>2314</v>
      </c>
      <c r="C57" s="9" t="s">
        <v>149</v>
      </c>
      <c r="D57" s="195">
        <v>650</v>
      </c>
      <c r="E57" s="192">
        <v>0.25</v>
      </c>
      <c r="F57" s="193">
        <f t="shared" si="4"/>
        <v>162.5</v>
      </c>
      <c r="G57" s="192">
        <f t="shared" si="2"/>
        <v>162.5</v>
      </c>
      <c r="H57" s="192">
        <f t="shared" si="3"/>
        <v>0</v>
      </c>
      <c r="I57" s="92">
        <v>7032433</v>
      </c>
      <c r="J57" s="91" t="s">
        <v>150</v>
      </c>
      <c r="K57" s="92" t="s">
        <v>11</v>
      </c>
      <c r="L57" s="92" t="s">
        <v>47</v>
      </c>
      <c r="M57" s="8">
        <v>96264331</v>
      </c>
      <c r="N57" s="16" t="s">
        <v>331</v>
      </c>
    </row>
    <row r="58" spans="1:14" x14ac:dyDescent="0.25">
      <c r="A58" s="7">
        <v>31</v>
      </c>
      <c r="B58" s="17">
        <v>2316</v>
      </c>
      <c r="C58" s="18" t="s">
        <v>25</v>
      </c>
      <c r="D58" s="188">
        <v>1507.3</v>
      </c>
      <c r="E58" s="187">
        <v>0.25</v>
      </c>
      <c r="F58" s="189">
        <f t="shared" si="4"/>
        <v>376.82499999999999</v>
      </c>
      <c r="G58" s="192">
        <f t="shared" si="2"/>
        <v>376.82499999999999</v>
      </c>
      <c r="H58" s="187">
        <f t="shared" si="3"/>
        <v>0</v>
      </c>
      <c r="I58" s="88">
        <v>18635847</v>
      </c>
      <c r="J58" s="89" t="s">
        <v>151</v>
      </c>
      <c r="K58" s="90" t="s">
        <v>11</v>
      </c>
      <c r="L58" s="90" t="s">
        <v>47</v>
      </c>
      <c r="M58" s="14">
        <v>92117746</v>
      </c>
    </row>
    <row r="59" spans="1:14" x14ac:dyDescent="0.25">
      <c r="A59" s="7">
        <v>31</v>
      </c>
      <c r="B59" s="33">
        <v>2317</v>
      </c>
      <c r="C59" s="9" t="s">
        <v>152</v>
      </c>
      <c r="D59" s="195">
        <v>1936.8</v>
      </c>
      <c r="E59" s="192">
        <v>0.25</v>
      </c>
      <c r="F59" s="193">
        <f t="shared" si="4"/>
        <v>484.2</v>
      </c>
      <c r="G59" s="192">
        <f t="shared" si="2"/>
        <v>484.2</v>
      </c>
      <c r="H59" s="192">
        <f t="shared" si="3"/>
        <v>0</v>
      </c>
      <c r="I59" s="92">
        <v>18362174</v>
      </c>
      <c r="J59" s="91" t="s">
        <v>153</v>
      </c>
      <c r="K59" s="92" t="s">
        <v>154</v>
      </c>
      <c r="L59" s="92" t="s">
        <v>155</v>
      </c>
      <c r="M59" s="8">
        <v>97503992</v>
      </c>
      <c r="N59" s="78">
        <v>45686</v>
      </c>
    </row>
    <row r="60" spans="1:14" x14ac:dyDescent="0.25">
      <c r="A60" s="7">
        <v>31</v>
      </c>
      <c r="B60" s="17">
        <v>2318</v>
      </c>
      <c r="C60" s="18" t="s">
        <v>156</v>
      </c>
      <c r="D60" s="188">
        <v>1000.4</v>
      </c>
      <c r="E60" s="187">
        <v>0.25</v>
      </c>
      <c r="F60" s="189">
        <f t="shared" si="4"/>
        <v>250.1</v>
      </c>
      <c r="G60" s="192">
        <f t="shared" si="2"/>
        <v>250.1</v>
      </c>
      <c r="H60" s="187">
        <f t="shared" si="3"/>
        <v>0</v>
      </c>
      <c r="I60" s="88">
        <v>218881</v>
      </c>
      <c r="J60" s="89" t="s">
        <v>157</v>
      </c>
      <c r="K60" s="90" t="s">
        <v>11</v>
      </c>
      <c r="L60" s="90" t="s">
        <v>47</v>
      </c>
      <c r="M60" s="14">
        <v>99619074</v>
      </c>
    </row>
    <row r="61" spans="1:14" x14ac:dyDescent="0.25">
      <c r="A61" s="7">
        <v>31</v>
      </c>
      <c r="B61" s="17">
        <v>2319</v>
      </c>
      <c r="C61" s="18" t="s">
        <v>37</v>
      </c>
      <c r="D61" s="188">
        <v>529.29999999999995</v>
      </c>
      <c r="E61" s="187">
        <v>0.25</v>
      </c>
      <c r="F61" s="189">
        <f t="shared" si="4"/>
        <v>132.32499999999999</v>
      </c>
      <c r="G61" s="192">
        <f t="shared" si="2"/>
        <v>132.32499999999999</v>
      </c>
      <c r="H61" s="187">
        <f t="shared" si="3"/>
        <v>0</v>
      </c>
      <c r="I61" s="90">
        <v>5006545</v>
      </c>
      <c r="J61" s="89" t="s">
        <v>158</v>
      </c>
      <c r="K61" s="90" t="s">
        <v>11</v>
      </c>
      <c r="L61" s="90" t="s">
        <v>47</v>
      </c>
      <c r="M61" s="13">
        <v>94079727</v>
      </c>
    </row>
    <row r="62" spans="1:14" x14ac:dyDescent="0.25">
      <c r="A62" s="7">
        <v>31</v>
      </c>
      <c r="B62" s="17">
        <v>2320</v>
      </c>
      <c r="C62" s="18" t="s">
        <v>159</v>
      </c>
      <c r="D62" s="188">
        <v>1304.0999999999999</v>
      </c>
      <c r="E62" s="187">
        <v>0.25</v>
      </c>
      <c r="F62" s="189">
        <f t="shared" si="4"/>
        <v>326.02499999999998</v>
      </c>
      <c r="G62" s="192">
        <f t="shared" si="2"/>
        <v>326.02499999999998</v>
      </c>
      <c r="H62" s="187">
        <f t="shared" si="3"/>
        <v>0</v>
      </c>
      <c r="I62" s="90">
        <v>21957384</v>
      </c>
      <c r="J62" s="89" t="s">
        <v>160</v>
      </c>
      <c r="K62" s="90" t="s">
        <v>11</v>
      </c>
      <c r="L62" s="90" t="s">
        <v>47</v>
      </c>
      <c r="M62" s="13"/>
    </row>
    <row r="63" spans="1:14" x14ac:dyDescent="0.25">
      <c r="A63" s="7">
        <v>31</v>
      </c>
      <c r="B63" s="17">
        <v>2322</v>
      </c>
      <c r="C63" s="18" t="s">
        <v>161</v>
      </c>
      <c r="D63" s="188">
        <v>892.4</v>
      </c>
      <c r="E63" s="187">
        <v>0.25</v>
      </c>
      <c r="F63" s="189">
        <f t="shared" si="4"/>
        <v>223.1</v>
      </c>
      <c r="G63" s="192">
        <f t="shared" si="2"/>
        <v>223.1</v>
      </c>
      <c r="H63" s="187">
        <f t="shared" si="3"/>
        <v>0</v>
      </c>
      <c r="I63" s="90">
        <v>102559</v>
      </c>
      <c r="J63" s="89" t="s">
        <v>162</v>
      </c>
      <c r="K63" s="90" t="s">
        <v>11</v>
      </c>
      <c r="L63" s="90" t="s">
        <v>47</v>
      </c>
      <c r="M63" s="13">
        <v>99486744</v>
      </c>
    </row>
    <row r="64" spans="1:14" x14ac:dyDescent="0.25">
      <c r="A64" s="7">
        <v>31</v>
      </c>
      <c r="B64" s="17">
        <v>2323</v>
      </c>
      <c r="C64" s="18" t="s">
        <v>163</v>
      </c>
      <c r="D64" s="188">
        <v>1118.0999999999999</v>
      </c>
      <c r="E64" s="187">
        <v>0.25</v>
      </c>
      <c r="F64" s="189">
        <f t="shared" si="4"/>
        <v>279.52499999999998</v>
      </c>
      <c r="G64" s="192">
        <f t="shared" si="2"/>
        <v>279.52499999999998</v>
      </c>
      <c r="H64" s="187">
        <f t="shared" si="3"/>
        <v>0</v>
      </c>
      <c r="I64" s="90">
        <v>1235899</v>
      </c>
      <c r="J64" s="89" t="s">
        <v>164</v>
      </c>
      <c r="K64" s="90" t="s">
        <v>14</v>
      </c>
      <c r="L64" s="90" t="s">
        <v>55</v>
      </c>
      <c r="M64" s="13">
        <v>96170087</v>
      </c>
    </row>
    <row r="65" spans="1:15" x14ac:dyDescent="0.25">
      <c r="A65" s="47">
        <v>31</v>
      </c>
      <c r="B65" s="33">
        <v>2324</v>
      </c>
      <c r="C65" s="9" t="s">
        <v>165</v>
      </c>
      <c r="D65" s="195">
        <v>1590.8</v>
      </c>
      <c r="E65" s="192">
        <v>0.25</v>
      </c>
      <c r="F65" s="193">
        <f t="shared" si="4"/>
        <v>397.7</v>
      </c>
      <c r="G65" s="192">
        <f t="shared" si="2"/>
        <v>397.7</v>
      </c>
      <c r="H65" s="192">
        <f t="shared" si="3"/>
        <v>0</v>
      </c>
      <c r="I65" s="77">
        <v>12239373</v>
      </c>
      <c r="J65" s="91" t="s">
        <v>166</v>
      </c>
      <c r="K65" s="92" t="s">
        <v>11</v>
      </c>
      <c r="L65" s="92" t="s">
        <v>47</v>
      </c>
      <c r="M65" s="12">
        <v>99589535</v>
      </c>
      <c r="N65" s="256">
        <v>45670</v>
      </c>
      <c r="O65" s="256">
        <v>45690</v>
      </c>
    </row>
    <row r="66" spans="1:15" x14ac:dyDescent="0.25">
      <c r="A66" s="47">
        <v>31</v>
      </c>
      <c r="B66" s="33">
        <v>2325</v>
      </c>
      <c r="C66" s="9" t="s">
        <v>167</v>
      </c>
      <c r="D66" s="195">
        <v>1712.2</v>
      </c>
      <c r="E66" s="192">
        <v>0.25</v>
      </c>
      <c r="F66" s="193">
        <f t="shared" si="4"/>
        <v>428.05</v>
      </c>
      <c r="G66" s="192">
        <f t="shared" si="2"/>
        <v>428.05</v>
      </c>
      <c r="H66" s="192">
        <f t="shared" si="3"/>
        <v>0</v>
      </c>
      <c r="I66" s="77">
        <v>3802037</v>
      </c>
      <c r="J66" s="89" t="s">
        <v>168</v>
      </c>
      <c r="K66" s="90" t="s">
        <v>11</v>
      </c>
      <c r="L66" s="90" t="s">
        <v>47</v>
      </c>
      <c r="M66" s="14">
        <v>99481404</v>
      </c>
      <c r="N66" s="256">
        <v>45679</v>
      </c>
    </row>
    <row r="67" spans="1:15" x14ac:dyDescent="0.25">
      <c r="A67" s="47">
        <v>31</v>
      </c>
      <c r="B67" s="33">
        <v>2327</v>
      </c>
      <c r="C67" s="9" t="s">
        <v>169</v>
      </c>
      <c r="D67" s="195">
        <v>545.70000000000005</v>
      </c>
      <c r="E67" s="192">
        <v>0.25</v>
      </c>
      <c r="F67" s="193">
        <f t="shared" si="4"/>
        <v>136.42500000000001</v>
      </c>
      <c r="G67" s="192">
        <f t="shared" si="2"/>
        <v>136.42500000000001</v>
      </c>
      <c r="H67" s="192">
        <f t="shared" si="3"/>
        <v>0</v>
      </c>
      <c r="I67" s="92">
        <v>7568982</v>
      </c>
      <c r="J67" s="91" t="s">
        <v>170</v>
      </c>
      <c r="K67" s="92" t="s">
        <v>11</v>
      </c>
      <c r="L67" s="92" t="s">
        <v>47</v>
      </c>
      <c r="M67" s="8">
        <v>99496653</v>
      </c>
      <c r="N67" s="78">
        <v>45690</v>
      </c>
    </row>
    <row r="68" spans="1:15" x14ac:dyDescent="0.25">
      <c r="A68" s="7">
        <v>31</v>
      </c>
      <c r="B68" s="17">
        <v>2329</v>
      </c>
      <c r="C68" s="18" t="s">
        <v>171</v>
      </c>
      <c r="D68" s="188">
        <v>1097</v>
      </c>
      <c r="E68" s="187">
        <v>0.25</v>
      </c>
      <c r="F68" s="189">
        <f t="shared" si="4"/>
        <v>274.25</v>
      </c>
      <c r="G68" s="192">
        <f t="shared" si="2"/>
        <v>274.25</v>
      </c>
      <c r="H68" s="187">
        <f t="shared" ref="H68:H99" si="5">F68-G68</f>
        <v>0</v>
      </c>
      <c r="I68" s="88">
        <v>500599</v>
      </c>
      <c r="J68" s="89" t="s">
        <v>172</v>
      </c>
      <c r="K68" s="90" t="s">
        <v>11</v>
      </c>
      <c r="L68" s="90" t="s">
        <v>47</v>
      </c>
      <c r="M68" s="14">
        <v>99435565</v>
      </c>
    </row>
    <row r="69" spans="1:15" x14ac:dyDescent="0.25">
      <c r="A69" s="7">
        <v>31</v>
      </c>
      <c r="B69" s="17">
        <v>2331</v>
      </c>
      <c r="C69" s="18" t="s">
        <v>173</v>
      </c>
      <c r="D69" s="188">
        <v>1151.7</v>
      </c>
      <c r="E69" s="187">
        <v>0.25</v>
      </c>
      <c r="F69" s="189">
        <f t="shared" ref="F69:F100" si="6">E69*D69</f>
        <v>287.92500000000001</v>
      </c>
      <c r="G69" s="192">
        <f t="shared" ref="G69:G132" si="7">F69</f>
        <v>287.92500000000001</v>
      </c>
      <c r="H69" s="187">
        <f t="shared" si="5"/>
        <v>0</v>
      </c>
      <c r="I69" s="88">
        <v>574696</v>
      </c>
      <c r="J69" s="89" t="s">
        <v>174</v>
      </c>
      <c r="K69" s="90" t="s">
        <v>14</v>
      </c>
      <c r="L69" s="90" t="s">
        <v>55</v>
      </c>
      <c r="M69" s="14">
        <v>92556868</v>
      </c>
    </row>
    <row r="70" spans="1:15" x14ac:dyDescent="0.25">
      <c r="A70" s="7">
        <v>31</v>
      </c>
      <c r="B70" s="17">
        <v>2332</v>
      </c>
      <c r="C70" s="18" t="s">
        <v>175</v>
      </c>
      <c r="D70" s="188">
        <v>3079.9</v>
      </c>
      <c r="E70" s="187">
        <v>0.25</v>
      </c>
      <c r="F70" s="189">
        <f t="shared" si="6"/>
        <v>769.97500000000002</v>
      </c>
      <c r="G70" s="192">
        <f t="shared" si="7"/>
        <v>769.97500000000002</v>
      </c>
      <c r="H70" s="187">
        <f t="shared" si="5"/>
        <v>0</v>
      </c>
      <c r="I70" s="88">
        <v>1409668</v>
      </c>
      <c r="J70" s="89" t="s">
        <v>176</v>
      </c>
      <c r="K70" s="90" t="s">
        <v>11</v>
      </c>
      <c r="L70" s="90" t="s">
        <v>47</v>
      </c>
      <c r="M70" s="14">
        <v>99493202</v>
      </c>
    </row>
    <row r="71" spans="1:15" x14ac:dyDescent="0.25">
      <c r="A71" s="7">
        <v>31</v>
      </c>
      <c r="B71" s="17">
        <v>2333</v>
      </c>
      <c r="C71" s="18" t="s">
        <v>177</v>
      </c>
      <c r="D71" s="188">
        <v>1118.0999999999999</v>
      </c>
      <c r="E71" s="189">
        <v>0.25</v>
      </c>
      <c r="F71" s="189">
        <f t="shared" si="6"/>
        <v>279.52499999999998</v>
      </c>
      <c r="G71" s="192">
        <f t="shared" si="7"/>
        <v>279.52499999999998</v>
      </c>
      <c r="H71" s="187">
        <f t="shared" si="5"/>
        <v>0</v>
      </c>
      <c r="I71" s="93">
        <v>732042</v>
      </c>
      <c r="J71" s="95" t="s">
        <v>178</v>
      </c>
      <c r="K71" s="94" t="s">
        <v>11</v>
      </c>
      <c r="L71" s="94" t="s">
        <v>47</v>
      </c>
      <c r="M71" s="38">
        <v>92551330</v>
      </c>
    </row>
    <row r="72" spans="1:15" x14ac:dyDescent="0.25">
      <c r="A72" s="47">
        <v>31</v>
      </c>
      <c r="B72" s="33">
        <v>2334</v>
      </c>
      <c r="C72" s="9" t="s">
        <v>38</v>
      </c>
      <c r="D72" s="195">
        <v>1676.4</v>
      </c>
      <c r="E72" s="193">
        <v>0.25</v>
      </c>
      <c r="F72" s="193">
        <f t="shared" si="6"/>
        <v>419.1</v>
      </c>
      <c r="G72" s="192">
        <f t="shared" si="7"/>
        <v>419.1</v>
      </c>
      <c r="H72" s="192">
        <f t="shared" si="5"/>
        <v>0</v>
      </c>
      <c r="I72" s="109">
        <v>390755</v>
      </c>
      <c r="J72" s="91" t="s">
        <v>179</v>
      </c>
      <c r="K72" s="92" t="s">
        <v>11</v>
      </c>
      <c r="L72" s="92" t="s">
        <v>47</v>
      </c>
      <c r="M72" s="36">
        <v>99488361</v>
      </c>
      <c r="N72" s="78">
        <v>45718</v>
      </c>
    </row>
    <row r="73" spans="1:15" x14ac:dyDescent="0.25">
      <c r="A73" s="7">
        <v>31</v>
      </c>
      <c r="B73" s="17">
        <v>2335</v>
      </c>
      <c r="C73" s="18" t="s">
        <v>180</v>
      </c>
      <c r="D73" s="188">
        <v>1132.2</v>
      </c>
      <c r="E73" s="189">
        <v>0.25</v>
      </c>
      <c r="F73" s="189">
        <f t="shared" si="6"/>
        <v>283.05</v>
      </c>
      <c r="G73" s="192">
        <f t="shared" si="7"/>
        <v>283.05</v>
      </c>
      <c r="H73" s="187">
        <f t="shared" si="5"/>
        <v>0</v>
      </c>
      <c r="I73" s="93">
        <v>6221853</v>
      </c>
      <c r="J73" s="95" t="s">
        <v>181</v>
      </c>
      <c r="K73" s="94" t="s">
        <v>11</v>
      </c>
      <c r="L73" s="94" t="s">
        <v>47</v>
      </c>
      <c r="M73" s="38">
        <v>99807670</v>
      </c>
    </row>
    <row r="74" spans="1:15" s="137" customFormat="1" x14ac:dyDescent="0.25">
      <c r="A74" s="127">
        <v>31</v>
      </c>
      <c r="B74" s="134">
        <v>2336</v>
      </c>
      <c r="C74" s="129" t="s">
        <v>39</v>
      </c>
      <c r="D74" s="211">
        <v>1084.3</v>
      </c>
      <c r="E74" s="218">
        <v>0.25</v>
      </c>
      <c r="F74" s="218">
        <f t="shared" si="6"/>
        <v>271.07499999999999</v>
      </c>
      <c r="G74" s="192">
        <f t="shared" si="7"/>
        <v>271.07499999999999</v>
      </c>
      <c r="H74" s="212">
        <f t="shared" si="5"/>
        <v>0</v>
      </c>
      <c r="I74" s="161">
        <v>380513</v>
      </c>
      <c r="J74" s="162" t="s">
        <v>182</v>
      </c>
      <c r="K74" s="163" t="s">
        <v>11</v>
      </c>
      <c r="L74" s="163" t="s">
        <v>47</v>
      </c>
      <c r="M74" s="164">
        <v>99490146</v>
      </c>
      <c r="N74" s="166" t="s">
        <v>327</v>
      </c>
    </row>
    <row r="75" spans="1:15" x14ac:dyDescent="0.25">
      <c r="A75" s="7">
        <v>31</v>
      </c>
      <c r="B75" s="17">
        <v>2337</v>
      </c>
      <c r="C75" s="18" t="s">
        <v>183</v>
      </c>
      <c r="D75" s="188">
        <v>552.70000000000005</v>
      </c>
      <c r="E75" s="189">
        <v>0.25</v>
      </c>
      <c r="F75" s="189">
        <f t="shared" si="6"/>
        <v>138.17500000000001</v>
      </c>
      <c r="G75" s="192">
        <f t="shared" si="7"/>
        <v>138.17500000000001</v>
      </c>
      <c r="H75" s="187">
        <f t="shared" si="5"/>
        <v>0</v>
      </c>
      <c r="I75" s="94">
        <v>813786</v>
      </c>
      <c r="J75" s="95" t="s">
        <v>184</v>
      </c>
      <c r="K75" s="94" t="s">
        <v>11</v>
      </c>
      <c r="L75" s="94" t="s">
        <v>47</v>
      </c>
      <c r="M75" s="17">
        <v>99293129</v>
      </c>
    </row>
    <row r="76" spans="1:15" x14ac:dyDescent="0.25">
      <c r="A76" s="7">
        <v>31</v>
      </c>
      <c r="B76" s="17">
        <v>2338</v>
      </c>
      <c r="C76" s="18" t="s">
        <v>185</v>
      </c>
      <c r="D76" s="188">
        <v>500.1</v>
      </c>
      <c r="E76" s="189">
        <v>0.25</v>
      </c>
      <c r="F76" s="189">
        <f t="shared" si="6"/>
        <v>125.02500000000001</v>
      </c>
      <c r="G76" s="192">
        <f t="shared" si="7"/>
        <v>125.02500000000001</v>
      </c>
      <c r="H76" s="187">
        <f t="shared" si="5"/>
        <v>0</v>
      </c>
      <c r="I76" s="93">
        <v>902553</v>
      </c>
      <c r="J76" s="95" t="s">
        <v>186</v>
      </c>
      <c r="K76" s="94" t="s">
        <v>11</v>
      </c>
      <c r="L76" s="94" t="s">
        <v>47</v>
      </c>
      <c r="M76" s="38">
        <v>90837777</v>
      </c>
    </row>
    <row r="77" spans="1:15" s="16" customFormat="1" x14ac:dyDescent="0.25">
      <c r="A77" s="47">
        <v>31</v>
      </c>
      <c r="B77" s="33">
        <v>2342</v>
      </c>
      <c r="C77" s="9" t="s">
        <v>40</v>
      </c>
      <c r="D77" s="195">
        <v>387.7</v>
      </c>
      <c r="E77" s="193">
        <v>0.25</v>
      </c>
      <c r="F77" s="193">
        <f t="shared" si="6"/>
        <v>96.924999999999997</v>
      </c>
      <c r="G77" s="192">
        <f t="shared" si="7"/>
        <v>96.924999999999997</v>
      </c>
      <c r="H77" s="192">
        <f t="shared" si="5"/>
        <v>0</v>
      </c>
      <c r="I77" s="109">
        <v>6107751</v>
      </c>
      <c r="J77" s="110" t="s">
        <v>187</v>
      </c>
      <c r="K77" s="111" t="s">
        <v>16</v>
      </c>
      <c r="L77" s="111" t="s">
        <v>47</v>
      </c>
      <c r="M77" s="36">
        <v>97191244</v>
      </c>
      <c r="N77" s="78">
        <v>45963</v>
      </c>
    </row>
    <row r="78" spans="1:15" x14ac:dyDescent="0.25">
      <c r="A78" s="7">
        <v>31</v>
      </c>
      <c r="B78" s="17">
        <v>2344</v>
      </c>
      <c r="C78" s="18" t="s">
        <v>188</v>
      </c>
      <c r="D78" s="188">
        <v>3273.2</v>
      </c>
      <c r="E78" s="189">
        <v>0.25</v>
      </c>
      <c r="F78" s="189">
        <f t="shared" si="6"/>
        <v>818.3</v>
      </c>
      <c r="G78" s="192">
        <f t="shared" si="7"/>
        <v>818.3</v>
      </c>
      <c r="H78" s="187">
        <f t="shared" si="5"/>
        <v>0</v>
      </c>
      <c r="I78" s="93">
        <v>1071884</v>
      </c>
      <c r="J78" s="95" t="s">
        <v>189</v>
      </c>
      <c r="K78" s="94" t="s">
        <v>14</v>
      </c>
      <c r="L78" s="94" t="s">
        <v>55</v>
      </c>
      <c r="M78" s="38">
        <v>99480379</v>
      </c>
    </row>
    <row r="79" spans="1:15" x14ac:dyDescent="0.25">
      <c r="A79" s="7">
        <v>31</v>
      </c>
      <c r="B79" s="17">
        <v>2345</v>
      </c>
      <c r="C79" s="18" t="s">
        <v>41</v>
      </c>
      <c r="D79" s="188">
        <v>1381.9</v>
      </c>
      <c r="E79" s="189">
        <v>0.25</v>
      </c>
      <c r="F79" s="189">
        <f t="shared" si="6"/>
        <v>345.47500000000002</v>
      </c>
      <c r="G79" s="192">
        <f t="shared" si="7"/>
        <v>345.47500000000002</v>
      </c>
      <c r="H79" s="187">
        <f t="shared" si="5"/>
        <v>0</v>
      </c>
      <c r="I79" s="93">
        <v>1298574</v>
      </c>
      <c r="J79" s="95" t="s">
        <v>190</v>
      </c>
      <c r="K79" s="94" t="s">
        <v>14</v>
      </c>
      <c r="L79" s="94" t="s">
        <v>55</v>
      </c>
      <c r="M79" s="38">
        <v>99299199</v>
      </c>
    </row>
    <row r="80" spans="1:15" x14ac:dyDescent="0.25">
      <c r="A80" s="7">
        <v>31</v>
      </c>
      <c r="B80" s="17">
        <v>2346</v>
      </c>
      <c r="C80" s="18" t="s">
        <v>191</v>
      </c>
      <c r="D80" s="188">
        <v>544.79999999999995</v>
      </c>
      <c r="E80" s="189">
        <v>0.25</v>
      </c>
      <c r="F80" s="189">
        <f t="shared" si="6"/>
        <v>136.19999999999999</v>
      </c>
      <c r="G80" s="192">
        <f t="shared" si="7"/>
        <v>136.19999999999999</v>
      </c>
      <c r="H80" s="187">
        <f t="shared" si="5"/>
        <v>0</v>
      </c>
      <c r="I80" s="93">
        <v>26080834</v>
      </c>
      <c r="J80" s="95" t="s">
        <v>192</v>
      </c>
      <c r="K80" s="94" t="s">
        <v>81</v>
      </c>
      <c r="L80" s="94" t="s">
        <v>82</v>
      </c>
      <c r="M80" s="38">
        <v>98951760</v>
      </c>
    </row>
    <row r="81" spans="1:14" x14ac:dyDescent="0.25">
      <c r="A81" s="47">
        <v>31</v>
      </c>
      <c r="B81" s="33">
        <v>2347</v>
      </c>
      <c r="C81" s="9" t="s">
        <v>193</v>
      </c>
      <c r="D81" s="195">
        <v>856.6</v>
      </c>
      <c r="E81" s="193">
        <v>0.25</v>
      </c>
      <c r="F81" s="193">
        <f t="shared" si="6"/>
        <v>214.15</v>
      </c>
      <c r="G81" s="192">
        <f t="shared" si="7"/>
        <v>214.15</v>
      </c>
      <c r="H81" s="192">
        <f t="shared" si="5"/>
        <v>0</v>
      </c>
      <c r="I81" s="109">
        <v>3036144</v>
      </c>
      <c r="J81" s="110" t="s">
        <v>194</v>
      </c>
      <c r="K81" s="111" t="s">
        <v>14</v>
      </c>
      <c r="L81" s="111" t="s">
        <v>55</v>
      </c>
      <c r="M81" s="36">
        <v>99487229</v>
      </c>
      <c r="N81" s="78">
        <v>45691</v>
      </c>
    </row>
    <row r="82" spans="1:14" x14ac:dyDescent="0.25">
      <c r="A82" s="7">
        <v>31</v>
      </c>
      <c r="B82" s="17">
        <v>2348</v>
      </c>
      <c r="C82" s="18" t="s">
        <v>195</v>
      </c>
      <c r="D82" s="188">
        <v>1114.5</v>
      </c>
      <c r="E82" s="189">
        <v>0.25</v>
      </c>
      <c r="F82" s="189">
        <f t="shared" si="6"/>
        <v>278.625</v>
      </c>
      <c r="G82" s="192">
        <f t="shared" si="7"/>
        <v>278.625</v>
      </c>
      <c r="H82" s="187">
        <f t="shared" si="5"/>
        <v>0</v>
      </c>
      <c r="I82" s="93">
        <v>25374403</v>
      </c>
      <c r="J82" s="95" t="s">
        <v>196</v>
      </c>
      <c r="K82" s="94" t="s">
        <v>154</v>
      </c>
      <c r="L82" s="94" t="s">
        <v>155</v>
      </c>
      <c r="M82" s="38">
        <v>92474433</v>
      </c>
    </row>
    <row r="83" spans="1:14" s="16" customFormat="1" x14ac:dyDescent="0.25">
      <c r="A83" s="47">
        <v>31</v>
      </c>
      <c r="B83" s="33">
        <v>2350</v>
      </c>
      <c r="C83" s="9" t="s">
        <v>197</v>
      </c>
      <c r="D83" s="195">
        <v>1092.5</v>
      </c>
      <c r="E83" s="193">
        <v>0.25</v>
      </c>
      <c r="F83" s="193">
        <f t="shared" si="6"/>
        <v>273.125</v>
      </c>
      <c r="G83" s="192">
        <f t="shared" si="7"/>
        <v>273.125</v>
      </c>
      <c r="H83" s="192">
        <f t="shared" si="5"/>
        <v>0</v>
      </c>
      <c r="I83" s="109">
        <v>734135</v>
      </c>
      <c r="J83" s="110" t="s">
        <v>198</v>
      </c>
      <c r="K83" s="111" t="s">
        <v>11</v>
      </c>
      <c r="L83" s="111" t="s">
        <v>47</v>
      </c>
      <c r="M83" s="36">
        <v>99327078</v>
      </c>
      <c r="N83" s="16" t="s">
        <v>331</v>
      </c>
    </row>
    <row r="84" spans="1:14" x14ac:dyDescent="0.25">
      <c r="A84" s="7">
        <v>31</v>
      </c>
      <c r="B84" s="17">
        <v>2351</v>
      </c>
      <c r="C84" s="18" t="s">
        <v>199</v>
      </c>
      <c r="D84" s="188">
        <v>432.2</v>
      </c>
      <c r="E84" s="189">
        <v>0.25</v>
      </c>
      <c r="F84" s="189">
        <f t="shared" si="6"/>
        <v>108.05</v>
      </c>
      <c r="G84" s="192">
        <f t="shared" si="7"/>
        <v>108.05</v>
      </c>
      <c r="H84" s="187">
        <f t="shared" si="5"/>
        <v>0</v>
      </c>
      <c r="I84" s="93">
        <v>19521995</v>
      </c>
      <c r="J84" s="95" t="s">
        <v>200</v>
      </c>
      <c r="K84" s="94" t="s">
        <v>50</v>
      </c>
      <c r="L84" s="94" t="s">
        <v>51</v>
      </c>
      <c r="M84" s="38">
        <v>92709981</v>
      </c>
    </row>
    <row r="85" spans="1:14" x14ac:dyDescent="0.25">
      <c r="A85" s="7">
        <v>31</v>
      </c>
      <c r="B85" s="17">
        <v>2353</v>
      </c>
      <c r="C85" s="18" t="s">
        <v>42</v>
      </c>
      <c r="D85" s="188">
        <v>542.70000000000005</v>
      </c>
      <c r="E85" s="189">
        <v>0.25</v>
      </c>
      <c r="F85" s="189">
        <f t="shared" si="6"/>
        <v>135.67500000000001</v>
      </c>
      <c r="G85" s="192">
        <f t="shared" si="7"/>
        <v>135.67500000000001</v>
      </c>
      <c r="H85" s="187">
        <f t="shared" si="5"/>
        <v>0</v>
      </c>
      <c r="I85" s="93">
        <v>2088123</v>
      </c>
      <c r="J85" s="95" t="s">
        <v>201</v>
      </c>
      <c r="K85" s="94" t="s">
        <v>11</v>
      </c>
      <c r="L85" s="94" t="s">
        <v>47</v>
      </c>
      <c r="M85" s="39"/>
    </row>
    <row r="86" spans="1:14" x14ac:dyDescent="0.25">
      <c r="A86" s="7">
        <v>31</v>
      </c>
      <c r="B86" s="17">
        <v>2355</v>
      </c>
      <c r="C86" s="18" t="s">
        <v>202</v>
      </c>
      <c r="D86" s="188">
        <v>1017.2</v>
      </c>
      <c r="E86" s="189">
        <v>0.25</v>
      </c>
      <c r="F86" s="189">
        <f t="shared" si="6"/>
        <v>254.3</v>
      </c>
      <c r="G86" s="192">
        <f t="shared" si="7"/>
        <v>254.3</v>
      </c>
      <c r="H86" s="187">
        <f t="shared" si="5"/>
        <v>0</v>
      </c>
      <c r="I86" s="93">
        <v>1129734</v>
      </c>
      <c r="J86" s="95" t="s">
        <v>203</v>
      </c>
      <c r="K86" s="94" t="s">
        <v>11</v>
      </c>
      <c r="L86" s="94" t="s">
        <v>47</v>
      </c>
      <c r="M86" s="17">
        <v>99481921</v>
      </c>
    </row>
    <row r="87" spans="1:14" x14ac:dyDescent="0.25">
      <c r="A87" s="7">
        <v>31</v>
      </c>
      <c r="B87" s="17">
        <v>2356</v>
      </c>
      <c r="C87" s="18" t="s">
        <v>204</v>
      </c>
      <c r="D87" s="188">
        <v>1207.2</v>
      </c>
      <c r="E87" s="189">
        <v>0.25</v>
      </c>
      <c r="F87" s="189">
        <f t="shared" si="6"/>
        <v>301.8</v>
      </c>
      <c r="G87" s="192">
        <f t="shared" si="7"/>
        <v>301.8</v>
      </c>
      <c r="H87" s="187">
        <f t="shared" si="5"/>
        <v>0</v>
      </c>
      <c r="I87" s="93">
        <v>252996</v>
      </c>
      <c r="J87" s="95" t="s">
        <v>205</v>
      </c>
      <c r="K87" s="94" t="s">
        <v>11</v>
      </c>
      <c r="L87" s="94" t="s">
        <v>47</v>
      </c>
      <c r="M87" s="38">
        <v>99166000</v>
      </c>
    </row>
    <row r="88" spans="1:14" x14ac:dyDescent="0.25">
      <c r="A88" s="7">
        <v>31</v>
      </c>
      <c r="B88" s="17">
        <v>2358</v>
      </c>
      <c r="C88" s="18" t="s">
        <v>206</v>
      </c>
      <c r="D88" s="188">
        <v>571.5</v>
      </c>
      <c r="E88" s="189">
        <v>0.25</v>
      </c>
      <c r="F88" s="189">
        <f t="shared" si="6"/>
        <v>142.875</v>
      </c>
      <c r="G88" s="192">
        <f t="shared" si="7"/>
        <v>142.875</v>
      </c>
      <c r="H88" s="187">
        <f t="shared" si="5"/>
        <v>0</v>
      </c>
      <c r="I88" s="93">
        <v>812235</v>
      </c>
      <c r="J88" s="95" t="s">
        <v>207</v>
      </c>
      <c r="K88" s="94" t="s">
        <v>81</v>
      </c>
      <c r="L88" s="94" t="s">
        <v>82</v>
      </c>
      <c r="M88" s="38">
        <v>99496608</v>
      </c>
    </row>
    <row r="89" spans="1:14" x14ac:dyDescent="0.25">
      <c r="A89" s="47">
        <v>31</v>
      </c>
      <c r="B89" s="33">
        <v>2360</v>
      </c>
      <c r="C89" s="9" t="s">
        <v>208</v>
      </c>
      <c r="D89" s="194">
        <v>1065.5999999999999</v>
      </c>
      <c r="E89" s="193">
        <v>0.25</v>
      </c>
      <c r="F89" s="193">
        <f t="shared" si="6"/>
        <v>266.39999999999998</v>
      </c>
      <c r="G89" s="192">
        <f t="shared" si="7"/>
        <v>266.39999999999998</v>
      </c>
      <c r="H89" s="192">
        <f t="shared" si="5"/>
        <v>0</v>
      </c>
      <c r="I89" s="109">
        <v>6791757</v>
      </c>
      <c r="J89" s="110" t="s">
        <v>209</v>
      </c>
      <c r="K89" s="111" t="s">
        <v>14</v>
      </c>
      <c r="L89" s="111" t="s">
        <v>55</v>
      </c>
      <c r="M89" s="33">
        <v>98960002</v>
      </c>
      <c r="N89" s="78">
        <v>45670</v>
      </c>
    </row>
    <row r="90" spans="1:14" x14ac:dyDescent="0.25">
      <c r="A90" s="7">
        <v>31</v>
      </c>
      <c r="B90" s="17">
        <v>2361</v>
      </c>
      <c r="C90" s="18" t="s">
        <v>210</v>
      </c>
      <c r="D90" s="191">
        <v>1895.1</v>
      </c>
      <c r="E90" s="189">
        <v>0.25</v>
      </c>
      <c r="F90" s="189">
        <f t="shared" si="6"/>
        <v>473.77499999999998</v>
      </c>
      <c r="G90" s="192">
        <f t="shared" si="7"/>
        <v>473.77499999999998</v>
      </c>
      <c r="H90" s="187">
        <f t="shared" si="5"/>
        <v>0</v>
      </c>
      <c r="I90" s="93">
        <v>3083395</v>
      </c>
      <c r="J90" s="95" t="s">
        <v>211</v>
      </c>
      <c r="K90" s="94" t="s">
        <v>11</v>
      </c>
      <c r="L90" s="94" t="s">
        <v>47</v>
      </c>
      <c r="M90" s="38">
        <v>99287760</v>
      </c>
    </row>
    <row r="91" spans="1:14" x14ac:dyDescent="0.25">
      <c r="A91" s="7">
        <v>31</v>
      </c>
      <c r="B91" s="17">
        <v>2362</v>
      </c>
      <c r="C91" s="18" t="s">
        <v>212</v>
      </c>
      <c r="D91" s="191">
        <v>3263.2</v>
      </c>
      <c r="E91" s="189">
        <v>0.25</v>
      </c>
      <c r="F91" s="189">
        <f t="shared" si="6"/>
        <v>815.8</v>
      </c>
      <c r="G91" s="192">
        <f t="shared" si="7"/>
        <v>815.8</v>
      </c>
      <c r="H91" s="187">
        <f t="shared" si="5"/>
        <v>0</v>
      </c>
      <c r="I91" s="93">
        <v>614569</v>
      </c>
      <c r="J91" s="95" t="s">
        <v>213</v>
      </c>
      <c r="K91" s="94" t="s">
        <v>11</v>
      </c>
      <c r="L91" s="94" t="s">
        <v>47</v>
      </c>
      <c r="M91" s="38"/>
    </row>
    <row r="92" spans="1:14" x14ac:dyDescent="0.25">
      <c r="A92" s="7">
        <v>31</v>
      </c>
      <c r="B92" s="17">
        <v>2365</v>
      </c>
      <c r="C92" s="42" t="s">
        <v>214</v>
      </c>
      <c r="D92" s="188">
        <v>2625.9</v>
      </c>
      <c r="E92" s="189">
        <v>0.25</v>
      </c>
      <c r="F92" s="189">
        <f t="shared" si="6"/>
        <v>656.47500000000002</v>
      </c>
      <c r="G92" s="192">
        <f t="shared" si="7"/>
        <v>656.47500000000002</v>
      </c>
      <c r="H92" s="187">
        <f t="shared" si="5"/>
        <v>0</v>
      </c>
      <c r="I92" s="93">
        <v>18164859</v>
      </c>
      <c r="J92" s="95" t="s">
        <v>215</v>
      </c>
      <c r="K92" s="94" t="s">
        <v>14</v>
      </c>
      <c r="L92" s="94" t="s">
        <v>55</v>
      </c>
      <c r="M92" s="39"/>
    </row>
    <row r="93" spans="1:14" s="16" customFormat="1" x14ac:dyDescent="0.25">
      <c r="A93" s="47">
        <v>31</v>
      </c>
      <c r="B93" s="33">
        <v>2366</v>
      </c>
      <c r="C93" s="217" t="s">
        <v>43</v>
      </c>
      <c r="D93" s="194">
        <v>1216.7</v>
      </c>
      <c r="E93" s="193">
        <v>0.25</v>
      </c>
      <c r="F93" s="193">
        <f t="shared" si="6"/>
        <v>304.17500000000001</v>
      </c>
      <c r="G93" s="192">
        <f t="shared" si="7"/>
        <v>304.17500000000001</v>
      </c>
      <c r="H93" s="192">
        <f t="shared" si="5"/>
        <v>0</v>
      </c>
      <c r="I93" s="109">
        <v>5737041</v>
      </c>
      <c r="J93" s="113" t="s">
        <v>216</v>
      </c>
      <c r="K93" s="111" t="s">
        <v>11</v>
      </c>
      <c r="L93" s="111" t="s">
        <v>47</v>
      </c>
      <c r="M93" s="37">
        <v>99298559</v>
      </c>
      <c r="N93" s="78">
        <v>45810</v>
      </c>
    </row>
    <row r="94" spans="1:14" s="16" customFormat="1" x14ac:dyDescent="0.25">
      <c r="A94" s="47">
        <v>31</v>
      </c>
      <c r="B94" s="33">
        <v>2368</v>
      </c>
      <c r="C94" s="34" t="s">
        <v>26</v>
      </c>
      <c r="D94" s="195">
        <v>2741.2</v>
      </c>
      <c r="E94" s="193">
        <v>0.25</v>
      </c>
      <c r="F94" s="193">
        <f t="shared" si="6"/>
        <v>685.3</v>
      </c>
      <c r="G94" s="192">
        <f t="shared" si="7"/>
        <v>685.3</v>
      </c>
      <c r="H94" s="192">
        <f t="shared" si="5"/>
        <v>0</v>
      </c>
      <c r="I94" s="109">
        <v>14028352</v>
      </c>
      <c r="J94" s="110" t="s">
        <v>217</v>
      </c>
      <c r="K94" s="111" t="s">
        <v>11</v>
      </c>
      <c r="L94" s="111" t="s">
        <v>47</v>
      </c>
      <c r="M94" s="37"/>
    </row>
    <row r="95" spans="1:14" x14ac:dyDescent="0.25">
      <c r="A95" s="7">
        <v>31</v>
      </c>
      <c r="B95" s="17">
        <v>2369</v>
      </c>
      <c r="C95" s="75" t="s">
        <v>218</v>
      </c>
      <c r="D95" s="188">
        <v>539.5</v>
      </c>
      <c r="E95" s="189">
        <v>0.25</v>
      </c>
      <c r="F95" s="189">
        <f t="shared" si="6"/>
        <v>134.875</v>
      </c>
      <c r="G95" s="192">
        <f t="shared" si="7"/>
        <v>134.875</v>
      </c>
      <c r="H95" s="187">
        <f t="shared" si="5"/>
        <v>0</v>
      </c>
      <c r="I95" s="93">
        <v>1305728</v>
      </c>
      <c r="J95" s="95" t="s">
        <v>219</v>
      </c>
      <c r="K95" s="94" t="s">
        <v>81</v>
      </c>
      <c r="L95" s="94" t="s">
        <v>82</v>
      </c>
      <c r="M95" s="39"/>
    </row>
    <row r="96" spans="1:14" x14ac:dyDescent="0.25">
      <c r="A96" s="7">
        <v>31</v>
      </c>
      <c r="B96" s="17">
        <v>2370</v>
      </c>
      <c r="C96" s="75" t="s">
        <v>220</v>
      </c>
      <c r="D96" s="188">
        <v>1706.5</v>
      </c>
      <c r="E96" s="189">
        <v>0.25</v>
      </c>
      <c r="F96" s="189">
        <f t="shared" si="6"/>
        <v>426.625</v>
      </c>
      <c r="G96" s="192">
        <f t="shared" si="7"/>
        <v>426.625</v>
      </c>
      <c r="H96" s="187">
        <f t="shared" si="5"/>
        <v>0</v>
      </c>
      <c r="I96" s="93">
        <v>15082454</v>
      </c>
      <c r="J96" s="261" t="s">
        <v>221</v>
      </c>
      <c r="K96" s="94" t="s">
        <v>14</v>
      </c>
      <c r="L96" s="94" t="s">
        <v>55</v>
      </c>
      <c r="M96" s="39">
        <v>92600537</v>
      </c>
    </row>
    <row r="97" spans="1:14" x14ac:dyDescent="0.25">
      <c r="A97" s="7">
        <v>31</v>
      </c>
      <c r="B97" s="17">
        <v>2371</v>
      </c>
      <c r="C97" s="75" t="s">
        <v>222</v>
      </c>
      <c r="D97" s="188">
        <v>1740</v>
      </c>
      <c r="E97" s="189">
        <v>0.25</v>
      </c>
      <c r="F97" s="189">
        <f t="shared" si="6"/>
        <v>435</v>
      </c>
      <c r="G97" s="192">
        <f t="shared" si="7"/>
        <v>435</v>
      </c>
      <c r="H97" s="187">
        <f t="shared" si="5"/>
        <v>0</v>
      </c>
      <c r="I97" s="93">
        <v>4710817</v>
      </c>
      <c r="J97" s="95" t="s">
        <v>223</v>
      </c>
      <c r="K97" s="94" t="s">
        <v>11</v>
      </c>
      <c r="L97" s="94" t="s">
        <v>47</v>
      </c>
      <c r="M97" s="39"/>
    </row>
    <row r="98" spans="1:14" x14ac:dyDescent="0.25">
      <c r="A98" s="7">
        <v>31</v>
      </c>
      <c r="B98" s="17">
        <v>2373</v>
      </c>
      <c r="C98" s="76" t="s">
        <v>224</v>
      </c>
      <c r="D98" s="188">
        <v>1140.8</v>
      </c>
      <c r="E98" s="189">
        <v>0.25</v>
      </c>
      <c r="F98" s="189">
        <f t="shared" si="6"/>
        <v>285.2</v>
      </c>
      <c r="G98" s="192">
        <f t="shared" si="7"/>
        <v>285.2</v>
      </c>
      <c r="H98" s="187">
        <f t="shared" si="5"/>
        <v>0</v>
      </c>
      <c r="I98" s="93">
        <v>593009</v>
      </c>
      <c r="J98" s="95" t="s">
        <v>225</v>
      </c>
      <c r="K98" s="94" t="s">
        <v>14</v>
      </c>
      <c r="L98" s="94" t="s">
        <v>55</v>
      </c>
      <c r="M98" s="39"/>
    </row>
    <row r="99" spans="1:14" x14ac:dyDescent="0.25">
      <c r="A99" s="7">
        <v>31</v>
      </c>
      <c r="B99" s="17">
        <v>2374</v>
      </c>
      <c r="C99" s="75" t="s">
        <v>226</v>
      </c>
      <c r="D99" s="188">
        <v>580.4</v>
      </c>
      <c r="E99" s="189">
        <v>0.25</v>
      </c>
      <c r="F99" s="189">
        <f t="shared" si="6"/>
        <v>145.1</v>
      </c>
      <c r="G99" s="192">
        <f t="shared" si="7"/>
        <v>145.1</v>
      </c>
      <c r="H99" s="187">
        <f t="shared" si="5"/>
        <v>0</v>
      </c>
      <c r="I99" s="93">
        <v>27683269</v>
      </c>
      <c r="J99" s="95" t="s">
        <v>227</v>
      </c>
      <c r="K99" s="94" t="s">
        <v>50</v>
      </c>
      <c r="L99" s="94" t="s">
        <v>51</v>
      </c>
      <c r="M99" s="39"/>
    </row>
    <row r="100" spans="1:14" x14ac:dyDescent="0.25">
      <c r="A100" s="7">
        <v>31</v>
      </c>
      <c r="B100" s="17">
        <v>2380</v>
      </c>
      <c r="C100" s="75" t="s">
        <v>228</v>
      </c>
      <c r="D100" s="188">
        <v>542.79999999999995</v>
      </c>
      <c r="E100" s="189">
        <v>0.25</v>
      </c>
      <c r="F100" s="189">
        <f t="shared" si="6"/>
        <v>135.69999999999999</v>
      </c>
      <c r="G100" s="192">
        <f t="shared" si="7"/>
        <v>135.69999999999999</v>
      </c>
      <c r="H100" s="187">
        <f t="shared" ref="H100:H131" si="8">F100-G100</f>
        <v>0</v>
      </c>
      <c r="I100" s="93">
        <v>614536</v>
      </c>
      <c r="J100" s="95" t="s">
        <v>229</v>
      </c>
      <c r="K100" s="94" t="s">
        <v>50</v>
      </c>
      <c r="L100" s="94" t="s">
        <v>51</v>
      </c>
      <c r="M100" s="39"/>
    </row>
    <row r="101" spans="1:14" s="16" customFormat="1" x14ac:dyDescent="0.25">
      <c r="A101" s="47">
        <v>31</v>
      </c>
      <c r="B101" s="33">
        <v>2381</v>
      </c>
      <c r="C101" s="112" t="s">
        <v>230</v>
      </c>
      <c r="D101" s="195">
        <v>1085.0999999999999</v>
      </c>
      <c r="E101" s="193">
        <v>0.25</v>
      </c>
      <c r="F101" s="193">
        <f t="shared" ref="F101:F102" si="9">E101*D101</f>
        <v>271.27499999999998</v>
      </c>
      <c r="G101" s="192">
        <f t="shared" si="7"/>
        <v>271.27499999999998</v>
      </c>
      <c r="H101" s="192">
        <f t="shared" si="8"/>
        <v>0</v>
      </c>
      <c r="I101" s="109">
        <v>830452</v>
      </c>
      <c r="J101" s="113" t="s">
        <v>231</v>
      </c>
      <c r="K101" s="111" t="s">
        <v>11</v>
      </c>
      <c r="L101" s="111" t="s">
        <v>47</v>
      </c>
      <c r="M101" s="37">
        <v>99493365</v>
      </c>
      <c r="N101" s="78">
        <v>45963</v>
      </c>
    </row>
    <row r="102" spans="1:14" s="16" customFormat="1" x14ac:dyDescent="0.25">
      <c r="A102" s="47">
        <v>31</v>
      </c>
      <c r="B102" s="33">
        <v>2383</v>
      </c>
      <c r="C102" s="37" t="s">
        <v>232</v>
      </c>
      <c r="D102" s="195">
        <v>684.1</v>
      </c>
      <c r="E102" s="193">
        <v>0.25</v>
      </c>
      <c r="F102" s="193">
        <f t="shared" si="9"/>
        <v>171.02500000000001</v>
      </c>
      <c r="G102" s="192">
        <f t="shared" si="7"/>
        <v>171.02500000000001</v>
      </c>
      <c r="H102" s="192">
        <f t="shared" si="8"/>
        <v>0</v>
      </c>
      <c r="I102" s="111">
        <v>11427078</v>
      </c>
      <c r="J102" s="110" t="s">
        <v>233</v>
      </c>
      <c r="K102" s="111" t="s">
        <v>234</v>
      </c>
      <c r="L102" s="111" t="s">
        <v>235</v>
      </c>
      <c r="M102" s="33"/>
      <c r="N102" s="78">
        <v>45810</v>
      </c>
    </row>
    <row r="103" spans="1:14" x14ac:dyDescent="0.25">
      <c r="A103" s="47">
        <v>31</v>
      </c>
      <c r="B103" s="33">
        <v>2385</v>
      </c>
      <c r="C103" s="77" t="s">
        <v>236</v>
      </c>
      <c r="D103" s="195">
        <v>1099.0999999999999</v>
      </c>
      <c r="E103" s="193">
        <v>0.25</v>
      </c>
      <c r="F103" s="193">
        <f>D103*E103</f>
        <v>274.77499999999998</v>
      </c>
      <c r="G103" s="192">
        <f t="shared" si="7"/>
        <v>274.77499999999998</v>
      </c>
      <c r="H103" s="192">
        <f t="shared" si="8"/>
        <v>0</v>
      </c>
      <c r="I103" s="109">
        <v>3039422</v>
      </c>
      <c r="J103" s="110" t="s">
        <v>237</v>
      </c>
      <c r="K103" s="111" t="s">
        <v>50</v>
      </c>
      <c r="L103" s="111" t="s">
        <v>51</v>
      </c>
      <c r="M103" s="36">
        <v>99589937</v>
      </c>
      <c r="N103" s="78">
        <v>45691</v>
      </c>
    </row>
    <row r="104" spans="1:14" x14ac:dyDescent="0.25">
      <c r="A104" s="47">
        <v>31</v>
      </c>
      <c r="B104" s="33">
        <v>2390</v>
      </c>
      <c r="C104" s="34" t="s">
        <v>238</v>
      </c>
      <c r="D104" s="195">
        <v>1589.8</v>
      </c>
      <c r="E104" s="193">
        <v>0.25</v>
      </c>
      <c r="F104" s="193">
        <f t="shared" ref="F104:F133" si="10">E104*D104</f>
        <v>397.45</v>
      </c>
      <c r="G104" s="192">
        <f t="shared" si="7"/>
        <v>397.45</v>
      </c>
      <c r="H104" s="192">
        <f t="shared" si="8"/>
        <v>0</v>
      </c>
      <c r="I104" s="109">
        <v>738486</v>
      </c>
      <c r="J104" s="111" t="s">
        <v>239</v>
      </c>
      <c r="K104" s="111" t="s">
        <v>11</v>
      </c>
      <c r="L104" s="111" t="s">
        <v>47</v>
      </c>
      <c r="M104" s="37"/>
      <c r="N104" s="78">
        <v>45691</v>
      </c>
    </row>
    <row r="105" spans="1:14" x14ac:dyDescent="0.25">
      <c r="A105" s="7">
        <v>31</v>
      </c>
      <c r="B105" s="17">
        <v>2391</v>
      </c>
      <c r="C105" s="74" t="s">
        <v>240</v>
      </c>
      <c r="D105" s="188">
        <v>559.1</v>
      </c>
      <c r="E105" s="189">
        <v>0.25</v>
      </c>
      <c r="F105" s="189">
        <f t="shared" si="10"/>
        <v>139.77500000000001</v>
      </c>
      <c r="G105" s="192">
        <f t="shared" si="7"/>
        <v>139.77500000000001</v>
      </c>
      <c r="H105" s="187">
        <f t="shared" si="8"/>
        <v>0</v>
      </c>
      <c r="I105" s="93">
        <v>952571</v>
      </c>
      <c r="J105" s="95" t="s">
        <v>241</v>
      </c>
      <c r="K105" s="94" t="s">
        <v>14</v>
      </c>
      <c r="L105" s="94" t="s">
        <v>55</v>
      </c>
      <c r="M105" s="39"/>
    </row>
    <row r="106" spans="1:14" x14ac:dyDescent="0.25">
      <c r="A106" s="7">
        <v>31</v>
      </c>
      <c r="B106" s="17">
        <v>2500</v>
      </c>
      <c r="C106" s="74" t="s">
        <v>242</v>
      </c>
      <c r="D106" s="188">
        <v>2487.6999999999998</v>
      </c>
      <c r="E106" s="189">
        <v>0.25</v>
      </c>
      <c r="F106" s="189">
        <f t="shared" si="10"/>
        <v>621.92499999999995</v>
      </c>
      <c r="G106" s="192">
        <f t="shared" si="7"/>
        <v>621.92499999999995</v>
      </c>
      <c r="H106" s="187">
        <f t="shared" si="8"/>
        <v>0</v>
      </c>
      <c r="I106" s="93">
        <v>19597106</v>
      </c>
      <c r="J106" s="95" t="s">
        <v>243</v>
      </c>
      <c r="K106" s="94" t="s">
        <v>11</v>
      </c>
      <c r="L106" s="94" t="s">
        <v>47</v>
      </c>
      <c r="M106" s="39">
        <v>95499996</v>
      </c>
    </row>
    <row r="107" spans="1:14" x14ac:dyDescent="0.25">
      <c r="A107" s="47">
        <v>31</v>
      </c>
      <c r="B107" s="33">
        <v>2501</v>
      </c>
      <c r="C107" s="34" t="s">
        <v>244</v>
      </c>
      <c r="D107" s="195">
        <v>1567.8</v>
      </c>
      <c r="E107" s="193">
        <v>0.25</v>
      </c>
      <c r="F107" s="193">
        <f t="shared" si="10"/>
        <v>391.95</v>
      </c>
      <c r="G107" s="192">
        <f t="shared" si="7"/>
        <v>391.95</v>
      </c>
      <c r="H107" s="192">
        <f t="shared" si="8"/>
        <v>0</v>
      </c>
      <c r="I107" s="109">
        <v>15593565</v>
      </c>
      <c r="J107" s="110" t="s">
        <v>245</v>
      </c>
      <c r="K107" s="111" t="s">
        <v>11</v>
      </c>
      <c r="L107" s="111" t="s">
        <v>47</v>
      </c>
      <c r="M107" s="37"/>
      <c r="N107" s="78">
        <v>45685</v>
      </c>
    </row>
    <row r="108" spans="1:14" x14ac:dyDescent="0.25">
      <c r="A108" s="7">
        <v>31</v>
      </c>
      <c r="B108" s="17">
        <v>2502</v>
      </c>
      <c r="C108" s="74" t="s">
        <v>27</v>
      </c>
      <c r="D108" s="188">
        <v>889.2</v>
      </c>
      <c r="E108" s="189">
        <v>0.25</v>
      </c>
      <c r="F108" s="189">
        <f t="shared" si="10"/>
        <v>222.3</v>
      </c>
      <c r="G108" s="192">
        <f t="shared" si="7"/>
        <v>222.3</v>
      </c>
      <c r="H108" s="187">
        <f t="shared" si="8"/>
        <v>0</v>
      </c>
      <c r="I108" s="93">
        <v>6231138</v>
      </c>
      <c r="J108" s="95" t="s">
        <v>246</v>
      </c>
      <c r="K108" s="94" t="s">
        <v>11</v>
      </c>
      <c r="L108" s="94" t="s">
        <v>47</v>
      </c>
      <c r="M108" s="39"/>
    </row>
    <row r="109" spans="1:14" x14ac:dyDescent="0.25">
      <c r="A109" s="47">
        <v>31</v>
      </c>
      <c r="B109" s="33">
        <v>2503</v>
      </c>
      <c r="C109" s="34" t="s">
        <v>247</v>
      </c>
      <c r="D109" s="195">
        <v>835.3</v>
      </c>
      <c r="E109" s="193">
        <v>0.25</v>
      </c>
      <c r="F109" s="193">
        <f t="shared" si="10"/>
        <v>208.82499999999999</v>
      </c>
      <c r="G109" s="192">
        <f t="shared" si="7"/>
        <v>208.82499999999999</v>
      </c>
      <c r="H109" s="192">
        <f t="shared" si="8"/>
        <v>0</v>
      </c>
      <c r="I109" s="109">
        <v>568083</v>
      </c>
      <c r="J109" s="95" t="s">
        <v>248</v>
      </c>
      <c r="K109" s="94" t="s">
        <v>249</v>
      </c>
      <c r="L109" s="94" t="s">
        <v>250</v>
      </c>
      <c r="M109" s="39"/>
      <c r="N109" s="78">
        <v>45684</v>
      </c>
    </row>
    <row r="110" spans="1:14" x14ac:dyDescent="0.25">
      <c r="A110" s="7"/>
      <c r="B110" s="17">
        <v>2504</v>
      </c>
      <c r="C110" s="74" t="s">
        <v>323</v>
      </c>
      <c r="D110" s="188">
        <v>376.4</v>
      </c>
      <c r="E110" s="189">
        <v>0.25</v>
      </c>
      <c r="F110" s="189">
        <f t="shared" si="10"/>
        <v>94.1</v>
      </c>
      <c r="G110" s="192">
        <f t="shared" si="7"/>
        <v>94.1</v>
      </c>
      <c r="H110" s="187">
        <f t="shared" si="8"/>
        <v>0</v>
      </c>
      <c r="I110" s="38">
        <v>6296825</v>
      </c>
      <c r="J110" s="95">
        <v>1011059043002</v>
      </c>
      <c r="K110" s="93" t="s">
        <v>14</v>
      </c>
      <c r="L110" s="39" t="s">
        <v>55</v>
      </c>
      <c r="M110" s="39">
        <v>96768800</v>
      </c>
    </row>
    <row r="111" spans="1:14" x14ac:dyDescent="0.25">
      <c r="A111" s="7">
        <v>108</v>
      </c>
      <c r="B111" s="17">
        <v>2505</v>
      </c>
      <c r="C111" s="74" t="s">
        <v>251</v>
      </c>
      <c r="D111" s="188">
        <v>574.79999999999995</v>
      </c>
      <c r="E111" s="189">
        <v>0.25</v>
      </c>
      <c r="F111" s="189">
        <f t="shared" si="10"/>
        <v>143.69999999999999</v>
      </c>
      <c r="G111" s="192">
        <f t="shared" si="7"/>
        <v>143.69999999999999</v>
      </c>
      <c r="H111" s="187">
        <f t="shared" si="8"/>
        <v>0</v>
      </c>
      <c r="I111" s="93">
        <v>257889</v>
      </c>
      <c r="J111" s="95" t="s">
        <v>252</v>
      </c>
      <c r="K111" s="94" t="s">
        <v>11</v>
      </c>
      <c r="L111" s="94" t="s">
        <v>47</v>
      </c>
      <c r="M111" s="39">
        <v>99492623</v>
      </c>
    </row>
    <row r="112" spans="1:14" s="16" customFormat="1" x14ac:dyDescent="0.25">
      <c r="A112" s="47">
        <v>109</v>
      </c>
      <c r="B112" s="33">
        <v>2506</v>
      </c>
      <c r="C112" s="34" t="s">
        <v>253</v>
      </c>
      <c r="D112" s="195">
        <v>570.20000000000005</v>
      </c>
      <c r="E112" s="193">
        <v>0.25</v>
      </c>
      <c r="F112" s="193">
        <f t="shared" si="10"/>
        <v>142.55000000000001</v>
      </c>
      <c r="G112" s="192">
        <f t="shared" si="7"/>
        <v>142.55000000000001</v>
      </c>
      <c r="H112" s="192">
        <f t="shared" si="8"/>
        <v>0</v>
      </c>
      <c r="I112" s="109">
        <v>11082822</v>
      </c>
      <c r="J112" s="110" t="s">
        <v>254</v>
      </c>
      <c r="K112" s="111" t="s">
        <v>18</v>
      </c>
      <c r="L112" s="111" t="s">
        <v>47</v>
      </c>
      <c r="M112" s="37"/>
      <c r="N112" s="78">
        <v>45810</v>
      </c>
    </row>
    <row r="113" spans="1:14" x14ac:dyDescent="0.25">
      <c r="A113" s="7">
        <v>110</v>
      </c>
      <c r="B113" s="17">
        <v>2507</v>
      </c>
      <c r="C113" s="74" t="s">
        <v>255</v>
      </c>
      <c r="D113" s="188">
        <v>569.6</v>
      </c>
      <c r="E113" s="189">
        <v>0.25</v>
      </c>
      <c r="F113" s="189">
        <f t="shared" si="10"/>
        <v>142.4</v>
      </c>
      <c r="G113" s="192">
        <f t="shared" si="7"/>
        <v>142.4</v>
      </c>
      <c r="H113" s="187">
        <f t="shared" si="8"/>
        <v>0</v>
      </c>
      <c r="I113" s="93">
        <v>21947545</v>
      </c>
      <c r="J113" s="95" t="s">
        <v>256</v>
      </c>
      <c r="K113" s="94" t="s">
        <v>11</v>
      </c>
      <c r="L113" s="94" t="s">
        <v>47</v>
      </c>
      <c r="M113" s="39"/>
    </row>
    <row r="114" spans="1:14" s="16" customFormat="1" x14ac:dyDescent="0.25">
      <c r="A114" s="47">
        <v>111</v>
      </c>
      <c r="B114" s="33">
        <v>2509</v>
      </c>
      <c r="C114" s="34" t="s">
        <v>257</v>
      </c>
      <c r="D114" s="195">
        <v>821.7</v>
      </c>
      <c r="E114" s="193">
        <v>0.25</v>
      </c>
      <c r="F114" s="193">
        <f t="shared" si="10"/>
        <v>205.42500000000001</v>
      </c>
      <c r="G114" s="192">
        <f t="shared" si="7"/>
        <v>205.42500000000001</v>
      </c>
      <c r="H114" s="192">
        <f t="shared" si="8"/>
        <v>0</v>
      </c>
      <c r="I114" s="109">
        <v>5739429</v>
      </c>
      <c r="J114" s="110" t="s">
        <v>258</v>
      </c>
      <c r="K114" s="111" t="s">
        <v>16</v>
      </c>
      <c r="L114" s="111" t="s">
        <v>47</v>
      </c>
      <c r="M114" s="37">
        <v>92733224</v>
      </c>
      <c r="N114" s="78">
        <v>45993</v>
      </c>
    </row>
    <row r="115" spans="1:14" x14ac:dyDescent="0.25">
      <c r="A115" s="7">
        <v>112</v>
      </c>
      <c r="B115" s="17">
        <v>2510</v>
      </c>
      <c r="C115" s="74" t="s">
        <v>259</v>
      </c>
      <c r="D115" s="188">
        <v>1104.8</v>
      </c>
      <c r="E115" s="189">
        <v>0.25</v>
      </c>
      <c r="F115" s="189">
        <f t="shared" si="10"/>
        <v>276.2</v>
      </c>
      <c r="G115" s="192">
        <f t="shared" si="7"/>
        <v>276.2</v>
      </c>
      <c r="H115" s="187">
        <f t="shared" si="8"/>
        <v>0</v>
      </c>
      <c r="I115" s="93">
        <v>5542574</v>
      </c>
      <c r="J115" s="95" t="s">
        <v>260</v>
      </c>
      <c r="K115" s="94" t="s">
        <v>11</v>
      </c>
      <c r="L115" s="94" t="s">
        <v>47</v>
      </c>
      <c r="M115" s="39"/>
    </row>
    <row r="116" spans="1:14" x14ac:dyDescent="0.25">
      <c r="A116" s="7">
        <v>113</v>
      </c>
      <c r="B116" s="17">
        <v>2511</v>
      </c>
      <c r="C116" s="74" t="s">
        <v>261</v>
      </c>
      <c r="D116" s="188">
        <v>562.6</v>
      </c>
      <c r="E116" s="189">
        <v>0.25</v>
      </c>
      <c r="F116" s="189">
        <f t="shared" si="10"/>
        <v>140.65</v>
      </c>
      <c r="G116" s="192">
        <f t="shared" si="7"/>
        <v>140.65</v>
      </c>
      <c r="H116" s="187">
        <f t="shared" si="8"/>
        <v>0</v>
      </c>
      <c r="I116" s="93">
        <v>1109954</v>
      </c>
      <c r="J116" s="95" t="s">
        <v>262</v>
      </c>
      <c r="K116" s="94" t="s">
        <v>132</v>
      </c>
      <c r="L116" s="94" t="s">
        <v>133</v>
      </c>
      <c r="M116" s="39"/>
    </row>
    <row r="117" spans="1:14" x14ac:dyDescent="0.25">
      <c r="A117" s="47">
        <v>114</v>
      </c>
      <c r="B117" s="33">
        <v>2512</v>
      </c>
      <c r="C117" s="34" t="s">
        <v>263</v>
      </c>
      <c r="D117" s="195">
        <v>574.9</v>
      </c>
      <c r="E117" s="193">
        <v>0.25</v>
      </c>
      <c r="F117" s="193">
        <f t="shared" si="10"/>
        <v>143.72499999999999</v>
      </c>
      <c r="G117" s="192">
        <f t="shared" si="7"/>
        <v>143.72499999999999</v>
      </c>
      <c r="H117" s="192">
        <f t="shared" si="8"/>
        <v>0</v>
      </c>
      <c r="I117" s="109">
        <v>990628</v>
      </c>
      <c r="J117" s="110" t="s">
        <v>264</v>
      </c>
      <c r="K117" s="111" t="s">
        <v>146</v>
      </c>
      <c r="L117" s="111" t="s">
        <v>47</v>
      </c>
      <c r="M117" s="37">
        <v>91232518</v>
      </c>
      <c r="N117" s="78">
        <v>45691</v>
      </c>
    </row>
    <row r="118" spans="1:14" s="69" customFormat="1" x14ac:dyDescent="0.25">
      <c r="A118" s="60">
        <v>115</v>
      </c>
      <c r="B118" s="61">
        <v>2513</v>
      </c>
      <c r="C118" s="79" t="s">
        <v>28</v>
      </c>
      <c r="D118" s="209">
        <v>1140.2</v>
      </c>
      <c r="E118" s="265">
        <v>0.25</v>
      </c>
      <c r="F118" s="265">
        <f t="shared" si="10"/>
        <v>285.05</v>
      </c>
      <c r="G118" s="192">
        <f t="shared" si="7"/>
        <v>285.05</v>
      </c>
      <c r="H118" s="210">
        <f t="shared" si="8"/>
        <v>0</v>
      </c>
      <c r="I118" s="114">
        <v>6332123</v>
      </c>
      <c r="J118" s="115" t="s">
        <v>265</v>
      </c>
      <c r="K118" s="116" t="s">
        <v>146</v>
      </c>
      <c r="L118" s="116" t="s">
        <v>47</v>
      </c>
      <c r="M118" s="80">
        <v>98777808</v>
      </c>
      <c r="N118" s="258">
        <v>45963</v>
      </c>
    </row>
    <row r="119" spans="1:14" x14ac:dyDescent="0.25">
      <c r="A119" s="7">
        <v>116</v>
      </c>
      <c r="B119" s="81">
        <v>2514</v>
      </c>
      <c r="C119" s="82" t="s">
        <v>266</v>
      </c>
      <c r="D119" s="188">
        <v>361.8</v>
      </c>
      <c r="E119" s="190">
        <v>0.25</v>
      </c>
      <c r="F119" s="190">
        <f t="shared" si="10"/>
        <v>90.45</v>
      </c>
      <c r="G119" s="192">
        <f t="shared" si="7"/>
        <v>90.45</v>
      </c>
      <c r="H119" s="187">
        <f t="shared" si="8"/>
        <v>0</v>
      </c>
      <c r="I119" s="117">
        <v>10795387</v>
      </c>
      <c r="J119" s="118" t="s">
        <v>267</v>
      </c>
      <c r="K119" s="119" t="s">
        <v>146</v>
      </c>
      <c r="L119" s="119" t="s">
        <v>47</v>
      </c>
      <c r="M119" s="84">
        <v>96744447</v>
      </c>
    </row>
    <row r="120" spans="1:14" x14ac:dyDescent="0.25">
      <c r="A120" s="7">
        <v>117</v>
      </c>
      <c r="B120" s="17">
        <v>2515</v>
      </c>
      <c r="C120" s="74" t="s">
        <v>268</v>
      </c>
      <c r="D120" s="188">
        <v>1618.6</v>
      </c>
      <c r="E120" s="189">
        <v>0.25</v>
      </c>
      <c r="F120" s="189">
        <f t="shared" si="10"/>
        <v>404.65</v>
      </c>
      <c r="G120" s="192">
        <f t="shared" si="7"/>
        <v>404.65</v>
      </c>
      <c r="H120" s="187">
        <f t="shared" si="8"/>
        <v>0</v>
      </c>
      <c r="I120" s="93">
        <v>5638084</v>
      </c>
      <c r="J120" s="95" t="s">
        <v>269</v>
      </c>
      <c r="K120" s="94" t="s">
        <v>11</v>
      </c>
      <c r="L120" s="94" t="s">
        <v>47</v>
      </c>
      <c r="M120" s="39">
        <v>92597738</v>
      </c>
    </row>
    <row r="121" spans="1:14" x14ac:dyDescent="0.25">
      <c r="A121" s="7">
        <v>118</v>
      </c>
      <c r="B121" s="17">
        <v>2516</v>
      </c>
      <c r="C121" s="74" t="s">
        <v>270</v>
      </c>
      <c r="D121" s="188">
        <v>577</v>
      </c>
      <c r="E121" s="189">
        <v>0.25</v>
      </c>
      <c r="F121" s="189">
        <f t="shared" si="10"/>
        <v>144.25</v>
      </c>
      <c r="G121" s="192">
        <f t="shared" si="7"/>
        <v>144.25</v>
      </c>
      <c r="H121" s="187">
        <f t="shared" si="8"/>
        <v>0</v>
      </c>
      <c r="I121" s="93">
        <v>21934588</v>
      </c>
      <c r="J121" s="95" t="s">
        <v>271</v>
      </c>
      <c r="K121" s="94" t="s">
        <v>11</v>
      </c>
      <c r="L121" s="94" t="s">
        <v>47</v>
      </c>
      <c r="M121" s="39">
        <v>98094444</v>
      </c>
    </row>
    <row r="122" spans="1:14" x14ac:dyDescent="0.25">
      <c r="A122" s="7">
        <v>119</v>
      </c>
      <c r="B122" s="17">
        <v>2517</v>
      </c>
      <c r="C122" s="74" t="s">
        <v>29</v>
      </c>
      <c r="D122" s="188">
        <v>3404.4</v>
      </c>
      <c r="E122" s="189">
        <v>0.25</v>
      </c>
      <c r="F122" s="189">
        <f t="shared" si="10"/>
        <v>851.1</v>
      </c>
      <c r="G122" s="192">
        <f t="shared" si="7"/>
        <v>851.1</v>
      </c>
      <c r="H122" s="187">
        <f t="shared" si="8"/>
        <v>0</v>
      </c>
      <c r="I122" s="94">
        <v>6231419</v>
      </c>
      <c r="J122" s="95" t="s">
        <v>272</v>
      </c>
      <c r="K122" s="94" t="s">
        <v>18</v>
      </c>
      <c r="L122" s="94" t="s">
        <v>47</v>
      </c>
      <c r="M122" s="17"/>
    </row>
    <row r="123" spans="1:14" s="16" customFormat="1" x14ac:dyDescent="0.25">
      <c r="A123" s="47">
        <v>120</v>
      </c>
      <c r="B123" s="33">
        <v>2518</v>
      </c>
      <c r="C123" s="37" t="s">
        <v>273</v>
      </c>
      <c r="D123" s="195">
        <v>827.5</v>
      </c>
      <c r="E123" s="193">
        <v>0.25</v>
      </c>
      <c r="F123" s="193">
        <f t="shared" si="10"/>
        <v>206.875</v>
      </c>
      <c r="G123" s="192">
        <f t="shared" si="7"/>
        <v>206.875</v>
      </c>
      <c r="H123" s="192">
        <f t="shared" si="8"/>
        <v>0</v>
      </c>
      <c r="I123" s="109">
        <v>27683344</v>
      </c>
      <c r="J123" s="110" t="s">
        <v>274</v>
      </c>
      <c r="K123" s="111" t="s">
        <v>14</v>
      </c>
      <c r="L123" s="111" t="s">
        <v>55</v>
      </c>
      <c r="M123" s="37"/>
      <c r="N123" s="78">
        <v>45810</v>
      </c>
    </row>
    <row r="124" spans="1:14" x14ac:dyDescent="0.25">
      <c r="A124" s="47">
        <v>121</v>
      </c>
      <c r="B124" s="33">
        <v>2519</v>
      </c>
      <c r="C124" s="9" t="s">
        <v>275</v>
      </c>
      <c r="D124" s="195">
        <v>584.20000000000005</v>
      </c>
      <c r="E124" s="193">
        <v>0.25</v>
      </c>
      <c r="F124" s="193">
        <f t="shared" si="10"/>
        <v>146.05000000000001</v>
      </c>
      <c r="G124" s="192">
        <f t="shared" si="7"/>
        <v>146.05000000000001</v>
      </c>
      <c r="H124" s="192">
        <f t="shared" si="8"/>
        <v>0</v>
      </c>
      <c r="I124" s="111">
        <v>19923785</v>
      </c>
      <c r="J124" s="110" t="s">
        <v>276</v>
      </c>
      <c r="K124" s="111" t="s">
        <v>18</v>
      </c>
      <c r="L124" s="111" t="s">
        <v>47</v>
      </c>
      <c r="M124" s="33"/>
      <c r="N124" s="78">
        <v>45686</v>
      </c>
    </row>
    <row r="125" spans="1:14" x14ac:dyDescent="0.25">
      <c r="A125" s="7">
        <v>122</v>
      </c>
      <c r="B125" s="13">
        <v>2520</v>
      </c>
      <c r="C125" s="18" t="s">
        <v>277</v>
      </c>
      <c r="D125" s="188">
        <v>970.2</v>
      </c>
      <c r="E125" s="187">
        <v>0.25</v>
      </c>
      <c r="F125" s="187">
        <f t="shared" si="10"/>
        <v>242.55</v>
      </c>
      <c r="G125" s="192">
        <f t="shared" si="7"/>
        <v>242.55</v>
      </c>
      <c r="H125" s="187">
        <f t="shared" si="8"/>
        <v>0</v>
      </c>
      <c r="I125" s="90">
        <v>1297459</v>
      </c>
      <c r="J125" s="89" t="s">
        <v>278</v>
      </c>
      <c r="K125" s="90" t="s">
        <v>50</v>
      </c>
      <c r="L125" s="90" t="s">
        <v>51</v>
      </c>
      <c r="M125" s="13"/>
    </row>
    <row r="126" spans="1:14" x14ac:dyDescent="0.25">
      <c r="A126" s="7">
        <v>123</v>
      </c>
      <c r="B126" s="13">
        <v>2521</v>
      </c>
      <c r="C126" s="138" t="s">
        <v>279</v>
      </c>
      <c r="D126" s="188">
        <v>1581.4</v>
      </c>
      <c r="E126" s="187">
        <v>0.25</v>
      </c>
      <c r="F126" s="187">
        <f t="shared" si="10"/>
        <v>395.35</v>
      </c>
      <c r="G126" s="192">
        <f t="shared" si="7"/>
        <v>395.35</v>
      </c>
      <c r="H126" s="187">
        <f t="shared" si="8"/>
        <v>0</v>
      </c>
      <c r="I126" s="90">
        <v>5146927</v>
      </c>
      <c r="J126" s="89" t="s">
        <v>280</v>
      </c>
      <c r="K126" s="90" t="s">
        <v>50</v>
      </c>
      <c r="L126" s="90" t="s">
        <v>51</v>
      </c>
      <c r="M126" s="13">
        <v>96399028</v>
      </c>
    </row>
    <row r="127" spans="1:14" x14ac:dyDescent="0.25">
      <c r="A127" s="7">
        <v>124</v>
      </c>
      <c r="B127" s="13">
        <v>2522</v>
      </c>
      <c r="C127" s="18" t="s">
        <v>244</v>
      </c>
      <c r="D127" s="188">
        <v>577.6</v>
      </c>
      <c r="E127" s="187">
        <v>0.25</v>
      </c>
      <c r="F127" s="187">
        <f t="shared" si="10"/>
        <v>144.4</v>
      </c>
      <c r="G127" s="192">
        <f t="shared" si="7"/>
        <v>144.4</v>
      </c>
      <c r="H127" s="187">
        <f t="shared" si="8"/>
        <v>0</v>
      </c>
      <c r="I127" s="90">
        <v>4530913</v>
      </c>
      <c r="J127" s="89" t="s">
        <v>281</v>
      </c>
      <c r="K127" s="120" t="s">
        <v>81</v>
      </c>
      <c r="L127" s="120" t="s">
        <v>82</v>
      </c>
      <c r="M127" s="13"/>
    </row>
    <row r="128" spans="1:14" x14ac:dyDescent="0.25">
      <c r="A128" s="7">
        <v>125</v>
      </c>
      <c r="B128" s="13">
        <v>2523</v>
      </c>
      <c r="C128" s="18" t="s">
        <v>44</v>
      </c>
      <c r="D128" s="188">
        <v>15.6</v>
      </c>
      <c r="E128" s="187">
        <v>0.25</v>
      </c>
      <c r="F128" s="187">
        <f t="shared" si="10"/>
        <v>3.9</v>
      </c>
      <c r="G128" s="192">
        <f t="shared" si="7"/>
        <v>3.9</v>
      </c>
      <c r="H128" s="187">
        <f t="shared" si="8"/>
        <v>0</v>
      </c>
      <c r="I128" s="90">
        <v>4909387</v>
      </c>
      <c r="J128" s="89" t="s">
        <v>282</v>
      </c>
      <c r="K128" s="90" t="s">
        <v>18</v>
      </c>
      <c r="L128" s="90" t="s">
        <v>47</v>
      </c>
      <c r="M128" s="13"/>
    </row>
    <row r="129" spans="1:14" x14ac:dyDescent="0.25">
      <c r="A129" s="7">
        <v>126</v>
      </c>
      <c r="B129" s="13">
        <v>2524</v>
      </c>
      <c r="C129" s="18" t="s">
        <v>283</v>
      </c>
      <c r="D129" s="188">
        <v>550.4</v>
      </c>
      <c r="E129" s="187">
        <v>0.25</v>
      </c>
      <c r="F129" s="187">
        <f t="shared" si="10"/>
        <v>137.6</v>
      </c>
      <c r="G129" s="192">
        <f t="shared" si="7"/>
        <v>137.6</v>
      </c>
      <c r="H129" s="187">
        <f t="shared" si="8"/>
        <v>0</v>
      </c>
      <c r="I129" s="88">
        <v>5827884</v>
      </c>
      <c r="J129" s="89" t="s">
        <v>284</v>
      </c>
      <c r="K129" s="90" t="s">
        <v>11</v>
      </c>
      <c r="L129" s="90" t="s">
        <v>47</v>
      </c>
      <c r="M129" s="18"/>
    </row>
    <row r="130" spans="1:14" x14ac:dyDescent="0.25">
      <c r="A130" s="7">
        <v>127</v>
      </c>
      <c r="B130" s="13">
        <v>2526</v>
      </c>
      <c r="C130" s="18" t="s">
        <v>285</v>
      </c>
      <c r="D130" s="188">
        <v>376.1</v>
      </c>
      <c r="E130" s="187">
        <v>0.25</v>
      </c>
      <c r="F130" s="187">
        <f t="shared" si="10"/>
        <v>94.025000000000006</v>
      </c>
      <c r="G130" s="192">
        <f t="shared" si="7"/>
        <v>94.025000000000006</v>
      </c>
      <c r="H130" s="187">
        <f t="shared" si="8"/>
        <v>0</v>
      </c>
      <c r="I130" s="90">
        <v>5827579</v>
      </c>
      <c r="J130" s="89" t="s">
        <v>286</v>
      </c>
      <c r="K130" s="90" t="s">
        <v>50</v>
      </c>
      <c r="L130" s="90" t="s">
        <v>51</v>
      </c>
      <c r="M130" s="13"/>
    </row>
    <row r="131" spans="1:14" x14ac:dyDescent="0.25">
      <c r="A131" s="60">
        <v>128</v>
      </c>
      <c r="B131" s="67">
        <v>2529</v>
      </c>
      <c r="C131" s="62" t="s">
        <v>287</v>
      </c>
      <c r="D131" s="209">
        <v>1602.6</v>
      </c>
      <c r="E131" s="210">
        <v>0.25</v>
      </c>
      <c r="F131" s="210">
        <f t="shared" si="10"/>
        <v>400.65</v>
      </c>
      <c r="G131" s="192">
        <f t="shared" si="7"/>
        <v>400.65</v>
      </c>
      <c r="H131" s="210">
        <f t="shared" si="8"/>
        <v>0</v>
      </c>
      <c r="I131" s="106">
        <v>6375262</v>
      </c>
      <c r="J131" s="121" t="s">
        <v>288</v>
      </c>
      <c r="K131" s="90" t="s">
        <v>18</v>
      </c>
      <c r="L131" s="90" t="s">
        <v>47</v>
      </c>
      <c r="M131" s="18">
        <v>95144359</v>
      </c>
      <c r="N131" t="s">
        <v>324</v>
      </c>
    </row>
    <row r="132" spans="1:14" x14ac:dyDescent="0.25">
      <c r="A132" s="7">
        <v>129</v>
      </c>
      <c r="B132" s="13">
        <v>2530</v>
      </c>
      <c r="C132" s="18" t="s">
        <v>289</v>
      </c>
      <c r="D132" s="188">
        <v>315.7</v>
      </c>
      <c r="E132" s="187">
        <v>0.25</v>
      </c>
      <c r="F132" s="187">
        <f t="shared" si="10"/>
        <v>78.924999999999997</v>
      </c>
      <c r="G132" s="192">
        <f t="shared" si="7"/>
        <v>78.924999999999997</v>
      </c>
      <c r="H132" s="187">
        <f t="shared" ref="H132:H133" si="11">F132-G132</f>
        <v>0</v>
      </c>
      <c r="I132" s="88">
        <v>7506751</v>
      </c>
      <c r="J132" s="121" t="s">
        <v>290</v>
      </c>
      <c r="K132" s="90" t="s">
        <v>18</v>
      </c>
      <c r="L132" s="90" t="s">
        <v>47</v>
      </c>
      <c r="M132" s="18">
        <v>92269060</v>
      </c>
    </row>
    <row r="133" spans="1:14" s="16" customFormat="1" x14ac:dyDescent="0.25">
      <c r="A133" s="47">
        <v>130</v>
      </c>
      <c r="B133" s="8">
        <v>3166</v>
      </c>
      <c r="C133" s="40" t="s">
        <v>17</v>
      </c>
      <c r="D133" s="195">
        <v>2817.8</v>
      </c>
      <c r="E133" s="192">
        <v>0.25</v>
      </c>
      <c r="F133" s="192">
        <f t="shared" si="10"/>
        <v>704.45</v>
      </c>
      <c r="G133" s="192">
        <f t="shared" ref="G133" si="12">F133</f>
        <v>704.45</v>
      </c>
      <c r="H133" s="192">
        <f t="shared" si="11"/>
        <v>0</v>
      </c>
      <c r="I133" s="92">
        <v>6381786</v>
      </c>
      <c r="J133" s="91" t="s">
        <v>291</v>
      </c>
      <c r="K133" s="92" t="s">
        <v>18</v>
      </c>
      <c r="L133" s="92" t="s">
        <v>47</v>
      </c>
      <c r="M133" s="8"/>
      <c r="N133" s="78">
        <v>45810</v>
      </c>
    </row>
    <row r="134" spans="1:14" x14ac:dyDescent="0.25">
      <c r="A134" s="38"/>
      <c r="B134" s="17"/>
      <c r="C134" s="262" t="s">
        <v>302</v>
      </c>
      <c r="D134" s="263">
        <f>SUM(D4:D133)</f>
        <v>163900.20000000001</v>
      </c>
      <c r="E134" s="263" t="s">
        <v>303</v>
      </c>
      <c r="F134" s="263">
        <f>SUM(F4:F133)</f>
        <v>40975.065000000002</v>
      </c>
      <c r="G134" s="263">
        <f>SUM(G4:G133)</f>
        <v>40975.065000000002</v>
      </c>
      <c r="H134" s="263">
        <f>SUM(H4:H133)</f>
        <v>0</v>
      </c>
      <c r="I134" s="38"/>
      <c r="J134" s="31"/>
      <c r="K134" s="17"/>
      <c r="L134" s="17"/>
      <c r="M134" s="39"/>
    </row>
  </sheetData>
  <mergeCells count="1">
    <mergeCell ref="A1:M2"/>
  </mergeCells>
  <conditionalFormatting sqref="J6">
    <cfRule type="duplicateValues" dxfId="83" priority="3"/>
  </conditionalFormatting>
  <conditionalFormatting sqref="J17">
    <cfRule type="duplicateValues" dxfId="82" priority="9"/>
  </conditionalFormatting>
  <conditionalFormatting sqref="J57">
    <cfRule type="duplicateValues" dxfId="81" priority="2"/>
  </conditionalFormatting>
  <conditionalFormatting sqref="J67">
    <cfRule type="duplicateValues" dxfId="80" priority="11"/>
  </conditionalFormatting>
  <conditionalFormatting sqref="J87">
    <cfRule type="duplicateValues" dxfId="79" priority="12"/>
  </conditionalFormatting>
  <conditionalFormatting sqref="J98">
    <cfRule type="duplicateValues" dxfId="78" priority="8"/>
  </conditionalFormatting>
  <conditionalFormatting sqref="J99">
    <cfRule type="duplicateValues" dxfId="77" priority="10"/>
  </conditionalFormatting>
  <conditionalFormatting sqref="J110">
    <cfRule type="duplicateValues" dxfId="76" priority="1"/>
  </conditionalFormatting>
  <conditionalFormatting sqref="J116">
    <cfRule type="duplicateValues" dxfId="75" priority="7"/>
  </conditionalFormatting>
  <conditionalFormatting sqref="J119">
    <cfRule type="duplicateValues" dxfId="74" priority="6"/>
  </conditionalFormatting>
  <conditionalFormatting sqref="J120:J123 J125">
    <cfRule type="duplicateValues" dxfId="73" priority="5"/>
  </conditionalFormatting>
  <conditionalFormatting sqref="J124">
    <cfRule type="duplicateValues" dxfId="72" priority="4"/>
  </conditionalFormatting>
  <conditionalFormatting sqref="J126:J134 J102:J109 J88:J97 J100 J68:J86 J61:J66 J3:J5 J18:J56 J117 J7:J16 J58:J59 J111:J115">
    <cfRule type="duplicateValues" dxfId="71" priority="13"/>
  </conditionalFormatting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B2F8-CE75-4A28-B447-07DAD29DDC36}">
  <dimension ref="A1:O133"/>
  <sheetViews>
    <sheetView view="pageBreakPreview" topLeftCell="A87" zoomScaleNormal="100" zoomScaleSheetLayoutView="100" workbookViewId="0">
      <selection activeCell="C81" sqref="C81"/>
    </sheetView>
  </sheetViews>
  <sheetFormatPr defaultColWidth="9.140625" defaultRowHeight="13.5" x14ac:dyDescent="0.25"/>
  <cols>
    <col min="1" max="1" width="4" style="267" bestFit="1" customWidth="1"/>
    <col min="2" max="2" width="12.28515625" style="267" bestFit="1" customWidth="1"/>
    <col min="3" max="3" width="45.140625" style="267" bestFit="1" customWidth="1"/>
    <col min="4" max="4" width="13.85546875" style="267" customWidth="1"/>
    <col min="5" max="5" width="7" style="267" bestFit="1" customWidth="1"/>
    <col min="6" max="6" width="16.85546875" style="267" bestFit="1" customWidth="1"/>
    <col min="7" max="7" width="15.7109375" style="267" customWidth="1"/>
    <col min="8" max="8" width="16.85546875" style="267" customWidth="1"/>
    <col min="9" max="9" width="14.42578125" style="267" customWidth="1"/>
    <col min="10" max="10" width="16.85546875" style="267" customWidth="1"/>
    <col min="11" max="11" width="9.42578125" style="267" bestFit="1" customWidth="1"/>
    <col min="12" max="16384" width="9.140625" style="267"/>
  </cols>
  <sheetData>
    <row r="1" spans="1:12" x14ac:dyDescent="0.25">
      <c r="A1" s="496" t="s">
        <v>332</v>
      </c>
      <c r="B1" s="497"/>
      <c r="C1" s="497"/>
      <c r="D1" s="497"/>
      <c r="E1" s="497"/>
      <c r="F1" s="497"/>
      <c r="G1" s="497"/>
      <c r="H1" s="497"/>
      <c r="I1" s="497"/>
    </row>
    <row r="2" spans="1:12" ht="27" x14ac:dyDescent="0.25">
      <c r="A2" s="268" t="s">
        <v>1</v>
      </c>
      <c r="B2" s="268" t="s">
        <v>2</v>
      </c>
      <c r="C2" s="268" t="s">
        <v>3</v>
      </c>
      <c r="D2" s="269" t="s">
        <v>4</v>
      </c>
      <c r="E2" s="270" t="s">
        <v>5</v>
      </c>
      <c r="F2" s="270" t="s">
        <v>6</v>
      </c>
      <c r="G2" s="270" t="s">
        <v>333</v>
      </c>
      <c r="H2" s="270" t="s">
        <v>6</v>
      </c>
      <c r="I2" s="271" t="s">
        <v>7</v>
      </c>
    </row>
    <row r="3" spans="1:12" s="279" customFormat="1" x14ac:dyDescent="0.25">
      <c r="A3" s="272">
        <v>1</v>
      </c>
      <c r="B3" s="273">
        <v>2022</v>
      </c>
      <c r="C3" s="274" t="s">
        <v>45</v>
      </c>
      <c r="D3" s="275">
        <v>449</v>
      </c>
      <c r="E3" s="276">
        <v>0.25</v>
      </c>
      <c r="F3" s="276">
        <f t="shared" ref="F3:F66" si="0">E3*D3</f>
        <v>112.25</v>
      </c>
      <c r="G3" s="276">
        <f>F3</f>
        <v>112.25</v>
      </c>
      <c r="H3" s="276">
        <f>F3-G3</f>
        <v>0</v>
      </c>
      <c r="I3" s="277">
        <v>8542496</v>
      </c>
      <c r="J3" s="278">
        <v>45993</v>
      </c>
      <c r="K3" s="279" t="s">
        <v>334</v>
      </c>
    </row>
    <row r="4" spans="1:12" x14ac:dyDescent="0.25">
      <c r="A4" s="280">
        <v>2</v>
      </c>
      <c r="B4" s="281">
        <v>2026</v>
      </c>
      <c r="C4" s="282" t="s">
        <v>48</v>
      </c>
      <c r="D4" s="283">
        <v>599.6</v>
      </c>
      <c r="E4" s="284">
        <v>0.25</v>
      </c>
      <c r="F4" s="284">
        <f t="shared" si="0"/>
        <v>149.9</v>
      </c>
      <c r="G4" s="276">
        <f t="shared" ref="G4:G67" si="1">F4</f>
        <v>149.9</v>
      </c>
      <c r="H4" s="284">
        <f t="shared" ref="H4:H67" si="2">F4-G4</f>
        <v>0</v>
      </c>
      <c r="I4" s="285">
        <v>5352667</v>
      </c>
    </row>
    <row r="5" spans="1:12" x14ac:dyDescent="0.25">
      <c r="A5" s="280">
        <v>3</v>
      </c>
      <c r="B5" s="281">
        <v>2033</v>
      </c>
      <c r="C5" s="282" t="s">
        <v>19</v>
      </c>
      <c r="D5" s="283">
        <v>1090.5999999999999</v>
      </c>
      <c r="E5" s="284">
        <v>0.25</v>
      </c>
      <c r="F5" s="284">
        <f t="shared" si="0"/>
        <v>272.64999999999998</v>
      </c>
      <c r="G5" s="276">
        <f t="shared" si="1"/>
        <v>272.64999999999998</v>
      </c>
      <c r="H5" s="284">
        <f t="shared" si="2"/>
        <v>0</v>
      </c>
      <c r="I5" s="285">
        <v>1290824</v>
      </c>
    </row>
    <row r="6" spans="1:12" x14ac:dyDescent="0.25">
      <c r="A6" s="280">
        <v>4</v>
      </c>
      <c r="B6" s="281">
        <v>2036</v>
      </c>
      <c r="C6" s="282" t="s">
        <v>56</v>
      </c>
      <c r="D6" s="283">
        <v>471.2</v>
      </c>
      <c r="E6" s="284">
        <v>0.25</v>
      </c>
      <c r="F6" s="284">
        <f t="shared" si="0"/>
        <v>117.8</v>
      </c>
      <c r="G6" s="276">
        <f t="shared" si="1"/>
        <v>117.8</v>
      </c>
      <c r="H6" s="284">
        <f t="shared" si="2"/>
        <v>0</v>
      </c>
      <c r="I6" s="285">
        <v>8201282</v>
      </c>
    </row>
    <row r="7" spans="1:12" x14ac:dyDescent="0.25">
      <c r="A7" s="272">
        <v>5</v>
      </c>
      <c r="B7" s="273">
        <v>2051</v>
      </c>
      <c r="C7" s="286" t="s">
        <v>58</v>
      </c>
      <c r="D7" s="275">
        <v>1041.9000000000001</v>
      </c>
      <c r="E7" s="276">
        <v>0.25</v>
      </c>
      <c r="F7" s="276">
        <f t="shared" si="0"/>
        <v>260.47500000000002</v>
      </c>
      <c r="G7" s="276">
        <f t="shared" si="1"/>
        <v>260.47500000000002</v>
      </c>
      <c r="H7" s="276">
        <f t="shared" si="2"/>
        <v>0</v>
      </c>
      <c r="I7" s="277">
        <v>575519</v>
      </c>
      <c r="J7" s="278">
        <v>45672</v>
      </c>
      <c r="K7" s="287">
        <v>45963</v>
      </c>
      <c r="L7" s="267" t="s">
        <v>335</v>
      </c>
    </row>
    <row r="8" spans="1:12" x14ac:dyDescent="0.25">
      <c r="A8" s="280">
        <v>6</v>
      </c>
      <c r="B8" s="281">
        <v>2095</v>
      </c>
      <c r="C8" s="282" t="s">
        <v>20</v>
      </c>
      <c r="D8" s="283">
        <v>1162</v>
      </c>
      <c r="E8" s="284">
        <v>0.25</v>
      </c>
      <c r="F8" s="284">
        <f t="shared" si="0"/>
        <v>290.5</v>
      </c>
      <c r="G8" s="276">
        <f t="shared" si="1"/>
        <v>290.5</v>
      </c>
      <c r="H8" s="284">
        <f t="shared" si="2"/>
        <v>0</v>
      </c>
      <c r="I8" s="285">
        <v>26224</v>
      </c>
    </row>
    <row r="9" spans="1:12" x14ac:dyDescent="0.25">
      <c r="A9" s="280">
        <v>7</v>
      </c>
      <c r="B9" s="281">
        <v>2097</v>
      </c>
      <c r="C9" s="282" t="s">
        <v>61</v>
      </c>
      <c r="D9" s="283">
        <v>619.79999999999995</v>
      </c>
      <c r="E9" s="284">
        <v>0.25</v>
      </c>
      <c r="F9" s="284">
        <f t="shared" si="0"/>
        <v>154.94999999999999</v>
      </c>
      <c r="G9" s="276">
        <f t="shared" si="1"/>
        <v>154.94999999999999</v>
      </c>
      <c r="H9" s="284">
        <f t="shared" si="2"/>
        <v>0</v>
      </c>
      <c r="I9" s="285">
        <v>677206</v>
      </c>
    </row>
    <row r="10" spans="1:12" s="279" customFormat="1" x14ac:dyDescent="0.25">
      <c r="A10" s="272">
        <v>8</v>
      </c>
      <c r="B10" s="273">
        <v>2098</v>
      </c>
      <c r="C10" s="286" t="s">
        <v>63</v>
      </c>
      <c r="D10" s="275">
        <v>466.6</v>
      </c>
      <c r="E10" s="276">
        <v>0.25</v>
      </c>
      <c r="F10" s="276">
        <f t="shared" si="0"/>
        <v>116.65</v>
      </c>
      <c r="G10" s="276">
        <f t="shared" si="1"/>
        <v>116.65</v>
      </c>
      <c r="H10" s="276">
        <f t="shared" si="2"/>
        <v>0</v>
      </c>
      <c r="I10" s="277">
        <v>1065899</v>
      </c>
      <c r="J10" s="279" t="s">
        <v>343</v>
      </c>
      <c r="K10" s="279" t="s">
        <v>344</v>
      </c>
    </row>
    <row r="11" spans="1:12" x14ac:dyDescent="0.25">
      <c r="A11" s="280">
        <v>9</v>
      </c>
      <c r="B11" s="281">
        <v>2100</v>
      </c>
      <c r="C11" s="282" t="s">
        <v>65</v>
      </c>
      <c r="D11" s="283">
        <v>565.29999999999995</v>
      </c>
      <c r="E11" s="284">
        <v>0.25</v>
      </c>
      <c r="F11" s="284">
        <f t="shared" si="0"/>
        <v>141.32499999999999</v>
      </c>
      <c r="G11" s="276">
        <f t="shared" si="1"/>
        <v>141.32499999999999</v>
      </c>
      <c r="H11" s="284">
        <f t="shared" si="2"/>
        <v>0</v>
      </c>
      <c r="I11" s="285">
        <v>5550806</v>
      </c>
    </row>
    <row r="12" spans="1:12" x14ac:dyDescent="0.25">
      <c r="A12" s="280">
        <v>10</v>
      </c>
      <c r="B12" s="281">
        <v>2101</v>
      </c>
      <c r="C12" s="282" t="s">
        <v>68</v>
      </c>
      <c r="D12" s="283">
        <v>604</v>
      </c>
      <c r="E12" s="284">
        <v>0.25</v>
      </c>
      <c r="F12" s="284">
        <f t="shared" si="0"/>
        <v>151</v>
      </c>
      <c r="G12" s="276">
        <f t="shared" si="1"/>
        <v>151</v>
      </c>
      <c r="H12" s="284">
        <f t="shared" si="2"/>
        <v>0</v>
      </c>
      <c r="I12" s="288">
        <v>1145267</v>
      </c>
    </row>
    <row r="13" spans="1:12" x14ac:dyDescent="0.25">
      <c r="A13" s="280">
        <v>11</v>
      </c>
      <c r="B13" s="281">
        <v>2112</v>
      </c>
      <c r="C13" s="282" t="s">
        <v>71</v>
      </c>
      <c r="D13" s="283">
        <v>1195.5</v>
      </c>
      <c r="E13" s="284">
        <v>0.25</v>
      </c>
      <c r="F13" s="284">
        <f t="shared" si="0"/>
        <v>298.875</v>
      </c>
      <c r="G13" s="276">
        <f t="shared" si="1"/>
        <v>298.875</v>
      </c>
      <c r="H13" s="284">
        <f t="shared" si="2"/>
        <v>0</v>
      </c>
      <c r="I13" s="285">
        <v>11412524</v>
      </c>
    </row>
    <row r="14" spans="1:12" x14ac:dyDescent="0.25">
      <c r="A14" s="280">
        <v>12</v>
      </c>
      <c r="B14" s="281">
        <v>2120</v>
      </c>
      <c r="C14" s="282" t="s">
        <v>73</v>
      </c>
      <c r="D14" s="283">
        <v>613.70000000000005</v>
      </c>
      <c r="E14" s="284">
        <v>0.25</v>
      </c>
      <c r="F14" s="284">
        <f t="shared" si="0"/>
        <v>153.42500000000001</v>
      </c>
      <c r="G14" s="276">
        <f t="shared" si="1"/>
        <v>153.42500000000001</v>
      </c>
      <c r="H14" s="284">
        <f t="shared" si="2"/>
        <v>0</v>
      </c>
      <c r="I14" s="285">
        <v>1298606</v>
      </c>
    </row>
    <row r="15" spans="1:12" x14ac:dyDescent="0.25">
      <c r="A15" s="272">
        <v>13</v>
      </c>
      <c r="B15" s="273">
        <v>2125</v>
      </c>
      <c r="C15" s="48" t="s">
        <v>75</v>
      </c>
      <c r="D15" s="275">
        <v>572.9</v>
      </c>
      <c r="E15" s="276">
        <v>0.25</v>
      </c>
      <c r="F15" s="276">
        <f t="shared" si="0"/>
        <v>143.22499999999999</v>
      </c>
      <c r="G15" s="276">
        <f t="shared" si="1"/>
        <v>143.22499999999999</v>
      </c>
      <c r="H15" s="276">
        <f t="shared" si="2"/>
        <v>0</v>
      </c>
      <c r="I15" s="289">
        <v>6539352</v>
      </c>
      <c r="J15" s="287">
        <v>45691</v>
      </c>
    </row>
    <row r="16" spans="1:12" x14ac:dyDescent="0.25">
      <c r="A16" s="280">
        <v>14</v>
      </c>
      <c r="B16" s="281">
        <v>2128</v>
      </c>
      <c r="C16" s="282" t="s">
        <v>77</v>
      </c>
      <c r="D16" s="283">
        <v>1095.2</v>
      </c>
      <c r="E16" s="284">
        <v>0.25</v>
      </c>
      <c r="F16" s="284">
        <f t="shared" si="0"/>
        <v>273.8</v>
      </c>
      <c r="G16" s="276">
        <f t="shared" si="1"/>
        <v>273.8</v>
      </c>
      <c r="H16" s="284">
        <f t="shared" si="2"/>
        <v>0</v>
      </c>
      <c r="I16" s="285">
        <v>4648259</v>
      </c>
    </row>
    <row r="17" spans="1:11" s="279" customFormat="1" ht="15" x14ac:dyDescent="0.25">
      <c r="A17" s="272">
        <v>15</v>
      </c>
      <c r="B17" s="273">
        <v>2137</v>
      </c>
      <c r="C17" s="286" t="s">
        <v>79</v>
      </c>
      <c r="D17" s="275">
        <v>732.9</v>
      </c>
      <c r="E17" s="276">
        <v>0.25</v>
      </c>
      <c r="F17" s="276">
        <f t="shared" si="0"/>
        <v>183.22499999999999</v>
      </c>
      <c r="G17" s="276">
        <f t="shared" si="1"/>
        <v>183.22499999999999</v>
      </c>
      <c r="H17" s="276">
        <f t="shared" si="2"/>
        <v>0</v>
      </c>
      <c r="I17" s="277">
        <v>10285189</v>
      </c>
      <c r="J17" s="78">
        <v>45963</v>
      </c>
    </row>
    <row r="18" spans="1:11" x14ac:dyDescent="0.25">
      <c r="A18" s="280">
        <v>16</v>
      </c>
      <c r="B18" s="281">
        <v>2144</v>
      </c>
      <c r="C18" s="282" t="s">
        <v>83</v>
      </c>
      <c r="D18" s="283">
        <v>2306.1999999999998</v>
      </c>
      <c r="E18" s="284">
        <v>0.25</v>
      </c>
      <c r="F18" s="284">
        <f t="shared" si="0"/>
        <v>576.54999999999995</v>
      </c>
      <c r="G18" s="276">
        <f t="shared" si="1"/>
        <v>576.54999999999995</v>
      </c>
      <c r="H18" s="284">
        <f t="shared" si="2"/>
        <v>0</v>
      </c>
      <c r="I18" s="285">
        <v>532494</v>
      </c>
    </row>
    <row r="19" spans="1:11" x14ac:dyDescent="0.25">
      <c r="A19" s="280">
        <v>17</v>
      </c>
      <c r="B19" s="281">
        <v>2148</v>
      </c>
      <c r="C19" s="282" t="s">
        <v>85</v>
      </c>
      <c r="D19" s="283">
        <v>2452.8000000000002</v>
      </c>
      <c r="E19" s="284">
        <v>0.25</v>
      </c>
      <c r="F19" s="284">
        <f t="shared" si="0"/>
        <v>613.20000000000005</v>
      </c>
      <c r="G19" s="276">
        <f t="shared" si="1"/>
        <v>613.20000000000005</v>
      </c>
      <c r="H19" s="284">
        <f t="shared" si="2"/>
        <v>0</v>
      </c>
      <c r="I19" s="285">
        <v>6466788</v>
      </c>
    </row>
    <row r="20" spans="1:11" x14ac:dyDescent="0.25">
      <c r="A20" s="280">
        <v>18</v>
      </c>
      <c r="B20" s="281">
        <v>2150</v>
      </c>
      <c r="C20" s="282" t="s">
        <v>30</v>
      </c>
      <c r="D20" s="283">
        <v>5379.3</v>
      </c>
      <c r="E20" s="284">
        <v>0.25</v>
      </c>
      <c r="F20" s="284">
        <f t="shared" si="0"/>
        <v>1344.825</v>
      </c>
      <c r="G20" s="276">
        <f t="shared" si="1"/>
        <v>1344.825</v>
      </c>
      <c r="H20" s="284">
        <f t="shared" si="2"/>
        <v>0</v>
      </c>
      <c r="I20" s="285">
        <v>6657734</v>
      </c>
    </row>
    <row r="21" spans="1:11" x14ac:dyDescent="0.25">
      <c r="A21" s="280">
        <v>19</v>
      </c>
      <c r="B21" s="281">
        <v>2151</v>
      </c>
      <c r="C21" s="282" t="s">
        <v>88</v>
      </c>
      <c r="D21" s="283">
        <v>1063.9000000000001</v>
      </c>
      <c r="E21" s="284">
        <v>0.25</v>
      </c>
      <c r="F21" s="284">
        <f t="shared" si="0"/>
        <v>265.97500000000002</v>
      </c>
      <c r="G21" s="276">
        <f t="shared" si="1"/>
        <v>265.97500000000002</v>
      </c>
      <c r="H21" s="284">
        <f t="shared" si="2"/>
        <v>0</v>
      </c>
      <c r="I21" s="285">
        <v>2190491</v>
      </c>
    </row>
    <row r="22" spans="1:11" x14ac:dyDescent="0.25">
      <c r="A22" s="280">
        <v>20</v>
      </c>
      <c r="B22" s="281">
        <v>2155</v>
      </c>
      <c r="C22" s="282" t="s">
        <v>90</v>
      </c>
      <c r="D22" s="283">
        <v>466.3</v>
      </c>
      <c r="E22" s="284">
        <v>0.25</v>
      </c>
      <c r="F22" s="284">
        <f t="shared" si="0"/>
        <v>116.575</v>
      </c>
      <c r="G22" s="276">
        <f t="shared" si="1"/>
        <v>116.575</v>
      </c>
      <c r="H22" s="284">
        <f t="shared" si="2"/>
        <v>0</v>
      </c>
      <c r="I22" s="285">
        <v>21145036</v>
      </c>
    </row>
    <row r="23" spans="1:11" s="279" customFormat="1" x14ac:dyDescent="0.25">
      <c r="A23" s="272">
        <v>21</v>
      </c>
      <c r="B23" s="273">
        <v>2168</v>
      </c>
      <c r="C23" s="286" t="s">
        <v>10</v>
      </c>
      <c r="D23" s="275">
        <v>2488.1</v>
      </c>
      <c r="E23" s="276">
        <v>0.25</v>
      </c>
      <c r="F23" s="276">
        <f t="shared" si="0"/>
        <v>622.02499999999998</v>
      </c>
      <c r="G23" s="276">
        <f t="shared" si="1"/>
        <v>622.02499999999998</v>
      </c>
      <c r="H23" s="276">
        <f t="shared" si="2"/>
        <v>0</v>
      </c>
      <c r="I23" s="277">
        <v>941022</v>
      </c>
      <c r="J23" s="278">
        <v>45993</v>
      </c>
      <c r="K23" s="279" t="s">
        <v>336</v>
      </c>
    </row>
    <row r="24" spans="1:11" s="279" customFormat="1" x14ac:dyDescent="0.25">
      <c r="A24" s="272">
        <v>22</v>
      </c>
      <c r="B24" s="273">
        <v>2198</v>
      </c>
      <c r="C24" s="286" t="s">
        <v>93</v>
      </c>
      <c r="D24" s="275">
        <v>1029.5999999999999</v>
      </c>
      <c r="E24" s="276">
        <v>0.25</v>
      </c>
      <c r="F24" s="276">
        <f t="shared" si="0"/>
        <v>257.39999999999998</v>
      </c>
      <c r="G24" s="276">
        <f t="shared" si="1"/>
        <v>257.39999999999998</v>
      </c>
      <c r="H24" s="276">
        <f t="shared" si="2"/>
        <v>0</v>
      </c>
      <c r="I24" s="277">
        <v>10331933</v>
      </c>
      <c r="J24" s="278">
        <v>45932</v>
      </c>
    </row>
    <row r="25" spans="1:11" x14ac:dyDescent="0.25">
      <c r="A25" s="280">
        <v>23</v>
      </c>
      <c r="B25" s="281">
        <v>2205</v>
      </c>
      <c r="C25" s="282" t="s">
        <v>95</v>
      </c>
      <c r="D25" s="283">
        <v>523.79999999999995</v>
      </c>
      <c r="E25" s="284">
        <v>0.25</v>
      </c>
      <c r="F25" s="284">
        <f t="shared" si="0"/>
        <v>130.94999999999999</v>
      </c>
      <c r="G25" s="276">
        <f t="shared" si="1"/>
        <v>130.94999999999999</v>
      </c>
      <c r="H25" s="284">
        <f t="shared" si="2"/>
        <v>0</v>
      </c>
      <c r="I25" s="285">
        <v>26733843</v>
      </c>
    </row>
    <row r="26" spans="1:11" s="279" customFormat="1" x14ac:dyDescent="0.25">
      <c r="A26" s="272">
        <v>24</v>
      </c>
      <c r="B26" s="273">
        <v>2207</v>
      </c>
      <c r="C26" s="286" t="s">
        <v>31</v>
      </c>
      <c r="D26" s="275">
        <v>1118.7</v>
      </c>
      <c r="E26" s="276">
        <v>0.25</v>
      </c>
      <c r="F26" s="276">
        <f t="shared" si="0"/>
        <v>279.67500000000001</v>
      </c>
      <c r="G26" s="276">
        <f t="shared" si="1"/>
        <v>279.67500000000001</v>
      </c>
      <c r="H26" s="276">
        <f t="shared" si="2"/>
        <v>0</v>
      </c>
      <c r="I26" s="277">
        <v>1386691</v>
      </c>
      <c r="J26" s="279" t="s">
        <v>345</v>
      </c>
    </row>
    <row r="27" spans="1:11" x14ac:dyDescent="0.25">
      <c r="A27" s="280">
        <v>25</v>
      </c>
      <c r="B27" s="157">
        <v>2209</v>
      </c>
      <c r="C27" s="282" t="s">
        <v>98</v>
      </c>
      <c r="D27" s="290">
        <v>369.4</v>
      </c>
      <c r="E27" s="291">
        <v>0.25</v>
      </c>
      <c r="F27" s="291">
        <f t="shared" si="0"/>
        <v>92.35</v>
      </c>
      <c r="G27" s="276">
        <f t="shared" si="1"/>
        <v>92.35</v>
      </c>
      <c r="H27" s="284">
        <f t="shared" si="2"/>
        <v>0</v>
      </c>
      <c r="I27" s="292">
        <v>821878</v>
      </c>
    </row>
    <row r="28" spans="1:11" x14ac:dyDescent="0.25">
      <c r="A28" s="280">
        <v>26</v>
      </c>
      <c r="B28" s="157">
        <v>2213</v>
      </c>
      <c r="C28" s="282" t="s">
        <v>100</v>
      </c>
      <c r="D28" s="290">
        <v>2488.3000000000002</v>
      </c>
      <c r="E28" s="291">
        <v>0.25</v>
      </c>
      <c r="F28" s="291">
        <f t="shared" si="0"/>
        <v>622.07500000000005</v>
      </c>
      <c r="G28" s="276">
        <f t="shared" si="1"/>
        <v>622.07500000000005</v>
      </c>
      <c r="H28" s="284">
        <f t="shared" si="2"/>
        <v>0</v>
      </c>
      <c r="I28" s="292">
        <v>594176</v>
      </c>
    </row>
    <row r="29" spans="1:11" s="279" customFormat="1" x14ac:dyDescent="0.25">
      <c r="A29" s="272">
        <v>27</v>
      </c>
      <c r="B29" s="294">
        <v>2223</v>
      </c>
      <c r="C29" s="286" t="s">
        <v>32</v>
      </c>
      <c r="D29" s="298">
        <v>2018</v>
      </c>
      <c r="E29" s="295">
        <v>0.25</v>
      </c>
      <c r="F29" s="295">
        <f t="shared" si="0"/>
        <v>504.5</v>
      </c>
      <c r="G29" s="276">
        <f t="shared" si="1"/>
        <v>504.5</v>
      </c>
      <c r="H29" s="284">
        <f t="shared" si="2"/>
        <v>0</v>
      </c>
      <c r="I29" s="277">
        <v>2297206</v>
      </c>
      <c r="J29" s="279" t="s">
        <v>339</v>
      </c>
      <c r="K29" s="279" t="s">
        <v>342</v>
      </c>
    </row>
    <row r="30" spans="1:11" x14ac:dyDescent="0.25">
      <c r="A30" s="280">
        <v>28</v>
      </c>
      <c r="B30" s="157">
        <v>2229</v>
      </c>
      <c r="C30" s="282" t="s">
        <v>103</v>
      </c>
      <c r="D30" s="290">
        <v>3683.2</v>
      </c>
      <c r="E30" s="291">
        <v>0.25</v>
      </c>
      <c r="F30" s="291">
        <f t="shared" si="0"/>
        <v>920.8</v>
      </c>
      <c r="G30" s="276">
        <f t="shared" si="1"/>
        <v>920.8</v>
      </c>
      <c r="H30" s="284">
        <f t="shared" si="2"/>
        <v>0</v>
      </c>
      <c r="I30" s="285">
        <v>1031091</v>
      </c>
    </row>
    <row r="31" spans="1:11" x14ac:dyDescent="0.25">
      <c r="A31" s="280">
        <v>29</v>
      </c>
      <c r="B31" s="157">
        <v>2230</v>
      </c>
      <c r="C31" s="282" t="s">
        <v>21</v>
      </c>
      <c r="D31" s="283">
        <v>733</v>
      </c>
      <c r="E31" s="284">
        <v>0.25</v>
      </c>
      <c r="F31" s="291">
        <f t="shared" si="0"/>
        <v>183.25</v>
      </c>
      <c r="G31" s="276">
        <f t="shared" si="1"/>
        <v>183.25</v>
      </c>
      <c r="H31" s="284">
        <f t="shared" si="2"/>
        <v>0</v>
      </c>
      <c r="I31" s="285">
        <v>18633243</v>
      </c>
    </row>
    <row r="32" spans="1:11" x14ac:dyDescent="0.25">
      <c r="A32" s="280">
        <v>30</v>
      </c>
      <c r="B32" s="157">
        <v>2232</v>
      </c>
      <c r="C32" s="293" t="s">
        <v>22</v>
      </c>
      <c r="D32" s="290">
        <v>1225.9000000000001</v>
      </c>
      <c r="E32" s="291">
        <v>0.25</v>
      </c>
      <c r="F32" s="291">
        <f t="shared" si="0"/>
        <v>306.47500000000002</v>
      </c>
      <c r="G32" s="276">
        <f t="shared" si="1"/>
        <v>306.47500000000002</v>
      </c>
      <c r="H32" s="284">
        <f t="shared" si="2"/>
        <v>0</v>
      </c>
      <c r="I32" s="285">
        <v>1994004</v>
      </c>
    </row>
    <row r="33" spans="1:15" x14ac:dyDescent="0.25">
      <c r="A33" s="280">
        <v>31</v>
      </c>
      <c r="B33" s="157">
        <v>2234</v>
      </c>
      <c r="C33" s="282" t="s">
        <v>107</v>
      </c>
      <c r="D33" s="283">
        <v>2202.5</v>
      </c>
      <c r="E33" s="284">
        <v>0.25</v>
      </c>
      <c r="F33" s="291">
        <f t="shared" si="0"/>
        <v>550.625</v>
      </c>
      <c r="G33" s="276">
        <f t="shared" si="1"/>
        <v>550.625</v>
      </c>
      <c r="H33" s="284">
        <f t="shared" si="2"/>
        <v>0</v>
      </c>
      <c r="I33" s="288">
        <v>1235299</v>
      </c>
    </row>
    <row r="34" spans="1:15" x14ac:dyDescent="0.25">
      <c r="A34" s="280">
        <v>32</v>
      </c>
      <c r="B34" s="157">
        <v>2238</v>
      </c>
      <c r="C34" s="282" t="s">
        <v>23</v>
      </c>
      <c r="D34" s="283">
        <v>580.9</v>
      </c>
      <c r="E34" s="284">
        <v>0.25</v>
      </c>
      <c r="F34" s="291">
        <f t="shared" si="0"/>
        <v>145.22499999999999</v>
      </c>
      <c r="G34" s="276">
        <f t="shared" si="1"/>
        <v>145.22499999999999</v>
      </c>
      <c r="H34" s="284">
        <f t="shared" si="2"/>
        <v>0</v>
      </c>
      <c r="I34" s="288">
        <v>1322446</v>
      </c>
    </row>
    <row r="35" spans="1:15" ht="15" x14ac:dyDescent="0.25">
      <c r="A35" s="272">
        <v>33</v>
      </c>
      <c r="B35" s="294">
        <v>2244</v>
      </c>
      <c r="C35" s="286" t="s">
        <v>110</v>
      </c>
      <c r="D35" s="275">
        <v>4004.5</v>
      </c>
      <c r="E35" s="276">
        <v>0.25</v>
      </c>
      <c r="F35" s="295">
        <f t="shared" si="0"/>
        <v>1001.125</v>
      </c>
      <c r="G35" s="276">
        <f t="shared" si="1"/>
        <v>1001.125</v>
      </c>
      <c r="H35" s="276">
        <f t="shared" si="2"/>
        <v>0</v>
      </c>
      <c r="I35" s="277">
        <v>5474148</v>
      </c>
      <c r="J35" s="177">
        <f>1335.45/6</f>
        <v>222.57500000000002</v>
      </c>
      <c r="K35" s="177" t="s">
        <v>316</v>
      </c>
      <c r="L35" s="177"/>
      <c r="M35" s="177"/>
      <c r="N35" s="1" t="s">
        <v>317</v>
      </c>
      <c r="O35" s="1"/>
    </row>
    <row r="36" spans="1:15" s="279" customFormat="1" x14ac:dyDescent="0.25">
      <c r="A36" s="272">
        <v>34</v>
      </c>
      <c r="B36" s="294">
        <v>2245</v>
      </c>
      <c r="C36" s="286" t="s">
        <v>112</v>
      </c>
      <c r="D36" s="275">
        <v>1826.4</v>
      </c>
      <c r="E36" s="276">
        <v>0.25</v>
      </c>
      <c r="F36" s="295">
        <f t="shared" si="0"/>
        <v>456.6</v>
      </c>
      <c r="G36" s="276">
        <f t="shared" si="1"/>
        <v>456.6</v>
      </c>
      <c r="H36" s="276">
        <f t="shared" si="2"/>
        <v>0</v>
      </c>
      <c r="I36" s="277">
        <v>925058</v>
      </c>
      <c r="J36" s="279" t="s">
        <v>339</v>
      </c>
      <c r="K36" s="279" t="s">
        <v>340</v>
      </c>
    </row>
    <row r="37" spans="1:15" x14ac:dyDescent="0.25">
      <c r="A37" s="280">
        <v>35</v>
      </c>
      <c r="B37" s="157">
        <v>2250</v>
      </c>
      <c r="C37" s="282" t="s">
        <v>114</v>
      </c>
      <c r="D37" s="283">
        <v>1176.3</v>
      </c>
      <c r="E37" s="284">
        <v>0.25</v>
      </c>
      <c r="F37" s="291">
        <f t="shared" si="0"/>
        <v>294.07499999999999</v>
      </c>
      <c r="G37" s="276">
        <f t="shared" si="1"/>
        <v>294.07499999999999</v>
      </c>
      <c r="H37" s="284">
        <f t="shared" si="2"/>
        <v>0</v>
      </c>
      <c r="I37" s="285">
        <v>10206245</v>
      </c>
    </row>
    <row r="38" spans="1:15" x14ac:dyDescent="0.25">
      <c r="A38" s="280">
        <v>36</v>
      </c>
      <c r="B38" s="157">
        <v>2252</v>
      </c>
      <c r="C38" s="282" t="s">
        <v>33</v>
      </c>
      <c r="D38" s="283">
        <v>1876.1</v>
      </c>
      <c r="E38" s="284">
        <v>0.25</v>
      </c>
      <c r="F38" s="291">
        <f t="shared" si="0"/>
        <v>469.02499999999998</v>
      </c>
      <c r="G38" s="276">
        <f t="shared" si="1"/>
        <v>469.02499999999998</v>
      </c>
      <c r="H38" s="284">
        <f t="shared" si="2"/>
        <v>0</v>
      </c>
      <c r="I38" s="285">
        <v>1133208</v>
      </c>
    </row>
    <row r="39" spans="1:15" x14ac:dyDescent="0.25">
      <c r="A39" s="280">
        <v>37</v>
      </c>
      <c r="B39" s="157">
        <v>2267</v>
      </c>
      <c r="C39" s="293" t="s">
        <v>117</v>
      </c>
      <c r="D39" s="283">
        <v>1939.4</v>
      </c>
      <c r="E39" s="284">
        <v>0.25</v>
      </c>
      <c r="F39" s="291">
        <f t="shared" si="0"/>
        <v>484.85</v>
      </c>
      <c r="G39" s="276">
        <f t="shared" si="1"/>
        <v>484.85</v>
      </c>
      <c r="H39" s="284">
        <f t="shared" si="2"/>
        <v>0</v>
      </c>
      <c r="I39" s="285">
        <v>18700662</v>
      </c>
    </row>
    <row r="40" spans="1:15" x14ac:dyDescent="0.25">
      <c r="A40" s="280">
        <v>38</v>
      </c>
      <c r="B40" s="157">
        <v>2281</v>
      </c>
      <c r="C40" s="282" t="s">
        <v>119</v>
      </c>
      <c r="D40" s="283">
        <v>1154.0999999999999</v>
      </c>
      <c r="E40" s="284">
        <v>0.25</v>
      </c>
      <c r="F40" s="291">
        <f t="shared" si="0"/>
        <v>288.52499999999998</v>
      </c>
      <c r="G40" s="276">
        <f t="shared" si="1"/>
        <v>288.52499999999998</v>
      </c>
      <c r="H40" s="284">
        <f t="shared" si="2"/>
        <v>0</v>
      </c>
      <c r="I40" s="288">
        <v>2166167</v>
      </c>
    </row>
    <row r="41" spans="1:15" x14ac:dyDescent="0.25">
      <c r="A41" s="280">
        <v>39</v>
      </c>
      <c r="B41" s="157">
        <v>2285</v>
      </c>
      <c r="C41" s="282" t="s">
        <v>12</v>
      </c>
      <c r="D41" s="283">
        <v>1511.7</v>
      </c>
      <c r="E41" s="284">
        <v>0.25</v>
      </c>
      <c r="F41" s="291">
        <f t="shared" si="0"/>
        <v>377.92500000000001</v>
      </c>
      <c r="G41" s="276">
        <f t="shared" si="1"/>
        <v>377.92500000000001</v>
      </c>
      <c r="H41" s="284">
        <f t="shared" si="2"/>
        <v>0</v>
      </c>
      <c r="I41" s="288">
        <v>21077904</v>
      </c>
    </row>
    <row r="42" spans="1:15" s="279" customFormat="1" x14ac:dyDescent="0.25">
      <c r="A42" s="272">
        <v>40</v>
      </c>
      <c r="B42" s="294">
        <v>2294</v>
      </c>
      <c r="C42" s="286" t="s">
        <v>122</v>
      </c>
      <c r="D42" s="275">
        <v>5929.9</v>
      </c>
      <c r="E42" s="276">
        <v>0.25</v>
      </c>
      <c r="F42" s="295">
        <f t="shared" si="0"/>
        <v>1482.4749999999999</v>
      </c>
      <c r="G42" s="276">
        <f t="shared" si="1"/>
        <v>1482.4749999999999</v>
      </c>
      <c r="H42" s="276">
        <f t="shared" si="2"/>
        <v>0</v>
      </c>
      <c r="I42" s="277">
        <v>1917308</v>
      </c>
      <c r="J42" s="279" t="s">
        <v>331</v>
      </c>
      <c r="K42" s="279" t="s">
        <v>337</v>
      </c>
    </row>
    <row r="43" spans="1:15" s="279" customFormat="1" ht="15" x14ac:dyDescent="0.25">
      <c r="A43" s="272">
        <v>41</v>
      </c>
      <c r="B43" s="294">
        <v>2297</v>
      </c>
      <c r="C43" s="286" t="s">
        <v>124</v>
      </c>
      <c r="D43" s="275">
        <v>2594.1</v>
      </c>
      <c r="E43" s="276">
        <v>0.25</v>
      </c>
      <c r="F43" s="295">
        <f t="shared" si="0"/>
        <v>648.52499999999998</v>
      </c>
      <c r="G43" s="276">
        <f t="shared" si="1"/>
        <v>648.52499999999998</v>
      </c>
      <c r="H43" s="276">
        <f t="shared" si="2"/>
        <v>0</v>
      </c>
      <c r="I43" s="277">
        <v>19351695</v>
      </c>
      <c r="J43" s="78">
        <v>45779</v>
      </c>
    </row>
    <row r="44" spans="1:15" x14ac:dyDescent="0.25">
      <c r="A44" s="280">
        <v>42</v>
      </c>
      <c r="B44" s="157">
        <v>2298</v>
      </c>
      <c r="C44" s="282" t="s">
        <v>126</v>
      </c>
      <c r="D44" s="283">
        <v>3218</v>
      </c>
      <c r="E44" s="284">
        <v>0.25</v>
      </c>
      <c r="F44" s="291">
        <f t="shared" si="0"/>
        <v>804.5</v>
      </c>
      <c r="G44" s="276">
        <f t="shared" si="1"/>
        <v>804.5</v>
      </c>
      <c r="H44" s="284">
        <f t="shared" si="2"/>
        <v>0</v>
      </c>
      <c r="I44" s="285">
        <v>6681518</v>
      </c>
    </row>
    <row r="45" spans="1:15" x14ac:dyDescent="0.25">
      <c r="A45" s="280">
        <v>43</v>
      </c>
      <c r="B45" s="157">
        <v>2300</v>
      </c>
      <c r="C45" s="282" t="s">
        <v>128</v>
      </c>
      <c r="D45" s="283">
        <v>1096.5</v>
      </c>
      <c r="E45" s="284">
        <v>0.25</v>
      </c>
      <c r="F45" s="291">
        <f t="shared" si="0"/>
        <v>274.125</v>
      </c>
      <c r="G45" s="276">
        <f t="shared" si="1"/>
        <v>274.125</v>
      </c>
      <c r="H45" s="284">
        <f t="shared" si="2"/>
        <v>0</v>
      </c>
      <c r="I45" s="285">
        <v>447833</v>
      </c>
    </row>
    <row r="46" spans="1:15" x14ac:dyDescent="0.25">
      <c r="A46" s="280">
        <v>44</v>
      </c>
      <c r="B46" s="157">
        <v>2301</v>
      </c>
      <c r="C46" s="282" t="s">
        <v>130</v>
      </c>
      <c r="D46" s="283">
        <v>1562.8</v>
      </c>
      <c r="E46" s="284">
        <v>0.25</v>
      </c>
      <c r="F46" s="291">
        <f t="shared" si="0"/>
        <v>390.7</v>
      </c>
      <c r="G46" s="276">
        <f t="shared" si="1"/>
        <v>390.7</v>
      </c>
      <c r="H46" s="284">
        <f t="shared" si="2"/>
        <v>0</v>
      </c>
      <c r="I46" s="285">
        <v>23600713</v>
      </c>
    </row>
    <row r="47" spans="1:15" x14ac:dyDescent="0.25">
      <c r="A47" s="280">
        <v>45</v>
      </c>
      <c r="B47" s="157">
        <v>2302</v>
      </c>
      <c r="C47" s="282" t="s">
        <v>134</v>
      </c>
      <c r="D47" s="283">
        <v>274.39999999999998</v>
      </c>
      <c r="E47" s="284">
        <v>0.25</v>
      </c>
      <c r="F47" s="291">
        <f t="shared" si="0"/>
        <v>68.599999999999994</v>
      </c>
      <c r="G47" s="276">
        <f t="shared" si="1"/>
        <v>68.599999999999994</v>
      </c>
      <c r="H47" s="284">
        <f t="shared" si="2"/>
        <v>0</v>
      </c>
      <c r="I47" s="285">
        <v>20260365</v>
      </c>
    </row>
    <row r="48" spans="1:15" x14ac:dyDescent="0.25">
      <c r="A48" s="280">
        <v>46</v>
      </c>
      <c r="B48" s="157">
        <v>2303</v>
      </c>
      <c r="C48" s="282" t="s">
        <v>13</v>
      </c>
      <c r="D48" s="283">
        <v>994.5</v>
      </c>
      <c r="E48" s="284">
        <v>0.25</v>
      </c>
      <c r="F48" s="291">
        <f t="shared" si="0"/>
        <v>248.625</v>
      </c>
      <c r="G48" s="276">
        <f t="shared" si="1"/>
        <v>248.625</v>
      </c>
      <c r="H48" s="284">
        <f t="shared" si="2"/>
        <v>0</v>
      </c>
      <c r="I48" s="285">
        <v>18636198</v>
      </c>
    </row>
    <row r="49" spans="1:11" x14ac:dyDescent="0.25">
      <c r="A49" s="280">
        <v>47</v>
      </c>
      <c r="B49" s="157">
        <v>2304</v>
      </c>
      <c r="C49" s="282" t="s">
        <v>24</v>
      </c>
      <c r="D49" s="283">
        <v>574.9</v>
      </c>
      <c r="E49" s="284">
        <v>0.25</v>
      </c>
      <c r="F49" s="291">
        <f t="shared" si="0"/>
        <v>143.72499999999999</v>
      </c>
      <c r="G49" s="276">
        <f t="shared" si="1"/>
        <v>143.72499999999999</v>
      </c>
      <c r="H49" s="284">
        <f t="shared" si="2"/>
        <v>0</v>
      </c>
      <c r="I49" s="285">
        <v>7290532</v>
      </c>
    </row>
    <row r="50" spans="1:11" x14ac:dyDescent="0.25">
      <c r="A50" s="280">
        <v>48</v>
      </c>
      <c r="B50" s="157">
        <v>2306</v>
      </c>
      <c r="C50" s="282" t="s">
        <v>34</v>
      </c>
      <c r="D50" s="283">
        <v>667.3</v>
      </c>
      <c r="E50" s="284">
        <v>0.25</v>
      </c>
      <c r="F50" s="291">
        <f t="shared" si="0"/>
        <v>166.82499999999999</v>
      </c>
      <c r="G50" s="276">
        <f t="shared" si="1"/>
        <v>166.82499999999999</v>
      </c>
      <c r="H50" s="284">
        <f t="shared" si="2"/>
        <v>0</v>
      </c>
      <c r="I50" s="288">
        <v>26425746</v>
      </c>
    </row>
    <row r="51" spans="1:11" s="312" customFormat="1" x14ac:dyDescent="0.25">
      <c r="A51" s="304">
        <v>49</v>
      </c>
      <c r="B51" s="305">
        <v>2307</v>
      </c>
      <c r="C51" s="322" t="s">
        <v>139</v>
      </c>
      <c r="D51" s="307">
        <v>3332.7</v>
      </c>
      <c r="E51" s="309">
        <v>0.25</v>
      </c>
      <c r="F51" s="308">
        <f t="shared" si="0"/>
        <v>833.17499999999995</v>
      </c>
      <c r="G51" s="276">
        <f t="shared" si="1"/>
        <v>833.17499999999995</v>
      </c>
      <c r="H51" s="309">
        <f t="shared" si="2"/>
        <v>0</v>
      </c>
      <c r="I51" s="323">
        <v>1485446</v>
      </c>
      <c r="J51" s="312" t="s">
        <v>343</v>
      </c>
    </row>
    <row r="52" spans="1:11" x14ac:dyDescent="0.25">
      <c r="A52" s="280">
        <v>50</v>
      </c>
      <c r="B52" s="157">
        <v>2309</v>
      </c>
      <c r="C52" s="282" t="s">
        <v>35</v>
      </c>
      <c r="D52" s="283">
        <v>1176.5999999999999</v>
      </c>
      <c r="E52" s="284">
        <v>0.25</v>
      </c>
      <c r="F52" s="291">
        <f t="shared" si="0"/>
        <v>294.14999999999998</v>
      </c>
      <c r="G52" s="276">
        <f t="shared" si="1"/>
        <v>294.14999999999998</v>
      </c>
      <c r="H52" s="284">
        <f t="shared" si="2"/>
        <v>0</v>
      </c>
      <c r="I52" s="288">
        <v>2733875</v>
      </c>
    </row>
    <row r="53" spans="1:11" x14ac:dyDescent="0.25">
      <c r="A53" s="280">
        <v>51</v>
      </c>
      <c r="B53" s="157">
        <v>2310</v>
      </c>
      <c r="C53" s="282" t="s">
        <v>142</v>
      </c>
      <c r="D53" s="283">
        <v>5029.3999999999996</v>
      </c>
      <c r="E53" s="284">
        <v>0.25</v>
      </c>
      <c r="F53" s="291">
        <f t="shared" si="0"/>
        <v>1257.3499999999999</v>
      </c>
      <c r="G53" s="276">
        <f t="shared" si="1"/>
        <v>1257.3499999999999</v>
      </c>
      <c r="H53" s="284">
        <f t="shared" si="2"/>
        <v>0</v>
      </c>
      <c r="I53" s="285">
        <v>10612452</v>
      </c>
    </row>
    <row r="54" spans="1:11" x14ac:dyDescent="0.25">
      <c r="A54" s="280">
        <v>52</v>
      </c>
      <c r="B54" s="157">
        <v>2311</v>
      </c>
      <c r="C54" s="282" t="s">
        <v>144</v>
      </c>
      <c r="D54" s="283">
        <v>168</v>
      </c>
      <c r="E54" s="284">
        <v>0.25</v>
      </c>
      <c r="F54" s="291">
        <f t="shared" si="0"/>
        <v>42</v>
      </c>
      <c r="G54" s="276">
        <f t="shared" si="1"/>
        <v>42</v>
      </c>
      <c r="H54" s="284">
        <f t="shared" si="2"/>
        <v>0</v>
      </c>
      <c r="I54" s="285">
        <v>14874655</v>
      </c>
    </row>
    <row r="55" spans="1:11" x14ac:dyDescent="0.25">
      <c r="A55" s="280">
        <v>53</v>
      </c>
      <c r="B55" s="157">
        <v>2312</v>
      </c>
      <c r="C55" s="282" t="s">
        <v>36</v>
      </c>
      <c r="D55" s="283">
        <v>1764.3</v>
      </c>
      <c r="E55" s="284">
        <v>0.25</v>
      </c>
      <c r="F55" s="291">
        <f t="shared" si="0"/>
        <v>441.07499999999999</v>
      </c>
      <c r="G55" s="276">
        <f t="shared" si="1"/>
        <v>441.07499999999999</v>
      </c>
      <c r="H55" s="284">
        <f t="shared" si="2"/>
        <v>0</v>
      </c>
      <c r="I55" s="288">
        <v>876418</v>
      </c>
    </row>
    <row r="56" spans="1:11" x14ac:dyDescent="0.25">
      <c r="A56" s="280">
        <v>54</v>
      </c>
      <c r="B56" s="157">
        <v>2314</v>
      </c>
      <c r="C56" s="282" t="s">
        <v>149</v>
      </c>
      <c r="D56" s="283">
        <v>598.20000000000005</v>
      </c>
      <c r="E56" s="284">
        <v>0.25</v>
      </c>
      <c r="F56" s="291">
        <f t="shared" si="0"/>
        <v>149.55000000000001</v>
      </c>
      <c r="G56" s="276">
        <f t="shared" si="1"/>
        <v>149.55000000000001</v>
      </c>
      <c r="H56" s="284">
        <f t="shared" si="2"/>
        <v>0</v>
      </c>
      <c r="I56" s="288">
        <v>7032433</v>
      </c>
    </row>
    <row r="57" spans="1:11" x14ac:dyDescent="0.25">
      <c r="A57" s="280">
        <v>55</v>
      </c>
      <c r="B57" s="157">
        <v>2316</v>
      </c>
      <c r="C57" s="282" t="s">
        <v>25</v>
      </c>
      <c r="D57" s="283">
        <v>1786.7</v>
      </c>
      <c r="E57" s="284">
        <v>0.25</v>
      </c>
      <c r="F57" s="291">
        <f t="shared" si="0"/>
        <v>446.67500000000001</v>
      </c>
      <c r="G57" s="276">
        <f t="shared" si="1"/>
        <v>446.67500000000001</v>
      </c>
      <c r="H57" s="284">
        <f t="shared" si="2"/>
        <v>0</v>
      </c>
      <c r="I57" s="285">
        <v>18635847</v>
      </c>
    </row>
    <row r="58" spans="1:11" x14ac:dyDescent="0.25">
      <c r="A58" s="280">
        <v>56</v>
      </c>
      <c r="B58" s="157">
        <v>2317</v>
      </c>
      <c r="C58" s="282" t="s">
        <v>152</v>
      </c>
      <c r="D58" s="283">
        <v>1971.3</v>
      </c>
      <c r="E58" s="284">
        <v>0.25</v>
      </c>
      <c r="F58" s="291">
        <f t="shared" si="0"/>
        <v>492.82499999999999</v>
      </c>
      <c r="G58" s="276">
        <f t="shared" si="1"/>
        <v>492.82499999999999</v>
      </c>
      <c r="H58" s="284">
        <f t="shared" si="2"/>
        <v>0</v>
      </c>
      <c r="I58" s="288">
        <v>18362174</v>
      </c>
    </row>
    <row r="59" spans="1:11" x14ac:dyDescent="0.25">
      <c r="A59" s="280">
        <v>57</v>
      </c>
      <c r="B59" s="157">
        <v>2318</v>
      </c>
      <c r="C59" s="282" t="s">
        <v>156</v>
      </c>
      <c r="D59" s="283">
        <v>1072.8</v>
      </c>
      <c r="E59" s="284">
        <v>0.25</v>
      </c>
      <c r="F59" s="291">
        <f t="shared" si="0"/>
        <v>268.2</v>
      </c>
      <c r="G59" s="276">
        <f t="shared" si="1"/>
        <v>268.2</v>
      </c>
      <c r="H59" s="284">
        <f t="shared" si="2"/>
        <v>0</v>
      </c>
      <c r="I59" s="285">
        <v>218881</v>
      </c>
    </row>
    <row r="60" spans="1:11" x14ac:dyDescent="0.25">
      <c r="A60" s="280">
        <v>58</v>
      </c>
      <c r="B60" s="157">
        <v>2319</v>
      </c>
      <c r="C60" s="282" t="s">
        <v>37</v>
      </c>
      <c r="D60" s="283">
        <v>584.9</v>
      </c>
      <c r="E60" s="284">
        <v>0.25</v>
      </c>
      <c r="F60" s="291">
        <f t="shared" si="0"/>
        <v>146.22499999999999</v>
      </c>
      <c r="G60" s="276">
        <f t="shared" si="1"/>
        <v>146.22499999999999</v>
      </c>
      <c r="H60" s="284">
        <f t="shared" si="2"/>
        <v>0</v>
      </c>
      <c r="I60" s="288">
        <v>5006545</v>
      </c>
    </row>
    <row r="61" spans="1:11" x14ac:dyDescent="0.25">
      <c r="A61" s="280">
        <v>59</v>
      </c>
      <c r="B61" s="157">
        <v>2320</v>
      </c>
      <c r="C61" s="282" t="s">
        <v>159</v>
      </c>
      <c r="D61" s="283">
        <v>1217.3</v>
      </c>
      <c r="E61" s="284">
        <v>0.25</v>
      </c>
      <c r="F61" s="291">
        <f t="shared" si="0"/>
        <v>304.32499999999999</v>
      </c>
      <c r="G61" s="276">
        <f t="shared" si="1"/>
        <v>304.32499999999999</v>
      </c>
      <c r="H61" s="284">
        <f t="shared" si="2"/>
        <v>0</v>
      </c>
      <c r="I61" s="288">
        <v>21957384</v>
      </c>
    </row>
    <row r="62" spans="1:11" x14ac:dyDescent="0.25">
      <c r="A62" s="280">
        <v>60</v>
      </c>
      <c r="B62" s="157">
        <v>2322</v>
      </c>
      <c r="C62" s="282" t="s">
        <v>161</v>
      </c>
      <c r="D62" s="283">
        <v>909.6</v>
      </c>
      <c r="E62" s="284">
        <v>0.25</v>
      </c>
      <c r="F62" s="291">
        <f t="shared" si="0"/>
        <v>227.4</v>
      </c>
      <c r="G62" s="276">
        <f t="shared" si="1"/>
        <v>227.4</v>
      </c>
      <c r="H62" s="284">
        <f t="shared" si="2"/>
        <v>0</v>
      </c>
      <c r="I62" s="288">
        <v>102559</v>
      </c>
    </row>
    <row r="63" spans="1:11" x14ac:dyDescent="0.25">
      <c r="A63" s="280">
        <v>61</v>
      </c>
      <c r="B63" s="157">
        <v>2323</v>
      </c>
      <c r="C63" s="282" t="s">
        <v>163</v>
      </c>
      <c r="D63" s="283">
        <v>1158.8</v>
      </c>
      <c r="E63" s="284">
        <v>0.25</v>
      </c>
      <c r="F63" s="291">
        <f t="shared" si="0"/>
        <v>289.7</v>
      </c>
      <c r="G63" s="276">
        <f t="shared" si="1"/>
        <v>289.7</v>
      </c>
      <c r="H63" s="284">
        <f t="shared" si="2"/>
        <v>0</v>
      </c>
      <c r="I63" s="288">
        <v>1235899</v>
      </c>
    </row>
    <row r="64" spans="1:11" s="279" customFormat="1" x14ac:dyDescent="0.25">
      <c r="A64" s="272">
        <v>62</v>
      </c>
      <c r="B64" s="294">
        <v>2324</v>
      </c>
      <c r="C64" s="286" t="s">
        <v>165</v>
      </c>
      <c r="D64" s="275">
        <v>1704.8</v>
      </c>
      <c r="E64" s="276">
        <v>0.25</v>
      </c>
      <c r="F64" s="295">
        <f t="shared" si="0"/>
        <v>426.2</v>
      </c>
      <c r="G64" s="276">
        <f t="shared" si="1"/>
        <v>426.2</v>
      </c>
      <c r="H64" s="276">
        <f t="shared" si="2"/>
        <v>0</v>
      </c>
      <c r="I64" s="277">
        <v>12239373</v>
      </c>
      <c r="J64" s="278">
        <v>45690</v>
      </c>
      <c r="K64" s="279" t="s">
        <v>347</v>
      </c>
    </row>
    <row r="65" spans="1:9" x14ac:dyDescent="0.25">
      <c r="A65" s="280">
        <v>63</v>
      </c>
      <c r="B65" s="157">
        <v>2325</v>
      </c>
      <c r="C65" s="282" t="s">
        <v>167</v>
      </c>
      <c r="D65" s="283">
        <v>1837.8</v>
      </c>
      <c r="E65" s="284">
        <v>0.25</v>
      </c>
      <c r="F65" s="291">
        <f t="shared" si="0"/>
        <v>459.45</v>
      </c>
      <c r="G65" s="276">
        <f t="shared" si="1"/>
        <v>459.45</v>
      </c>
      <c r="H65" s="284">
        <f t="shared" si="2"/>
        <v>0</v>
      </c>
      <c r="I65" s="285">
        <v>3802037</v>
      </c>
    </row>
    <row r="66" spans="1:9" x14ac:dyDescent="0.25">
      <c r="A66" s="280">
        <v>64</v>
      </c>
      <c r="B66" s="157">
        <v>2327</v>
      </c>
      <c r="C66" s="282" t="s">
        <v>169</v>
      </c>
      <c r="D66" s="283">
        <v>612.20000000000005</v>
      </c>
      <c r="E66" s="284">
        <v>0.25</v>
      </c>
      <c r="F66" s="291">
        <f t="shared" si="0"/>
        <v>153.05000000000001</v>
      </c>
      <c r="G66" s="276">
        <f t="shared" si="1"/>
        <v>153.05000000000001</v>
      </c>
      <c r="H66" s="284">
        <f t="shared" si="2"/>
        <v>0</v>
      </c>
      <c r="I66" s="288">
        <v>7568982</v>
      </c>
    </row>
    <row r="67" spans="1:9" x14ac:dyDescent="0.25">
      <c r="A67" s="280">
        <v>65</v>
      </c>
      <c r="B67" s="157">
        <v>2329</v>
      </c>
      <c r="C67" s="282" t="s">
        <v>171</v>
      </c>
      <c r="D67" s="283">
        <v>1198.9000000000001</v>
      </c>
      <c r="E67" s="284">
        <v>0.25</v>
      </c>
      <c r="F67" s="291">
        <f t="shared" ref="F67:F101" si="3">E67*D67</f>
        <v>299.72500000000002</v>
      </c>
      <c r="G67" s="276">
        <f t="shared" si="1"/>
        <v>299.72500000000002</v>
      </c>
      <c r="H67" s="284">
        <f t="shared" si="2"/>
        <v>0</v>
      </c>
      <c r="I67" s="285">
        <v>500599</v>
      </c>
    </row>
    <row r="68" spans="1:9" x14ac:dyDescent="0.25">
      <c r="A68" s="280">
        <v>66</v>
      </c>
      <c r="B68" s="157">
        <v>2331</v>
      </c>
      <c r="C68" s="282" t="s">
        <v>173</v>
      </c>
      <c r="D68" s="283">
        <v>1229.0999999999999</v>
      </c>
      <c r="E68" s="284">
        <v>0.25</v>
      </c>
      <c r="F68" s="291">
        <f t="shared" si="3"/>
        <v>307.27499999999998</v>
      </c>
      <c r="G68" s="276">
        <f t="shared" ref="G68:G131" si="4">F68</f>
        <v>307.27499999999998</v>
      </c>
      <c r="H68" s="284">
        <f t="shared" ref="H68:H131" si="5">F68-G68</f>
        <v>0</v>
      </c>
      <c r="I68" s="285">
        <v>574696</v>
      </c>
    </row>
    <row r="69" spans="1:9" x14ac:dyDescent="0.25">
      <c r="A69" s="280">
        <v>67</v>
      </c>
      <c r="B69" s="157">
        <v>2332</v>
      </c>
      <c r="C69" s="282" t="s">
        <v>175</v>
      </c>
      <c r="D69" s="283">
        <v>3283.6</v>
      </c>
      <c r="E69" s="284">
        <v>0.25</v>
      </c>
      <c r="F69" s="291">
        <f t="shared" si="3"/>
        <v>820.9</v>
      </c>
      <c r="G69" s="276">
        <f t="shared" si="4"/>
        <v>820.9</v>
      </c>
      <c r="H69" s="284">
        <f t="shared" si="5"/>
        <v>0</v>
      </c>
      <c r="I69" s="285">
        <v>1409668</v>
      </c>
    </row>
    <row r="70" spans="1:9" x14ac:dyDescent="0.25">
      <c r="A70" s="280">
        <v>68</v>
      </c>
      <c r="B70" s="157">
        <v>2333</v>
      </c>
      <c r="C70" s="282" t="s">
        <v>177</v>
      </c>
      <c r="D70" s="283">
        <v>1196.9000000000001</v>
      </c>
      <c r="E70" s="291">
        <v>0.25</v>
      </c>
      <c r="F70" s="291">
        <f t="shared" si="3"/>
        <v>299.22500000000002</v>
      </c>
      <c r="G70" s="276">
        <f t="shared" si="4"/>
        <v>299.22500000000002</v>
      </c>
      <c r="H70" s="284">
        <f t="shared" si="5"/>
        <v>0</v>
      </c>
      <c r="I70" s="292">
        <v>732042</v>
      </c>
    </row>
    <row r="71" spans="1:9" x14ac:dyDescent="0.25">
      <c r="A71" s="280">
        <v>69</v>
      </c>
      <c r="B71" s="157">
        <v>2334</v>
      </c>
      <c r="C71" s="282" t="s">
        <v>38</v>
      </c>
      <c r="D71" s="283">
        <v>1761</v>
      </c>
      <c r="E71" s="291">
        <v>0.25</v>
      </c>
      <c r="F71" s="291">
        <f t="shared" si="3"/>
        <v>440.25</v>
      </c>
      <c r="G71" s="276">
        <f t="shared" si="4"/>
        <v>440.25</v>
      </c>
      <c r="H71" s="284">
        <f t="shared" si="5"/>
        <v>0</v>
      </c>
      <c r="I71" s="292">
        <v>390755</v>
      </c>
    </row>
    <row r="72" spans="1:9" x14ac:dyDescent="0.25">
      <c r="A72" s="280">
        <v>70</v>
      </c>
      <c r="B72" s="157">
        <v>2335</v>
      </c>
      <c r="C72" s="282" t="s">
        <v>180</v>
      </c>
      <c r="D72" s="283">
        <v>1141.9000000000001</v>
      </c>
      <c r="E72" s="291">
        <v>0.25</v>
      </c>
      <c r="F72" s="291">
        <f t="shared" si="3"/>
        <v>285.47500000000002</v>
      </c>
      <c r="G72" s="276">
        <f t="shared" si="4"/>
        <v>285.47500000000002</v>
      </c>
      <c r="H72" s="284">
        <f t="shared" si="5"/>
        <v>0</v>
      </c>
      <c r="I72" s="292">
        <v>6221853</v>
      </c>
    </row>
    <row r="73" spans="1:9" x14ac:dyDescent="0.25">
      <c r="A73" s="280">
        <v>71</v>
      </c>
      <c r="B73" s="157">
        <v>2336</v>
      </c>
      <c r="C73" s="282" t="s">
        <v>39</v>
      </c>
      <c r="D73" s="283">
        <v>1116.0999999999999</v>
      </c>
      <c r="E73" s="291">
        <v>0.25</v>
      </c>
      <c r="F73" s="291">
        <f t="shared" si="3"/>
        <v>279.02499999999998</v>
      </c>
      <c r="G73" s="276">
        <f t="shared" si="4"/>
        <v>279.02499999999998</v>
      </c>
      <c r="H73" s="284">
        <f t="shared" si="5"/>
        <v>0</v>
      </c>
      <c r="I73" s="292">
        <v>380513</v>
      </c>
    </row>
    <row r="74" spans="1:9" x14ac:dyDescent="0.25">
      <c r="A74" s="280">
        <v>72</v>
      </c>
      <c r="B74" s="157">
        <v>2337</v>
      </c>
      <c r="C74" s="282" t="s">
        <v>183</v>
      </c>
      <c r="D74" s="283">
        <v>571.29999999999995</v>
      </c>
      <c r="E74" s="291">
        <v>0.25</v>
      </c>
      <c r="F74" s="291">
        <f t="shared" si="3"/>
        <v>142.82499999999999</v>
      </c>
      <c r="G74" s="276">
        <f t="shared" si="4"/>
        <v>142.82499999999999</v>
      </c>
      <c r="H74" s="284">
        <f t="shared" si="5"/>
        <v>0</v>
      </c>
      <c r="I74" s="296">
        <v>813786</v>
      </c>
    </row>
    <row r="75" spans="1:9" x14ac:dyDescent="0.25">
      <c r="A75" s="280">
        <v>73</v>
      </c>
      <c r="B75" s="157">
        <v>2338</v>
      </c>
      <c r="C75" s="282" t="s">
        <v>185</v>
      </c>
      <c r="D75" s="283">
        <v>542.20000000000005</v>
      </c>
      <c r="E75" s="291">
        <v>0.25</v>
      </c>
      <c r="F75" s="291">
        <f t="shared" si="3"/>
        <v>135.55000000000001</v>
      </c>
      <c r="G75" s="276">
        <f t="shared" si="4"/>
        <v>135.55000000000001</v>
      </c>
      <c r="H75" s="284">
        <f t="shared" si="5"/>
        <v>0</v>
      </c>
      <c r="I75" s="292">
        <v>902553</v>
      </c>
    </row>
    <row r="76" spans="1:9" x14ac:dyDescent="0.25">
      <c r="A76" s="280">
        <v>74</v>
      </c>
      <c r="B76" s="157">
        <v>2342</v>
      </c>
      <c r="C76" s="282" t="s">
        <v>40</v>
      </c>
      <c r="D76" s="283">
        <v>993.3</v>
      </c>
      <c r="E76" s="291">
        <v>0.25</v>
      </c>
      <c r="F76" s="291">
        <f t="shared" si="3"/>
        <v>248.32499999999999</v>
      </c>
      <c r="G76" s="276">
        <f t="shared" si="4"/>
        <v>248.32499999999999</v>
      </c>
      <c r="H76" s="284">
        <f t="shared" si="5"/>
        <v>0</v>
      </c>
      <c r="I76" s="292">
        <v>6107751</v>
      </c>
    </row>
    <row r="77" spans="1:9" x14ac:dyDescent="0.25">
      <c r="A77" s="280">
        <v>75</v>
      </c>
      <c r="B77" s="157">
        <v>2344</v>
      </c>
      <c r="C77" s="282" t="s">
        <v>188</v>
      </c>
      <c r="D77" s="283">
        <v>3561.7</v>
      </c>
      <c r="E77" s="291">
        <v>0.25</v>
      </c>
      <c r="F77" s="291">
        <f t="shared" si="3"/>
        <v>890.42499999999995</v>
      </c>
      <c r="G77" s="276">
        <f t="shared" si="4"/>
        <v>890.42499999999995</v>
      </c>
      <c r="H77" s="284">
        <f t="shared" si="5"/>
        <v>0</v>
      </c>
      <c r="I77" s="292">
        <v>1071884</v>
      </c>
    </row>
    <row r="78" spans="1:9" x14ac:dyDescent="0.25">
      <c r="A78" s="280">
        <v>76</v>
      </c>
      <c r="B78" s="157">
        <v>2345</v>
      </c>
      <c r="C78" s="282" t="s">
        <v>41</v>
      </c>
      <c r="D78" s="283">
        <v>1794.9</v>
      </c>
      <c r="E78" s="291">
        <v>0.25</v>
      </c>
      <c r="F78" s="291">
        <f t="shared" si="3"/>
        <v>448.72500000000002</v>
      </c>
      <c r="G78" s="276">
        <f t="shared" si="4"/>
        <v>448.72500000000002</v>
      </c>
      <c r="H78" s="284">
        <f t="shared" si="5"/>
        <v>0</v>
      </c>
      <c r="I78" s="292">
        <v>1298574</v>
      </c>
    </row>
    <row r="79" spans="1:9" x14ac:dyDescent="0.25">
      <c r="A79" s="280">
        <v>77</v>
      </c>
      <c r="B79" s="157">
        <v>2346</v>
      </c>
      <c r="C79" s="282" t="s">
        <v>191</v>
      </c>
      <c r="D79" s="283">
        <v>594</v>
      </c>
      <c r="E79" s="291">
        <v>0.25</v>
      </c>
      <c r="F79" s="291">
        <f t="shared" si="3"/>
        <v>148.5</v>
      </c>
      <c r="G79" s="276">
        <f t="shared" si="4"/>
        <v>148.5</v>
      </c>
      <c r="H79" s="284">
        <f t="shared" si="5"/>
        <v>0</v>
      </c>
      <c r="I79" s="292">
        <v>26080834</v>
      </c>
    </row>
    <row r="80" spans="1:9" x14ac:dyDescent="0.25">
      <c r="A80" s="280">
        <v>78</v>
      </c>
      <c r="B80" s="157">
        <v>2347</v>
      </c>
      <c r="C80" s="282" t="s">
        <v>193</v>
      </c>
      <c r="D80" s="283">
        <v>889.5</v>
      </c>
      <c r="E80" s="291">
        <v>0.25</v>
      </c>
      <c r="F80" s="291">
        <f t="shared" si="3"/>
        <v>222.375</v>
      </c>
      <c r="G80" s="276">
        <f t="shared" si="4"/>
        <v>222.375</v>
      </c>
      <c r="H80" s="284">
        <f t="shared" si="5"/>
        <v>0</v>
      </c>
      <c r="I80" s="292">
        <v>3036144</v>
      </c>
    </row>
    <row r="81" spans="1:10" x14ac:dyDescent="0.25">
      <c r="A81" s="280">
        <v>79</v>
      </c>
      <c r="B81" s="157">
        <v>2348</v>
      </c>
      <c r="C81" s="282" t="s">
        <v>195</v>
      </c>
      <c r="D81" s="283">
        <v>1160.0999999999999</v>
      </c>
      <c r="E81" s="291">
        <v>0.25</v>
      </c>
      <c r="F81" s="291">
        <f t="shared" si="3"/>
        <v>290.02499999999998</v>
      </c>
      <c r="G81" s="276">
        <f t="shared" si="4"/>
        <v>290.02499999999998</v>
      </c>
      <c r="H81" s="284">
        <f t="shared" si="5"/>
        <v>0</v>
      </c>
      <c r="I81" s="292">
        <v>25374403</v>
      </c>
    </row>
    <row r="82" spans="1:10" s="279" customFormat="1" x14ac:dyDescent="0.25">
      <c r="A82" s="272">
        <v>80</v>
      </c>
      <c r="B82" s="294">
        <v>2350</v>
      </c>
      <c r="C82" s="286" t="s">
        <v>197</v>
      </c>
      <c r="D82" s="275">
        <v>1203</v>
      </c>
      <c r="E82" s="295">
        <v>0.25</v>
      </c>
      <c r="F82" s="295">
        <f t="shared" si="3"/>
        <v>300.75</v>
      </c>
      <c r="G82" s="276">
        <f t="shared" si="4"/>
        <v>300.75</v>
      </c>
      <c r="H82" s="276">
        <f t="shared" si="5"/>
        <v>0</v>
      </c>
      <c r="I82" s="297">
        <v>734135</v>
      </c>
      <c r="J82" s="279" t="s">
        <v>331</v>
      </c>
    </row>
    <row r="83" spans="1:10" x14ac:dyDescent="0.25">
      <c r="A83" s="280">
        <v>81</v>
      </c>
      <c r="B83" s="157">
        <v>2351</v>
      </c>
      <c r="C83" s="282" t="s">
        <v>199</v>
      </c>
      <c r="D83" s="283">
        <v>488.9</v>
      </c>
      <c r="E83" s="291">
        <v>0.25</v>
      </c>
      <c r="F83" s="291">
        <f t="shared" si="3"/>
        <v>122.22499999999999</v>
      </c>
      <c r="G83" s="276">
        <f t="shared" si="4"/>
        <v>122.22499999999999</v>
      </c>
      <c r="H83" s="284">
        <f t="shared" si="5"/>
        <v>0</v>
      </c>
      <c r="I83" s="292">
        <v>19521995</v>
      </c>
    </row>
    <row r="84" spans="1:10" x14ac:dyDescent="0.25">
      <c r="A84" s="280">
        <v>82</v>
      </c>
      <c r="B84" s="157">
        <v>2353</v>
      </c>
      <c r="C84" s="282" t="s">
        <v>42</v>
      </c>
      <c r="D84" s="283">
        <v>604</v>
      </c>
      <c r="E84" s="291">
        <v>0.25</v>
      </c>
      <c r="F84" s="291">
        <f t="shared" si="3"/>
        <v>151</v>
      </c>
      <c r="G84" s="276">
        <f t="shared" si="4"/>
        <v>151</v>
      </c>
      <c r="H84" s="284">
        <f t="shared" si="5"/>
        <v>0</v>
      </c>
      <c r="I84" s="292">
        <v>2088123</v>
      </c>
    </row>
    <row r="85" spans="1:10" x14ac:dyDescent="0.25">
      <c r="A85" s="280">
        <v>83</v>
      </c>
      <c r="B85" s="157">
        <v>2355</v>
      </c>
      <c r="C85" s="282" t="s">
        <v>202</v>
      </c>
      <c r="D85" s="283">
        <v>1157</v>
      </c>
      <c r="E85" s="291">
        <v>0.25</v>
      </c>
      <c r="F85" s="291">
        <f t="shared" si="3"/>
        <v>289.25</v>
      </c>
      <c r="G85" s="276">
        <f t="shared" si="4"/>
        <v>289.25</v>
      </c>
      <c r="H85" s="284">
        <f t="shared" si="5"/>
        <v>0</v>
      </c>
      <c r="I85" s="292">
        <v>1129734</v>
      </c>
    </row>
    <row r="86" spans="1:10" x14ac:dyDescent="0.25">
      <c r="A86" s="280">
        <v>84</v>
      </c>
      <c r="B86" s="157">
        <v>2356</v>
      </c>
      <c r="C86" s="282" t="s">
        <v>204</v>
      </c>
      <c r="D86" s="283">
        <v>699.2</v>
      </c>
      <c r="E86" s="291">
        <v>0.25</v>
      </c>
      <c r="F86" s="291">
        <f t="shared" si="3"/>
        <v>174.8</v>
      </c>
      <c r="G86" s="276">
        <f t="shared" si="4"/>
        <v>174.8</v>
      </c>
      <c r="H86" s="284">
        <f t="shared" si="5"/>
        <v>0</v>
      </c>
      <c r="I86" s="292">
        <v>252996</v>
      </c>
    </row>
    <row r="87" spans="1:10" x14ac:dyDescent="0.25">
      <c r="A87" s="280">
        <v>85</v>
      </c>
      <c r="B87" s="157">
        <v>2358</v>
      </c>
      <c r="C87" s="282" t="s">
        <v>206</v>
      </c>
      <c r="D87" s="283">
        <v>570</v>
      </c>
      <c r="E87" s="291">
        <v>0.25</v>
      </c>
      <c r="F87" s="291">
        <f t="shared" si="3"/>
        <v>142.5</v>
      </c>
      <c r="G87" s="276">
        <f t="shared" si="4"/>
        <v>142.5</v>
      </c>
      <c r="H87" s="284">
        <f t="shared" si="5"/>
        <v>0</v>
      </c>
      <c r="I87" s="292">
        <v>812235</v>
      </c>
    </row>
    <row r="88" spans="1:10" x14ac:dyDescent="0.25">
      <c r="A88" s="272">
        <v>86</v>
      </c>
      <c r="B88" s="294">
        <v>2360</v>
      </c>
      <c r="C88" s="286" t="s">
        <v>208</v>
      </c>
      <c r="D88" s="298">
        <v>1223.9000000000001</v>
      </c>
      <c r="E88" s="295">
        <v>0.25</v>
      </c>
      <c r="F88" s="295">
        <f t="shared" si="3"/>
        <v>305.97500000000002</v>
      </c>
      <c r="G88" s="276">
        <f t="shared" si="4"/>
        <v>305.97500000000002</v>
      </c>
      <c r="H88" s="276">
        <f t="shared" si="5"/>
        <v>0</v>
      </c>
      <c r="I88" s="297">
        <v>6791757</v>
      </c>
      <c r="J88" s="287">
        <v>45670</v>
      </c>
    </row>
    <row r="89" spans="1:10" x14ac:dyDescent="0.25">
      <c r="A89" s="280">
        <v>87</v>
      </c>
      <c r="B89" s="157">
        <v>2361</v>
      </c>
      <c r="C89" s="282" t="s">
        <v>210</v>
      </c>
      <c r="D89" s="290">
        <v>2028.5</v>
      </c>
      <c r="E89" s="291">
        <v>0.25</v>
      </c>
      <c r="F89" s="291">
        <f t="shared" si="3"/>
        <v>507.125</v>
      </c>
      <c r="G89" s="276">
        <f t="shared" si="4"/>
        <v>507.125</v>
      </c>
      <c r="H89" s="284">
        <f t="shared" si="5"/>
        <v>0</v>
      </c>
      <c r="I89" s="292">
        <v>3083395</v>
      </c>
    </row>
    <row r="90" spans="1:10" x14ac:dyDescent="0.25">
      <c r="A90" s="280">
        <v>88</v>
      </c>
      <c r="B90" s="157">
        <v>2362</v>
      </c>
      <c r="C90" s="282" t="s">
        <v>212</v>
      </c>
      <c r="D90" s="290">
        <v>3307.5</v>
      </c>
      <c r="E90" s="291">
        <v>0.25</v>
      </c>
      <c r="F90" s="291">
        <f t="shared" si="3"/>
        <v>826.875</v>
      </c>
      <c r="G90" s="276">
        <f t="shared" si="4"/>
        <v>826.875</v>
      </c>
      <c r="H90" s="284">
        <f t="shared" si="5"/>
        <v>0</v>
      </c>
      <c r="I90" s="292">
        <v>614569</v>
      </c>
    </row>
    <row r="91" spans="1:10" x14ac:dyDescent="0.25">
      <c r="A91" s="280">
        <v>89</v>
      </c>
      <c r="B91" s="157">
        <v>2365</v>
      </c>
      <c r="C91" s="293" t="s">
        <v>214</v>
      </c>
      <c r="D91" s="283">
        <v>2758.4</v>
      </c>
      <c r="E91" s="291">
        <v>0.25</v>
      </c>
      <c r="F91" s="291">
        <f t="shared" si="3"/>
        <v>689.6</v>
      </c>
      <c r="G91" s="276">
        <f t="shared" si="4"/>
        <v>689.6</v>
      </c>
      <c r="H91" s="284">
        <f t="shared" si="5"/>
        <v>0</v>
      </c>
      <c r="I91" s="292">
        <v>18164859</v>
      </c>
    </row>
    <row r="92" spans="1:10" x14ac:dyDescent="0.25">
      <c r="A92" s="280">
        <v>90</v>
      </c>
      <c r="B92" s="157">
        <v>2366</v>
      </c>
      <c r="C92" s="299" t="s">
        <v>43</v>
      </c>
      <c r="D92" s="290">
        <v>1162.9000000000001</v>
      </c>
      <c r="E92" s="291">
        <v>0.25</v>
      </c>
      <c r="F92" s="291">
        <f t="shared" si="3"/>
        <v>290.72500000000002</v>
      </c>
      <c r="G92" s="276">
        <f t="shared" si="4"/>
        <v>290.72500000000002</v>
      </c>
      <c r="H92" s="284">
        <f t="shared" si="5"/>
        <v>0</v>
      </c>
      <c r="I92" s="292">
        <v>5737041</v>
      </c>
    </row>
    <row r="93" spans="1:10" x14ac:dyDescent="0.25">
      <c r="A93" s="280">
        <v>91</v>
      </c>
      <c r="B93" s="157">
        <v>2368</v>
      </c>
      <c r="C93" s="300" t="s">
        <v>26</v>
      </c>
      <c r="D93" s="283">
        <v>3021.1</v>
      </c>
      <c r="E93" s="291">
        <v>0.25</v>
      </c>
      <c r="F93" s="291">
        <f t="shared" si="3"/>
        <v>755.27499999999998</v>
      </c>
      <c r="G93" s="276">
        <f t="shared" si="4"/>
        <v>755.27499999999998</v>
      </c>
      <c r="H93" s="284">
        <f t="shared" si="5"/>
        <v>0</v>
      </c>
      <c r="I93" s="292">
        <v>14028352</v>
      </c>
    </row>
    <row r="94" spans="1:10" x14ac:dyDescent="0.25">
      <c r="A94" s="280">
        <v>92</v>
      </c>
      <c r="B94" s="157">
        <v>2369</v>
      </c>
      <c r="C94" s="301" t="s">
        <v>218</v>
      </c>
      <c r="D94" s="283">
        <v>555.1</v>
      </c>
      <c r="E94" s="291">
        <v>0.25</v>
      </c>
      <c r="F94" s="291">
        <f t="shared" si="3"/>
        <v>138.77500000000001</v>
      </c>
      <c r="G94" s="276">
        <f t="shared" si="4"/>
        <v>138.77500000000001</v>
      </c>
      <c r="H94" s="284">
        <f t="shared" si="5"/>
        <v>0</v>
      </c>
      <c r="I94" s="292">
        <v>1305728</v>
      </c>
    </row>
    <row r="95" spans="1:10" x14ac:dyDescent="0.25">
      <c r="A95" s="280">
        <v>93</v>
      </c>
      <c r="B95" s="157">
        <v>2370</v>
      </c>
      <c r="C95" s="301" t="s">
        <v>220</v>
      </c>
      <c r="D95" s="283">
        <v>1850</v>
      </c>
      <c r="E95" s="291">
        <v>0.25</v>
      </c>
      <c r="F95" s="291">
        <f t="shared" si="3"/>
        <v>462.5</v>
      </c>
      <c r="G95" s="276">
        <f t="shared" si="4"/>
        <v>462.5</v>
      </c>
      <c r="H95" s="284">
        <f t="shared" si="5"/>
        <v>0</v>
      </c>
      <c r="I95" s="292">
        <v>15082454</v>
      </c>
    </row>
    <row r="96" spans="1:10" x14ac:dyDescent="0.25">
      <c r="A96" s="280">
        <v>94</v>
      </c>
      <c r="B96" s="157">
        <v>2371</v>
      </c>
      <c r="C96" s="301" t="s">
        <v>222</v>
      </c>
      <c r="D96" s="283">
        <v>1393.1</v>
      </c>
      <c r="E96" s="291">
        <v>0.25</v>
      </c>
      <c r="F96" s="291">
        <f t="shared" si="3"/>
        <v>348.27499999999998</v>
      </c>
      <c r="G96" s="276">
        <f t="shared" si="4"/>
        <v>348.27499999999998</v>
      </c>
      <c r="H96" s="284">
        <f t="shared" si="5"/>
        <v>0</v>
      </c>
      <c r="I96" s="292">
        <v>4710817</v>
      </c>
    </row>
    <row r="97" spans="1:11" x14ac:dyDescent="0.25">
      <c r="A97" s="280">
        <v>95</v>
      </c>
      <c r="B97" s="157">
        <v>2373</v>
      </c>
      <c r="C97" s="302" t="s">
        <v>224</v>
      </c>
      <c r="D97" s="283">
        <v>1215</v>
      </c>
      <c r="E97" s="291">
        <v>0.25</v>
      </c>
      <c r="F97" s="291">
        <f t="shared" si="3"/>
        <v>303.75</v>
      </c>
      <c r="G97" s="276">
        <f t="shared" si="4"/>
        <v>303.75</v>
      </c>
      <c r="H97" s="284">
        <f t="shared" si="5"/>
        <v>0</v>
      </c>
      <c r="I97" s="292">
        <v>593009</v>
      </c>
    </row>
    <row r="98" spans="1:11" x14ac:dyDescent="0.25">
      <c r="A98" s="280">
        <v>96</v>
      </c>
      <c r="B98" s="157">
        <v>2374</v>
      </c>
      <c r="C98" s="301" t="s">
        <v>226</v>
      </c>
      <c r="D98" s="283">
        <v>608.20000000000005</v>
      </c>
      <c r="E98" s="291">
        <v>0.25</v>
      </c>
      <c r="F98" s="291">
        <f t="shared" si="3"/>
        <v>152.05000000000001</v>
      </c>
      <c r="G98" s="276">
        <f t="shared" si="4"/>
        <v>152.05000000000001</v>
      </c>
      <c r="H98" s="284">
        <f t="shared" si="5"/>
        <v>0</v>
      </c>
      <c r="I98" s="292">
        <v>27683269</v>
      </c>
    </row>
    <row r="99" spans="1:11" x14ac:dyDescent="0.25">
      <c r="A99" s="280">
        <v>97</v>
      </c>
      <c r="B99" s="157">
        <v>2380</v>
      </c>
      <c r="C99" s="301" t="s">
        <v>228</v>
      </c>
      <c r="D99" s="283">
        <v>554.4</v>
      </c>
      <c r="E99" s="291">
        <v>0.25</v>
      </c>
      <c r="F99" s="291">
        <f t="shared" si="3"/>
        <v>138.6</v>
      </c>
      <c r="G99" s="276">
        <f t="shared" si="4"/>
        <v>138.6</v>
      </c>
      <c r="H99" s="284">
        <f t="shared" si="5"/>
        <v>0</v>
      </c>
      <c r="I99" s="292">
        <v>614536</v>
      </c>
    </row>
    <row r="100" spans="1:11" x14ac:dyDescent="0.25">
      <c r="A100" s="280">
        <v>98</v>
      </c>
      <c r="B100" s="157">
        <v>2381</v>
      </c>
      <c r="C100" s="301" t="s">
        <v>230</v>
      </c>
      <c r="D100" s="283">
        <v>1144.7</v>
      </c>
      <c r="E100" s="291">
        <v>0.25</v>
      </c>
      <c r="F100" s="291">
        <f t="shared" si="3"/>
        <v>286.17500000000001</v>
      </c>
      <c r="G100" s="276">
        <f t="shared" si="4"/>
        <v>286.17500000000001</v>
      </c>
      <c r="H100" s="284">
        <f t="shared" si="5"/>
        <v>0</v>
      </c>
      <c r="I100" s="292">
        <v>830452</v>
      </c>
    </row>
    <row r="101" spans="1:11" x14ac:dyDescent="0.25">
      <c r="A101" s="280">
        <v>99</v>
      </c>
      <c r="B101" s="157">
        <v>2383</v>
      </c>
      <c r="C101" s="303" t="s">
        <v>232</v>
      </c>
      <c r="D101" s="283">
        <v>657.8</v>
      </c>
      <c r="E101" s="291">
        <v>0.25</v>
      </c>
      <c r="F101" s="291">
        <f t="shared" si="3"/>
        <v>164.45</v>
      </c>
      <c r="G101" s="276">
        <f t="shared" si="4"/>
        <v>164.45</v>
      </c>
      <c r="H101" s="284">
        <f t="shared" si="5"/>
        <v>0</v>
      </c>
      <c r="I101" s="296">
        <v>11427078</v>
      </c>
    </row>
    <row r="102" spans="1:11" s="279" customFormat="1" x14ac:dyDescent="0.25">
      <c r="A102" s="272">
        <v>100</v>
      </c>
      <c r="B102" s="294">
        <v>2385</v>
      </c>
      <c r="C102" s="277" t="s">
        <v>236</v>
      </c>
      <c r="D102" s="275">
        <v>1244.7</v>
      </c>
      <c r="E102" s="295">
        <v>0.25</v>
      </c>
      <c r="F102" s="295">
        <f>D102*E102</f>
        <v>311.17500000000001</v>
      </c>
      <c r="G102" s="276">
        <f t="shared" si="4"/>
        <v>311.17500000000001</v>
      </c>
      <c r="H102" s="276">
        <f t="shared" si="5"/>
        <v>0</v>
      </c>
      <c r="I102" s="297">
        <v>3039422</v>
      </c>
      <c r="J102" s="279" t="s">
        <v>345</v>
      </c>
    </row>
    <row r="103" spans="1:11" x14ac:dyDescent="0.25">
      <c r="A103" s="280">
        <v>101</v>
      </c>
      <c r="B103" s="157">
        <v>2390</v>
      </c>
      <c r="C103" s="300" t="s">
        <v>238</v>
      </c>
      <c r="D103" s="283">
        <v>1646.2</v>
      </c>
      <c r="E103" s="291">
        <v>0.25</v>
      </c>
      <c r="F103" s="291">
        <f t="shared" ref="F103:F132" si="6">E103*D103</f>
        <v>411.55</v>
      </c>
      <c r="G103" s="276">
        <f t="shared" si="4"/>
        <v>411.55</v>
      </c>
      <c r="H103" s="284">
        <f t="shared" si="5"/>
        <v>0</v>
      </c>
      <c r="I103" s="292">
        <v>738486</v>
      </c>
    </row>
    <row r="104" spans="1:11" x14ac:dyDescent="0.25">
      <c r="A104" s="280">
        <v>102</v>
      </c>
      <c r="B104" s="157">
        <v>2391</v>
      </c>
      <c r="C104" s="300" t="s">
        <v>240</v>
      </c>
      <c r="D104" s="283">
        <v>604.20000000000005</v>
      </c>
      <c r="E104" s="291">
        <v>0.25</v>
      </c>
      <c r="F104" s="291">
        <f t="shared" si="6"/>
        <v>151.05000000000001</v>
      </c>
      <c r="G104" s="276">
        <f t="shared" si="4"/>
        <v>151.05000000000001</v>
      </c>
      <c r="H104" s="284">
        <f t="shared" si="5"/>
        <v>0</v>
      </c>
      <c r="I104" s="292">
        <v>952571</v>
      </c>
    </row>
    <row r="105" spans="1:11" x14ac:dyDescent="0.25">
      <c r="A105" s="280">
        <v>103</v>
      </c>
      <c r="B105" s="157">
        <v>2500</v>
      </c>
      <c r="C105" s="300" t="s">
        <v>242</v>
      </c>
      <c r="D105" s="283">
        <v>3450.6</v>
      </c>
      <c r="E105" s="291">
        <v>0.25</v>
      </c>
      <c r="F105" s="291">
        <f t="shared" si="6"/>
        <v>862.65</v>
      </c>
      <c r="G105" s="276">
        <f t="shared" si="4"/>
        <v>862.65</v>
      </c>
      <c r="H105" s="284">
        <f t="shared" si="5"/>
        <v>0</v>
      </c>
      <c r="I105" s="292">
        <v>19597106</v>
      </c>
    </row>
    <row r="106" spans="1:11" s="279" customFormat="1" x14ac:dyDescent="0.25">
      <c r="A106" s="272">
        <v>104</v>
      </c>
      <c r="B106" s="294">
        <v>2501</v>
      </c>
      <c r="C106" s="321" t="s">
        <v>244</v>
      </c>
      <c r="D106" s="275">
        <v>1636.3</v>
      </c>
      <c r="E106" s="295">
        <v>0.25</v>
      </c>
      <c r="F106" s="295">
        <f t="shared" si="6"/>
        <v>409.07499999999999</v>
      </c>
      <c r="G106" s="276">
        <f t="shared" si="4"/>
        <v>409.07499999999999</v>
      </c>
      <c r="H106" s="276">
        <f t="shared" si="5"/>
        <v>0</v>
      </c>
      <c r="I106" s="297">
        <v>15593565</v>
      </c>
      <c r="J106" s="279" t="s">
        <v>345</v>
      </c>
    </row>
    <row r="107" spans="1:11" x14ac:dyDescent="0.25">
      <c r="A107" s="280">
        <v>105</v>
      </c>
      <c r="B107" s="157">
        <v>2502</v>
      </c>
      <c r="C107" s="300" t="s">
        <v>27</v>
      </c>
      <c r="D107" s="283">
        <v>991.6</v>
      </c>
      <c r="E107" s="291">
        <v>0.25</v>
      </c>
      <c r="F107" s="291">
        <f t="shared" si="6"/>
        <v>247.9</v>
      </c>
      <c r="G107" s="276">
        <f t="shared" si="4"/>
        <v>247.9</v>
      </c>
      <c r="H107" s="284">
        <f t="shared" si="5"/>
        <v>0</v>
      </c>
      <c r="I107" s="292">
        <v>6231138</v>
      </c>
    </row>
    <row r="108" spans="1:11" s="279" customFormat="1" x14ac:dyDescent="0.25">
      <c r="A108" s="272">
        <v>106</v>
      </c>
      <c r="B108" s="294">
        <v>2503</v>
      </c>
      <c r="C108" s="321" t="s">
        <v>247</v>
      </c>
      <c r="D108" s="275">
        <v>930.5</v>
      </c>
      <c r="E108" s="295">
        <v>0.25</v>
      </c>
      <c r="F108" s="295">
        <f t="shared" si="6"/>
        <v>232.625</v>
      </c>
      <c r="G108" s="276">
        <f t="shared" si="4"/>
        <v>232.625</v>
      </c>
      <c r="H108" s="276">
        <f t="shared" si="5"/>
        <v>0</v>
      </c>
      <c r="I108" s="297">
        <v>568083</v>
      </c>
      <c r="J108" s="279" t="s">
        <v>339</v>
      </c>
      <c r="K108" s="279" t="s">
        <v>341</v>
      </c>
    </row>
    <row r="109" spans="1:11" x14ac:dyDescent="0.25">
      <c r="A109" s="280"/>
      <c r="B109" s="157">
        <v>2504</v>
      </c>
      <c r="C109" s="300" t="s">
        <v>338</v>
      </c>
      <c r="D109" s="283">
        <v>442.8</v>
      </c>
      <c r="E109" s="291">
        <v>0.25</v>
      </c>
      <c r="F109" s="291">
        <f t="shared" si="6"/>
        <v>110.7</v>
      </c>
      <c r="G109" s="276">
        <f t="shared" si="4"/>
        <v>110.7</v>
      </c>
      <c r="H109" s="284">
        <f t="shared" si="5"/>
        <v>0</v>
      </c>
      <c r="I109" s="292">
        <v>6296825</v>
      </c>
    </row>
    <row r="110" spans="1:11" x14ac:dyDescent="0.25">
      <c r="A110" s="280">
        <v>108</v>
      </c>
      <c r="B110" s="157">
        <v>2505</v>
      </c>
      <c r="C110" s="300" t="s">
        <v>251</v>
      </c>
      <c r="D110" s="283">
        <v>606.29999999999995</v>
      </c>
      <c r="E110" s="291">
        <v>0.25</v>
      </c>
      <c r="F110" s="291">
        <f t="shared" si="6"/>
        <v>151.57499999999999</v>
      </c>
      <c r="G110" s="276">
        <f t="shared" si="4"/>
        <v>151.57499999999999</v>
      </c>
      <c r="H110" s="284">
        <f t="shared" si="5"/>
        <v>0</v>
      </c>
      <c r="I110" s="292">
        <v>257889</v>
      </c>
    </row>
    <row r="111" spans="1:11" x14ac:dyDescent="0.25">
      <c r="A111" s="280">
        <v>109</v>
      </c>
      <c r="B111" s="157">
        <v>2506</v>
      </c>
      <c r="C111" s="300" t="s">
        <v>253</v>
      </c>
      <c r="D111" s="283">
        <v>607.5</v>
      </c>
      <c r="E111" s="291">
        <v>0.25</v>
      </c>
      <c r="F111" s="291">
        <f t="shared" si="6"/>
        <v>151.875</v>
      </c>
      <c r="G111" s="276">
        <f t="shared" si="4"/>
        <v>151.875</v>
      </c>
      <c r="H111" s="284">
        <f t="shared" si="5"/>
        <v>0</v>
      </c>
      <c r="I111" s="292">
        <v>11082822</v>
      </c>
    </row>
    <row r="112" spans="1:11" x14ac:dyDescent="0.25">
      <c r="A112" s="280">
        <v>110</v>
      </c>
      <c r="B112" s="157">
        <v>2507</v>
      </c>
      <c r="C112" s="300" t="s">
        <v>255</v>
      </c>
      <c r="D112" s="283">
        <v>614.1</v>
      </c>
      <c r="E112" s="291">
        <v>0.25</v>
      </c>
      <c r="F112" s="291">
        <f t="shared" si="6"/>
        <v>153.52500000000001</v>
      </c>
      <c r="G112" s="276">
        <f t="shared" si="4"/>
        <v>153.52500000000001</v>
      </c>
      <c r="H112" s="284">
        <f t="shared" si="5"/>
        <v>0</v>
      </c>
      <c r="I112" s="292">
        <v>21947545</v>
      </c>
    </row>
    <row r="113" spans="1:10" x14ac:dyDescent="0.25">
      <c r="A113" s="280">
        <v>111</v>
      </c>
      <c r="B113" s="157">
        <v>2509</v>
      </c>
      <c r="C113" s="300" t="s">
        <v>257</v>
      </c>
      <c r="D113" s="283">
        <v>924</v>
      </c>
      <c r="E113" s="291">
        <v>0.25</v>
      </c>
      <c r="F113" s="291">
        <f t="shared" si="6"/>
        <v>231</v>
      </c>
      <c r="G113" s="276">
        <f t="shared" si="4"/>
        <v>231</v>
      </c>
      <c r="H113" s="284">
        <f t="shared" si="5"/>
        <v>0</v>
      </c>
      <c r="I113" s="292">
        <v>5739429</v>
      </c>
    </row>
    <row r="114" spans="1:10" x14ac:dyDescent="0.25">
      <c r="A114" s="280">
        <v>112</v>
      </c>
      <c r="B114" s="157">
        <v>2510</v>
      </c>
      <c r="C114" s="300" t="s">
        <v>259</v>
      </c>
      <c r="D114" s="283">
        <v>1142.5999999999999</v>
      </c>
      <c r="E114" s="291">
        <v>0.25</v>
      </c>
      <c r="F114" s="291">
        <f t="shared" si="6"/>
        <v>285.64999999999998</v>
      </c>
      <c r="G114" s="276">
        <f t="shared" si="4"/>
        <v>285.64999999999998</v>
      </c>
      <c r="H114" s="284">
        <f t="shared" si="5"/>
        <v>0</v>
      </c>
      <c r="I114" s="292">
        <v>5542574</v>
      </c>
    </row>
    <row r="115" spans="1:10" x14ac:dyDescent="0.25">
      <c r="A115" s="280">
        <v>113</v>
      </c>
      <c r="B115" s="157">
        <v>2511</v>
      </c>
      <c r="C115" s="300" t="s">
        <v>261</v>
      </c>
      <c r="D115" s="283">
        <v>595.70000000000005</v>
      </c>
      <c r="E115" s="291">
        <v>0.25</v>
      </c>
      <c r="F115" s="291">
        <f t="shared" si="6"/>
        <v>148.92500000000001</v>
      </c>
      <c r="G115" s="276">
        <f t="shared" si="4"/>
        <v>148.92500000000001</v>
      </c>
      <c r="H115" s="284">
        <f t="shared" si="5"/>
        <v>0</v>
      </c>
      <c r="I115" s="292">
        <v>1109954</v>
      </c>
    </row>
    <row r="116" spans="1:10" x14ac:dyDescent="0.25">
      <c r="A116" s="280">
        <v>114</v>
      </c>
      <c r="B116" s="157">
        <v>2512</v>
      </c>
      <c r="C116" s="300" t="s">
        <v>263</v>
      </c>
      <c r="D116" s="283">
        <v>595.79999999999995</v>
      </c>
      <c r="E116" s="291">
        <v>0.25</v>
      </c>
      <c r="F116" s="291">
        <f t="shared" si="6"/>
        <v>148.94999999999999</v>
      </c>
      <c r="G116" s="276">
        <f t="shared" si="4"/>
        <v>148.94999999999999</v>
      </c>
      <c r="H116" s="284">
        <f t="shared" si="5"/>
        <v>0</v>
      </c>
      <c r="I116" s="292">
        <v>990628</v>
      </c>
    </row>
    <row r="117" spans="1:10" s="312" customFormat="1" x14ac:dyDescent="0.25">
      <c r="A117" s="304">
        <v>115</v>
      </c>
      <c r="B117" s="305">
        <v>2513</v>
      </c>
      <c r="C117" s="306" t="s">
        <v>28</v>
      </c>
      <c r="D117" s="307">
        <v>1223.8</v>
      </c>
      <c r="E117" s="308">
        <v>0.25</v>
      </c>
      <c r="F117" s="308">
        <f t="shared" si="6"/>
        <v>305.95</v>
      </c>
      <c r="G117" s="276">
        <f t="shared" si="4"/>
        <v>305.95</v>
      </c>
      <c r="H117" s="309">
        <f t="shared" si="5"/>
        <v>0</v>
      </c>
      <c r="I117" s="310">
        <v>6332123</v>
      </c>
      <c r="J117" s="311">
        <v>45963</v>
      </c>
    </row>
    <row r="118" spans="1:10" x14ac:dyDescent="0.25">
      <c r="A118" s="280">
        <v>116</v>
      </c>
      <c r="B118" s="313">
        <v>2514</v>
      </c>
      <c r="C118" s="314" t="s">
        <v>266</v>
      </c>
      <c r="D118" s="283">
        <v>349.3</v>
      </c>
      <c r="E118" s="315">
        <v>0.25</v>
      </c>
      <c r="F118" s="315">
        <f t="shared" si="6"/>
        <v>87.325000000000003</v>
      </c>
      <c r="G118" s="276">
        <f t="shared" si="4"/>
        <v>87.325000000000003</v>
      </c>
      <c r="H118" s="284">
        <f t="shared" si="5"/>
        <v>0</v>
      </c>
      <c r="I118" s="316">
        <v>10795387</v>
      </c>
    </row>
    <row r="119" spans="1:10" x14ac:dyDescent="0.25">
      <c r="A119" s="280">
        <v>117</v>
      </c>
      <c r="B119" s="157">
        <v>2515</v>
      </c>
      <c r="C119" s="300" t="s">
        <v>268</v>
      </c>
      <c r="D119" s="283">
        <v>1737.5</v>
      </c>
      <c r="E119" s="291">
        <v>0.25</v>
      </c>
      <c r="F119" s="291">
        <f t="shared" si="6"/>
        <v>434.375</v>
      </c>
      <c r="G119" s="276">
        <f t="shared" si="4"/>
        <v>434.375</v>
      </c>
      <c r="H119" s="284">
        <f t="shared" si="5"/>
        <v>0</v>
      </c>
      <c r="I119" s="292">
        <v>5638084</v>
      </c>
    </row>
    <row r="120" spans="1:10" x14ac:dyDescent="0.25">
      <c r="A120" s="280">
        <v>118</v>
      </c>
      <c r="B120" s="157">
        <v>2516</v>
      </c>
      <c r="C120" s="300" t="s">
        <v>270</v>
      </c>
      <c r="D120" s="283">
        <v>621.1</v>
      </c>
      <c r="E120" s="291">
        <v>0.25</v>
      </c>
      <c r="F120" s="291">
        <f t="shared" si="6"/>
        <v>155.27500000000001</v>
      </c>
      <c r="G120" s="276">
        <f t="shared" si="4"/>
        <v>155.27500000000001</v>
      </c>
      <c r="H120" s="284">
        <f t="shared" si="5"/>
        <v>0</v>
      </c>
      <c r="I120" s="292">
        <v>21934588</v>
      </c>
    </row>
    <row r="121" spans="1:10" x14ac:dyDescent="0.25">
      <c r="A121" s="280">
        <v>119</v>
      </c>
      <c r="B121" s="157">
        <v>2517</v>
      </c>
      <c r="C121" s="300" t="s">
        <v>29</v>
      </c>
      <c r="D121" s="283">
        <v>3304.9</v>
      </c>
      <c r="E121" s="291">
        <v>0.25</v>
      </c>
      <c r="F121" s="291">
        <f t="shared" si="6"/>
        <v>826.22500000000002</v>
      </c>
      <c r="G121" s="276">
        <f t="shared" si="4"/>
        <v>826.22500000000002</v>
      </c>
      <c r="H121" s="284">
        <f t="shared" si="5"/>
        <v>0</v>
      </c>
      <c r="I121" s="296">
        <v>6231419</v>
      </c>
    </row>
    <row r="122" spans="1:10" x14ac:dyDescent="0.25">
      <c r="A122" s="280">
        <v>120</v>
      </c>
      <c r="B122" s="157">
        <v>2518</v>
      </c>
      <c r="C122" s="317" t="s">
        <v>273</v>
      </c>
      <c r="D122" s="283">
        <v>994.1</v>
      </c>
      <c r="E122" s="291">
        <v>0.25</v>
      </c>
      <c r="F122" s="291">
        <f t="shared" si="6"/>
        <v>248.52500000000001</v>
      </c>
      <c r="G122" s="276">
        <f t="shared" si="4"/>
        <v>248.52500000000001</v>
      </c>
      <c r="H122" s="284">
        <f t="shared" si="5"/>
        <v>0</v>
      </c>
      <c r="I122" s="292">
        <v>27683344</v>
      </c>
    </row>
    <row r="123" spans="1:10" x14ac:dyDescent="0.25">
      <c r="A123" s="280">
        <v>121</v>
      </c>
      <c r="B123" s="157">
        <v>2519</v>
      </c>
      <c r="C123" s="282" t="s">
        <v>275</v>
      </c>
      <c r="D123" s="283">
        <v>627.5</v>
      </c>
      <c r="E123" s="291">
        <v>0.25</v>
      </c>
      <c r="F123" s="291">
        <f t="shared" si="6"/>
        <v>156.875</v>
      </c>
      <c r="G123" s="276">
        <f t="shared" si="4"/>
        <v>156.875</v>
      </c>
      <c r="H123" s="284">
        <f t="shared" si="5"/>
        <v>0</v>
      </c>
      <c r="I123" s="296">
        <v>19923785</v>
      </c>
    </row>
    <row r="124" spans="1:10" x14ac:dyDescent="0.25">
      <c r="A124" s="280">
        <v>122</v>
      </c>
      <c r="B124" s="281">
        <v>2520</v>
      </c>
      <c r="C124" s="282" t="s">
        <v>277</v>
      </c>
      <c r="D124" s="283">
        <v>1126.8</v>
      </c>
      <c r="E124" s="284">
        <v>0.25</v>
      </c>
      <c r="F124" s="284">
        <f t="shared" si="6"/>
        <v>281.7</v>
      </c>
      <c r="G124" s="276">
        <f t="shared" si="4"/>
        <v>281.7</v>
      </c>
      <c r="H124" s="284">
        <f t="shared" si="5"/>
        <v>0</v>
      </c>
      <c r="I124" s="288">
        <v>1297459</v>
      </c>
    </row>
    <row r="125" spans="1:10" x14ac:dyDescent="0.25">
      <c r="A125" s="280">
        <v>123</v>
      </c>
      <c r="B125" s="281">
        <v>2521</v>
      </c>
      <c r="C125" s="318" t="s">
        <v>279</v>
      </c>
      <c r="D125" s="283">
        <v>1759.7</v>
      </c>
      <c r="E125" s="284">
        <v>0.25</v>
      </c>
      <c r="F125" s="284">
        <f t="shared" si="6"/>
        <v>439.92500000000001</v>
      </c>
      <c r="G125" s="276">
        <f t="shared" si="4"/>
        <v>439.92500000000001</v>
      </c>
      <c r="H125" s="284">
        <f t="shared" si="5"/>
        <v>0</v>
      </c>
      <c r="I125" s="288">
        <v>5146927</v>
      </c>
    </row>
    <row r="126" spans="1:10" x14ac:dyDescent="0.25">
      <c r="A126" s="280">
        <v>124</v>
      </c>
      <c r="B126" s="281">
        <v>2522</v>
      </c>
      <c r="C126" s="282" t="s">
        <v>244</v>
      </c>
      <c r="D126" s="283">
        <v>605.9</v>
      </c>
      <c r="E126" s="284">
        <v>0.25</v>
      </c>
      <c r="F126" s="284">
        <f t="shared" si="6"/>
        <v>151.47499999999999</v>
      </c>
      <c r="G126" s="276">
        <f t="shared" si="4"/>
        <v>151.47499999999999</v>
      </c>
      <c r="H126" s="284">
        <f t="shared" si="5"/>
        <v>0</v>
      </c>
      <c r="I126" s="288">
        <v>4530913</v>
      </c>
    </row>
    <row r="127" spans="1:10" x14ac:dyDescent="0.25">
      <c r="A127" s="280">
        <v>125</v>
      </c>
      <c r="B127" s="281">
        <v>2523</v>
      </c>
      <c r="C127" s="282" t="s">
        <v>44</v>
      </c>
      <c r="D127" s="283">
        <v>587.1</v>
      </c>
      <c r="E127" s="284">
        <v>0.25</v>
      </c>
      <c r="F127" s="284">
        <f t="shared" si="6"/>
        <v>146.77500000000001</v>
      </c>
      <c r="G127" s="276">
        <f t="shared" si="4"/>
        <v>146.77500000000001</v>
      </c>
      <c r="H127" s="284">
        <f t="shared" si="5"/>
        <v>0</v>
      </c>
      <c r="I127" s="288">
        <v>4909387</v>
      </c>
    </row>
    <row r="128" spans="1:10" x14ac:dyDescent="0.25">
      <c r="A128" s="280">
        <v>126</v>
      </c>
      <c r="B128" s="281">
        <v>2524</v>
      </c>
      <c r="C128" s="282" t="s">
        <v>283</v>
      </c>
      <c r="D128" s="283">
        <v>585</v>
      </c>
      <c r="E128" s="284">
        <v>0.25</v>
      </c>
      <c r="F128" s="284">
        <f t="shared" si="6"/>
        <v>146.25</v>
      </c>
      <c r="G128" s="276">
        <f t="shared" si="4"/>
        <v>146.25</v>
      </c>
      <c r="H128" s="284">
        <f t="shared" si="5"/>
        <v>0</v>
      </c>
      <c r="I128" s="285">
        <v>5827884</v>
      </c>
    </row>
    <row r="129" spans="1:9" x14ac:dyDescent="0.25">
      <c r="A129" s="280">
        <v>127</v>
      </c>
      <c r="B129" s="281">
        <v>2526</v>
      </c>
      <c r="C129" s="282" t="s">
        <v>285</v>
      </c>
      <c r="D129" s="283">
        <v>363.8</v>
      </c>
      <c r="E129" s="284">
        <v>0.25</v>
      </c>
      <c r="F129" s="284">
        <f t="shared" si="6"/>
        <v>90.95</v>
      </c>
      <c r="G129" s="276">
        <f t="shared" si="4"/>
        <v>90.95</v>
      </c>
      <c r="H129" s="284">
        <f t="shared" si="5"/>
        <v>0</v>
      </c>
      <c r="I129" s="288">
        <v>5827579</v>
      </c>
    </row>
    <row r="130" spans="1:9" x14ac:dyDescent="0.25">
      <c r="A130" s="280">
        <v>128</v>
      </c>
      <c r="B130" s="281">
        <v>2529</v>
      </c>
      <c r="C130" s="282" t="s">
        <v>287</v>
      </c>
      <c r="D130" s="283">
        <v>1861.8</v>
      </c>
      <c r="E130" s="284">
        <v>0.25</v>
      </c>
      <c r="F130" s="284">
        <f t="shared" si="6"/>
        <v>465.45</v>
      </c>
      <c r="G130" s="276">
        <f t="shared" si="4"/>
        <v>465.45</v>
      </c>
      <c r="H130" s="284">
        <f t="shared" si="5"/>
        <v>0</v>
      </c>
      <c r="I130" s="285">
        <v>6375262</v>
      </c>
    </row>
    <row r="131" spans="1:9" x14ac:dyDescent="0.25">
      <c r="A131" s="280">
        <v>129</v>
      </c>
      <c r="B131" s="281">
        <v>2530</v>
      </c>
      <c r="C131" s="282" t="s">
        <v>289</v>
      </c>
      <c r="D131" s="283">
        <v>472.7</v>
      </c>
      <c r="E131" s="284">
        <v>0.25</v>
      </c>
      <c r="F131" s="284">
        <f t="shared" si="6"/>
        <v>118.175</v>
      </c>
      <c r="G131" s="276">
        <f t="shared" si="4"/>
        <v>118.175</v>
      </c>
      <c r="H131" s="284">
        <f t="shared" si="5"/>
        <v>0</v>
      </c>
      <c r="I131" s="285">
        <v>7506751</v>
      </c>
    </row>
    <row r="132" spans="1:9" x14ac:dyDescent="0.25">
      <c r="A132" s="280">
        <v>130</v>
      </c>
      <c r="B132" s="281">
        <v>3166</v>
      </c>
      <c r="C132" s="319" t="s">
        <v>17</v>
      </c>
      <c r="D132" s="283">
        <v>2949.1</v>
      </c>
      <c r="E132" s="284">
        <v>0.25</v>
      </c>
      <c r="F132" s="284">
        <f t="shared" si="6"/>
        <v>737.27499999999998</v>
      </c>
      <c r="G132" s="276">
        <f t="shared" ref="G132" si="7">F132</f>
        <v>737.27499999999998</v>
      </c>
      <c r="H132" s="284">
        <f t="shared" ref="H132" si="8">F132-G132</f>
        <v>0</v>
      </c>
      <c r="I132" s="288">
        <v>6381786</v>
      </c>
    </row>
    <row r="133" spans="1:9" x14ac:dyDescent="0.25">
      <c r="A133" s="156"/>
      <c r="B133" s="157"/>
      <c r="C133" s="158" t="s">
        <v>302</v>
      </c>
      <c r="D133" s="320">
        <f>SUM(D3:D132)</f>
        <v>179176.6</v>
      </c>
      <c r="E133" s="320" t="s">
        <v>303</v>
      </c>
      <c r="F133" s="320">
        <f>SUM(F3:F132)</f>
        <v>44794.15</v>
      </c>
      <c r="G133" s="320">
        <f t="shared" ref="G133:H133" si="9">SUM(G3:G132)</f>
        <v>44794.15</v>
      </c>
      <c r="H133" s="320">
        <f t="shared" si="9"/>
        <v>0</v>
      </c>
      <c r="I133" s="320" t="s">
        <v>303</v>
      </c>
    </row>
  </sheetData>
  <mergeCells count="1">
    <mergeCell ref="A1:I1"/>
  </mergeCells>
  <pageMargins left="0.7" right="0.7" top="0.75" bottom="0.75" header="0.3" footer="0.3"/>
  <pageSetup scale="5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DCA-CB7B-411C-8C76-84270C12AAD4}">
  <dimension ref="A2:P137"/>
  <sheetViews>
    <sheetView view="pageBreakPreview" zoomScaleNormal="100" zoomScaleSheetLayoutView="100" workbookViewId="0">
      <pane xSplit="2" ySplit="4" topLeftCell="C47" activePane="bottomRight" state="frozen"/>
      <selection activeCell="C261" sqref="C261"/>
      <selection pane="topRight" activeCell="C261" sqref="C261"/>
      <selection pane="bottomLeft" activeCell="C261" sqref="C261"/>
      <selection pane="bottomRight" activeCell="A2" sqref="A2"/>
    </sheetView>
  </sheetViews>
  <sheetFormatPr defaultRowHeight="15" x14ac:dyDescent="0.25"/>
  <cols>
    <col min="1" max="1" width="134.28515625" bestFit="1" customWidth="1"/>
    <col min="2" max="2" width="45.5703125" bestFit="1" customWidth="1"/>
    <col min="3" max="3" width="18.7109375" bestFit="1" customWidth="1"/>
    <col min="4" max="4" width="7" bestFit="1" customWidth="1"/>
    <col min="5" max="5" width="22.5703125" bestFit="1" customWidth="1"/>
    <col min="6" max="6" width="22.5703125" customWidth="1"/>
    <col min="7" max="7" width="17.28515625" customWidth="1"/>
    <col min="8" max="8" width="9" bestFit="1" customWidth="1"/>
    <col min="9" max="9" width="17.28515625" bestFit="1" customWidth="1"/>
    <col min="10" max="10" width="17" bestFit="1" customWidth="1"/>
    <col min="11" max="11" width="14.85546875" bestFit="1" customWidth="1"/>
    <col min="12" max="12" width="9" bestFit="1" customWidth="1"/>
    <col min="13" max="13" width="12.5703125" customWidth="1"/>
  </cols>
  <sheetData>
    <row r="2" spans="1:14" ht="28.5" x14ac:dyDescent="0.25">
      <c r="A2" s="476" t="s">
        <v>350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14" ht="14.25" customHeight="1" x14ac:dyDescent="0.25">
      <c r="A3" s="485" t="s">
        <v>2</v>
      </c>
      <c r="B3" s="485" t="s">
        <v>3</v>
      </c>
      <c r="C3" s="483" t="s">
        <v>4</v>
      </c>
      <c r="D3" s="481" t="s">
        <v>5</v>
      </c>
      <c r="E3" s="479" t="s">
        <v>6</v>
      </c>
      <c r="F3" s="479" t="s">
        <v>333</v>
      </c>
      <c r="G3" s="479" t="s">
        <v>346</v>
      </c>
      <c r="H3" s="354"/>
      <c r="I3" s="354"/>
      <c r="J3" s="354"/>
      <c r="K3" s="354"/>
      <c r="L3" s="354"/>
    </row>
    <row r="4" spans="1:14" x14ac:dyDescent="0.25">
      <c r="A4" s="486"/>
      <c r="B4" s="486"/>
      <c r="C4" s="484"/>
      <c r="D4" s="482"/>
      <c r="E4" s="480"/>
      <c r="F4" s="480"/>
      <c r="G4" s="480"/>
      <c r="H4" s="370" t="s">
        <v>7</v>
      </c>
      <c r="I4" s="371" t="s">
        <v>8</v>
      </c>
      <c r="J4" s="370" t="s">
        <v>9</v>
      </c>
      <c r="K4" s="370"/>
      <c r="L4" s="370" t="s">
        <v>322</v>
      </c>
    </row>
    <row r="5" spans="1:14" x14ac:dyDescent="0.25">
      <c r="A5" s="369">
        <v>2022</v>
      </c>
      <c r="B5" s="368" t="s">
        <v>45</v>
      </c>
      <c r="C5" s="367">
        <v>546.29999999999995</v>
      </c>
      <c r="D5" s="366">
        <v>0.25</v>
      </c>
      <c r="E5" s="382">
        <f>C5*D5</f>
        <v>136.57499999999999</v>
      </c>
      <c r="F5" s="382"/>
      <c r="G5" s="382">
        <f>E5-F5</f>
        <v>136.57499999999999</v>
      </c>
      <c r="H5" s="365">
        <v>8542496</v>
      </c>
      <c r="I5" s="364" t="s">
        <v>46</v>
      </c>
      <c r="J5" s="363" t="s">
        <v>11</v>
      </c>
      <c r="K5" s="363" t="s">
        <v>47</v>
      </c>
      <c r="L5" s="362">
        <v>99198330</v>
      </c>
    </row>
    <row r="6" spans="1:14" x14ac:dyDescent="0.25">
      <c r="A6" s="13">
        <v>2026</v>
      </c>
      <c r="B6" s="18" t="s">
        <v>48</v>
      </c>
      <c r="C6" s="188"/>
      <c r="D6" s="187">
        <v>0.25</v>
      </c>
      <c r="E6" s="383">
        <f t="shared" ref="E6:E69" si="0">C6*D6</f>
        <v>0</v>
      </c>
      <c r="F6" s="383"/>
      <c r="G6" s="382">
        <f t="shared" ref="G6:G69" si="1">E6-F6</f>
        <v>0</v>
      </c>
      <c r="H6" s="88">
        <v>5352667</v>
      </c>
      <c r="I6" s="89" t="s">
        <v>49</v>
      </c>
      <c r="J6" s="90" t="s">
        <v>50</v>
      </c>
      <c r="K6" s="90" t="s">
        <v>51</v>
      </c>
      <c r="L6" s="14">
        <v>96669695</v>
      </c>
    </row>
    <row r="7" spans="1:14" x14ac:dyDescent="0.25">
      <c r="A7" s="13">
        <v>2027</v>
      </c>
      <c r="B7" s="18" t="s">
        <v>52</v>
      </c>
      <c r="C7" s="188">
        <v>476.4</v>
      </c>
      <c r="D7" s="187">
        <v>0.25</v>
      </c>
      <c r="E7" s="383">
        <f t="shared" si="0"/>
        <v>119.1</v>
      </c>
      <c r="F7" s="383"/>
      <c r="G7" s="382">
        <f t="shared" si="1"/>
        <v>119.1</v>
      </c>
      <c r="H7" s="88">
        <v>19187402</v>
      </c>
      <c r="I7" s="89" t="s">
        <v>53</v>
      </c>
      <c r="J7" s="90" t="s">
        <v>11</v>
      </c>
      <c r="K7" s="90" t="s">
        <v>47</v>
      </c>
      <c r="L7" s="14">
        <v>99198330</v>
      </c>
    </row>
    <row r="8" spans="1:14" s="69" customFormat="1" x14ac:dyDescent="0.25">
      <c r="A8" s="67">
        <v>2033</v>
      </c>
      <c r="B8" s="62" t="s">
        <v>19</v>
      </c>
      <c r="C8" s="209">
        <v>1086.0999999999999</v>
      </c>
      <c r="D8" s="210">
        <v>0.25</v>
      </c>
      <c r="E8" s="389">
        <f t="shared" si="0"/>
        <v>271.52499999999998</v>
      </c>
      <c r="F8" s="389">
        <f>270.225+1.3</f>
        <v>271.52500000000003</v>
      </c>
      <c r="G8" s="390">
        <f t="shared" si="1"/>
        <v>0</v>
      </c>
      <c r="H8" s="106">
        <v>1290824</v>
      </c>
      <c r="I8" s="107" t="s">
        <v>54</v>
      </c>
      <c r="J8" s="108" t="s">
        <v>14</v>
      </c>
      <c r="K8" s="108" t="s">
        <v>55</v>
      </c>
      <c r="L8" s="66">
        <v>97064018</v>
      </c>
      <c r="M8" s="69" t="s">
        <v>353</v>
      </c>
      <c r="N8" s="380">
        <v>45727</v>
      </c>
    </row>
    <row r="9" spans="1:14" s="69" customFormat="1" x14ac:dyDescent="0.25">
      <c r="A9" s="67">
        <v>2036</v>
      </c>
      <c r="B9" s="62" t="s">
        <v>56</v>
      </c>
      <c r="C9" s="209">
        <v>586.5</v>
      </c>
      <c r="D9" s="210">
        <v>0.25</v>
      </c>
      <c r="E9" s="389">
        <f t="shared" si="0"/>
        <v>146.625</v>
      </c>
      <c r="F9" s="389">
        <f>145.975+0.65</f>
        <v>146.625</v>
      </c>
      <c r="G9" s="390">
        <f t="shared" si="1"/>
        <v>0</v>
      </c>
      <c r="H9" s="106">
        <v>8201282</v>
      </c>
      <c r="I9" s="107" t="s">
        <v>57</v>
      </c>
      <c r="J9" s="108" t="s">
        <v>14</v>
      </c>
      <c r="K9" s="108" t="s">
        <v>55</v>
      </c>
      <c r="L9" s="66">
        <v>91425474</v>
      </c>
      <c r="M9" s="69" t="s">
        <v>353</v>
      </c>
      <c r="N9" s="69" t="s">
        <v>579</v>
      </c>
    </row>
    <row r="10" spans="1:14" s="69" customFormat="1" x14ac:dyDescent="0.25">
      <c r="A10" s="67">
        <v>2051</v>
      </c>
      <c r="B10" s="62" t="s">
        <v>58</v>
      </c>
      <c r="C10" s="209">
        <v>1181.0999999999999</v>
      </c>
      <c r="D10" s="210">
        <v>0.25</v>
      </c>
      <c r="E10" s="389">
        <f t="shared" si="0"/>
        <v>295.27499999999998</v>
      </c>
      <c r="F10" s="389">
        <f>E10</f>
        <v>295.27499999999998</v>
      </c>
      <c r="G10" s="390">
        <f t="shared" si="1"/>
        <v>0</v>
      </c>
      <c r="H10" s="106">
        <v>575519</v>
      </c>
      <c r="I10" s="107" t="s">
        <v>59</v>
      </c>
      <c r="J10" s="108" t="s">
        <v>14</v>
      </c>
      <c r="K10" s="108" t="s">
        <v>55</v>
      </c>
      <c r="L10" s="67">
        <v>99486262</v>
      </c>
      <c r="M10" s="68" t="s">
        <v>575</v>
      </c>
    </row>
    <row r="11" spans="1:14" x14ac:dyDescent="0.25">
      <c r="A11" s="13">
        <v>2095</v>
      </c>
      <c r="B11" s="18" t="s">
        <v>20</v>
      </c>
      <c r="C11" s="188">
        <v>1177.4000000000001</v>
      </c>
      <c r="D11" s="187">
        <v>0.25</v>
      </c>
      <c r="E11" s="383">
        <f t="shared" si="0"/>
        <v>294.35000000000002</v>
      </c>
      <c r="F11" s="383"/>
      <c r="G11" s="382">
        <f t="shared" si="1"/>
        <v>294.35000000000002</v>
      </c>
      <c r="H11" s="88">
        <v>26224</v>
      </c>
      <c r="I11" s="89" t="s">
        <v>60</v>
      </c>
      <c r="J11" s="90" t="s">
        <v>14</v>
      </c>
      <c r="K11" s="90" t="s">
        <v>55</v>
      </c>
      <c r="L11" s="14">
        <v>96177155</v>
      </c>
    </row>
    <row r="12" spans="1:14" x14ac:dyDescent="0.25">
      <c r="A12" s="13">
        <v>2097</v>
      </c>
      <c r="B12" s="18" t="s">
        <v>61</v>
      </c>
      <c r="C12" s="188">
        <v>490.7</v>
      </c>
      <c r="D12" s="187">
        <v>0.25</v>
      </c>
      <c r="E12" s="383">
        <f t="shared" si="0"/>
        <v>122.675</v>
      </c>
      <c r="F12" s="383"/>
      <c r="G12" s="382">
        <f t="shared" si="1"/>
        <v>122.675</v>
      </c>
      <c r="H12" s="88">
        <v>677206</v>
      </c>
      <c r="I12" s="89" t="s">
        <v>62</v>
      </c>
      <c r="J12" s="90" t="s">
        <v>50</v>
      </c>
      <c r="K12" s="90" t="s">
        <v>51</v>
      </c>
      <c r="L12" s="14">
        <v>99083310</v>
      </c>
    </row>
    <row r="13" spans="1:14" x14ac:dyDescent="0.25">
      <c r="A13" s="13">
        <v>2098</v>
      </c>
      <c r="B13" s="18" t="s">
        <v>63</v>
      </c>
      <c r="C13" s="188"/>
      <c r="D13" s="187">
        <v>0.25</v>
      </c>
      <c r="E13" s="383">
        <f t="shared" si="0"/>
        <v>0</v>
      </c>
      <c r="F13" s="383"/>
      <c r="G13" s="382">
        <f t="shared" si="1"/>
        <v>0</v>
      </c>
      <c r="H13" s="88">
        <v>1065899</v>
      </c>
      <c r="I13" s="89" t="s">
        <v>64</v>
      </c>
      <c r="J13" s="90" t="s">
        <v>11</v>
      </c>
      <c r="K13" s="90" t="s">
        <v>47</v>
      </c>
      <c r="L13" s="18"/>
    </row>
    <row r="14" spans="1:14" x14ac:dyDescent="0.25">
      <c r="A14" s="13">
        <v>2100</v>
      </c>
      <c r="B14" s="18" t="s">
        <v>65</v>
      </c>
      <c r="C14" s="188">
        <v>1162.8</v>
      </c>
      <c r="D14" s="187">
        <v>0.25</v>
      </c>
      <c r="E14" s="383">
        <f t="shared" si="0"/>
        <v>290.7</v>
      </c>
      <c r="F14" s="383"/>
      <c r="G14" s="382">
        <f t="shared" si="1"/>
        <v>290.7</v>
      </c>
      <c r="H14" s="88">
        <v>5550806</v>
      </c>
      <c r="I14" s="89" t="s">
        <v>66</v>
      </c>
      <c r="J14" s="90" t="s">
        <v>15</v>
      </c>
      <c r="K14" s="90" t="s">
        <v>67</v>
      </c>
      <c r="L14" s="14">
        <v>95614480</v>
      </c>
    </row>
    <row r="15" spans="1:14" s="69" customFormat="1" x14ac:dyDescent="0.25">
      <c r="A15" s="67">
        <v>2101</v>
      </c>
      <c r="B15" s="62" t="s">
        <v>68</v>
      </c>
      <c r="C15" s="209">
        <v>620.6</v>
      </c>
      <c r="D15" s="210">
        <v>0.25</v>
      </c>
      <c r="E15" s="389">
        <f t="shared" si="0"/>
        <v>155.15</v>
      </c>
      <c r="F15" s="389">
        <f>153.825+1.325</f>
        <v>155.14999999999998</v>
      </c>
      <c r="G15" s="390">
        <f t="shared" si="1"/>
        <v>0</v>
      </c>
      <c r="H15" s="108">
        <v>1145267</v>
      </c>
      <c r="I15" s="107" t="s">
        <v>69</v>
      </c>
      <c r="J15" s="108" t="s">
        <v>18</v>
      </c>
      <c r="K15" s="108" t="s">
        <v>47</v>
      </c>
      <c r="L15" s="67">
        <v>99287071</v>
      </c>
      <c r="M15" s="69" t="s">
        <v>353</v>
      </c>
      <c r="N15" s="311">
        <v>45788</v>
      </c>
    </row>
    <row r="16" spans="1:14" s="69" customFormat="1" x14ac:dyDescent="0.25">
      <c r="A16" s="67">
        <v>2112</v>
      </c>
      <c r="B16" s="62" t="s">
        <v>71</v>
      </c>
      <c r="C16" s="209">
        <v>607</v>
      </c>
      <c r="D16" s="210">
        <v>0.25</v>
      </c>
      <c r="E16" s="389">
        <f>C16*D16</f>
        <v>151.75</v>
      </c>
      <c r="F16" s="389">
        <f>E16</f>
        <v>151.75</v>
      </c>
      <c r="G16" s="390">
        <f t="shared" si="1"/>
        <v>0</v>
      </c>
      <c r="H16" s="106">
        <v>11412524</v>
      </c>
      <c r="I16" s="107" t="s">
        <v>72</v>
      </c>
      <c r="J16" s="108" t="s">
        <v>11</v>
      </c>
      <c r="K16" s="108" t="s">
        <v>47</v>
      </c>
      <c r="L16" s="66">
        <v>93337934</v>
      </c>
      <c r="M16" s="69" t="s">
        <v>608</v>
      </c>
    </row>
    <row r="17" spans="1:14" s="69" customFormat="1" x14ac:dyDescent="0.25">
      <c r="A17" s="67">
        <v>2120</v>
      </c>
      <c r="B17" s="62" t="s">
        <v>73</v>
      </c>
      <c r="C17" s="209">
        <v>586.1</v>
      </c>
      <c r="D17" s="210">
        <v>0.25</v>
      </c>
      <c r="E17" s="389">
        <f t="shared" si="0"/>
        <v>146.52500000000001</v>
      </c>
      <c r="F17" s="389">
        <f>E17</f>
        <v>146.52500000000001</v>
      </c>
      <c r="G17" s="390">
        <f t="shared" si="1"/>
        <v>0</v>
      </c>
      <c r="H17" s="106">
        <v>1298606</v>
      </c>
      <c r="I17" s="107" t="s">
        <v>74</v>
      </c>
      <c r="J17" s="108" t="s">
        <v>11</v>
      </c>
      <c r="K17" s="108" t="s">
        <v>47</v>
      </c>
      <c r="L17" s="66">
        <v>97064018</v>
      </c>
      <c r="M17" s="69" t="s">
        <v>606</v>
      </c>
    </row>
    <row r="18" spans="1:14" s="69" customFormat="1" x14ac:dyDescent="0.25">
      <c r="A18" s="67">
        <v>2125</v>
      </c>
      <c r="B18" s="360" t="s">
        <v>75</v>
      </c>
      <c r="C18" s="209">
        <v>984.2</v>
      </c>
      <c r="D18" s="210">
        <v>0.25</v>
      </c>
      <c r="E18" s="389">
        <f t="shared" si="0"/>
        <v>246.05</v>
      </c>
      <c r="F18" s="389">
        <f>243.5+2.55</f>
        <v>246.05</v>
      </c>
      <c r="G18" s="390">
        <f t="shared" si="1"/>
        <v>0</v>
      </c>
      <c r="H18" s="108">
        <v>6539352</v>
      </c>
      <c r="I18" s="107" t="s">
        <v>76</v>
      </c>
      <c r="J18" s="108" t="s">
        <v>18</v>
      </c>
      <c r="K18" s="108" t="s">
        <v>47</v>
      </c>
      <c r="L18" s="67">
        <v>91307575</v>
      </c>
      <c r="M18" s="258">
        <v>45818</v>
      </c>
      <c r="N18" s="69" t="s">
        <v>583</v>
      </c>
    </row>
    <row r="19" spans="1:14" s="69" customFormat="1" x14ac:dyDescent="0.25">
      <c r="A19" s="67">
        <v>2128</v>
      </c>
      <c r="B19" s="62" t="s">
        <v>77</v>
      </c>
      <c r="C19" s="209">
        <v>1823.6</v>
      </c>
      <c r="D19" s="210">
        <v>0.25</v>
      </c>
      <c r="E19" s="389">
        <f t="shared" si="0"/>
        <v>455.9</v>
      </c>
      <c r="F19" s="389">
        <f>453.85+2.05</f>
        <v>455.90000000000003</v>
      </c>
      <c r="G19" s="390">
        <f t="shared" si="1"/>
        <v>0</v>
      </c>
      <c r="H19" s="106">
        <v>4648259</v>
      </c>
      <c r="I19" s="107" t="s">
        <v>78</v>
      </c>
      <c r="J19" s="108" t="s">
        <v>11</v>
      </c>
      <c r="K19" s="108" t="s">
        <v>47</v>
      </c>
      <c r="L19" s="66">
        <v>99492747</v>
      </c>
      <c r="M19" s="69" t="s">
        <v>577</v>
      </c>
      <c r="N19" s="69" t="s">
        <v>579</v>
      </c>
    </row>
    <row r="20" spans="1:14" s="69" customFormat="1" x14ac:dyDescent="0.25">
      <c r="A20" s="67">
        <v>2137</v>
      </c>
      <c r="B20" s="62" t="s">
        <v>79</v>
      </c>
      <c r="C20" s="209">
        <v>1120.9000000000001</v>
      </c>
      <c r="D20" s="210">
        <v>0.25</v>
      </c>
      <c r="E20" s="389">
        <f t="shared" si="0"/>
        <v>280.22500000000002</v>
      </c>
      <c r="F20" s="389">
        <f>E20</f>
        <v>280.22500000000002</v>
      </c>
      <c r="G20" s="390">
        <f t="shared" si="1"/>
        <v>0</v>
      </c>
      <c r="H20" s="106">
        <v>10285189</v>
      </c>
      <c r="I20" s="107" t="s">
        <v>80</v>
      </c>
      <c r="J20" s="108" t="s">
        <v>81</v>
      </c>
      <c r="K20" s="108" t="s">
        <v>82</v>
      </c>
      <c r="L20" s="66">
        <v>91160451</v>
      </c>
      <c r="M20" s="68" t="s">
        <v>575</v>
      </c>
    </row>
    <row r="21" spans="1:14" x14ac:dyDescent="0.25">
      <c r="A21" s="13">
        <v>2144</v>
      </c>
      <c r="B21" s="18" t="s">
        <v>83</v>
      </c>
      <c r="C21" s="188">
        <v>2852.6</v>
      </c>
      <c r="D21" s="187">
        <v>0.25</v>
      </c>
      <c r="E21" s="383">
        <f t="shared" si="0"/>
        <v>713.15</v>
      </c>
      <c r="F21" s="383"/>
      <c r="G21" s="382">
        <f t="shared" si="1"/>
        <v>713.15</v>
      </c>
      <c r="H21" s="88">
        <v>532494</v>
      </c>
      <c r="I21" s="89" t="s">
        <v>84</v>
      </c>
      <c r="J21" s="90" t="s">
        <v>11</v>
      </c>
      <c r="K21" s="90" t="s">
        <v>47</v>
      </c>
      <c r="L21" s="14">
        <v>92251158</v>
      </c>
    </row>
    <row r="22" spans="1:14" s="69" customFormat="1" x14ac:dyDescent="0.25">
      <c r="A22" s="67">
        <v>2148</v>
      </c>
      <c r="B22" s="62" t="s">
        <v>85</v>
      </c>
      <c r="C22" s="209">
        <v>2876</v>
      </c>
      <c r="D22" s="210">
        <v>0.25</v>
      </c>
      <c r="E22" s="389">
        <f t="shared" si="0"/>
        <v>719</v>
      </c>
      <c r="F22" s="389">
        <f>613.5+105.5</f>
        <v>719</v>
      </c>
      <c r="G22" s="390">
        <f t="shared" si="1"/>
        <v>0</v>
      </c>
      <c r="H22" s="106">
        <v>6466788</v>
      </c>
      <c r="I22" s="107" t="s">
        <v>86</v>
      </c>
      <c r="J22" s="108" t="s">
        <v>50</v>
      </c>
      <c r="K22" s="108" t="s">
        <v>51</v>
      </c>
      <c r="L22" s="66">
        <v>99011887</v>
      </c>
      <c r="M22" s="375" t="s">
        <v>353</v>
      </c>
      <c r="N22" s="69" t="s">
        <v>577</v>
      </c>
    </row>
    <row r="23" spans="1:14" s="137" customFormat="1" x14ac:dyDescent="0.25">
      <c r="A23" s="128">
        <v>2150</v>
      </c>
      <c r="B23" s="129" t="s">
        <v>30</v>
      </c>
      <c r="C23" s="211">
        <v>4971.7</v>
      </c>
      <c r="D23" s="212">
        <v>0.25</v>
      </c>
      <c r="E23" s="399">
        <f t="shared" si="0"/>
        <v>1242.925</v>
      </c>
      <c r="F23" s="399">
        <f>E23</f>
        <v>1242.925</v>
      </c>
      <c r="G23" s="400">
        <f t="shared" si="1"/>
        <v>0</v>
      </c>
      <c r="H23" s="132">
        <v>6657734</v>
      </c>
      <c r="I23" s="174" t="s">
        <v>87</v>
      </c>
      <c r="J23" s="136" t="s">
        <v>11</v>
      </c>
      <c r="K23" s="136" t="s">
        <v>47</v>
      </c>
      <c r="L23" s="208">
        <v>99319163</v>
      </c>
      <c r="M23" s="137" t="s">
        <v>611</v>
      </c>
    </row>
    <row r="24" spans="1:14" s="69" customFormat="1" x14ac:dyDescent="0.25">
      <c r="A24" s="67">
        <v>2151</v>
      </c>
      <c r="B24" s="62" t="s">
        <v>88</v>
      </c>
      <c r="C24" s="209">
        <v>1037.9000000000001</v>
      </c>
      <c r="D24" s="210">
        <v>0.25</v>
      </c>
      <c r="E24" s="389">
        <f t="shared" si="0"/>
        <v>259.47500000000002</v>
      </c>
      <c r="F24" s="389">
        <f>257.15+2.325</f>
        <v>259.47499999999997</v>
      </c>
      <c r="G24" s="390">
        <f t="shared" si="1"/>
        <v>0</v>
      </c>
      <c r="H24" s="106">
        <v>2190491</v>
      </c>
      <c r="I24" s="107" t="s">
        <v>89</v>
      </c>
      <c r="J24" s="108" t="s">
        <v>11</v>
      </c>
      <c r="K24" s="108" t="s">
        <v>47</v>
      </c>
      <c r="L24" s="66">
        <v>92591034</v>
      </c>
      <c r="M24" s="69" t="s">
        <v>582</v>
      </c>
      <c r="N24" s="375" t="s">
        <v>608</v>
      </c>
    </row>
    <row r="25" spans="1:14" x14ac:dyDescent="0.25">
      <c r="A25" s="13">
        <v>2155</v>
      </c>
      <c r="B25" s="18" t="s">
        <v>90</v>
      </c>
      <c r="C25" s="188">
        <v>568.1</v>
      </c>
      <c r="D25" s="187">
        <v>0.25</v>
      </c>
      <c r="E25" s="383">
        <f t="shared" si="0"/>
        <v>142.02500000000001</v>
      </c>
      <c r="F25" s="383"/>
      <c r="G25" s="382">
        <f t="shared" si="1"/>
        <v>142.02500000000001</v>
      </c>
      <c r="H25" s="88">
        <v>21145036</v>
      </c>
      <c r="I25" s="89" t="s">
        <v>91</v>
      </c>
      <c r="J25" s="90" t="s">
        <v>50</v>
      </c>
      <c r="K25" s="90" t="s">
        <v>51</v>
      </c>
      <c r="L25" s="14">
        <v>92847990</v>
      </c>
    </row>
    <row r="26" spans="1:14" s="137" customFormat="1" x14ac:dyDescent="0.25">
      <c r="A26" s="128">
        <v>2168</v>
      </c>
      <c r="B26" s="129" t="s">
        <v>10</v>
      </c>
      <c r="C26" s="211">
        <v>2516.3000000000002</v>
      </c>
      <c r="D26" s="212">
        <v>0.25</v>
      </c>
      <c r="E26" s="399">
        <f t="shared" si="0"/>
        <v>629.07500000000005</v>
      </c>
      <c r="F26" s="399">
        <f>E26</f>
        <v>629.07500000000005</v>
      </c>
      <c r="G26" s="400">
        <f t="shared" si="1"/>
        <v>0</v>
      </c>
      <c r="H26" s="132">
        <v>941022</v>
      </c>
      <c r="I26" s="174" t="s">
        <v>92</v>
      </c>
      <c r="J26" s="136" t="s">
        <v>11</v>
      </c>
      <c r="K26" s="136" t="s">
        <v>47</v>
      </c>
      <c r="L26" s="208">
        <v>99542444</v>
      </c>
      <c r="M26" s="137" t="s">
        <v>581</v>
      </c>
    </row>
    <row r="27" spans="1:14" s="69" customFormat="1" x14ac:dyDescent="0.25">
      <c r="A27" s="67">
        <v>2198</v>
      </c>
      <c r="B27" s="62" t="s">
        <v>93</v>
      </c>
      <c r="C27" s="209">
        <v>1188.8</v>
      </c>
      <c r="D27" s="210">
        <v>0.25</v>
      </c>
      <c r="E27" s="389">
        <f t="shared" si="0"/>
        <v>297.2</v>
      </c>
      <c r="F27" s="389">
        <f>295.125+2.075</f>
        <v>297.2</v>
      </c>
      <c r="G27" s="390">
        <f t="shared" si="1"/>
        <v>0</v>
      </c>
      <c r="H27" s="106">
        <v>10331933</v>
      </c>
      <c r="I27" s="107" t="s">
        <v>94</v>
      </c>
      <c r="J27" s="108" t="s">
        <v>11</v>
      </c>
      <c r="K27" s="108" t="s">
        <v>47</v>
      </c>
      <c r="L27" s="66">
        <v>99490105</v>
      </c>
      <c r="M27" s="69" t="s">
        <v>353</v>
      </c>
      <c r="N27" s="69" t="s">
        <v>585</v>
      </c>
    </row>
    <row r="28" spans="1:14" s="69" customFormat="1" x14ac:dyDescent="0.25">
      <c r="A28" s="67">
        <v>2205</v>
      </c>
      <c r="B28" s="62" t="s">
        <v>95</v>
      </c>
      <c r="C28" s="209">
        <v>976.6</v>
      </c>
      <c r="D28" s="210">
        <v>0.25</v>
      </c>
      <c r="E28" s="389">
        <f t="shared" si="0"/>
        <v>244.15</v>
      </c>
      <c r="F28" s="389">
        <f>243.825+0.325</f>
        <v>244.14999999999998</v>
      </c>
      <c r="G28" s="390">
        <f t="shared" si="1"/>
        <v>0</v>
      </c>
      <c r="H28" s="106">
        <v>26733843</v>
      </c>
      <c r="I28" s="107" t="s">
        <v>96</v>
      </c>
      <c r="J28" s="108" t="s">
        <v>11</v>
      </c>
      <c r="K28" s="108" t="s">
        <v>47</v>
      </c>
      <c r="L28" s="66">
        <v>98966301</v>
      </c>
      <c r="M28" s="69" t="s">
        <v>353</v>
      </c>
      <c r="N28" s="69" t="s">
        <v>579</v>
      </c>
    </row>
    <row r="29" spans="1:14" s="69" customFormat="1" x14ac:dyDescent="0.25">
      <c r="A29" s="67">
        <v>2207</v>
      </c>
      <c r="B29" s="62" t="s">
        <v>31</v>
      </c>
      <c r="C29" s="209">
        <v>947</v>
      </c>
      <c r="D29" s="210">
        <v>0.25</v>
      </c>
      <c r="E29" s="389">
        <f t="shared" si="0"/>
        <v>236.75</v>
      </c>
      <c r="F29" s="389">
        <f>E29</f>
        <v>236.75</v>
      </c>
      <c r="G29" s="390">
        <f t="shared" si="1"/>
        <v>0</v>
      </c>
      <c r="H29" s="106">
        <v>1386691</v>
      </c>
      <c r="I29" s="107" t="s">
        <v>97</v>
      </c>
      <c r="J29" s="108" t="s">
        <v>81</v>
      </c>
      <c r="K29" s="108" t="s">
        <v>82</v>
      </c>
      <c r="L29" s="66">
        <v>91337606</v>
      </c>
      <c r="M29" s="69" t="s">
        <v>587</v>
      </c>
    </row>
    <row r="30" spans="1:14" ht="14.25" customHeight="1" x14ac:dyDescent="0.25">
      <c r="A30" s="17">
        <v>2209</v>
      </c>
      <c r="B30" s="18" t="s">
        <v>98</v>
      </c>
      <c r="C30" s="191">
        <v>576.9</v>
      </c>
      <c r="D30" s="187">
        <v>0.25</v>
      </c>
      <c r="E30" s="383">
        <f t="shared" si="0"/>
        <v>144.22499999999999</v>
      </c>
      <c r="F30" s="383"/>
      <c r="G30" s="382">
        <f t="shared" si="1"/>
        <v>144.22499999999999</v>
      </c>
      <c r="H30" s="93">
        <v>821878</v>
      </c>
      <c r="I30" s="89" t="s">
        <v>99</v>
      </c>
      <c r="J30" s="94" t="s">
        <v>11</v>
      </c>
      <c r="K30" s="94" t="s">
        <v>47</v>
      </c>
      <c r="L30" s="38">
        <v>92927906</v>
      </c>
    </row>
    <row r="31" spans="1:14" x14ac:dyDescent="0.25">
      <c r="A31" s="17">
        <v>2213</v>
      </c>
      <c r="B31" s="18" t="s">
        <v>100</v>
      </c>
      <c r="C31" s="191">
        <v>1130.5999999999999</v>
      </c>
      <c r="D31" s="187">
        <v>0.25</v>
      </c>
      <c r="E31" s="383">
        <f t="shared" si="0"/>
        <v>282.64999999999998</v>
      </c>
      <c r="F31" s="383"/>
      <c r="G31" s="382">
        <f t="shared" si="1"/>
        <v>282.64999999999998</v>
      </c>
      <c r="H31" s="93">
        <v>594176</v>
      </c>
      <c r="I31" s="95" t="s">
        <v>101</v>
      </c>
      <c r="J31" s="94" t="s">
        <v>11</v>
      </c>
      <c r="K31" s="94" t="s">
        <v>47</v>
      </c>
      <c r="L31" s="38">
        <v>92971719</v>
      </c>
    </row>
    <row r="32" spans="1:14" x14ac:dyDescent="0.25">
      <c r="A32" s="17">
        <v>2223</v>
      </c>
      <c r="B32" s="18" t="s">
        <v>32</v>
      </c>
      <c r="C32" s="191">
        <v>2812.7</v>
      </c>
      <c r="D32" s="187">
        <v>0.25</v>
      </c>
      <c r="E32" s="383">
        <f t="shared" si="0"/>
        <v>703.17499999999995</v>
      </c>
      <c r="F32" s="383"/>
      <c r="G32" s="382">
        <f t="shared" si="1"/>
        <v>703.17499999999995</v>
      </c>
      <c r="H32" s="88">
        <v>2297206</v>
      </c>
      <c r="I32" s="89" t="s">
        <v>102</v>
      </c>
      <c r="J32" s="90" t="s">
        <v>14</v>
      </c>
      <c r="K32" s="90" t="s">
        <v>55</v>
      </c>
      <c r="L32" s="14">
        <v>99489917</v>
      </c>
    </row>
    <row r="33" spans="1:14" x14ac:dyDescent="0.25">
      <c r="A33" s="17">
        <v>2229</v>
      </c>
      <c r="B33" s="18" t="s">
        <v>103</v>
      </c>
      <c r="C33" s="191">
        <v>3200.9</v>
      </c>
      <c r="D33" s="187">
        <v>0.25</v>
      </c>
      <c r="E33" s="383">
        <f t="shared" si="0"/>
        <v>800.22500000000002</v>
      </c>
      <c r="F33" s="383"/>
      <c r="G33" s="382">
        <f t="shared" si="1"/>
        <v>800.22500000000002</v>
      </c>
      <c r="H33" s="88">
        <v>1031091</v>
      </c>
      <c r="I33" s="89" t="s">
        <v>104</v>
      </c>
      <c r="J33" s="90" t="s">
        <v>14</v>
      </c>
      <c r="K33" s="90" t="s">
        <v>55</v>
      </c>
      <c r="L33" s="14">
        <v>92727567</v>
      </c>
    </row>
    <row r="34" spans="1:14" s="137" customFormat="1" x14ac:dyDescent="0.25">
      <c r="A34" s="134">
        <v>2230</v>
      </c>
      <c r="B34" s="129" t="s">
        <v>21</v>
      </c>
      <c r="C34" s="211">
        <v>858.9</v>
      </c>
      <c r="D34" s="212">
        <v>0.25</v>
      </c>
      <c r="E34" s="399">
        <f t="shared" si="0"/>
        <v>214.72499999999999</v>
      </c>
      <c r="F34" s="399">
        <f>E34</f>
        <v>214.72499999999999</v>
      </c>
      <c r="G34" s="400">
        <f t="shared" si="1"/>
        <v>0</v>
      </c>
      <c r="H34" s="132">
        <v>18633243</v>
      </c>
      <c r="I34" s="174" t="s">
        <v>105</v>
      </c>
      <c r="J34" s="136" t="s">
        <v>11</v>
      </c>
      <c r="K34" s="136" t="s">
        <v>47</v>
      </c>
      <c r="L34" s="208">
        <v>92201223</v>
      </c>
      <c r="M34" s="137" t="s">
        <v>584</v>
      </c>
    </row>
    <row r="35" spans="1:14" s="69" customFormat="1" x14ac:dyDescent="0.25">
      <c r="A35" s="61">
        <v>2232</v>
      </c>
      <c r="B35" s="358" t="s">
        <v>22</v>
      </c>
      <c r="C35" s="359">
        <v>1130.5999999999999</v>
      </c>
      <c r="D35" s="210">
        <v>0.25</v>
      </c>
      <c r="E35" s="389">
        <f t="shared" si="0"/>
        <v>282.64999999999998</v>
      </c>
      <c r="F35" s="389">
        <f>279.1+3.55</f>
        <v>282.65000000000003</v>
      </c>
      <c r="G35" s="390">
        <f t="shared" si="1"/>
        <v>0</v>
      </c>
      <c r="H35" s="106">
        <v>1994004</v>
      </c>
      <c r="I35" s="107" t="s">
        <v>106</v>
      </c>
      <c r="J35" s="108" t="s">
        <v>11</v>
      </c>
      <c r="K35" s="108" t="s">
        <v>47</v>
      </c>
      <c r="L35" s="66">
        <v>92535442</v>
      </c>
      <c r="M35" s="69" t="s">
        <v>353</v>
      </c>
      <c r="N35" s="312" t="s">
        <v>620</v>
      </c>
    </row>
    <row r="36" spans="1:14" s="103" customFormat="1" x14ac:dyDescent="0.25">
      <c r="A36" s="99">
        <v>2234</v>
      </c>
      <c r="B36" s="53" t="s">
        <v>107</v>
      </c>
      <c r="C36" s="377">
        <v>2231.6999999999998</v>
      </c>
      <c r="D36" s="378">
        <v>0.25</v>
      </c>
      <c r="E36" s="401">
        <f t="shared" si="0"/>
        <v>557.92499999999995</v>
      </c>
      <c r="F36" s="401">
        <f>E36</f>
        <v>557.92499999999995</v>
      </c>
      <c r="G36" s="402">
        <f t="shared" si="1"/>
        <v>0</v>
      </c>
      <c r="H36" s="101">
        <v>1235299</v>
      </c>
      <c r="I36" s="102" t="s">
        <v>108</v>
      </c>
      <c r="J36" s="101" t="s">
        <v>50</v>
      </c>
      <c r="K36" s="101" t="s">
        <v>51</v>
      </c>
      <c r="L36" s="52">
        <v>92656157</v>
      </c>
      <c r="M36" s="103" t="s">
        <v>586</v>
      </c>
    </row>
    <row r="37" spans="1:14" s="69" customFormat="1" x14ac:dyDescent="0.25">
      <c r="A37" s="61">
        <v>2238</v>
      </c>
      <c r="B37" s="62" t="s">
        <v>23</v>
      </c>
      <c r="C37" s="209">
        <v>609</v>
      </c>
      <c r="D37" s="210">
        <v>0.25</v>
      </c>
      <c r="E37" s="389">
        <f t="shared" si="0"/>
        <v>152.25</v>
      </c>
      <c r="F37" s="389">
        <f>E37</f>
        <v>152.25</v>
      </c>
      <c r="G37" s="390">
        <f t="shared" si="1"/>
        <v>0</v>
      </c>
      <c r="H37" s="108">
        <v>1322446</v>
      </c>
      <c r="I37" s="107" t="s">
        <v>109</v>
      </c>
      <c r="J37" s="108" t="s">
        <v>11</v>
      </c>
      <c r="K37" s="108" t="s">
        <v>47</v>
      </c>
      <c r="L37" s="67">
        <v>98882280</v>
      </c>
      <c r="M37" s="69" t="s">
        <v>579</v>
      </c>
    </row>
    <row r="38" spans="1:14" s="69" customFormat="1" x14ac:dyDescent="0.25">
      <c r="A38" s="61">
        <v>2244</v>
      </c>
      <c r="B38" s="62" t="s">
        <v>110</v>
      </c>
      <c r="C38" s="209">
        <v>3052.5</v>
      </c>
      <c r="D38" s="210">
        <v>0.25</v>
      </c>
      <c r="E38" s="389">
        <f t="shared" si="0"/>
        <v>763.125</v>
      </c>
      <c r="F38" s="389">
        <f>760.705+2.42</f>
        <v>763.125</v>
      </c>
      <c r="G38" s="390">
        <f t="shared" si="1"/>
        <v>0</v>
      </c>
      <c r="H38" s="106">
        <v>5474148</v>
      </c>
      <c r="I38" s="107" t="s">
        <v>111</v>
      </c>
      <c r="J38" s="108" t="s">
        <v>11</v>
      </c>
      <c r="K38" s="108" t="s">
        <v>47</v>
      </c>
      <c r="L38" s="66">
        <v>99092789</v>
      </c>
      <c r="M38" s="69" t="s">
        <v>582</v>
      </c>
      <c r="N38" s="69" t="s">
        <v>606</v>
      </c>
    </row>
    <row r="39" spans="1:14" x14ac:dyDescent="0.25">
      <c r="A39" s="17">
        <v>2245</v>
      </c>
      <c r="B39" s="18" t="s">
        <v>112</v>
      </c>
      <c r="C39" s="188">
        <v>1861.7</v>
      </c>
      <c r="D39" s="187">
        <v>0.25</v>
      </c>
      <c r="E39" s="383">
        <f t="shared" si="0"/>
        <v>465.42500000000001</v>
      </c>
      <c r="F39" s="383"/>
      <c r="G39" s="382">
        <f t="shared" si="1"/>
        <v>465.42500000000001</v>
      </c>
      <c r="H39" s="88">
        <v>925058</v>
      </c>
      <c r="I39" s="89" t="s">
        <v>113</v>
      </c>
      <c r="J39" s="90" t="s">
        <v>14</v>
      </c>
      <c r="K39" s="90" t="s">
        <v>55</v>
      </c>
      <c r="L39" s="14">
        <v>95048614</v>
      </c>
    </row>
    <row r="40" spans="1:14" x14ac:dyDescent="0.25">
      <c r="A40" s="17">
        <v>2250</v>
      </c>
      <c r="B40" s="18" t="s">
        <v>114</v>
      </c>
      <c r="C40" s="188">
        <v>1159.8</v>
      </c>
      <c r="D40" s="187">
        <v>0.25</v>
      </c>
      <c r="E40" s="383">
        <f t="shared" si="0"/>
        <v>289.95</v>
      </c>
      <c r="F40" s="383"/>
      <c r="G40" s="382">
        <f t="shared" si="1"/>
        <v>289.95</v>
      </c>
      <c r="H40" s="88">
        <v>10206245</v>
      </c>
      <c r="I40" s="89" t="s">
        <v>115</v>
      </c>
      <c r="J40" s="90" t="s">
        <v>11</v>
      </c>
      <c r="K40" s="90" t="s">
        <v>47</v>
      </c>
      <c r="L40" s="14">
        <v>90666623</v>
      </c>
    </row>
    <row r="41" spans="1:14" x14ac:dyDescent="0.25">
      <c r="A41" s="17">
        <v>2252</v>
      </c>
      <c r="B41" s="18" t="s">
        <v>33</v>
      </c>
      <c r="C41" s="188">
        <v>2311.9</v>
      </c>
      <c r="D41" s="187">
        <v>0.25</v>
      </c>
      <c r="E41" s="383">
        <f t="shared" si="0"/>
        <v>577.97500000000002</v>
      </c>
      <c r="F41" s="383"/>
      <c r="G41" s="382">
        <f t="shared" si="1"/>
        <v>577.97500000000002</v>
      </c>
      <c r="H41" s="88">
        <v>1133208</v>
      </c>
      <c r="I41" s="89" t="s">
        <v>116</v>
      </c>
      <c r="J41" s="90" t="s">
        <v>81</v>
      </c>
      <c r="K41" s="90" t="s">
        <v>82</v>
      </c>
      <c r="L41" s="14">
        <v>92817678</v>
      </c>
    </row>
    <row r="42" spans="1:14" s="69" customFormat="1" x14ac:dyDescent="0.25">
      <c r="A42" s="61">
        <v>2267</v>
      </c>
      <c r="B42" s="358" t="s">
        <v>117</v>
      </c>
      <c r="C42" s="209">
        <v>2382.6999999999998</v>
      </c>
      <c r="D42" s="210">
        <v>0.25</v>
      </c>
      <c r="E42" s="389">
        <f t="shared" si="0"/>
        <v>595.67499999999995</v>
      </c>
      <c r="F42" s="389">
        <f>593.025+2.65</f>
        <v>595.67499999999995</v>
      </c>
      <c r="G42" s="390">
        <f t="shared" si="1"/>
        <v>0</v>
      </c>
      <c r="H42" s="106">
        <v>18700662</v>
      </c>
      <c r="I42" s="107" t="s">
        <v>118</v>
      </c>
      <c r="J42" s="108" t="s">
        <v>11</v>
      </c>
      <c r="K42" s="108" t="s">
        <v>47</v>
      </c>
      <c r="L42" s="66">
        <v>91106550</v>
      </c>
      <c r="M42" s="69" t="s">
        <v>579</v>
      </c>
      <c r="N42" s="375" t="s">
        <v>608</v>
      </c>
    </row>
    <row r="43" spans="1:14" x14ac:dyDescent="0.25">
      <c r="A43" s="17">
        <v>2281</v>
      </c>
      <c r="B43" s="18" t="s">
        <v>119</v>
      </c>
      <c r="C43" s="188">
        <v>1151.4000000000001</v>
      </c>
      <c r="D43" s="187">
        <v>0.25</v>
      </c>
      <c r="E43" s="383">
        <f t="shared" si="0"/>
        <v>287.85000000000002</v>
      </c>
      <c r="F43" s="383"/>
      <c r="G43" s="382">
        <f t="shared" si="1"/>
        <v>287.85000000000002</v>
      </c>
      <c r="H43" s="90">
        <v>2166167</v>
      </c>
      <c r="I43" s="89" t="s">
        <v>120</v>
      </c>
      <c r="J43" s="90" t="s">
        <v>11</v>
      </c>
      <c r="K43" s="90" t="s">
        <v>47</v>
      </c>
      <c r="L43" s="13">
        <v>99090486</v>
      </c>
    </row>
    <row r="44" spans="1:14" x14ac:dyDescent="0.25">
      <c r="A44" s="17">
        <v>2285</v>
      </c>
      <c r="B44" s="18" t="s">
        <v>12</v>
      </c>
      <c r="C44" s="188">
        <v>1768.7</v>
      </c>
      <c r="D44" s="187">
        <v>0.25</v>
      </c>
      <c r="E44" s="383">
        <f t="shared" si="0"/>
        <v>442.17500000000001</v>
      </c>
      <c r="F44" s="383"/>
      <c r="G44" s="382">
        <f t="shared" si="1"/>
        <v>442.17500000000001</v>
      </c>
      <c r="H44" s="90">
        <v>21077904</v>
      </c>
      <c r="I44" s="89" t="s">
        <v>121</v>
      </c>
      <c r="J44" s="90" t="s">
        <v>14</v>
      </c>
      <c r="K44" s="90" t="s">
        <v>55</v>
      </c>
      <c r="L44" s="13">
        <v>92930610</v>
      </c>
    </row>
    <row r="45" spans="1:14" s="137" customFormat="1" x14ac:dyDescent="0.25">
      <c r="A45" s="134">
        <v>2294</v>
      </c>
      <c r="B45" s="129" t="s">
        <v>122</v>
      </c>
      <c r="C45" s="211">
        <v>4585.6000000000004</v>
      </c>
      <c r="D45" s="212">
        <v>0.25</v>
      </c>
      <c r="E45" s="399">
        <f t="shared" si="0"/>
        <v>1146.4000000000001</v>
      </c>
      <c r="F45" s="399">
        <f>E45</f>
        <v>1146.4000000000001</v>
      </c>
      <c r="G45" s="400">
        <f t="shared" si="1"/>
        <v>0</v>
      </c>
      <c r="H45" s="132">
        <v>1917308</v>
      </c>
      <c r="I45" s="174" t="s">
        <v>123</v>
      </c>
      <c r="J45" s="136" t="s">
        <v>14</v>
      </c>
      <c r="K45" s="136" t="s">
        <v>55</v>
      </c>
      <c r="L45" s="208">
        <v>95878499</v>
      </c>
      <c r="M45" s="137" t="s">
        <v>584</v>
      </c>
    </row>
    <row r="46" spans="1:14" s="69" customFormat="1" x14ac:dyDescent="0.25">
      <c r="A46" s="61">
        <v>2297</v>
      </c>
      <c r="B46" s="62" t="s">
        <v>124</v>
      </c>
      <c r="C46" s="209">
        <v>2454.6999999999998</v>
      </c>
      <c r="D46" s="210">
        <v>0.25</v>
      </c>
      <c r="E46" s="389">
        <f t="shared" si="0"/>
        <v>613.67499999999995</v>
      </c>
      <c r="F46" s="389">
        <f>613.575+0.1</f>
        <v>613.67500000000007</v>
      </c>
      <c r="G46" s="390">
        <f t="shared" si="1"/>
        <v>0</v>
      </c>
      <c r="H46" s="106">
        <v>18689189</v>
      </c>
      <c r="I46" s="107" t="s">
        <v>125</v>
      </c>
      <c r="J46" s="108" t="s">
        <v>11</v>
      </c>
      <c r="K46" s="108" t="s">
        <v>47</v>
      </c>
      <c r="L46" s="66">
        <v>90911901</v>
      </c>
      <c r="M46" s="69" t="s">
        <v>351</v>
      </c>
    </row>
    <row r="47" spans="1:14" x14ac:dyDescent="0.25">
      <c r="A47" s="17">
        <v>2298</v>
      </c>
      <c r="B47" s="18" t="s">
        <v>126</v>
      </c>
      <c r="C47" s="188">
        <v>4511.8999999999996</v>
      </c>
      <c r="D47" s="187">
        <v>0.25</v>
      </c>
      <c r="E47" s="383">
        <f t="shared" si="0"/>
        <v>1127.9749999999999</v>
      </c>
      <c r="F47" s="383"/>
      <c r="G47" s="382">
        <f t="shared" si="1"/>
        <v>1127.9749999999999</v>
      </c>
      <c r="H47" s="88">
        <v>6681518</v>
      </c>
      <c r="I47" s="89" t="s">
        <v>127</v>
      </c>
      <c r="J47" s="90" t="s">
        <v>14</v>
      </c>
      <c r="K47" s="90" t="s">
        <v>55</v>
      </c>
      <c r="L47" s="14">
        <v>99125223</v>
      </c>
    </row>
    <row r="48" spans="1:14" x14ac:dyDescent="0.25">
      <c r="A48" s="17">
        <v>2300</v>
      </c>
      <c r="B48" s="18" t="s">
        <v>128</v>
      </c>
      <c r="C48" s="188">
        <v>947.1</v>
      </c>
      <c r="D48" s="187">
        <v>0.25</v>
      </c>
      <c r="E48" s="383">
        <f t="shared" si="0"/>
        <v>236.77500000000001</v>
      </c>
      <c r="F48" s="383"/>
      <c r="G48" s="382">
        <f t="shared" si="1"/>
        <v>236.77500000000001</v>
      </c>
      <c r="H48" s="88">
        <v>447833</v>
      </c>
      <c r="I48" s="89" t="s">
        <v>129</v>
      </c>
      <c r="J48" s="90" t="s">
        <v>81</v>
      </c>
      <c r="K48" s="90" t="s">
        <v>82</v>
      </c>
      <c r="L48" s="14">
        <v>92005673</v>
      </c>
    </row>
    <row r="49" spans="1:16" s="69" customFormat="1" x14ac:dyDescent="0.25">
      <c r="A49" s="61">
        <v>2301</v>
      </c>
      <c r="B49" s="62" t="s">
        <v>130</v>
      </c>
      <c r="C49" s="209">
        <v>2127.9</v>
      </c>
      <c r="D49" s="210">
        <v>0.25</v>
      </c>
      <c r="E49" s="389">
        <f t="shared" si="0"/>
        <v>531.97500000000002</v>
      </c>
      <c r="F49" s="389">
        <f>531.275+0.7</f>
        <v>531.97500000000002</v>
      </c>
      <c r="G49" s="390">
        <f t="shared" si="1"/>
        <v>0</v>
      </c>
      <c r="H49" s="106">
        <v>23600713</v>
      </c>
      <c r="I49" s="107" t="s">
        <v>131</v>
      </c>
      <c r="J49" s="108" t="s">
        <v>132</v>
      </c>
      <c r="K49" s="108" t="s">
        <v>133</v>
      </c>
      <c r="L49" s="66">
        <v>92930610</v>
      </c>
      <c r="M49" s="375" t="s">
        <v>353</v>
      </c>
      <c r="N49" s="69" t="s">
        <v>579</v>
      </c>
    </row>
    <row r="50" spans="1:16" x14ac:dyDescent="0.25">
      <c r="A50" s="17">
        <v>2302</v>
      </c>
      <c r="B50" s="18" t="s">
        <v>134</v>
      </c>
      <c r="C50" s="188">
        <v>494.6</v>
      </c>
      <c r="D50" s="187">
        <v>0.25</v>
      </c>
      <c r="E50" s="383">
        <f t="shared" si="0"/>
        <v>123.65</v>
      </c>
      <c r="F50" s="383"/>
      <c r="G50" s="382">
        <f t="shared" si="1"/>
        <v>123.65</v>
      </c>
      <c r="H50" s="88">
        <v>20260365</v>
      </c>
      <c r="I50" s="104" t="s">
        <v>135</v>
      </c>
      <c r="J50" s="90" t="s">
        <v>81</v>
      </c>
      <c r="K50" s="90" t="s">
        <v>82</v>
      </c>
      <c r="L50" s="14">
        <v>99125223</v>
      </c>
    </row>
    <row r="51" spans="1:16" x14ac:dyDescent="0.25">
      <c r="A51" s="17">
        <v>2303</v>
      </c>
      <c r="B51" s="18" t="s">
        <v>13</v>
      </c>
      <c r="C51" s="188">
        <v>1151</v>
      </c>
      <c r="D51" s="187">
        <v>0.25</v>
      </c>
      <c r="E51" s="383">
        <f t="shared" si="0"/>
        <v>287.75</v>
      </c>
      <c r="F51" s="383"/>
      <c r="G51" s="382">
        <f t="shared" si="1"/>
        <v>287.75</v>
      </c>
      <c r="H51" s="88">
        <v>18636198</v>
      </c>
      <c r="I51" s="105" t="s">
        <v>136</v>
      </c>
      <c r="J51" s="90" t="s">
        <v>14</v>
      </c>
      <c r="K51" s="90" t="s">
        <v>47</v>
      </c>
      <c r="L51" s="14">
        <v>92726444</v>
      </c>
    </row>
    <row r="52" spans="1:16" x14ac:dyDescent="0.25">
      <c r="A52" s="17">
        <v>2304</v>
      </c>
      <c r="B52" s="18" t="s">
        <v>348</v>
      </c>
      <c r="C52" s="188">
        <v>532.6</v>
      </c>
      <c r="D52" s="187">
        <v>0.25</v>
      </c>
      <c r="E52" s="383">
        <f t="shared" si="0"/>
        <v>133.15</v>
      </c>
      <c r="F52" s="383"/>
      <c r="G52" s="382">
        <f t="shared" si="1"/>
        <v>133.15</v>
      </c>
      <c r="H52" s="88">
        <v>7290532</v>
      </c>
      <c r="I52" s="89" t="s">
        <v>137</v>
      </c>
      <c r="J52" s="90" t="s">
        <v>11</v>
      </c>
      <c r="K52" s="90" t="s">
        <v>47</v>
      </c>
      <c r="L52" s="14">
        <v>95117299</v>
      </c>
    </row>
    <row r="53" spans="1:16" s="69" customFormat="1" x14ac:dyDescent="0.25">
      <c r="A53" s="61">
        <v>2306</v>
      </c>
      <c r="B53" s="62" t="s">
        <v>34</v>
      </c>
      <c r="C53" s="209">
        <v>914.6</v>
      </c>
      <c r="D53" s="210">
        <v>0.25</v>
      </c>
      <c r="E53" s="389">
        <f t="shared" si="0"/>
        <v>228.65</v>
      </c>
      <c r="F53" s="389">
        <f>E53</f>
        <v>228.65</v>
      </c>
      <c r="G53" s="390">
        <f t="shared" si="1"/>
        <v>0</v>
      </c>
      <c r="H53" s="108">
        <v>26425746</v>
      </c>
      <c r="I53" s="107" t="s">
        <v>138</v>
      </c>
      <c r="J53" s="108" t="s">
        <v>14</v>
      </c>
      <c r="K53" s="108" t="s">
        <v>55</v>
      </c>
      <c r="L53" s="67">
        <v>99587923</v>
      </c>
      <c r="M53" s="375" t="s">
        <v>582</v>
      </c>
    </row>
    <row r="54" spans="1:16" s="69" customFormat="1" x14ac:dyDescent="0.25">
      <c r="A54" s="61">
        <v>2307</v>
      </c>
      <c r="B54" s="62" t="s">
        <v>139</v>
      </c>
      <c r="C54" s="209">
        <v>3572.3</v>
      </c>
      <c r="D54" s="210">
        <v>0.25</v>
      </c>
      <c r="E54" s="389">
        <f t="shared" si="0"/>
        <v>893.07500000000005</v>
      </c>
      <c r="F54" s="389">
        <f>859.375+33.7</f>
        <v>893.07500000000005</v>
      </c>
      <c r="G54" s="390">
        <f t="shared" si="1"/>
        <v>0</v>
      </c>
      <c r="H54" s="106">
        <v>1485446</v>
      </c>
      <c r="I54" s="107" t="s">
        <v>140</v>
      </c>
      <c r="J54" s="108" t="s">
        <v>50</v>
      </c>
      <c r="K54" s="108" t="s">
        <v>51</v>
      </c>
      <c r="L54" s="66">
        <v>96405050</v>
      </c>
      <c r="M54" s="380">
        <v>45727</v>
      </c>
    </row>
    <row r="55" spans="1:16" s="69" customFormat="1" x14ac:dyDescent="0.25">
      <c r="A55" s="61">
        <v>2309</v>
      </c>
      <c r="B55" s="62" t="s">
        <v>35</v>
      </c>
      <c r="C55" s="209">
        <v>1181.5</v>
      </c>
      <c r="D55" s="210">
        <v>0.25</v>
      </c>
      <c r="E55" s="389">
        <f t="shared" si="0"/>
        <v>295.375</v>
      </c>
      <c r="F55" s="389">
        <f>E55</f>
        <v>295.375</v>
      </c>
      <c r="G55" s="390">
        <f t="shared" si="1"/>
        <v>0</v>
      </c>
      <c r="H55" s="108">
        <v>2733875</v>
      </c>
      <c r="I55" s="107" t="s">
        <v>141</v>
      </c>
      <c r="J55" s="108" t="s">
        <v>11</v>
      </c>
      <c r="K55" s="108" t="s">
        <v>47</v>
      </c>
      <c r="L55" s="67">
        <v>99580134</v>
      </c>
      <c r="M55" s="258">
        <v>45669</v>
      </c>
    </row>
    <row r="56" spans="1:16" x14ac:dyDescent="0.25">
      <c r="A56" s="17">
        <v>2310</v>
      </c>
      <c r="B56" s="18" t="s">
        <v>142</v>
      </c>
      <c r="C56" s="188">
        <v>4683.8</v>
      </c>
      <c r="D56" s="187">
        <v>0.25</v>
      </c>
      <c r="E56" s="383">
        <f t="shared" si="0"/>
        <v>1170.95</v>
      </c>
      <c r="F56" s="383"/>
      <c r="G56" s="382">
        <f t="shared" si="1"/>
        <v>1170.95</v>
      </c>
      <c r="H56" s="88">
        <v>10612452</v>
      </c>
      <c r="I56" s="89" t="s">
        <v>143</v>
      </c>
      <c r="J56" s="90" t="s">
        <v>11</v>
      </c>
      <c r="K56" s="90" t="s">
        <v>47</v>
      </c>
      <c r="L56" s="14">
        <v>98882353</v>
      </c>
    </row>
    <row r="57" spans="1:16" s="69" customFormat="1" x14ac:dyDescent="0.25">
      <c r="A57" s="61">
        <v>2311</v>
      </c>
      <c r="B57" s="62" t="s">
        <v>144</v>
      </c>
      <c r="C57" s="209">
        <v>592.29999999999995</v>
      </c>
      <c r="D57" s="210">
        <v>0.25</v>
      </c>
      <c r="E57" s="389">
        <f t="shared" si="0"/>
        <v>148.07499999999999</v>
      </c>
      <c r="F57" s="389">
        <f>E57</f>
        <v>148.07499999999999</v>
      </c>
      <c r="G57" s="390">
        <f t="shared" si="1"/>
        <v>0</v>
      </c>
      <c r="H57" s="106">
        <v>14874655</v>
      </c>
      <c r="I57" s="107" t="s">
        <v>145</v>
      </c>
      <c r="J57" s="108" t="s">
        <v>146</v>
      </c>
      <c r="K57" s="108" t="s">
        <v>47</v>
      </c>
      <c r="L57" s="66">
        <v>99580134</v>
      </c>
      <c r="M57" s="69" t="s">
        <v>582</v>
      </c>
    </row>
    <row r="58" spans="1:16" s="69" customFormat="1" x14ac:dyDescent="0.25">
      <c r="A58" s="61">
        <v>2312</v>
      </c>
      <c r="B58" s="62" t="s">
        <v>36</v>
      </c>
      <c r="C58" s="209">
        <v>1556.4</v>
      </c>
      <c r="D58" s="210">
        <v>0.25</v>
      </c>
      <c r="E58" s="389">
        <f t="shared" si="0"/>
        <v>389.1</v>
      </c>
      <c r="F58" s="389">
        <f>0.25+388.85</f>
        <v>389.1</v>
      </c>
      <c r="G58" s="390">
        <f t="shared" si="1"/>
        <v>0</v>
      </c>
      <c r="H58" s="108">
        <v>876418</v>
      </c>
      <c r="I58" s="107" t="s">
        <v>148</v>
      </c>
      <c r="J58" s="108" t="s">
        <v>15</v>
      </c>
      <c r="K58" s="108" t="s">
        <v>67</v>
      </c>
      <c r="L58" s="67">
        <v>93340442</v>
      </c>
      <c r="M58" s="375" t="s">
        <v>352</v>
      </c>
      <c r="N58" s="69" t="s">
        <v>582</v>
      </c>
    </row>
    <row r="59" spans="1:16" s="69" customFormat="1" x14ac:dyDescent="0.25">
      <c r="A59" s="61">
        <v>2314</v>
      </c>
      <c r="B59" s="62" t="s">
        <v>149</v>
      </c>
      <c r="C59" s="209">
        <v>599.9</v>
      </c>
      <c r="D59" s="210">
        <v>0.25</v>
      </c>
      <c r="E59" s="389">
        <f t="shared" si="0"/>
        <v>149.97499999999999</v>
      </c>
      <c r="F59" s="389">
        <f>E59</f>
        <v>149.97499999999999</v>
      </c>
      <c r="G59" s="390">
        <f t="shared" si="1"/>
        <v>0</v>
      </c>
      <c r="H59" s="108">
        <v>7032433</v>
      </c>
      <c r="I59" s="107" t="s">
        <v>150</v>
      </c>
      <c r="J59" s="108" t="s">
        <v>11</v>
      </c>
      <c r="K59" s="108" t="s">
        <v>47</v>
      </c>
      <c r="L59" s="67">
        <v>96264331</v>
      </c>
      <c r="M59" s="312" t="s">
        <v>619</v>
      </c>
    </row>
    <row r="60" spans="1:16" x14ac:dyDescent="0.25">
      <c r="A60" s="17">
        <v>2316</v>
      </c>
      <c r="B60" s="18" t="s">
        <v>25</v>
      </c>
      <c r="C60" s="188">
        <v>1453.3</v>
      </c>
      <c r="D60" s="187">
        <v>0.25</v>
      </c>
      <c r="E60" s="383">
        <f t="shared" si="0"/>
        <v>363.32499999999999</v>
      </c>
      <c r="F60" s="383"/>
      <c r="G60" s="382">
        <f t="shared" si="1"/>
        <v>363.32499999999999</v>
      </c>
      <c r="H60" s="88">
        <v>18635847</v>
      </c>
      <c r="I60" s="89" t="s">
        <v>151</v>
      </c>
      <c r="J60" s="90" t="s">
        <v>11</v>
      </c>
      <c r="K60" s="90" t="s">
        <v>47</v>
      </c>
      <c r="L60" s="14">
        <v>92117746</v>
      </c>
    </row>
    <row r="61" spans="1:16" s="69" customFormat="1" x14ac:dyDescent="0.25">
      <c r="A61" s="61">
        <v>2317</v>
      </c>
      <c r="B61" s="62" t="s">
        <v>152</v>
      </c>
      <c r="C61" s="209">
        <v>1752</v>
      </c>
      <c r="D61" s="210">
        <v>0.25</v>
      </c>
      <c r="E61" s="389">
        <f t="shared" si="0"/>
        <v>438</v>
      </c>
      <c r="F61" s="389">
        <f>18.95+375.25+43.8</f>
        <v>438</v>
      </c>
      <c r="G61" s="390">
        <f t="shared" si="1"/>
        <v>0</v>
      </c>
      <c r="H61" s="108">
        <v>18362174</v>
      </c>
      <c r="I61" s="107" t="s">
        <v>153</v>
      </c>
      <c r="J61" s="108" t="s">
        <v>154</v>
      </c>
      <c r="K61" s="108" t="s">
        <v>155</v>
      </c>
      <c r="L61" s="67">
        <v>97503992</v>
      </c>
      <c r="M61" s="375" t="s">
        <v>353</v>
      </c>
      <c r="N61" s="69" t="s">
        <v>579</v>
      </c>
      <c r="P61" s="69" t="s">
        <v>600</v>
      </c>
    </row>
    <row r="62" spans="1:16" x14ac:dyDescent="0.25">
      <c r="A62" s="17">
        <v>2318</v>
      </c>
      <c r="B62" s="18" t="s">
        <v>156</v>
      </c>
      <c r="C62" s="188">
        <v>1106</v>
      </c>
      <c r="D62" s="187">
        <v>0.25</v>
      </c>
      <c r="E62" s="383">
        <f t="shared" si="0"/>
        <v>276.5</v>
      </c>
      <c r="F62" s="383"/>
      <c r="G62" s="382">
        <f t="shared" si="1"/>
        <v>276.5</v>
      </c>
      <c r="H62" s="88">
        <v>218881</v>
      </c>
      <c r="I62" s="89" t="s">
        <v>157</v>
      </c>
      <c r="J62" s="90" t="s">
        <v>11</v>
      </c>
      <c r="K62" s="90" t="s">
        <v>47</v>
      </c>
      <c r="L62" s="14"/>
    </row>
    <row r="63" spans="1:16" s="69" customFormat="1" x14ac:dyDescent="0.25">
      <c r="A63" s="61">
        <v>2319</v>
      </c>
      <c r="B63" s="62" t="s">
        <v>37</v>
      </c>
      <c r="C63" s="209">
        <v>511.3</v>
      </c>
      <c r="D63" s="210">
        <v>0.25</v>
      </c>
      <c r="E63" s="389">
        <f t="shared" si="0"/>
        <v>127.825</v>
      </c>
      <c r="F63" s="389">
        <f>E63</f>
        <v>127.825</v>
      </c>
      <c r="G63" s="390">
        <f t="shared" si="1"/>
        <v>0</v>
      </c>
      <c r="H63" s="108">
        <v>5006545</v>
      </c>
      <c r="I63" s="107" t="s">
        <v>158</v>
      </c>
      <c r="J63" s="108" t="s">
        <v>11</v>
      </c>
      <c r="K63" s="108" t="s">
        <v>47</v>
      </c>
      <c r="L63" s="66">
        <v>99619074</v>
      </c>
      <c r="M63" s="312" t="s">
        <v>615</v>
      </c>
    </row>
    <row r="64" spans="1:16" x14ac:dyDescent="0.25">
      <c r="A64" s="17">
        <v>2320</v>
      </c>
      <c r="B64" s="18" t="s">
        <v>159</v>
      </c>
      <c r="C64" s="188">
        <v>1249.5999999999999</v>
      </c>
      <c r="D64" s="187">
        <v>0.25</v>
      </c>
      <c r="E64" s="383">
        <f t="shared" si="0"/>
        <v>312.39999999999998</v>
      </c>
      <c r="F64" s="383"/>
      <c r="G64" s="382">
        <f t="shared" si="1"/>
        <v>312.39999999999998</v>
      </c>
      <c r="H64" s="90">
        <v>21957384</v>
      </c>
      <c r="I64" s="89" t="s">
        <v>160</v>
      </c>
      <c r="J64" s="90" t="s">
        <v>11</v>
      </c>
      <c r="K64" s="90" t="s">
        <v>47</v>
      </c>
      <c r="L64" s="13">
        <v>94079727</v>
      </c>
    </row>
    <row r="65" spans="1:16" x14ac:dyDescent="0.25">
      <c r="A65" s="17">
        <v>2322</v>
      </c>
      <c r="B65" s="18" t="s">
        <v>161</v>
      </c>
      <c r="C65" s="188">
        <v>1117.5999999999999</v>
      </c>
      <c r="D65" s="187">
        <v>0.25</v>
      </c>
      <c r="E65" s="383">
        <f t="shared" si="0"/>
        <v>279.39999999999998</v>
      </c>
      <c r="F65" s="383"/>
      <c r="G65" s="382">
        <f t="shared" si="1"/>
        <v>279.39999999999998</v>
      </c>
      <c r="H65" s="90">
        <v>102559</v>
      </c>
      <c r="I65" s="89" t="s">
        <v>162</v>
      </c>
      <c r="J65" s="90" t="s">
        <v>11</v>
      </c>
      <c r="K65" s="90" t="s">
        <v>47</v>
      </c>
      <c r="L65" s="13">
        <v>99486744</v>
      </c>
    </row>
    <row r="66" spans="1:16" x14ac:dyDescent="0.25">
      <c r="A66" s="17">
        <v>2323</v>
      </c>
      <c r="B66" s="18" t="s">
        <v>163</v>
      </c>
      <c r="C66" s="188">
        <v>1175.3</v>
      </c>
      <c r="D66" s="187">
        <v>0.25</v>
      </c>
      <c r="E66" s="383">
        <f t="shared" si="0"/>
        <v>293.82499999999999</v>
      </c>
      <c r="F66" s="383"/>
      <c r="G66" s="382">
        <f t="shared" si="1"/>
        <v>293.82499999999999</v>
      </c>
      <c r="H66" s="90">
        <v>1235899</v>
      </c>
      <c r="I66" s="89" t="s">
        <v>164</v>
      </c>
      <c r="J66" s="90" t="s">
        <v>14</v>
      </c>
      <c r="K66" s="90" t="s">
        <v>55</v>
      </c>
      <c r="L66" s="13">
        <v>96170087</v>
      </c>
      <c r="P66">
        <f>413.3-43.8</f>
        <v>369.5</v>
      </c>
    </row>
    <row r="67" spans="1:16" s="137" customFormat="1" x14ac:dyDescent="0.25">
      <c r="A67" s="134">
        <v>2324</v>
      </c>
      <c r="B67" s="129" t="s">
        <v>165</v>
      </c>
      <c r="C67" s="211">
        <v>1818</v>
      </c>
      <c r="D67" s="212">
        <v>0.25</v>
      </c>
      <c r="E67" s="399">
        <f t="shared" si="0"/>
        <v>454.5</v>
      </c>
      <c r="F67" s="399">
        <f>E67</f>
        <v>454.5</v>
      </c>
      <c r="G67" s="400">
        <f t="shared" si="1"/>
        <v>0</v>
      </c>
      <c r="H67" s="132">
        <v>12239373</v>
      </c>
      <c r="I67" s="174" t="s">
        <v>166</v>
      </c>
      <c r="J67" s="136" t="s">
        <v>11</v>
      </c>
      <c r="K67" s="136" t="s">
        <v>47</v>
      </c>
      <c r="L67" s="208">
        <v>99589535</v>
      </c>
      <c r="M67" s="137" t="s">
        <v>581</v>
      </c>
    </row>
    <row r="68" spans="1:16" s="69" customFormat="1" x14ac:dyDescent="0.25">
      <c r="A68" s="61">
        <v>2325</v>
      </c>
      <c r="B68" s="62" t="s">
        <v>167</v>
      </c>
      <c r="C68" s="209">
        <v>1588</v>
      </c>
      <c r="D68" s="210">
        <v>0.25</v>
      </c>
      <c r="E68" s="389">
        <f t="shared" si="0"/>
        <v>397</v>
      </c>
      <c r="F68" s="389">
        <f>396.075+0.925</f>
        <v>397</v>
      </c>
      <c r="G68" s="390">
        <f t="shared" si="1"/>
        <v>0</v>
      </c>
      <c r="H68" s="106">
        <v>3802037</v>
      </c>
      <c r="I68" s="107" t="s">
        <v>168</v>
      </c>
      <c r="J68" s="108" t="s">
        <v>11</v>
      </c>
      <c r="K68" s="108" t="s">
        <v>47</v>
      </c>
      <c r="L68" s="66">
        <v>99481404</v>
      </c>
      <c r="M68" s="375" t="s">
        <v>582</v>
      </c>
      <c r="N68" s="312" t="s">
        <v>616</v>
      </c>
    </row>
    <row r="69" spans="1:16" x14ac:dyDescent="0.25">
      <c r="A69" s="17">
        <v>2327</v>
      </c>
      <c r="B69" s="18" t="s">
        <v>169</v>
      </c>
      <c r="C69" s="188">
        <v>563.6</v>
      </c>
      <c r="D69" s="187">
        <v>0.25</v>
      </c>
      <c r="E69" s="383">
        <f t="shared" si="0"/>
        <v>140.9</v>
      </c>
      <c r="F69" s="383"/>
      <c r="G69" s="382">
        <f t="shared" si="1"/>
        <v>140.9</v>
      </c>
      <c r="H69" s="90">
        <v>7568982</v>
      </c>
      <c r="I69" s="89" t="s">
        <v>170</v>
      </c>
      <c r="J69" s="90" t="s">
        <v>11</v>
      </c>
      <c r="K69" s="90" t="s">
        <v>47</v>
      </c>
      <c r="L69" s="13">
        <v>99496653</v>
      </c>
    </row>
    <row r="70" spans="1:16" s="137" customFormat="1" x14ac:dyDescent="0.25">
      <c r="A70" s="134">
        <v>2329</v>
      </c>
      <c r="B70" s="129" t="s">
        <v>171</v>
      </c>
      <c r="C70" s="211">
        <v>1155.5999999999999</v>
      </c>
      <c r="D70" s="212">
        <v>0.25</v>
      </c>
      <c r="E70" s="399">
        <f t="shared" ref="E70:E133" si="2">C70*D70</f>
        <v>288.89999999999998</v>
      </c>
      <c r="F70" s="399">
        <f>E70</f>
        <v>288.89999999999998</v>
      </c>
      <c r="G70" s="400">
        <f t="shared" ref="G70:G133" si="3">E70-F70</f>
        <v>0</v>
      </c>
      <c r="H70" s="132">
        <v>500599</v>
      </c>
      <c r="I70" s="174" t="s">
        <v>609</v>
      </c>
      <c r="J70" s="136" t="s">
        <v>610</v>
      </c>
      <c r="K70" s="136" t="s">
        <v>47</v>
      </c>
      <c r="L70" s="208">
        <v>99435565</v>
      </c>
      <c r="M70" s="137" t="s">
        <v>611</v>
      </c>
    </row>
    <row r="71" spans="1:16" x14ac:dyDescent="0.25">
      <c r="A71" s="17">
        <v>2331</v>
      </c>
      <c r="B71" s="18" t="s">
        <v>173</v>
      </c>
      <c r="C71" s="188">
        <v>1256.9000000000001</v>
      </c>
      <c r="D71" s="187">
        <v>0.25</v>
      </c>
      <c r="E71" s="383">
        <f t="shared" si="2"/>
        <v>314.22500000000002</v>
      </c>
      <c r="F71" s="383"/>
      <c r="G71" s="382">
        <f t="shared" si="3"/>
        <v>314.22500000000002</v>
      </c>
      <c r="H71" s="88">
        <v>574696</v>
      </c>
      <c r="I71" s="89" t="s">
        <v>174</v>
      </c>
      <c r="J71" s="90" t="s">
        <v>14</v>
      </c>
      <c r="K71" s="90" t="s">
        <v>55</v>
      </c>
      <c r="L71" s="14">
        <v>92556868</v>
      </c>
    </row>
    <row r="72" spans="1:16" x14ac:dyDescent="0.25">
      <c r="A72" s="17">
        <v>2332</v>
      </c>
      <c r="B72" s="18" t="s">
        <v>175</v>
      </c>
      <c r="C72" s="188">
        <v>3039</v>
      </c>
      <c r="D72" s="187">
        <v>0.25</v>
      </c>
      <c r="E72" s="383">
        <f t="shared" si="2"/>
        <v>759.75</v>
      </c>
      <c r="F72" s="383"/>
      <c r="G72" s="382">
        <f t="shared" si="3"/>
        <v>759.75</v>
      </c>
      <c r="H72" s="88">
        <v>1409668</v>
      </c>
      <c r="I72" s="89" t="s">
        <v>176</v>
      </c>
      <c r="J72" s="90" t="s">
        <v>11</v>
      </c>
      <c r="K72" s="90" t="s">
        <v>47</v>
      </c>
      <c r="L72" s="14">
        <v>99493202</v>
      </c>
    </row>
    <row r="73" spans="1:16" s="69" customFormat="1" x14ac:dyDescent="0.25">
      <c r="A73" s="61">
        <v>2333</v>
      </c>
      <c r="B73" s="62" t="s">
        <v>177</v>
      </c>
      <c r="C73" s="209">
        <v>1178</v>
      </c>
      <c r="D73" s="210">
        <v>0.25</v>
      </c>
      <c r="E73" s="389">
        <f t="shared" si="2"/>
        <v>294.5</v>
      </c>
      <c r="F73" s="389">
        <f>E73</f>
        <v>294.5</v>
      </c>
      <c r="G73" s="390">
        <f t="shared" si="3"/>
        <v>0</v>
      </c>
      <c r="H73" s="114">
        <v>732042</v>
      </c>
      <c r="I73" s="115" t="s">
        <v>178</v>
      </c>
      <c r="J73" s="116" t="s">
        <v>11</v>
      </c>
      <c r="K73" s="116" t="s">
        <v>47</v>
      </c>
      <c r="L73" s="357">
        <v>92551330</v>
      </c>
      <c r="M73" s="69" t="s">
        <v>577</v>
      </c>
    </row>
    <row r="74" spans="1:16" s="69" customFormat="1" x14ac:dyDescent="0.25">
      <c r="A74" s="61">
        <v>2334</v>
      </c>
      <c r="B74" s="62" t="s">
        <v>38</v>
      </c>
      <c r="C74" s="209">
        <v>1724.4</v>
      </c>
      <c r="D74" s="210">
        <v>0.25</v>
      </c>
      <c r="E74" s="389">
        <f t="shared" si="2"/>
        <v>431.1</v>
      </c>
      <c r="F74" s="389">
        <f>E74</f>
        <v>431.1</v>
      </c>
      <c r="G74" s="390">
        <f t="shared" si="3"/>
        <v>0</v>
      </c>
      <c r="H74" s="114">
        <v>390755</v>
      </c>
      <c r="I74" s="107" t="s">
        <v>179</v>
      </c>
      <c r="J74" s="108" t="s">
        <v>11</v>
      </c>
      <c r="K74" s="108" t="s">
        <v>47</v>
      </c>
      <c r="L74" s="357">
        <v>99488361</v>
      </c>
      <c r="M74" s="69" t="s">
        <v>582</v>
      </c>
    </row>
    <row r="75" spans="1:16" x14ac:dyDescent="0.25">
      <c r="A75" s="17">
        <v>2335</v>
      </c>
      <c r="B75" s="18" t="s">
        <v>180</v>
      </c>
      <c r="C75" s="188">
        <v>1201.2</v>
      </c>
      <c r="D75" s="187">
        <v>0.25</v>
      </c>
      <c r="E75" s="383">
        <f t="shared" si="2"/>
        <v>300.3</v>
      </c>
      <c r="F75" s="383"/>
      <c r="G75" s="382">
        <f t="shared" si="3"/>
        <v>300.3</v>
      </c>
      <c r="H75" s="93">
        <v>6221853</v>
      </c>
      <c r="I75" s="95" t="s">
        <v>181</v>
      </c>
      <c r="J75" s="94" t="s">
        <v>11</v>
      </c>
      <c r="K75" s="94" t="s">
        <v>47</v>
      </c>
      <c r="L75" s="38">
        <v>99807670</v>
      </c>
    </row>
    <row r="76" spans="1:16" s="69" customFormat="1" x14ac:dyDescent="0.25">
      <c r="A76" s="61">
        <v>2336</v>
      </c>
      <c r="B76" s="62" t="s">
        <v>39</v>
      </c>
      <c r="C76" s="209">
        <v>1065.9000000000001</v>
      </c>
      <c r="D76" s="210">
        <v>0.25</v>
      </c>
      <c r="E76" s="389">
        <f t="shared" si="2"/>
        <v>266.47500000000002</v>
      </c>
      <c r="F76" s="389">
        <f>E76</f>
        <v>266.47500000000002</v>
      </c>
      <c r="G76" s="390">
        <f t="shared" si="3"/>
        <v>0</v>
      </c>
      <c r="H76" s="114">
        <v>380513</v>
      </c>
      <c r="I76" s="115" t="s">
        <v>182</v>
      </c>
      <c r="J76" s="116" t="s">
        <v>11</v>
      </c>
      <c r="K76" s="116" t="s">
        <v>47</v>
      </c>
      <c r="L76" s="357">
        <v>99490146</v>
      </c>
      <c r="M76" s="69" t="s">
        <v>579</v>
      </c>
    </row>
    <row r="77" spans="1:16" s="69" customFormat="1" x14ac:dyDescent="0.25">
      <c r="A77" s="61">
        <v>2337</v>
      </c>
      <c r="B77" s="62" t="s">
        <v>183</v>
      </c>
      <c r="C77" s="209">
        <v>536.1</v>
      </c>
      <c r="D77" s="210">
        <v>0.25</v>
      </c>
      <c r="E77" s="389">
        <f t="shared" si="2"/>
        <v>134.02500000000001</v>
      </c>
      <c r="F77" s="389">
        <f>E77</f>
        <v>134.02500000000001</v>
      </c>
      <c r="G77" s="390">
        <f t="shared" si="3"/>
        <v>0</v>
      </c>
      <c r="H77" s="116">
        <v>813786</v>
      </c>
      <c r="I77" s="115" t="s">
        <v>184</v>
      </c>
      <c r="J77" s="116" t="s">
        <v>11</v>
      </c>
      <c r="K77" s="116" t="s">
        <v>47</v>
      </c>
      <c r="L77" s="61">
        <v>99293129</v>
      </c>
      <c r="M77" s="258">
        <v>46002</v>
      </c>
    </row>
    <row r="78" spans="1:16" x14ac:dyDescent="0.25">
      <c r="A78" s="17">
        <v>2338</v>
      </c>
      <c r="B78" s="18" t="s">
        <v>185</v>
      </c>
      <c r="C78" s="188">
        <v>533</v>
      </c>
      <c r="D78" s="187">
        <v>0.25</v>
      </c>
      <c r="E78" s="383">
        <f t="shared" si="2"/>
        <v>133.25</v>
      </c>
      <c r="F78" s="383"/>
      <c r="G78" s="382">
        <f t="shared" si="3"/>
        <v>133.25</v>
      </c>
      <c r="H78" s="93">
        <v>902553</v>
      </c>
      <c r="I78" s="95" t="s">
        <v>186</v>
      </c>
      <c r="J78" s="94" t="s">
        <v>11</v>
      </c>
      <c r="K78" s="94" t="s">
        <v>47</v>
      </c>
      <c r="L78" s="38">
        <v>90837777</v>
      </c>
    </row>
    <row r="79" spans="1:16" x14ac:dyDescent="0.25">
      <c r="A79" s="17">
        <v>2342</v>
      </c>
      <c r="B79" s="18" t="s">
        <v>40</v>
      </c>
      <c r="C79" s="188">
        <v>1105.8</v>
      </c>
      <c r="D79" s="187">
        <v>0.25</v>
      </c>
      <c r="E79" s="383">
        <f t="shared" si="2"/>
        <v>276.45</v>
      </c>
      <c r="F79" s="383"/>
      <c r="G79" s="382">
        <f t="shared" si="3"/>
        <v>276.45</v>
      </c>
      <c r="H79" s="93">
        <v>6107751</v>
      </c>
      <c r="I79" s="95" t="s">
        <v>187</v>
      </c>
      <c r="J79" s="94" t="s">
        <v>16</v>
      </c>
      <c r="K79" s="94" t="s">
        <v>47</v>
      </c>
      <c r="L79" s="38">
        <v>97191244</v>
      </c>
    </row>
    <row r="80" spans="1:16" x14ac:dyDescent="0.25">
      <c r="A80" s="17">
        <v>2344</v>
      </c>
      <c r="B80" s="18" t="s">
        <v>188</v>
      </c>
      <c r="C80" s="188">
        <v>3715.7</v>
      </c>
      <c r="D80" s="187">
        <v>0.25</v>
      </c>
      <c r="E80" s="383">
        <f t="shared" si="2"/>
        <v>928.92499999999995</v>
      </c>
      <c r="F80" s="383"/>
      <c r="G80" s="382">
        <f t="shared" si="3"/>
        <v>928.92499999999995</v>
      </c>
      <c r="H80" s="93">
        <v>1071884</v>
      </c>
      <c r="I80" s="95" t="s">
        <v>189</v>
      </c>
      <c r="J80" s="94" t="s">
        <v>14</v>
      </c>
      <c r="K80" s="94" t="s">
        <v>55</v>
      </c>
      <c r="L80" s="38">
        <v>99480379</v>
      </c>
    </row>
    <row r="81" spans="1:14" x14ac:dyDescent="0.25">
      <c r="A81" s="17">
        <v>2345</v>
      </c>
      <c r="B81" s="18" t="s">
        <v>41</v>
      </c>
      <c r="C81" s="188">
        <v>1746.2</v>
      </c>
      <c r="D81" s="187">
        <v>0.25</v>
      </c>
      <c r="E81" s="383">
        <f t="shared" si="2"/>
        <v>436.55</v>
      </c>
      <c r="F81" s="383"/>
      <c r="G81" s="382">
        <f t="shared" si="3"/>
        <v>436.55</v>
      </c>
      <c r="H81" s="93">
        <v>1298574</v>
      </c>
      <c r="I81" s="95" t="s">
        <v>190</v>
      </c>
      <c r="J81" s="94" t="s">
        <v>14</v>
      </c>
      <c r="K81" s="94" t="s">
        <v>55</v>
      </c>
      <c r="L81" s="38">
        <v>99299199</v>
      </c>
    </row>
    <row r="82" spans="1:14" s="69" customFormat="1" x14ac:dyDescent="0.25">
      <c r="A82" s="61">
        <v>2346</v>
      </c>
      <c r="B82" s="62" t="s">
        <v>191</v>
      </c>
      <c r="C82" s="209">
        <v>598.29999999999995</v>
      </c>
      <c r="D82" s="210">
        <v>0.25</v>
      </c>
      <c r="E82" s="389">
        <f t="shared" si="2"/>
        <v>149.57499999999999</v>
      </c>
      <c r="F82" s="389">
        <f>E82</f>
        <v>149.57499999999999</v>
      </c>
      <c r="G82" s="390">
        <f t="shared" si="3"/>
        <v>0</v>
      </c>
      <c r="H82" s="114">
        <v>26080834</v>
      </c>
      <c r="I82" s="115" t="s">
        <v>192</v>
      </c>
      <c r="J82" s="116" t="s">
        <v>81</v>
      </c>
      <c r="K82" s="116" t="s">
        <v>82</v>
      </c>
      <c r="L82" s="357">
        <v>98951760</v>
      </c>
      <c r="M82" s="69" t="s">
        <v>604</v>
      </c>
    </row>
    <row r="83" spans="1:14" s="69" customFormat="1" x14ac:dyDescent="0.25">
      <c r="A83" s="61">
        <v>2347</v>
      </c>
      <c r="B83" s="62" t="s">
        <v>193</v>
      </c>
      <c r="C83" s="209">
        <v>1239</v>
      </c>
      <c r="D83" s="210">
        <v>0.25</v>
      </c>
      <c r="E83" s="389">
        <f t="shared" si="2"/>
        <v>309.75</v>
      </c>
      <c r="F83" s="389">
        <f>308.525+1.225</f>
        <v>309.75</v>
      </c>
      <c r="G83" s="390">
        <f t="shared" si="3"/>
        <v>0</v>
      </c>
      <c r="H83" s="114">
        <v>3036144</v>
      </c>
      <c r="I83" s="115" t="s">
        <v>194</v>
      </c>
      <c r="J83" s="116" t="s">
        <v>14</v>
      </c>
      <c r="K83" s="116" t="s">
        <v>55</v>
      </c>
      <c r="L83" s="357">
        <v>99487229</v>
      </c>
      <c r="M83" s="258">
        <v>45910</v>
      </c>
      <c r="N83" s="69" t="s">
        <v>580</v>
      </c>
    </row>
    <row r="84" spans="1:14" x14ac:dyDescent="0.25">
      <c r="A84" s="17">
        <v>2348</v>
      </c>
      <c r="B84" s="18" t="s">
        <v>195</v>
      </c>
      <c r="C84" s="188">
        <v>1831.6</v>
      </c>
      <c r="D84" s="187">
        <v>0.25</v>
      </c>
      <c r="E84" s="383">
        <f t="shared" si="2"/>
        <v>457.9</v>
      </c>
      <c r="F84" s="383"/>
      <c r="G84" s="382">
        <f t="shared" si="3"/>
        <v>457.9</v>
      </c>
      <c r="H84" s="93">
        <v>25374403</v>
      </c>
      <c r="I84" s="95" t="s">
        <v>196</v>
      </c>
      <c r="J84" s="94" t="s">
        <v>154</v>
      </c>
      <c r="K84" s="94" t="s">
        <v>155</v>
      </c>
      <c r="L84" s="38">
        <v>92474433</v>
      </c>
    </row>
    <row r="85" spans="1:14" s="69" customFormat="1" x14ac:dyDescent="0.25">
      <c r="A85" s="61">
        <v>2350</v>
      </c>
      <c r="B85" s="62" t="s">
        <v>197</v>
      </c>
      <c r="C85" s="209">
        <v>1215.3</v>
      </c>
      <c r="D85" s="210">
        <v>0.25</v>
      </c>
      <c r="E85" s="389">
        <f t="shared" si="2"/>
        <v>303.82499999999999</v>
      </c>
      <c r="F85" s="389">
        <f>E85</f>
        <v>303.82499999999999</v>
      </c>
      <c r="G85" s="390">
        <f t="shared" si="3"/>
        <v>0</v>
      </c>
      <c r="H85" s="114">
        <v>734135</v>
      </c>
      <c r="I85" s="115" t="s">
        <v>198</v>
      </c>
      <c r="J85" s="116" t="s">
        <v>11</v>
      </c>
      <c r="K85" s="116" t="s">
        <v>47</v>
      </c>
      <c r="L85" s="357">
        <v>99327078</v>
      </c>
      <c r="M85" s="258">
        <v>45727</v>
      </c>
    </row>
    <row r="86" spans="1:14" x14ac:dyDescent="0.25">
      <c r="A86" s="17">
        <v>2351</v>
      </c>
      <c r="B86" s="18" t="s">
        <v>199</v>
      </c>
      <c r="C86" s="188">
        <v>572.5</v>
      </c>
      <c r="D86" s="187">
        <v>0.25</v>
      </c>
      <c r="E86" s="383">
        <f t="shared" si="2"/>
        <v>143.125</v>
      </c>
      <c r="F86" s="383"/>
      <c r="G86" s="382">
        <f t="shared" si="3"/>
        <v>143.125</v>
      </c>
      <c r="H86" s="93">
        <v>19521995</v>
      </c>
      <c r="I86" s="95" t="s">
        <v>200</v>
      </c>
      <c r="J86" s="94" t="s">
        <v>50</v>
      </c>
      <c r="K86" s="94" t="s">
        <v>51</v>
      </c>
      <c r="L86" s="38">
        <v>92709981</v>
      </c>
    </row>
    <row r="87" spans="1:14" s="69" customFormat="1" x14ac:dyDescent="0.25">
      <c r="A87" s="61">
        <v>2353</v>
      </c>
      <c r="B87" s="62" t="s">
        <v>42</v>
      </c>
      <c r="C87" s="209">
        <v>649.20000000000005</v>
      </c>
      <c r="D87" s="210">
        <v>0.25</v>
      </c>
      <c r="E87" s="389">
        <f t="shared" si="2"/>
        <v>162.30000000000001</v>
      </c>
      <c r="F87" s="389">
        <f>56.375+105.925</f>
        <v>162.30000000000001</v>
      </c>
      <c r="G87" s="390">
        <f t="shared" si="3"/>
        <v>0</v>
      </c>
      <c r="H87" s="114">
        <v>2088123</v>
      </c>
      <c r="I87" s="115" t="s">
        <v>201</v>
      </c>
      <c r="J87" s="116" t="s">
        <v>11</v>
      </c>
      <c r="K87" s="116" t="s">
        <v>47</v>
      </c>
      <c r="L87" s="80">
        <v>92133374</v>
      </c>
      <c r="M87" s="69" t="s">
        <v>577</v>
      </c>
      <c r="N87" s="69" t="s">
        <v>606</v>
      </c>
    </row>
    <row r="88" spans="1:14" x14ac:dyDescent="0.25">
      <c r="A88" s="17">
        <v>2355</v>
      </c>
      <c r="B88" s="18" t="s">
        <v>202</v>
      </c>
      <c r="C88" s="188">
        <v>1104.4000000000001</v>
      </c>
      <c r="D88" s="187">
        <v>0.25</v>
      </c>
      <c r="E88" s="383">
        <f t="shared" si="2"/>
        <v>276.10000000000002</v>
      </c>
      <c r="F88" s="383"/>
      <c r="G88" s="382">
        <f t="shared" si="3"/>
        <v>276.10000000000002</v>
      </c>
      <c r="H88" s="93">
        <v>1129734</v>
      </c>
      <c r="I88" s="95" t="s">
        <v>203</v>
      </c>
      <c r="J88" s="94" t="s">
        <v>11</v>
      </c>
      <c r="K88" s="94" t="s">
        <v>47</v>
      </c>
      <c r="L88" s="17">
        <v>99481921</v>
      </c>
    </row>
    <row r="89" spans="1:14" s="69" customFormat="1" x14ac:dyDescent="0.25">
      <c r="A89" s="61">
        <v>2356</v>
      </c>
      <c r="B89" s="62" t="s">
        <v>568</v>
      </c>
      <c r="C89" s="209">
        <v>597.4</v>
      </c>
      <c r="D89" s="210">
        <v>0.25</v>
      </c>
      <c r="E89" s="389">
        <f t="shared" si="2"/>
        <v>149.35</v>
      </c>
      <c r="F89" s="389">
        <f>E89</f>
        <v>149.35</v>
      </c>
      <c r="G89" s="390">
        <f t="shared" si="3"/>
        <v>0</v>
      </c>
      <c r="H89" s="114">
        <v>6085799</v>
      </c>
      <c r="I89" s="376" t="s">
        <v>578</v>
      </c>
      <c r="J89" s="116" t="s">
        <v>11</v>
      </c>
      <c r="K89" s="116" t="s">
        <v>47</v>
      </c>
      <c r="L89" s="357">
        <v>99166000</v>
      </c>
      <c r="M89" s="69" t="s">
        <v>606</v>
      </c>
    </row>
    <row r="90" spans="1:14" x14ac:dyDescent="0.25">
      <c r="A90" s="17">
        <v>2358</v>
      </c>
      <c r="B90" s="18" t="s">
        <v>206</v>
      </c>
      <c r="C90" s="188">
        <v>1242.5999999999999</v>
      </c>
      <c r="D90" s="187">
        <v>0.25</v>
      </c>
      <c r="E90" s="383">
        <f t="shared" si="2"/>
        <v>310.64999999999998</v>
      </c>
      <c r="F90" s="383"/>
      <c r="G90" s="382">
        <f t="shared" si="3"/>
        <v>310.64999999999998</v>
      </c>
      <c r="H90" s="93">
        <v>812235</v>
      </c>
      <c r="I90" s="95" t="s">
        <v>207</v>
      </c>
      <c r="J90" s="94" t="s">
        <v>81</v>
      </c>
      <c r="K90" s="94" t="s">
        <v>82</v>
      </c>
      <c r="L90" s="38">
        <v>99496608</v>
      </c>
    </row>
    <row r="91" spans="1:14" s="69" customFormat="1" x14ac:dyDescent="0.25">
      <c r="A91" s="61">
        <v>2360</v>
      </c>
      <c r="B91" s="62" t="s">
        <v>208</v>
      </c>
      <c r="C91" s="359">
        <v>608.70000000000005</v>
      </c>
      <c r="D91" s="210">
        <v>0.25</v>
      </c>
      <c r="E91" s="389">
        <f t="shared" si="2"/>
        <v>152.17500000000001</v>
      </c>
      <c r="F91" s="389">
        <f>E91</f>
        <v>152.17500000000001</v>
      </c>
      <c r="G91" s="390">
        <f t="shared" si="3"/>
        <v>0</v>
      </c>
      <c r="H91" s="114">
        <v>6791757</v>
      </c>
      <c r="I91" s="115" t="s">
        <v>209</v>
      </c>
      <c r="J91" s="116" t="s">
        <v>14</v>
      </c>
      <c r="K91" s="116" t="s">
        <v>55</v>
      </c>
      <c r="L91" s="61">
        <v>98960002</v>
      </c>
      <c r="M91" s="69" t="s">
        <v>579</v>
      </c>
    </row>
    <row r="92" spans="1:14" x14ac:dyDescent="0.25">
      <c r="A92" s="17">
        <v>2361</v>
      </c>
      <c r="B92" s="18" t="s">
        <v>210</v>
      </c>
      <c r="C92" s="191">
        <v>2505.4</v>
      </c>
      <c r="D92" s="187">
        <v>0.25</v>
      </c>
      <c r="E92" s="383">
        <f t="shared" si="2"/>
        <v>626.35</v>
      </c>
      <c r="F92" s="383"/>
      <c r="G92" s="382">
        <f t="shared" si="3"/>
        <v>626.35</v>
      </c>
      <c r="H92" s="93">
        <v>3083395</v>
      </c>
      <c r="I92" s="95" t="s">
        <v>211</v>
      </c>
      <c r="J92" s="94" t="s">
        <v>11</v>
      </c>
      <c r="K92" s="94" t="s">
        <v>47</v>
      </c>
      <c r="L92" s="38">
        <v>99287760</v>
      </c>
    </row>
    <row r="93" spans="1:14" x14ac:dyDescent="0.25">
      <c r="A93" s="17">
        <v>2362</v>
      </c>
      <c r="B93" s="18" t="s">
        <v>212</v>
      </c>
      <c r="C93" s="191">
        <v>3627.4</v>
      </c>
      <c r="D93" s="187">
        <v>0.25</v>
      </c>
      <c r="E93" s="383">
        <f t="shared" si="2"/>
        <v>906.85</v>
      </c>
      <c r="F93" s="383"/>
      <c r="G93" s="382">
        <f t="shared" si="3"/>
        <v>906.85</v>
      </c>
      <c r="H93" s="93">
        <v>614569</v>
      </c>
      <c r="I93" s="95" t="s">
        <v>213</v>
      </c>
      <c r="J93" s="94" t="s">
        <v>11</v>
      </c>
      <c r="K93" s="94" t="s">
        <v>47</v>
      </c>
      <c r="L93" s="38">
        <v>98243557</v>
      </c>
    </row>
    <row r="94" spans="1:14" x14ac:dyDescent="0.25">
      <c r="A94" s="17">
        <v>2365</v>
      </c>
      <c r="B94" s="42" t="s">
        <v>214</v>
      </c>
      <c r="C94" s="188">
        <v>4272.6000000000004</v>
      </c>
      <c r="D94" s="187">
        <v>0.25</v>
      </c>
      <c r="E94" s="383">
        <f t="shared" si="2"/>
        <v>1068.1500000000001</v>
      </c>
      <c r="F94" s="383"/>
      <c r="G94" s="382">
        <f t="shared" si="3"/>
        <v>1068.1500000000001</v>
      </c>
      <c r="H94" s="93">
        <v>18164859</v>
      </c>
      <c r="I94" s="95" t="s">
        <v>215</v>
      </c>
      <c r="J94" s="94" t="s">
        <v>14</v>
      </c>
      <c r="K94" s="94" t="s">
        <v>55</v>
      </c>
      <c r="L94" s="39">
        <v>98872820</v>
      </c>
    </row>
    <row r="95" spans="1:14" x14ac:dyDescent="0.25">
      <c r="A95" s="17">
        <v>2366</v>
      </c>
      <c r="B95" s="356" t="s">
        <v>43</v>
      </c>
      <c r="C95" s="191">
        <v>1804.2</v>
      </c>
      <c r="D95" s="187">
        <v>0.25</v>
      </c>
      <c r="E95" s="383">
        <f t="shared" si="2"/>
        <v>451.05</v>
      </c>
      <c r="F95" s="383"/>
      <c r="G95" s="382">
        <f t="shared" si="3"/>
        <v>451.05</v>
      </c>
      <c r="H95" s="93">
        <v>5737041</v>
      </c>
      <c r="I95" s="355" t="s">
        <v>216</v>
      </c>
      <c r="J95" s="94" t="s">
        <v>11</v>
      </c>
      <c r="K95" s="94" t="s">
        <v>47</v>
      </c>
      <c r="L95" s="39">
        <v>99298559</v>
      </c>
    </row>
    <row r="96" spans="1:14" x14ac:dyDescent="0.25">
      <c r="A96" s="17">
        <v>2368</v>
      </c>
      <c r="B96" s="74" t="s">
        <v>26</v>
      </c>
      <c r="C96" s="188">
        <v>2957.4</v>
      </c>
      <c r="D96" s="187">
        <v>0.25</v>
      </c>
      <c r="E96" s="383">
        <f t="shared" si="2"/>
        <v>739.35</v>
      </c>
      <c r="F96" s="383"/>
      <c r="G96" s="382">
        <f t="shared" si="3"/>
        <v>739.35</v>
      </c>
      <c r="H96" s="93">
        <v>14028352</v>
      </c>
      <c r="I96" s="95" t="s">
        <v>217</v>
      </c>
      <c r="J96" s="94" t="s">
        <v>11</v>
      </c>
      <c r="K96" s="94" t="s">
        <v>47</v>
      </c>
      <c r="L96" s="39">
        <v>77189591</v>
      </c>
    </row>
    <row r="97" spans="1:14" x14ac:dyDescent="0.25">
      <c r="A97" s="17">
        <v>2369</v>
      </c>
      <c r="B97" s="75" t="s">
        <v>218</v>
      </c>
      <c r="C97" s="188">
        <v>558.79999999999995</v>
      </c>
      <c r="D97" s="187">
        <v>0.25</v>
      </c>
      <c r="E97" s="383">
        <f t="shared" si="2"/>
        <v>139.69999999999999</v>
      </c>
      <c r="F97" s="383"/>
      <c r="G97" s="382">
        <f t="shared" si="3"/>
        <v>139.69999999999999</v>
      </c>
      <c r="H97" s="93">
        <v>1305728</v>
      </c>
      <c r="I97" s="95" t="s">
        <v>219</v>
      </c>
      <c r="J97" s="94" t="s">
        <v>81</v>
      </c>
      <c r="K97" s="94" t="s">
        <v>82</v>
      </c>
      <c r="L97" s="39"/>
    </row>
    <row r="98" spans="1:14" x14ac:dyDescent="0.25">
      <c r="A98" s="17">
        <v>2370</v>
      </c>
      <c r="B98" s="75" t="s">
        <v>220</v>
      </c>
      <c r="C98" s="188">
        <v>1238</v>
      </c>
      <c r="D98" s="187">
        <v>0.25</v>
      </c>
      <c r="E98" s="383">
        <f t="shared" si="2"/>
        <v>309.5</v>
      </c>
      <c r="F98" s="383"/>
      <c r="G98" s="382">
        <f t="shared" si="3"/>
        <v>309.5</v>
      </c>
      <c r="H98" s="93">
        <v>15082454</v>
      </c>
      <c r="I98" s="261" t="s">
        <v>221</v>
      </c>
      <c r="J98" s="94" t="s">
        <v>14</v>
      </c>
      <c r="K98" s="94" t="s">
        <v>55</v>
      </c>
      <c r="L98" s="39">
        <v>92600537</v>
      </c>
    </row>
    <row r="99" spans="1:14" x14ac:dyDescent="0.25">
      <c r="A99" s="17">
        <v>2371</v>
      </c>
      <c r="B99" s="75" t="s">
        <v>222</v>
      </c>
      <c r="C99" s="188">
        <v>1594</v>
      </c>
      <c r="D99" s="187">
        <v>0.25</v>
      </c>
      <c r="E99" s="383">
        <f t="shared" si="2"/>
        <v>398.5</v>
      </c>
      <c r="F99" s="383"/>
      <c r="G99" s="382">
        <f t="shared" si="3"/>
        <v>398.5</v>
      </c>
      <c r="H99" s="93">
        <v>4710817</v>
      </c>
      <c r="I99" s="95" t="s">
        <v>223</v>
      </c>
      <c r="J99" s="94" t="s">
        <v>11</v>
      </c>
      <c r="K99" s="94" t="s">
        <v>47</v>
      </c>
      <c r="L99" s="39">
        <v>95375676</v>
      </c>
    </row>
    <row r="100" spans="1:14" x14ac:dyDescent="0.25">
      <c r="A100" s="17">
        <v>2373</v>
      </c>
      <c r="B100" s="76" t="s">
        <v>224</v>
      </c>
      <c r="C100" s="188">
        <v>1237.5999999999999</v>
      </c>
      <c r="D100" s="187">
        <v>0.25</v>
      </c>
      <c r="E100" s="383">
        <f t="shared" si="2"/>
        <v>309.39999999999998</v>
      </c>
      <c r="F100" s="383"/>
      <c r="G100" s="382">
        <f t="shared" si="3"/>
        <v>309.39999999999998</v>
      </c>
      <c r="H100" s="93">
        <v>593009</v>
      </c>
      <c r="I100" s="95" t="s">
        <v>225</v>
      </c>
      <c r="J100" s="94" t="s">
        <v>14</v>
      </c>
      <c r="K100" s="94" t="s">
        <v>55</v>
      </c>
      <c r="L100" s="39">
        <v>99555980</v>
      </c>
    </row>
    <row r="101" spans="1:14" x14ac:dyDescent="0.25">
      <c r="A101" s="17">
        <v>2374</v>
      </c>
      <c r="B101" s="75" t="s">
        <v>226</v>
      </c>
      <c r="C101" s="188">
        <v>529.1</v>
      </c>
      <c r="D101" s="187">
        <v>0.25</v>
      </c>
      <c r="E101" s="383">
        <f t="shared" si="2"/>
        <v>132.27500000000001</v>
      </c>
      <c r="F101" s="383"/>
      <c r="G101" s="382">
        <f t="shared" si="3"/>
        <v>132.27500000000001</v>
      </c>
      <c r="H101" s="93">
        <v>27683269</v>
      </c>
      <c r="I101" s="95" t="s">
        <v>227</v>
      </c>
      <c r="J101" s="94" t="s">
        <v>50</v>
      </c>
      <c r="K101" s="94" t="s">
        <v>51</v>
      </c>
      <c r="L101" s="39">
        <v>99555980</v>
      </c>
    </row>
    <row r="102" spans="1:14" s="69" customFormat="1" x14ac:dyDescent="0.25">
      <c r="A102" s="61">
        <v>2380</v>
      </c>
      <c r="B102" s="374" t="s">
        <v>228</v>
      </c>
      <c r="C102" s="209">
        <v>493.4</v>
      </c>
      <c r="D102" s="210">
        <v>0.25</v>
      </c>
      <c r="E102" s="389">
        <f t="shared" si="2"/>
        <v>123.35</v>
      </c>
      <c r="F102" s="389">
        <f>72.425+50.925</f>
        <v>123.35</v>
      </c>
      <c r="G102" s="390">
        <f t="shared" si="3"/>
        <v>0</v>
      </c>
      <c r="H102" s="114">
        <v>614536</v>
      </c>
      <c r="I102" s="115" t="s">
        <v>229</v>
      </c>
      <c r="J102" s="116" t="s">
        <v>50</v>
      </c>
      <c r="K102" s="116" t="s">
        <v>51</v>
      </c>
      <c r="L102" s="80">
        <v>93977300</v>
      </c>
      <c r="M102" s="258">
        <v>45848</v>
      </c>
      <c r="N102" s="69" t="s">
        <v>582</v>
      </c>
    </row>
    <row r="103" spans="1:14" s="69" customFormat="1" x14ac:dyDescent="0.25">
      <c r="A103" s="61">
        <v>2381</v>
      </c>
      <c r="B103" s="374" t="s">
        <v>230</v>
      </c>
      <c r="C103" s="209">
        <v>1209.5</v>
      </c>
      <c r="D103" s="210">
        <v>0.25</v>
      </c>
      <c r="E103" s="389">
        <f t="shared" si="2"/>
        <v>302.375</v>
      </c>
      <c r="F103" s="389">
        <f>E103</f>
        <v>302.375</v>
      </c>
      <c r="G103" s="390">
        <f t="shared" si="3"/>
        <v>0</v>
      </c>
      <c r="H103" s="114">
        <v>830452</v>
      </c>
      <c r="I103" s="425" t="s">
        <v>231</v>
      </c>
      <c r="J103" s="116" t="s">
        <v>11</v>
      </c>
      <c r="K103" s="116" t="s">
        <v>47</v>
      </c>
      <c r="L103" s="80">
        <v>99493365</v>
      </c>
      <c r="M103" s="258">
        <v>45788</v>
      </c>
    </row>
    <row r="104" spans="1:14" x14ac:dyDescent="0.25">
      <c r="A104" s="17">
        <v>2383</v>
      </c>
      <c r="B104" s="354" t="s">
        <v>232</v>
      </c>
      <c r="C104" s="188">
        <v>507.7</v>
      </c>
      <c r="D104" s="187">
        <v>0.25</v>
      </c>
      <c r="E104" s="383">
        <f t="shared" si="2"/>
        <v>126.925</v>
      </c>
      <c r="F104" s="383"/>
      <c r="G104" s="382">
        <f t="shared" si="3"/>
        <v>126.925</v>
      </c>
      <c r="H104" s="94">
        <v>11427078</v>
      </c>
      <c r="I104" s="95" t="s">
        <v>233</v>
      </c>
      <c r="J104" s="94" t="s">
        <v>234</v>
      </c>
      <c r="K104" s="94" t="s">
        <v>235</v>
      </c>
      <c r="L104" s="17">
        <v>92192100</v>
      </c>
    </row>
    <row r="105" spans="1:14" s="69" customFormat="1" x14ac:dyDescent="0.25">
      <c r="A105" s="61">
        <v>2385</v>
      </c>
      <c r="B105" s="106" t="s">
        <v>236</v>
      </c>
      <c r="C105" s="209">
        <v>1252.2</v>
      </c>
      <c r="D105" s="210">
        <v>0.25</v>
      </c>
      <c r="E105" s="389">
        <f t="shared" si="2"/>
        <v>313.05</v>
      </c>
      <c r="F105" s="389">
        <f>E105</f>
        <v>313.05</v>
      </c>
      <c r="G105" s="390">
        <f t="shared" si="3"/>
        <v>0</v>
      </c>
      <c r="H105" s="114">
        <v>3039422</v>
      </c>
      <c r="I105" s="115" t="s">
        <v>237</v>
      </c>
      <c r="J105" s="116" t="s">
        <v>50</v>
      </c>
      <c r="K105" s="116" t="s">
        <v>51</v>
      </c>
      <c r="L105" s="357">
        <v>99589937</v>
      </c>
      <c r="M105" s="312" t="s">
        <v>603</v>
      </c>
    </row>
    <row r="106" spans="1:14" s="69" customFormat="1" x14ac:dyDescent="0.25">
      <c r="A106" s="61">
        <v>2390</v>
      </c>
      <c r="B106" s="79" t="s">
        <v>238</v>
      </c>
      <c r="C106" s="209">
        <v>1552.8</v>
      </c>
      <c r="D106" s="210">
        <v>0.25</v>
      </c>
      <c r="E106" s="389">
        <f t="shared" si="2"/>
        <v>388.2</v>
      </c>
      <c r="F106" s="389">
        <f>E106</f>
        <v>388.2</v>
      </c>
      <c r="G106" s="390">
        <f t="shared" si="3"/>
        <v>0</v>
      </c>
      <c r="H106" s="114">
        <v>738486</v>
      </c>
      <c r="I106" s="116" t="s">
        <v>239</v>
      </c>
      <c r="J106" s="116" t="s">
        <v>11</v>
      </c>
      <c r="K106" s="116" t="s">
        <v>47</v>
      </c>
      <c r="L106" s="80">
        <v>92960447</v>
      </c>
      <c r="M106" s="69" t="s">
        <v>577</v>
      </c>
    </row>
    <row r="107" spans="1:14" s="86" customFormat="1" x14ac:dyDescent="0.25">
      <c r="A107" s="25">
        <v>2391</v>
      </c>
      <c r="B107" s="432" t="s">
        <v>240</v>
      </c>
      <c r="C107" s="431">
        <v>606.29999999999995</v>
      </c>
      <c r="D107" s="429">
        <v>0.25</v>
      </c>
      <c r="E107" s="434">
        <f t="shared" si="2"/>
        <v>151.57499999999999</v>
      </c>
      <c r="F107" s="434">
        <f>E107</f>
        <v>151.57499999999999</v>
      </c>
      <c r="G107" s="435">
        <f t="shared" si="3"/>
        <v>0</v>
      </c>
      <c r="H107" s="180">
        <v>952571</v>
      </c>
      <c r="I107" s="181" t="s">
        <v>241</v>
      </c>
      <c r="J107" s="182" t="s">
        <v>14</v>
      </c>
      <c r="K107" s="182" t="s">
        <v>55</v>
      </c>
      <c r="L107" s="183"/>
      <c r="M107" s="433" t="s">
        <v>605</v>
      </c>
    </row>
    <row r="108" spans="1:14" s="69" customFormat="1" x14ac:dyDescent="0.25">
      <c r="A108" s="61">
        <v>2500</v>
      </c>
      <c r="B108" s="79" t="s">
        <v>242</v>
      </c>
      <c r="C108" s="209">
        <v>2521.6999999999998</v>
      </c>
      <c r="D108" s="210">
        <v>0.25</v>
      </c>
      <c r="E108" s="389">
        <f t="shared" si="2"/>
        <v>630.42499999999995</v>
      </c>
      <c r="F108" s="389">
        <f>E108</f>
        <v>630.42499999999995</v>
      </c>
      <c r="G108" s="390">
        <f t="shared" si="3"/>
        <v>0</v>
      </c>
      <c r="H108" s="114">
        <v>19597106</v>
      </c>
      <c r="I108" s="115" t="s">
        <v>243</v>
      </c>
      <c r="J108" s="116" t="s">
        <v>11</v>
      </c>
      <c r="K108" s="116" t="s">
        <v>47</v>
      </c>
      <c r="L108" s="80">
        <v>95499996</v>
      </c>
      <c r="M108" s="258">
        <v>45941</v>
      </c>
    </row>
    <row r="109" spans="1:14" s="69" customFormat="1" x14ac:dyDescent="0.25">
      <c r="A109" s="61">
        <v>2501</v>
      </c>
      <c r="B109" s="79" t="s">
        <v>244</v>
      </c>
      <c r="C109" s="209">
        <v>596.5</v>
      </c>
      <c r="D109" s="210">
        <v>0.25</v>
      </c>
      <c r="E109" s="389">
        <f t="shared" si="2"/>
        <v>149.125</v>
      </c>
      <c r="F109" s="389">
        <f>E109</f>
        <v>149.125</v>
      </c>
      <c r="G109" s="390">
        <f t="shared" si="3"/>
        <v>0</v>
      </c>
      <c r="H109" s="114">
        <v>15593565</v>
      </c>
      <c r="I109" s="115" t="s">
        <v>245</v>
      </c>
      <c r="J109" s="116" t="s">
        <v>11</v>
      </c>
      <c r="K109" s="116" t="s">
        <v>47</v>
      </c>
      <c r="L109" s="80">
        <v>92757472</v>
      </c>
      <c r="M109" s="69" t="s">
        <v>582</v>
      </c>
    </row>
    <row r="110" spans="1:14" x14ac:dyDescent="0.25">
      <c r="A110" s="17">
        <v>2502</v>
      </c>
      <c r="B110" s="74" t="s">
        <v>27</v>
      </c>
      <c r="C110" s="188">
        <v>1101</v>
      </c>
      <c r="D110" s="187">
        <v>0.25</v>
      </c>
      <c r="E110" s="383">
        <f t="shared" si="2"/>
        <v>275.25</v>
      </c>
      <c r="F110" s="383"/>
      <c r="G110" s="382">
        <f t="shared" si="3"/>
        <v>275.25</v>
      </c>
      <c r="H110" s="93">
        <v>6231138</v>
      </c>
      <c r="I110" s="95" t="s">
        <v>246</v>
      </c>
      <c r="J110" s="94" t="s">
        <v>11</v>
      </c>
      <c r="K110" s="94" t="s">
        <v>47</v>
      </c>
      <c r="L110" s="39">
        <v>96940393</v>
      </c>
    </row>
    <row r="111" spans="1:14" s="69" customFormat="1" x14ac:dyDescent="0.25">
      <c r="A111" s="61">
        <v>2503</v>
      </c>
      <c r="B111" s="79" t="s">
        <v>247</v>
      </c>
      <c r="C111" s="209">
        <v>508.8</v>
      </c>
      <c r="D111" s="210">
        <v>0.25</v>
      </c>
      <c r="E111" s="389">
        <f t="shared" si="2"/>
        <v>127.2</v>
      </c>
      <c r="F111" s="389">
        <f>E111</f>
        <v>127.2</v>
      </c>
      <c r="G111" s="390">
        <f t="shared" si="3"/>
        <v>0</v>
      </c>
      <c r="H111" s="114">
        <v>568083</v>
      </c>
      <c r="I111" s="115" t="s">
        <v>248</v>
      </c>
      <c r="J111" s="116" t="s">
        <v>249</v>
      </c>
      <c r="K111" s="116" t="s">
        <v>250</v>
      </c>
      <c r="L111" s="80">
        <v>98146666</v>
      </c>
      <c r="M111" s="258">
        <v>45788</v>
      </c>
    </row>
    <row r="112" spans="1:14" x14ac:dyDescent="0.25">
      <c r="A112" s="17">
        <v>2504</v>
      </c>
      <c r="B112" s="74" t="s">
        <v>323</v>
      </c>
      <c r="C112" s="188">
        <v>180.6</v>
      </c>
      <c r="D112" s="187">
        <v>0.25</v>
      </c>
      <c r="E112" s="383">
        <f t="shared" si="2"/>
        <v>45.15</v>
      </c>
      <c r="F112" s="383"/>
      <c r="G112" s="382">
        <f t="shared" si="3"/>
        <v>45.15</v>
      </c>
      <c r="H112" s="38">
        <v>6296825</v>
      </c>
      <c r="I112" s="95">
        <v>1011059043002</v>
      </c>
      <c r="J112" s="93" t="s">
        <v>14</v>
      </c>
      <c r="K112" s="39" t="s">
        <v>55</v>
      </c>
      <c r="L112" s="39">
        <v>96768800</v>
      </c>
    </row>
    <row r="113" spans="1:14" x14ac:dyDescent="0.25">
      <c r="A113" s="17">
        <v>2505</v>
      </c>
      <c r="B113" s="74" t="s">
        <v>251</v>
      </c>
      <c r="C113" s="188">
        <v>608.70000000000005</v>
      </c>
      <c r="D113" s="187">
        <v>0.25</v>
      </c>
      <c r="E113" s="383">
        <f t="shared" si="2"/>
        <v>152.17500000000001</v>
      </c>
      <c r="F113" s="383"/>
      <c r="G113" s="382">
        <f t="shared" si="3"/>
        <v>152.17500000000001</v>
      </c>
      <c r="H113" s="93">
        <v>257889</v>
      </c>
      <c r="I113" s="95" t="s">
        <v>252</v>
      </c>
      <c r="J113" s="94" t="s">
        <v>11</v>
      </c>
      <c r="K113" s="94" t="s">
        <v>47</v>
      </c>
      <c r="L113" s="39">
        <v>99492623</v>
      </c>
    </row>
    <row r="114" spans="1:14" x14ac:dyDescent="0.25">
      <c r="A114" s="17">
        <v>2506</v>
      </c>
      <c r="B114" s="74" t="s">
        <v>253</v>
      </c>
      <c r="C114" s="188">
        <v>612.29999999999995</v>
      </c>
      <c r="D114" s="187">
        <v>0.25</v>
      </c>
      <c r="E114" s="383">
        <f t="shared" si="2"/>
        <v>153.07499999999999</v>
      </c>
      <c r="F114" s="383"/>
      <c r="G114" s="382">
        <f t="shared" si="3"/>
        <v>153.07499999999999</v>
      </c>
      <c r="H114" s="93">
        <v>11082822</v>
      </c>
      <c r="I114" s="95" t="s">
        <v>254</v>
      </c>
      <c r="J114" s="94" t="s">
        <v>18</v>
      </c>
      <c r="K114" s="94" t="s">
        <v>47</v>
      </c>
      <c r="L114" s="39">
        <v>99583618</v>
      </c>
    </row>
    <row r="115" spans="1:14" x14ac:dyDescent="0.25">
      <c r="A115" s="17">
        <v>2507</v>
      </c>
      <c r="B115" s="74" t="s">
        <v>255</v>
      </c>
      <c r="C115" s="188">
        <v>1138</v>
      </c>
      <c r="D115" s="187">
        <v>0.25</v>
      </c>
      <c r="E115" s="383">
        <f t="shared" si="2"/>
        <v>284.5</v>
      </c>
      <c r="F115" s="383"/>
      <c r="G115" s="382">
        <f t="shared" si="3"/>
        <v>284.5</v>
      </c>
      <c r="H115" s="93">
        <v>21947545</v>
      </c>
      <c r="I115" s="95" t="s">
        <v>256</v>
      </c>
      <c r="J115" s="94" t="s">
        <v>11</v>
      </c>
      <c r="K115" s="94" t="s">
        <v>47</v>
      </c>
      <c r="L115" s="39"/>
    </row>
    <row r="116" spans="1:14" x14ac:dyDescent="0.25">
      <c r="A116" s="17">
        <v>2509</v>
      </c>
      <c r="B116" s="74" t="s">
        <v>257</v>
      </c>
      <c r="C116" s="188">
        <v>1198.2</v>
      </c>
      <c r="D116" s="187">
        <v>0.25</v>
      </c>
      <c r="E116" s="383">
        <f t="shared" si="2"/>
        <v>299.55</v>
      </c>
      <c r="F116" s="383"/>
      <c r="G116" s="382">
        <f t="shared" si="3"/>
        <v>299.55</v>
      </c>
      <c r="H116" s="93">
        <v>5739429</v>
      </c>
      <c r="I116" s="95" t="s">
        <v>258</v>
      </c>
      <c r="J116" s="94" t="s">
        <v>16</v>
      </c>
      <c r="K116" s="94" t="s">
        <v>47</v>
      </c>
      <c r="L116" s="39">
        <v>92733224</v>
      </c>
    </row>
    <row r="117" spans="1:14" x14ac:dyDescent="0.25">
      <c r="A117" s="17">
        <v>2510</v>
      </c>
      <c r="B117" s="74" t="s">
        <v>259</v>
      </c>
      <c r="C117" s="188">
        <v>565.4</v>
      </c>
      <c r="D117" s="187">
        <v>0.25</v>
      </c>
      <c r="E117" s="383">
        <f t="shared" si="2"/>
        <v>141.35</v>
      </c>
      <c r="F117" s="383"/>
      <c r="G117" s="382">
        <f t="shared" si="3"/>
        <v>141.35</v>
      </c>
      <c r="H117" s="93">
        <v>5542574</v>
      </c>
      <c r="I117" s="95" t="s">
        <v>260</v>
      </c>
      <c r="J117" s="94" t="s">
        <v>11</v>
      </c>
      <c r="K117" s="94" t="s">
        <v>47</v>
      </c>
      <c r="L117" s="39">
        <v>98173841</v>
      </c>
    </row>
    <row r="118" spans="1:14" x14ac:dyDescent="0.25">
      <c r="A118" s="17">
        <v>2511</v>
      </c>
      <c r="B118" s="74" t="s">
        <v>261</v>
      </c>
      <c r="C118" s="188">
        <v>459.4</v>
      </c>
      <c r="D118" s="187">
        <v>0.25</v>
      </c>
      <c r="E118" s="383">
        <f t="shared" si="2"/>
        <v>114.85</v>
      </c>
      <c r="F118" s="383"/>
      <c r="G118" s="382">
        <f t="shared" si="3"/>
        <v>114.85</v>
      </c>
      <c r="H118" s="93">
        <v>1109954</v>
      </c>
      <c r="I118" s="95" t="s">
        <v>262</v>
      </c>
      <c r="J118" s="94" t="s">
        <v>132</v>
      </c>
      <c r="K118" s="94" t="s">
        <v>133</v>
      </c>
      <c r="L118" s="39"/>
    </row>
    <row r="119" spans="1:14" s="69" customFormat="1" x14ac:dyDescent="0.25">
      <c r="A119" s="61">
        <v>2512</v>
      </c>
      <c r="B119" s="79" t="s">
        <v>263</v>
      </c>
      <c r="C119" s="209">
        <v>1228.7</v>
      </c>
      <c r="D119" s="210">
        <v>0.25</v>
      </c>
      <c r="E119" s="389">
        <f t="shared" si="2"/>
        <v>307.17500000000001</v>
      </c>
      <c r="F119" s="389">
        <f>0.6+306.575</f>
        <v>307.17500000000001</v>
      </c>
      <c r="G119" s="390">
        <f t="shared" si="3"/>
        <v>0</v>
      </c>
      <c r="H119" s="114">
        <v>990628</v>
      </c>
      <c r="I119" s="115" t="s">
        <v>264</v>
      </c>
      <c r="J119" s="116" t="s">
        <v>146</v>
      </c>
      <c r="K119" s="116" t="s">
        <v>47</v>
      </c>
      <c r="L119" s="80">
        <v>91232518</v>
      </c>
      <c r="M119" s="69" t="s">
        <v>582</v>
      </c>
      <c r="N119" s="258">
        <v>45669</v>
      </c>
    </row>
    <row r="120" spans="1:14" x14ac:dyDescent="0.25">
      <c r="A120" s="17">
        <v>2513</v>
      </c>
      <c r="B120" s="74" t="s">
        <v>28</v>
      </c>
      <c r="C120" s="188">
        <v>1222</v>
      </c>
      <c r="D120" s="187">
        <v>0.25</v>
      </c>
      <c r="E120" s="383">
        <f t="shared" si="2"/>
        <v>305.5</v>
      </c>
      <c r="F120" s="383"/>
      <c r="G120" s="382">
        <f t="shared" si="3"/>
        <v>305.5</v>
      </c>
      <c r="H120" s="93">
        <v>6332123</v>
      </c>
      <c r="I120" s="95" t="s">
        <v>265</v>
      </c>
      <c r="J120" s="94" t="s">
        <v>146</v>
      </c>
      <c r="K120" s="94" t="s">
        <v>47</v>
      </c>
      <c r="L120" s="39">
        <v>98777808</v>
      </c>
    </row>
    <row r="121" spans="1:14" x14ac:dyDescent="0.25">
      <c r="A121" s="81">
        <v>2514</v>
      </c>
      <c r="B121" s="82" t="s">
        <v>266</v>
      </c>
      <c r="C121" s="188">
        <v>612.5</v>
      </c>
      <c r="D121" s="187">
        <v>0.25</v>
      </c>
      <c r="E121" s="383">
        <f t="shared" si="2"/>
        <v>153.125</v>
      </c>
      <c r="F121" s="384"/>
      <c r="G121" s="382">
        <f t="shared" si="3"/>
        <v>153.125</v>
      </c>
      <c r="H121" s="117">
        <v>10795387</v>
      </c>
      <c r="I121" s="118" t="s">
        <v>267</v>
      </c>
      <c r="J121" s="119" t="s">
        <v>146</v>
      </c>
      <c r="K121" s="119" t="s">
        <v>47</v>
      </c>
      <c r="L121" s="84">
        <v>96744447</v>
      </c>
    </row>
    <row r="122" spans="1:14" x14ac:dyDescent="0.25">
      <c r="A122" s="17">
        <v>2515</v>
      </c>
      <c r="B122" s="74" t="s">
        <v>268</v>
      </c>
      <c r="C122" s="188">
        <v>1852.7</v>
      </c>
      <c r="D122" s="187">
        <v>0.25</v>
      </c>
      <c r="E122" s="383">
        <f t="shared" si="2"/>
        <v>463.17500000000001</v>
      </c>
      <c r="F122" s="383"/>
      <c r="G122" s="382">
        <f t="shared" si="3"/>
        <v>463.17500000000001</v>
      </c>
      <c r="H122" s="93">
        <v>5638084</v>
      </c>
      <c r="I122" s="95" t="s">
        <v>269</v>
      </c>
      <c r="J122" s="94" t="s">
        <v>11</v>
      </c>
      <c r="K122" s="94" t="s">
        <v>47</v>
      </c>
      <c r="L122" s="39">
        <v>92597738</v>
      </c>
    </row>
    <row r="123" spans="1:14" x14ac:dyDescent="0.25">
      <c r="A123" s="17">
        <v>2516</v>
      </c>
      <c r="B123" s="74" t="s">
        <v>270</v>
      </c>
      <c r="C123" s="188">
        <v>558.6</v>
      </c>
      <c r="D123" s="187">
        <v>0.25</v>
      </c>
      <c r="E123" s="383">
        <f t="shared" si="2"/>
        <v>139.65</v>
      </c>
      <c r="F123" s="383"/>
      <c r="G123" s="382">
        <f t="shared" si="3"/>
        <v>139.65</v>
      </c>
      <c r="H123" s="93">
        <v>21934588</v>
      </c>
      <c r="I123" s="95" t="s">
        <v>271</v>
      </c>
      <c r="J123" s="94" t="s">
        <v>11</v>
      </c>
      <c r="K123" s="94" t="s">
        <v>47</v>
      </c>
      <c r="L123" s="39">
        <v>98094444</v>
      </c>
    </row>
    <row r="124" spans="1:14" x14ac:dyDescent="0.25">
      <c r="A124" s="17">
        <v>2517</v>
      </c>
      <c r="B124" s="74" t="s">
        <v>29</v>
      </c>
      <c r="C124" s="188">
        <v>3230.3</v>
      </c>
      <c r="D124" s="187">
        <v>0.25</v>
      </c>
      <c r="E124" s="383">
        <f t="shared" si="2"/>
        <v>807.57500000000005</v>
      </c>
      <c r="F124" s="383"/>
      <c r="G124" s="382">
        <f t="shared" si="3"/>
        <v>807.57500000000005</v>
      </c>
      <c r="H124" s="94">
        <v>6231419</v>
      </c>
      <c r="I124" s="95" t="s">
        <v>272</v>
      </c>
      <c r="J124" s="94" t="s">
        <v>18</v>
      </c>
      <c r="K124" s="94" t="s">
        <v>47</v>
      </c>
      <c r="L124" s="17">
        <v>99053198</v>
      </c>
    </row>
    <row r="125" spans="1:14" s="69" customFormat="1" x14ac:dyDescent="0.25">
      <c r="A125" s="61">
        <v>2518</v>
      </c>
      <c r="B125" s="80" t="s">
        <v>273</v>
      </c>
      <c r="C125" s="209">
        <v>1100.5</v>
      </c>
      <c r="D125" s="210">
        <v>0.25</v>
      </c>
      <c r="E125" s="389">
        <f t="shared" si="2"/>
        <v>275.125</v>
      </c>
      <c r="F125" s="389">
        <f>E125</f>
        <v>275.125</v>
      </c>
      <c r="G125" s="390">
        <f t="shared" si="3"/>
        <v>0</v>
      </c>
      <c r="H125" s="114">
        <v>27683344</v>
      </c>
      <c r="I125" s="115" t="s">
        <v>274</v>
      </c>
      <c r="J125" s="116" t="s">
        <v>14</v>
      </c>
      <c r="K125" s="116" t="s">
        <v>55</v>
      </c>
      <c r="L125" s="80">
        <v>98011308</v>
      </c>
      <c r="M125" s="69" t="s">
        <v>579</v>
      </c>
    </row>
    <row r="126" spans="1:14" s="69" customFormat="1" x14ac:dyDescent="0.25">
      <c r="A126" s="61">
        <v>2519</v>
      </c>
      <c r="B126" s="62" t="s">
        <v>275</v>
      </c>
      <c r="C126" s="209">
        <v>462</v>
      </c>
      <c r="D126" s="210">
        <v>0.25</v>
      </c>
      <c r="E126" s="389">
        <f t="shared" si="2"/>
        <v>115.5</v>
      </c>
      <c r="F126" s="389">
        <f>E126</f>
        <v>115.5</v>
      </c>
      <c r="G126" s="390">
        <f t="shared" si="3"/>
        <v>0</v>
      </c>
      <c r="H126" s="116">
        <v>19923785</v>
      </c>
      <c r="I126" s="115" t="s">
        <v>276</v>
      </c>
      <c r="J126" s="116" t="s">
        <v>18</v>
      </c>
      <c r="K126" s="116" t="s">
        <v>47</v>
      </c>
      <c r="L126" s="61">
        <v>91115870</v>
      </c>
      <c r="M126" s="312" t="s">
        <v>618</v>
      </c>
    </row>
    <row r="127" spans="1:14" s="69" customFormat="1" x14ac:dyDescent="0.25">
      <c r="A127" s="67">
        <v>2520</v>
      </c>
      <c r="B127" s="62" t="s">
        <v>277</v>
      </c>
      <c r="C127" s="209">
        <v>1710.3</v>
      </c>
      <c r="D127" s="210">
        <v>0.25</v>
      </c>
      <c r="E127" s="389">
        <f t="shared" si="2"/>
        <v>427.57499999999999</v>
      </c>
      <c r="F127" s="389">
        <f>E127</f>
        <v>427.57499999999999</v>
      </c>
      <c r="G127" s="390">
        <f t="shared" si="3"/>
        <v>0</v>
      </c>
      <c r="H127" s="108">
        <v>1297459</v>
      </c>
      <c r="I127" s="107" t="s">
        <v>278</v>
      </c>
      <c r="J127" s="108" t="s">
        <v>50</v>
      </c>
      <c r="K127" s="108" t="s">
        <v>51</v>
      </c>
      <c r="L127" s="67"/>
      <c r="M127" s="69" t="s">
        <v>601</v>
      </c>
    </row>
    <row r="128" spans="1:14" s="69" customFormat="1" x14ac:dyDescent="0.25">
      <c r="A128" s="67">
        <v>2521</v>
      </c>
      <c r="B128" s="62" t="s">
        <v>279</v>
      </c>
      <c r="C128" s="209">
        <v>1669</v>
      </c>
      <c r="D128" s="210">
        <v>0.25</v>
      </c>
      <c r="E128" s="389">
        <f t="shared" si="2"/>
        <v>417.25</v>
      </c>
      <c r="F128" s="389">
        <f>416.439+0.811</f>
        <v>417.25</v>
      </c>
      <c r="G128" s="390">
        <f t="shared" si="3"/>
        <v>0</v>
      </c>
      <c r="H128" s="108">
        <v>5146927</v>
      </c>
      <c r="I128" s="107" t="s">
        <v>280</v>
      </c>
      <c r="J128" s="108" t="s">
        <v>50</v>
      </c>
      <c r="K128" s="108" t="s">
        <v>51</v>
      </c>
      <c r="L128" s="67">
        <v>96399028</v>
      </c>
      <c r="M128" s="69" t="s">
        <v>582</v>
      </c>
      <c r="N128" s="69" t="s">
        <v>608</v>
      </c>
    </row>
    <row r="129" spans="1:13" x14ac:dyDescent="0.25">
      <c r="A129" s="13">
        <v>2522</v>
      </c>
      <c r="B129" s="18" t="s">
        <v>244</v>
      </c>
      <c r="C129" s="188">
        <v>628.20000000000005</v>
      </c>
      <c r="D129" s="187">
        <v>0.25</v>
      </c>
      <c r="E129" s="383">
        <f t="shared" si="2"/>
        <v>157.05000000000001</v>
      </c>
      <c r="F129" s="383"/>
      <c r="G129" s="382">
        <f t="shared" si="3"/>
        <v>157.05000000000001</v>
      </c>
      <c r="H129" s="90">
        <v>4530913</v>
      </c>
      <c r="I129" s="89" t="s">
        <v>281</v>
      </c>
      <c r="J129" s="120" t="s">
        <v>81</v>
      </c>
      <c r="K129" s="120" t="s">
        <v>82</v>
      </c>
      <c r="L129" s="13"/>
    </row>
    <row r="130" spans="1:13" s="69" customFormat="1" x14ac:dyDescent="0.25">
      <c r="A130" s="67">
        <v>2523</v>
      </c>
      <c r="B130" s="62" t="s">
        <v>44</v>
      </c>
      <c r="C130" s="209">
        <v>610.79999999999995</v>
      </c>
      <c r="D130" s="210">
        <v>0.25</v>
      </c>
      <c r="E130" s="389">
        <f t="shared" si="2"/>
        <v>152.69999999999999</v>
      </c>
      <c r="F130" s="389">
        <f>E130</f>
        <v>152.69999999999999</v>
      </c>
      <c r="G130" s="390">
        <f t="shared" si="3"/>
        <v>0</v>
      </c>
      <c r="H130" s="108">
        <v>4909387</v>
      </c>
      <c r="I130" s="107" t="s">
        <v>282</v>
      </c>
      <c r="J130" s="108" t="s">
        <v>18</v>
      </c>
      <c r="K130" s="108" t="s">
        <v>47</v>
      </c>
      <c r="L130" s="67">
        <v>92524184</v>
      </c>
      <c r="M130" s="69" t="s">
        <v>582</v>
      </c>
    </row>
    <row r="131" spans="1:13" x14ac:dyDescent="0.25">
      <c r="A131" s="13">
        <v>2524</v>
      </c>
      <c r="B131" s="18" t="s">
        <v>283</v>
      </c>
      <c r="C131" s="188">
        <v>617</v>
      </c>
      <c r="D131" s="187">
        <v>0.25</v>
      </c>
      <c r="E131" s="383">
        <f t="shared" si="2"/>
        <v>154.25</v>
      </c>
      <c r="F131" s="383"/>
      <c r="G131" s="382">
        <f t="shared" si="3"/>
        <v>154.25</v>
      </c>
      <c r="H131" s="88">
        <v>5827884</v>
      </c>
      <c r="I131" s="89" t="s">
        <v>284</v>
      </c>
      <c r="J131" s="90" t="s">
        <v>11</v>
      </c>
      <c r="K131" s="90" t="s">
        <v>47</v>
      </c>
      <c r="L131" s="18"/>
    </row>
    <row r="132" spans="1:13" s="69" customFormat="1" x14ac:dyDescent="0.25">
      <c r="A132" s="67">
        <v>2526</v>
      </c>
      <c r="B132" s="62" t="s">
        <v>285</v>
      </c>
      <c r="C132" s="209">
        <v>476.5</v>
      </c>
      <c r="D132" s="210">
        <v>0.25</v>
      </c>
      <c r="E132" s="389">
        <f t="shared" si="2"/>
        <v>119.125</v>
      </c>
      <c r="F132" s="389">
        <v>117.375</v>
      </c>
      <c r="G132" s="390">
        <f t="shared" si="3"/>
        <v>1.75</v>
      </c>
      <c r="H132" s="108">
        <v>5827579</v>
      </c>
      <c r="I132" s="107" t="s">
        <v>286</v>
      </c>
      <c r="J132" s="108" t="s">
        <v>50</v>
      </c>
      <c r="K132" s="108" t="s">
        <v>51</v>
      </c>
      <c r="L132" s="67">
        <v>99294007</v>
      </c>
      <c r="M132" s="375" t="s">
        <v>353</v>
      </c>
    </row>
    <row r="133" spans="1:13" x14ac:dyDescent="0.25">
      <c r="A133" s="13">
        <v>2529</v>
      </c>
      <c r="B133" s="18" t="s">
        <v>287</v>
      </c>
      <c r="C133" s="188"/>
      <c r="D133" s="187">
        <v>0.25</v>
      </c>
      <c r="E133" s="383">
        <f t="shared" si="2"/>
        <v>0</v>
      </c>
      <c r="F133" s="383"/>
      <c r="G133" s="382">
        <f t="shared" si="3"/>
        <v>0</v>
      </c>
      <c r="H133" s="88">
        <v>6375262</v>
      </c>
      <c r="I133" s="121" t="s">
        <v>288</v>
      </c>
      <c r="J133" s="90" t="s">
        <v>18</v>
      </c>
      <c r="K133" s="90" t="s">
        <v>47</v>
      </c>
      <c r="L133" s="18">
        <v>95144359</v>
      </c>
    </row>
    <row r="134" spans="1:13" x14ac:dyDescent="0.25">
      <c r="A134" s="13">
        <v>2530</v>
      </c>
      <c r="B134" s="18" t="s">
        <v>289</v>
      </c>
      <c r="C134" s="188">
        <v>230.9</v>
      </c>
      <c r="D134" s="187">
        <v>0.25</v>
      </c>
      <c r="E134" s="383">
        <f>C134*D134</f>
        <v>57.725000000000001</v>
      </c>
      <c r="F134" s="383"/>
      <c r="G134" s="382">
        <f t="shared" ref="G134:G136" si="4">E134-F134</f>
        <v>57.725000000000001</v>
      </c>
      <c r="H134" s="88">
        <v>7506751</v>
      </c>
      <c r="I134" s="121" t="s">
        <v>290</v>
      </c>
      <c r="J134" s="90" t="s">
        <v>18</v>
      </c>
      <c r="K134" s="90" t="s">
        <v>47</v>
      </c>
      <c r="L134" s="18">
        <v>92269060</v>
      </c>
    </row>
    <row r="135" spans="1:13" x14ac:dyDescent="0.25">
      <c r="A135" s="13">
        <v>2533</v>
      </c>
      <c r="B135" s="18" t="s">
        <v>349</v>
      </c>
      <c r="C135" s="188">
        <v>1204.9000000000001</v>
      </c>
      <c r="D135" s="187">
        <v>0.25</v>
      </c>
      <c r="E135" s="383">
        <f t="shared" ref="E135:E136" si="5">C135*D135</f>
        <v>301.22500000000002</v>
      </c>
      <c r="F135" s="383"/>
      <c r="G135" s="382">
        <f t="shared" si="4"/>
        <v>301.22500000000002</v>
      </c>
      <c r="H135" s="88">
        <v>1275604</v>
      </c>
      <c r="I135" s="121">
        <v>250010082881</v>
      </c>
      <c r="J135" s="90" t="s">
        <v>15</v>
      </c>
      <c r="K135" s="90"/>
      <c r="L135" s="18">
        <v>92920012</v>
      </c>
    </row>
    <row r="136" spans="1:13" x14ac:dyDescent="0.25">
      <c r="A136" s="13">
        <v>3166</v>
      </c>
      <c r="B136" s="353" t="s">
        <v>17</v>
      </c>
      <c r="C136" s="188">
        <v>2995.6</v>
      </c>
      <c r="D136" s="187">
        <v>0.25</v>
      </c>
      <c r="E136" s="383">
        <f t="shared" si="5"/>
        <v>748.9</v>
      </c>
      <c r="F136" s="383"/>
      <c r="G136" s="382">
        <f t="shared" si="4"/>
        <v>748.9</v>
      </c>
      <c r="H136" s="90">
        <v>6381786</v>
      </c>
      <c r="I136" s="89" t="s">
        <v>291</v>
      </c>
      <c r="J136" s="90" t="s">
        <v>18</v>
      </c>
      <c r="K136" s="90" t="s">
        <v>47</v>
      </c>
      <c r="L136" s="13">
        <v>92224863</v>
      </c>
    </row>
    <row r="137" spans="1:13" ht="24" x14ac:dyDescent="0.4">
      <c r="A137" s="17"/>
      <c r="B137" s="123" t="s">
        <v>302</v>
      </c>
      <c r="C137" s="385">
        <f>SUM(C5:C136)</f>
        <v>182629.90000000002</v>
      </c>
      <c r="D137" s="385" t="s">
        <v>303</v>
      </c>
      <c r="E137" s="385">
        <f>SUM(E5:E136)</f>
        <v>45657.475000000006</v>
      </c>
      <c r="F137" s="385">
        <f t="shared" ref="F137:G137" si="6">SUM(F5:F136)</f>
        <v>20797.55</v>
      </c>
      <c r="G137" s="385">
        <f t="shared" si="6"/>
        <v>24859.924999999999</v>
      </c>
      <c r="H137" s="38"/>
      <c r="I137" s="31"/>
      <c r="J137" s="17"/>
      <c r="K137" s="17"/>
      <c r="L137" s="39"/>
    </row>
  </sheetData>
  <conditionalFormatting sqref="I8">
    <cfRule type="duplicateValues" dxfId="70" priority="4"/>
  </conditionalFormatting>
  <conditionalFormatting sqref="I19">
    <cfRule type="duplicateValues" dxfId="69" priority="10"/>
  </conditionalFormatting>
  <conditionalFormatting sqref="I59">
    <cfRule type="duplicateValues" dxfId="68" priority="3"/>
  </conditionalFormatting>
  <conditionalFormatting sqref="I69">
    <cfRule type="duplicateValues" dxfId="67" priority="12"/>
  </conditionalFormatting>
  <conditionalFormatting sqref="I89">
    <cfRule type="duplicateValues" dxfId="66" priority="1"/>
  </conditionalFormatting>
  <conditionalFormatting sqref="I100">
    <cfRule type="duplicateValues" dxfId="65" priority="9"/>
  </conditionalFormatting>
  <conditionalFormatting sqref="I101">
    <cfRule type="duplicateValues" dxfId="64" priority="11"/>
  </conditionalFormatting>
  <conditionalFormatting sqref="I112">
    <cfRule type="duplicateValues" dxfId="63" priority="2"/>
  </conditionalFormatting>
  <conditionalFormatting sqref="I118">
    <cfRule type="duplicateValues" dxfId="62" priority="8"/>
  </conditionalFormatting>
  <conditionalFormatting sqref="I121">
    <cfRule type="duplicateValues" dxfId="61" priority="7"/>
  </conditionalFormatting>
  <conditionalFormatting sqref="I122:I125 I127">
    <cfRule type="duplicateValues" dxfId="60" priority="6"/>
  </conditionalFormatting>
  <conditionalFormatting sqref="I126">
    <cfRule type="duplicateValues" dxfId="59" priority="5"/>
  </conditionalFormatting>
  <conditionalFormatting sqref="I128:I137 I104:I111 I90:I99 I102 I70:I88 I63:I68 I4:I7 I20:I58 I119 I9:I18 I60:I61 I113:I117">
    <cfRule type="duplicateValues" dxfId="58" priority="14"/>
  </conditionalFormatting>
  <pageMargins left="0.7" right="0.7" top="0.75" bottom="0.75" header="0.3" footer="0.3"/>
  <pageSetup paperSize="9"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0896-9557-40C8-89AA-F343CD01ADAB}">
  <dimension ref="A2:V264"/>
  <sheetViews>
    <sheetView view="pageBreakPreview" topLeftCell="C1" zoomScaleNormal="100" zoomScaleSheetLayoutView="100" workbookViewId="0">
      <selection activeCell="G3" sqref="G3:G4"/>
    </sheetView>
  </sheetViews>
  <sheetFormatPr defaultRowHeight="15" x14ac:dyDescent="0.25"/>
  <cols>
    <col min="1" max="1" width="140.85546875" bestFit="1" customWidth="1"/>
    <col min="2" max="2" width="45.5703125" bestFit="1" customWidth="1"/>
    <col min="3" max="3" width="23" style="391" customWidth="1"/>
    <col min="4" max="4" width="7" bestFit="1" customWidth="1"/>
    <col min="5" max="5" width="22.5703125" bestFit="1" customWidth="1"/>
    <col min="6" max="7" width="22.5703125" customWidth="1"/>
    <col min="8" max="8" width="9" bestFit="1" customWidth="1"/>
    <col min="9" max="9" width="18.28515625" bestFit="1" customWidth="1"/>
    <col min="10" max="10" width="17" bestFit="1" customWidth="1"/>
    <col min="11" max="11" width="14.85546875" bestFit="1" customWidth="1"/>
    <col min="12" max="12" width="9" bestFit="1" customWidth="1"/>
    <col min="13" max="13" width="11.42578125" bestFit="1" customWidth="1"/>
    <col min="14" max="14" width="10.42578125" bestFit="1" customWidth="1"/>
  </cols>
  <sheetData>
    <row r="2" spans="1:14" ht="28.5" x14ac:dyDescent="0.25">
      <c r="A2" s="476" t="s">
        <v>574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14" x14ac:dyDescent="0.25">
      <c r="A3" s="500" t="s">
        <v>2</v>
      </c>
      <c r="B3" s="500" t="s">
        <v>3</v>
      </c>
      <c r="C3" s="502" t="s">
        <v>4</v>
      </c>
      <c r="D3" s="504" t="s">
        <v>5</v>
      </c>
      <c r="E3" s="498" t="s">
        <v>6</v>
      </c>
      <c r="F3" s="498" t="s">
        <v>333</v>
      </c>
      <c r="G3" s="498" t="s">
        <v>346</v>
      </c>
      <c r="H3" s="498" t="s">
        <v>576</v>
      </c>
      <c r="I3" s="354"/>
      <c r="J3" s="354"/>
      <c r="K3" s="354"/>
      <c r="L3" s="354"/>
    </row>
    <row r="4" spans="1:14" x14ac:dyDescent="0.25">
      <c r="A4" s="501"/>
      <c r="B4" s="501"/>
      <c r="C4" s="503"/>
      <c r="D4" s="505"/>
      <c r="E4" s="499"/>
      <c r="F4" s="499"/>
      <c r="G4" s="499"/>
      <c r="H4" s="499" t="s">
        <v>7</v>
      </c>
      <c r="I4" s="371" t="s">
        <v>8</v>
      </c>
      <c r="J4" s="370" t="s">
        <v>9</v>
      </c>
      <c r="K4" s="370"/>
      <c r="L4" s="370" t="s">
        <v>322</v>
      </c>
    </row>
    <row r="5" spans="1:14" s="1" customFormat="1" ht="14.45" customHeight="1" x14ac:dyDescent="0.25">
      <c r="A5" s="67">
        <v>2015</v>
      </c>
      <c r="B5" s="361" t="s">
        <v>573</v>
      </c>
      <c r="C5" s="403">
        <v>319.2</v>
      </c>
      <c r="D5" s="210">
        <v>0.25</v>
      </c>
      <c r="E5" s="210">
        <f t="shared" ref="E5:E36" si="0">C5*D5</f>
        <v>79.8</v>
      </c>
      <c r="F5" s="210">
        <f>76.65+3.15</f>
        <v>79.800000000000011</v>
      </c>
      <c r="G5" s="210">
        <f>E5-F5</f>
        <v>0</v>
      </c>
      <c r="H5" s="106">
        <v>2027246</v>
      </c>
      <c r="I5" s="66" t="s">
        <v>572</v>
      </c>
      <c r="J5" s="107" t="s">
        <v>154</v>
      </c>
      <c r="K5" s="67"/>
      <c r="L5" s="66">
        <v>99292240</v>
      </c>
      <c r="M5" s="380">
        <v>45727</v>
      </c>
      <c r="N5" s="388">
        <v>45942</v>
      </c>
    </row>
    <row r="6" spans="1:14" x14ac:dyDescent="0.25">
      <c r="A6" s="13">
        <v>2022</v>
      </c>
      <c r="B6" s="46" t="s">
        <v>45</v>
      </c>
      <c r="C6" s="393">
        <v>515.79999999999995</v>
      </c>
      <c r="D6" s="187">
        <v>0.25</v>
      </c>
      <c r="E6" s="187">
        <f t="shared" si="0"/>
        <v>128.94999999999999</v>
      </c>
      <c r="F6" s="187"/>
      <c r="G6" s="187">
        <f t="shared" ref="G6:G69" si="1">E6-F6</f>
        <v>128.94999999999999</v>
      </c>
      <c r="H6" s="88">
        <v>8542496</v>
      </c>
      <c r="I6" s="89" t="s">
        <v>46</v>
      </c>
      <c r="J6" s="90" t="s">
        <v>11</v>
      </c>
      <c r="K6" s="90" t="s">
        <v>47</v>
      </c>
      <c r="L6" s="14">
        <v>99198330</v>
      </c>
    </row>
    <row r="7" spans="1:14" x14ac:dyDescent="0.25">
      <c r="A7" s="13">
        <v>2023</v>
      </c>
      <c r="B7" s="353" t="s">
        <v>571</v>
      </c>
      <c r="C7" s="393">
        <v>375.7</v>
      </c>
      <c r="D7" s="187">
        <v>0.25</v>
      </c>
      <c r="E7" s="187">
        <f t="shared" si="0"/>
        <v>93.924999999999997</v>
      </c>
      <c r="F7" s="187"/>
      <c r="G7" s="187">
        <f t="shared" si="1"/>
        <v>93.924999999999997</v>
      </c>
      <c r="H7" s="90">
        <v>5586433</v>
      </c>
      <c r="I7" s="89" t="s">
        <v>390</v>
      </c>
      <c r="J7" s="90" t="s">
        <v>11</v>
      </c>
      <c r="K7" s="90"/>
      <c r="L7" s="13">
        <v>91199514</v>
      </c>
    </row>
    <row r="8" spans="1:14" x14ac:dyDescent="0.25">
      <c r="A8" s="13">
        <v>2026</v>
      </c>
      <c r="B8" s="18" t="s">
        <v>48</v>
      </c>
      <c r="C8" s="393">
        <v>558</v>
      </c>
      <c r="D8" s="187">
        <v>0.25</v>
      </c>
      <c r="E8" s="187">
        <f t="shared" si="0"/>
        <v>139.5</v>
      </c>
      <c r="F8" s="187"/>
      <c r="G8" s="187">
        <f t="shared" si="1"/>
        <v>139.5</v>
      </c>
      <c r="H8" s="88">
        <v>5352667</v>
      </c>
      <c r="I8" s="89" t="s">
        <v>49</v>
      </c>
      <c r="J8" s="90" t="s">
        <v>50</v>
      </c>
      <c r="K8" s="90" t="s">
        <v>51</v>
      </c>
      <c r="L8" s="14">
        <v>96669695</v>
      </c>
    </row>
    <row r="9" spans="1:14" x14ac:dyDescent="0.25">
      <c r="A9" s="13">
        <v>2027</v>
      </c>
      <c r="B9" s="18" t="s">
        <v>52</v>
      </c>
      <c r="C9" s="393">
        <v>164.2</v>
      </c>
      <c r="D9" s="187">
        <v>0.25</v>
      </c>
      <c r="E9" s="187">
        <f t="shared" si="0"/>
        <v>41.05</v>
      </c>
      <c r="F9" s="187"/>
      <c r="G9" s="187">
        <f t="shared" si="1"/>
        <v>41.05</v>
      </c>
      <c r="H9" s="88">
        <v>19187402</v>
      </c>
      <c r="I9" s="89" t="s">
        <v>53</v>
      </c>
      <c r="J9" s="90" t="s">
        <v>11</v>
      </c>
      <c r="K9" s="90" t="s">
        <v>47</v>
      </c>
      <c r="L9" s="14">
        <v>99198330</v>
      </c>
    </row>
    <row r="10" spans="1:14" s="69" customFormat="1" x14ac:dyDescent="0.25">
      <c r="A10" s="67">
        <v>2033</v>
      </c>
      <c r="B10" s="62" t="s">
        <v>19</v>
      </c>
      <c r="C10" s="395">
        <v>1316.2</v>
      </c>
      <c r="D10" s="210">
        <v>0.25</v>
      </c>
      <c r="E10" s="210">
        <f t="shared" si="0"/>
        <v>329.05</v>
      </c>
      <c r="F10" s="210">
        <f>326.45+2.6</f>
        <v>329.05</v>
      </c>
      <c r="G10" s="210">
        <f t="shared" si="1"/>
        <v>0</v>
      </c>
      <c r="H10" s="106">
        <v>1290824</v>
      </c>
      <c r="I10" s="107" t="s">
        <v>54</v>
      </c>
      <c r="J10" s="108" t="s">
        <v>14</v>
      </c>
      <c r="K10" s="108" t="s">
        <v>55</v>
      </c>
      <c r="L10" s="66">
        <v>97064018</v>
      </c>
      <c r="M10" s="380">
        <v>45727</v>
      </c>
      <c r="N10" s="312" t="s">
        <v>615</v>
      </c>
    </row>
    <row r="11" spans="1:14" s="69" customFormat="1" x14ac:dyDescent="0.25">
      <c r="A11" s="67">
        <v>2036</v>
      </c>
      <c r="B11" s="62" t="s">
        <v>56</v>
      </c>
      <c r="C11" s="395">
        <v>432.9</v>
      </c>
      <c r="D11" s="210">
        <v>0.25</v>
      </c>
      <c r="E11" s="210">
        <f t="shared" si="0"/>
        <v>108.22499999999999</v>
      </c>
      <c r="F11" s="210">
        <f>105.2+3.025</f>
        <v>108.22500000000001</v>
      </c>
      <c r="G11" s="210">
        <f t="shared" si="1"/>
        <v>0</v>
      </c>
      <c r="H11" s="106">
        <v>8201282</v>
      </c>
      <c r="I11" s="107" t="s">
        <v>57</v>
      </c>
      <c r="J11" s="108" t="s">
        <v>14</v>
      </c>
      <c r="K11" s="108" t="s">
        <v>55</v>
      </c>
      <c r="L11" s="66">
        <v>91425474</v>
      </c>
      <c r="M11" s="69" t="s">
        <v>579</v>
      </c>
      <c r="N11" s="312" t="s">
        <v>615</v>
      </c>
    </row>
    <row r="12" spans="1:14" s="69" customFormat="1" x14ac:dyDescent="0.25">
      <c r="A12" s="67">
        <v>2051</v>
      </c>
      <c r="B12" s="62" t="s">
        <v>58</v>
      </c>
      <c r="C12" s="395">
        <v>1021.3</v>
      </c>
      <c r="D12" s="210">
        <v>0.25</v>
      </c>
      <c r="E12" s="210">
        <f t="shared" si="0"/>
        <v>255.32499999999999</v>
      </c>
      <c r="F12" s="210">
        <f>253.8+1.525</f>
        <v>255.32500000000002</v>
      </c>
      <c r="G12" s="210">
        <f t="shared" si="1"/>
        <v>0</v>
      </c>
      <c r="H12" s="106">
        <v>575519</v>
      </c>
      <c r="I12" s="107" t="s">
        <v>59</v>
      </c>
      <c r="J12" s="108" t="s">
        <v>14</v>
      </c>
      <c r="K12" s="108" t="s">
        <v>55</v>
      </c>
      <c r="L12" s="67">
        <v>99486262</v>
      </c>
      <c r="M12" s="68" t="s">
        <v>575</v>
      </c>
      <c r="N12" s="312" t="s">
        <v>616</v>
      </c>
    </row>
    <row r="13" spans="1:14" x14ac:dyDescent="0.25">
      <c r="A13" s="13">
        <v>2095</v>
      </c>
      <c r="B13" s="18" t="s">
        <v>20</v>
      </c>
      <c r="C13" s="393">
        <v>1081.3</v>
      </c>
      <c r="D13" s="187">
        <v>0.25</v>
      </c>
      <c r="E13" s="187">
        <f t="shared" si="0"/>
        <v>270.32499999999999</v>
      </c>
      <c r="F13" s="187"/>
      <c r="G13" s="187">
        <f t="shared" si="1"/>
        <v>270.32499999999999</v>
      </c>
      <c r="H13" s="88">
        <v>26224</v>
      </c>
      <c r="I13" s="89" t="s">
        <v>60</v>
      </c>
      <c r="J13" s="90" t="s">
        <v>14</v>
      </c>
      <c r="K13" s="90" t="s">
        <v>55</v>
      </c>
      <c r="L13" s="14">
        <v>96177155</v>
      </c>
    </row>
    <row r="14" spans="1:14" x14ac:dyDescent="0.25">
      <c r="A14" s="13">
        <v>2097</v>
      </c>
      <c r="B14" s="18" t="s">
        <v>61</v>
      </c>
      <c r="C14" s="393">
        <v>563.6</v>
      </c>
      <c r="D14" s="187">
        <v>0.25</v>
      </c>
      <c r="E14" s="187">
        <f t="shared" si="0"/>
        <v>140.9</v>
      </c>
      <c r="F14" s="187"/>
      <c r="G14" s="187">
        <f t="shared" si="1"/>
        <v>140.9</v>
      </c>
      <c r="H14" s="88">
        <v>677206</v>
      </c>
      <c r="I14" s="89" t="s">
        <v>62</v>
      </c>
      <c r="J14" s="90" t="s">
        <v>50</v>
      </c>
      <c r="K14" s="90" t="s">
        <v>51</v>
      </c>
      <c r="L14" s="14">
        <v>99083310</v>
      </c>
    </row>
    <row r="15" spans="1:14" s="177" customFormat="1" x14ac:dyDescent="0.25">
      <c r="A15" s="449">
        <v>2098</v>
      </c>
      <c r="B15" s="456" t="s">
        <v>63</v>
      </c>
      <c r="C15" s="451"/>
      <c r="D15" s="452">
        <v>0.25</v>
      </c>
      <c r="E15" s="452">
        <f t="shared" si="0"/>
        <v>0</v>
      </c>
      <c r="F15" s="452"/>
      <c r="G15" s="452">
        <f t="shared" si="1"/>
        <v>0</v>
      </c>
      <c r="H15" s="457">
        <v>1065899</v>
      </c>
      <c r="I15" s="454" t="s">
        <v>64</v>
      </c>
      <c r="J15" s="453" t="s">
        <v>11</v>
      </c>
      <c r="K15" s="453" t="s">
        <v>47</v>
      </c>
      <c r="L15" s="456"/>
    </row>
    <row r="16" spans="1:14" x14ac:dyDescent="0.25">
      <c r="A16" s="13">
        <v>2100</v>
      </c>
      <c r="B16" s="18" t="s">
        <v>65</v>
      </c>
      <c r="C16" s="393">
        <v>1167.7</v>
      </c>
      <c r="D16" s="187">
        <v>0.25</v>
      </c>
      <c r="E16" s="187">
        <f t="shared" si="0"/>
        <v>291.92500000000001</v>
      </c>
      <c r="F16" s="187"/>
      <c r="G16" s="187">
        <f t="shared" si="1"/>
        <v>291.92500000000001</v>
      </c>
      <c r="H16" s="88">
        <v>5550806</v>
      </c>
      <c r="I16" s="89" t="s">
        <v>66</v>
      </c>
      <c r="J16" s="90" t="s">
        <v>15</v>
      </c>
      <c r="K16" s="90" t="s">
        <v>67</v>
      </c>
      <c r="L16" s="14">
        <v>95614480</v>
      </c>
    </row>
    <row r="17" spans="1:16" s="69" customFormat="1" x14ac:dyDescent="0.25">
      <c r="A17" s="67">
        <v>2101</v>
      </c>
      <c r="B17" s="62" t="s">
        <v>68</v>
      </c>
      <c r="C17" s="395">
        <v>580.9</v>
      </c>
      <c r="D17" s="210">
        <v>0.25</v>
      </c>
      <c r="E17" s="210">
        <f t="shared" si="0"/>
        <v>145.22499999999999</v>
      </c>
      <c r="F17" s="210">
        <f>E17</f>
        <v>145.22499999999999</v>
      </c>
      <c r="G17" s="210">
        <f t="shared" si="1"/>
        <v>0</v>
      </c>
      <c r="H17" s="108">
        <v>1145267</v>
      </c>
      <c r="I17" s="107" t="s">
        <v>69</v>
      </c>
      <c r="J17" s="108" t="s">
        <v>18</v>
      </c>
      <c r="K17" s="108" t="s">
        <v>47</v>
      </c>
      <c r="L17" s="67">
        <v>99287071</v>
      </c>
      <c r="M17" s="311">
        <v>45788</v>
      </c>
    </row>
    <row r="18" spans="1:16" s="69" customFormat="1" x14ac:dyDescent="0.25">
      <c r="A18" s="67">
        <v>2112</v>
      </c>
      <c r="B18" s="62" t="s">
        <v>71</v>
      </c>
      <c r="C18" s="395">
        <v>1083</v>
      </c>
      <c r="D18" s="210">
        <v>0.25</v>
      </c>
      <c r="E18" s="210">
        <f t="shared" si="0"/>
        <v>270.75</v>
      </c>
      <c r="F18" s="210">
        <f>266.25+4.5</f>
        <v>270.75</v>
      </c>
      <c r="G18" s="210">
        <f t="shared" si="1"/>
        <v>0</v>
      </c>
      <c r="H18" s="106">
        <v>11412524</v>
      </c>
      <c r="I18" s="107" t="s">
        <v>72</v>
      </c>
      <c r="J18" s="108" t="s">
        <v>11</v>
      </c>
      <c r="K18" s="108" t="s">
        <v>47</v>
      </c>
      <c r="L18" s="66">
        <v>93337934</v>
      </c>
      <c r="M18" s="69" t="s">
        <v>608</v>
      </c>
      <c r="N18" s="312" t="s">
        <v>616</v>
      </c>
    </row>
    <row r="19" spans="1:16" s="69" customFormat="1" x14ac:dyDescent="0.25">
      <c r="A19" s="67">
        <v>2120</v>
      </c>
      <c r="B19" s="62" t="s">
        <v>73</v>
      </c>
      <c r="C19" s="395">
        <v>536.4</v>
      </c>
      <c r="D19" s="210">
        <v>0.25</v>
      </c>
      <c r="E19" s="210">
        <f t="shared" si="0"/>
        <v>134.1</v>
      </c>
      <c r="F19" s="210">
        <f>132+2.1</f>
        <v>134.1</v>
      </c>
      <c r="G19" s="210">
        <f t="shared" si="1"/>
        <v>0</v>
      </c>
      <c r="H19" s="106">
        <v>1298606</v>
      </c>
      <c r="I19" s="107" t="s">
        <v>74</v>
      </c>
      <c r="J19" s="108" t="s">
        <v>11</v>
      </c>
      <c r="K19" s="108" t="s">
        <v>47</v>
      </c>
      <c r="L19" s="66">
        <v>97064018</v>
      </c>
      <c r="M19" s="69" t="s">
        <v>606</v>
      </c>
      <c r="N19" s="312" t="s">
        <v>619</v>
      </c>
    </row>
    <row r="20" spans="1:16" s="69" customFormat="1" x14ac:dyDescent="0.25">
      <c r="A20" s="67">
        <v>2125</v>
      </c>
      <c r="B20" s="360" t="s">
        <v>75</v>
      </c>
      <c r="C20" s="395">
        <v>1075.0999999999999</v>
      </c>
      <c r="D20" s="210">
        <v>0.25</v>
      </c>
      <c r="E20" s="210">
        <f t="shared" si="0"/>
        <v>268.77499999999998</v>
      </c>
      <c r="F20" s="210">
        <f>268.2+0.575</f>
        <v>268.77499999999998</v>
      </c>
      <c r="G20" s="210">
        <f t="shared" si="1"/>
        <v>0</v>
      </c>
      <c r="H20" s="108">
        <v>6539352</v>
      </c>
      <c r="I20" s="107" t="s">
        <v>76</v>
      </c>
      <c r="J20" s="108" t="s">
        <v>18</v>
      </c>
      <c r="K20" s="108" t="s">
        <v>47</v>
      </c>
      <c r="L20" s="67">
        <v>91307575</v>
      </c>
      <c r="M20" s="69" t="s">
        <v>583</v>
      </c>
      <c r="N20" s="311">
        <v>46002</v>
      </c>
    </row>
    <row r="21" spans="1:16" s="69" customFormat="1" x14ac:dyDescent="0.25">
      <c r="A21" s="67">
        <v>2128</v>
      </c>
      <c r="B21" s="62" t="s">
        <v>77</v>
      </c>
      <c r="C21" s="395">
        <v>1289.3</v>
      </c>
      <c r="D21" s="210">
        <v>0.25</v>
      </c>
      <c r="E21" s="210">
        <f t="shared" si="0"/>
        <v>322.32499999999999</v>
      </c>
      <c r="F21" s="210">
        <f>320.95+1.375</f>
        <v>322.32499999999999</v>
      </c>
      <c r="G21" s="210">
        <f t="shared" si="1"/>
        <v>0</v>
      </c>
      <c r="H21" s="106">
        <v>4648259</v>
      </c>
      <c r="I21" s="107" t="s">
        <v>78</v>
      </c>
      <c r="J21" s="108" t="s">
        <v>11</v>
      </c>
      <c r="K21" s="108" t="s">
        <v>47</v>
      </c>
      <c r="L21" s="66">
        <v>99492747</v>
      </c>
      <c r="M21" s="69" t="s">
        <v>579</v>
      </c>
      <c r="N21" s="312" t="s">
        <v>619</v>
      </c>
    </row>
    <row r="22" spans="1:16" s="69" customFormat="1" x14ac:dyDescent="0.25">
      <c r="A22" s="67">
        <v>2137</v>
      </c>
      <c r="B22" s="62" t="s">
        <v>79</v>
      </c>
      <c r="C22" s="395">
        <v>787.5</v>
      </c>
      <c r="D22" s="210">
        <v>0.25</v>
      </c>
      <c r="E22" s="210">
        <f t="shared" si="0"/>
        <v>196.875</v>
      </c>
      <c r="F22" s="210">
        <f>196.1+0.775</f>
        <v>196.875</v>
      </c>
      <c r="G22" s="210">
        <f t="shared" si="1"/>
        <v>0</v>
      </c>
      <c r="H22" s="106">
        <v>10285189</v>
      </c>
      <c r="I22" s="107" t="s">
        <v>80</v>
      </c>
      <c r="J22" s="108" t="s">
        <v>81</v>
      </c>
      <c r="K22" s="108" t="s">
        <v>82</v>
      </c>
      <c r="L22" s="66">
        <v>91160451</v>
      </c>
      <c r="M22" s="68" t="s">
        <v>575</v>
      </c>
      <c r="N22" s="312" t="s">
        <v>616</v>
      </c>
    </row>
    <row r="23" spans="1:16" x14ac:dyDescent="0.25">
      <c r="A23" s="13">
        <v>2144</v>
      </c>
      <c r="B23" s="18" t="s">
        <v>83</v>
      </c>
      <c r="C23" s="393">
        <v>2524</v>
      </c>
      <c r="D23" s="187">
        <v>0.25</v>
      </c>
      <c r="E23" s="187">
        <f t="shared" si="0"/>
        <v>631</v>
      </c>
      <c r="F23" s="187"/>
      <c r="G23" s="187">
        <f t="shared" si="1"/>
        <v>631</v>
      </c>
      <c r="H23" s="88">
        <v>532494</v>
      </c>
      <c r="I23" s="89" t="s">
        <v>84</v>
      </c>
      <c r="J23" s="90" t="s">
        <v>11</v>
      </c>
      <c r="K23" s="90" t="s">
        <v>47</v>
      </c>
      <c r="L23" s="14">
        <v>92251158</v>
      </c>
    </row>
    <row r="24" spans="1:16" s="69" customFormat="1" x14ac:dyDescent="0.25">
      <c r="A24" s="67">
        <v>2148</v>
      </c>
      <c r="B24" s="62" t="s">
        <v>85</v>
      </c>
      <c r="C24" s="395">
        <v>2521.9</v>
      </c>
      <c r="D24" s="210">
        <v>0.25</v>
      </c>
      <c r="E24" s="210">
        <f t="shared" si="0"/>
        <v>630.47500000000002</v>
      </c>
      <c r="F24" s="210">
        <f>626+4.475</f>
        <v>630.47500000000002</v>
      </c>
      <c r="G24" s="210">
        <f t="shared" si="1"/>
        <v>0</v>
      </c>
      <c r="H24" s="106">
        <v>6466788</v>
      </c>
      <c r="I24" s="107" t="s">
        <v>86</v>
      </c>
      <c r="J24" s="108" t="s">
        <v>50</v>
      </c>
      <c r="K24" s="108" t="s">
        <v>51</v>
      </c>
      <c r="L24" s="66">
        <v>99011887</v>
      </c>
      <c r="M24" s="69" t="s">
        <v>577</v>
      </c>
      <c r="N24" s="258">
        <v>45972</v>
      </c>
    </row>
    <row r="25" spans="1:16" x14ac:dyDescent="0.25">
      <c r="A25" s="13">
        <v>2150</v>
      </c>
      <c r="B25" s="18" t="s">
        <v>30</v>
      </c>
      <c r="C25" s="393">
        <v>5089.7</v>
      </c>
      <c r="D25" s="187">
        <v>0.25</v>
      </c>
      <c r="E25" s="187">
        <f t="shared" si="0"/>
        <v>1272.425</v>
      </c>
      <c r="F25" s="187"/>
      <c r="G25" s="187">
        <f t="shared" si="1"/>
        <v>1272.425</v>
      </c>
      <c r="H25" s="88">
        <v>6657734</v>
      </c>
      <c r="I25" s="89" t="s">
        <v>87</v>
      </c>
      <c r="J25" s="90" t="s">
        <v>11</v>
      </c>
      <c r="K25" s="90" t="s">
        <v>47</v>
      </c>
      <c r="L25" s="14">
        <v>99319163</v>
      </c>
    </row>
    <row r="26" spans="1:16" s="69" customFormat="1" x14ac:dyDescent="0.25">
      <c r="A26" s="67">
        <v>2151</v>
      </c>
      <c r="B26" s="62" t="s">
        <v>88</v>
      </c>
      <c r="C26" s="395">
        <v>856</v>
      </c>
      <c r="D26" s="210">
        <v>0.25</v>
      </c>
      <c r="E26" s="210">
        <f t="shared" si="0"/>
        <v>214</v>
      </c>
      <c r="F26" s="210">
        <f>211.425+2.575</f>
        <v>214</v>
      </c>
      <c r="G26" s="210">
        <f t="shared" si="1"/>
        <v>0</v>
      </c>
      <c r="H26" s="106">
        <v>2190491</v>
      </c>
      <c r="I26" s="107" t="s">
        <v>89</v>
      </c>
      <c r="J26" s="108" t="s">
        <v>11</v>
      </c>
      <c r="K26" s="108" t="s">
        <v>47</v>
      </c>
      <c r="L26" s="66">
        <v>92591034</v>
      </c>
      <c r="M26" s="375" t="s">
        <v>608</v>
      </c>
      <c r="N26" s="312" t="s">
        <v>616</v>
      </c>
    </row>
    <row r="27" spans="1:16" x14ac:dyDescent="0.25">
      <c r="A27" s="13">
        <v>2155</v>
      </c>
      <c r="B27" s="18" t="s">
        <v>90</v>
      </c>
      <c r="C27" s="393">
        <v>638.29999999999995</v>
      </c>
      <c r="D27" s="187">
        <v>0.25</v>
      </c>
      <c r="E27" s="187">
        <f t="shared" si="0"/>
        <v>159.57499999999999</v>
      </c>
      <c r="F27" s="187"/>
      <c r="G27" s="187">
        <f t="shared" si="1"/>
        <v>159.57499999999999</v>
      </c>
      <c r="H27" s="88">
        <v>21145036</v>
      </c>
      <c r="I27" s="89" t="s">
        <v>91</v>
      </c>
      <c r="J27" s="90" t="s">
        <v>50</v>
      </c>
      <c r="K27" s="90" t="s">
        <v>51</v>
      </c>
      <c r="L27" s="14">
        <v>92847990</v>
      </c>
    </row>
    <row r="28" spans="1:16" s="137" customFormat="1" x14ac:dyDescent="0.25">
      <c r="A28" s="128">
        <v>2168</v>
      </c>
      <c r="B28" s="129" t="s">
        <v>10</v>
      </c>
      <c r="C28" s="398">
        <v>2804.6</v>
      </c>
      <c r="D28" s="212">
        <v>0.25</v>
      </c>
      <c r="E28" s="212">
        <f t="shared" si="0"/>
        <v>701.15</v>
      </c>
      <c r="F28" s="212">
        <f>E28</f>
        <v>701.15</v>
      </c>
      <c r="G28" s="212">
        <f t="shared" si="1"/>
        <v>0</v>
      </c>
      <c r="H28" s="132">
        <v>941022</v>
      </c>
      <c r="I28" s="174" t="s">
        <v>92</v>
      </c>
      <c r="J28" s="136" t="s">
        <v>11</v>
      </c>
      <c r="K28" s="136" t="s">
        <v>47</v>
      </c>
      <c r="L28" s="208">
        <v>99542444</v>
      </c>
      <c r="M28" s="137" t="s">
        <v>581</v>
      </c>
    </row>
    <row r="29" spans="1:16" s="69" customFormat="1" x14ac:dyDescent="0.25">
      <c r="A29" s="67">
        <v>2198</v>
      </c>
      <c r="B29" s="62" t="s">
        <v>93</v>
      </c>
      <c r="C29" s="395">
        <v>1153.8</v>
      </c>
      <c r="D29" s="210">
        <v>0.25</v>
      </c>
      <c r="E29" s="210">
        <f t="shared" si="0"/>
        <v>288.45</v>
      </c>
      <c r="F29" s="210">
        <f>285.025+3.425</f>
        <v>288.45</v>
      </c>
      <c r="G29" s="210">
        <f t="shared" si="1"/>
        <v>0</v>
      </c>
      <c r="H29" s="106">
        <v>10331933</v>
      </c>
      <c r="I29" s="107" t="s">
        <v>94</v>
      </c>
      <c r="J29" s="108" t="s">
        <v>11</v>
      </c>
      <c r="K29" s="108" t="s">
        <v>47</v>
      </c>
      <c r="L29" s="66">
        <v>99490105</v>
      </c>
      <c r="M29" s="69" t="s">
        <v>585</v>
      </c>
      <c r="N29" s="312" t="s">
        <v>615</v>
      </c>
    </row>
    <row r="30" spans="1:16" s="69" customFormat="1" x14ac:dyDescent="0.25">
      <c r="A30" s="67">
        <v>2205</v>
      </c>
      <c r="B30" s="62" t="s">
        <v>95</v>
      </c>
      <c r="C30" s="395">
        <v>1052.2</v>
      </c>
      <c r="D30" s="210">
        <v>0.25</v>
      </c>
      <c r="E30" s="210">
        <f t="shared" si="0"/>
        <v>263.05</v>
      </c>
      <c r="F30" s="210">
        <f>260.925+2.125</f>
        <v>263.05</v>
      </c>
      <c r="G30" s="210">
        <f t="shared" si="1"/>
        <v>0</v>
      </c>
      <c r="H30" s="106">
        <v>26733843</v>
      </c>
      <c r="I30" s="107" t="s">
        <v>96</v>
      </c>
      <c r="J30" s="108" t="s">
        <v>11</v>
      </c>
      <c r="K30" s="108" t="s">
        <v>47</v>
      </c>
      <c r="L30" s="66">
        <v>98966301</v>
      </c>
      <c r="M30" s="69" t="s">
        <v>579</v>
      </c>
      <c r="N30" s="312" t="s">
        <v>615</v>
      </c>
    </row>
    <row r="31" spans="1:16" s="69" customFormat="1" ht="14.25" customHeight="1" x14ac:dyDescent="0.25">
      <c r="A31" s="67">
        <v>2207</v>
      </c>
      <c r="B31" s="62" t="s">
        <v>31</v>
      </c>
      <c r="C31" s="395">
        <v>899.6</v>
      </c>
      <c r="D31" s="210">
        <v>0.25</v>
      </c>
      <c r="E31" s="210">
        <f t="shared" si="0"/>
        <v>224.9</v>
      </c>
      <c r="F31" s="210">
        <f>0.45+224.45</f>
        <v>224.89999999999998</v>
      </c>
      <c r="G31" s="210">
        <f t="shared" si="1"/>
        <v>0</v>
      </c>
      <c r="H31" s="106">
        <v>1386691</v>
      </c>
      <c r="I31" s="107" t="s">
        <v>97</v>
      </c>
      <c r="J31" s="108" t="s">
        <v>81</v>
      </c>
      <c r="K31" s="108" t="s">
        <v>82</v>
      </c>
      <c r="L31" s="66">
        <v>91337606</v>
      </c>
      <c r="M31" s="69" t="s">
        <v>587</v>
      </c>
      <c r="N31" s="258">
        <v>45699</v>
      </c>
      <c r="O31" s="404" t="s">
        <v>589</v>
      </c>
      <c r="P31" s="404"/>
    </row>
    <row r="32" spans="1:16" x14ac:dyDescent="0.25">
      <c r="A32" s="17">
        <v>2209</v>
      </c>
      <c r="B32" s="18" t="s">
        <v>98</v>
      </c>
      <c r="C32" s="394">
        <v>529.1</v>
      </c>
      <c r="D32" s="187">
        <v>0.25</v>
      </c>
      <c r="E32" s="187">
        <f t="shared" si="0"/>
        <v>132.27500000000001</v>
      </c>
      <c r="F32" s="187"/>
      <c r="G32" s="187">
        <f t="shared" si="1"/>
        <v>132.27500000000001</v>
      </c>
      <c r="H32" s="93">
        <v>821878</v>
      </c>
      <c r="I32" s="89" t="s">
        <v>99</v>
      </c>
      <c r="J32" s="94" t="s">
        <v>11</v>
      </c>
      <c r="K32" s="94" t="s">
        <v>47</v>
      </c>
      <c r="L32" s="38">
        <v>92927906</v>
      </c>
    </row>
    <row r="33" spans="1:14" x14ac:dyDescent="0.25">
      <c r="A33" s="17">
        <v>2213</v>
      </c>
      <c r="B33" s="18" t="s">
        <v>100</v>
      </c>
      <c r="C33" s="394">
        <v>1569.2</v>
      </c>
      <c r="D33" s="187">
        <v>0.25</v>
      </c>
      <c r="E33" s="187">
        <f t="shared" si="0"/>
        <v>392.3</v>
      </c>
      <c r="F33" s="187"/>
      <c r="G33" s="187">
        <f t="shared" si="1"/>
        <v>392.3</v>
      </c>
      <c r="H33" s="93">
        <v>594176</v>
      </c>
      <c r="I33" s="95" t="s">
        <v>101</v>
      </c>
      <c r="J33" s="94" t="s">
        <v>11</v>
      </c>
      <c r="K33" s="94" t="s">
        <v>47</v>
      </c>
      <c r="L33" s="38">
        <v>92971719</v>
      </c>
    </row>
    <row r="34" spans="1:14" x14ac:dyDescent="0.25">
      <c r="A34" s="17">
        <v>2223</v>
      </c>
      <c r="B34" s="18" t="s">
        <v>32</v>
      </c>
      <c r="C34" s="394">
        <v>2811</v>
      </c>
      <c r="D34" s="187">
        <v>0.25</v>
      </c>
      <c r="E34" s="187">
        <f t="shared" si="0"/>
        <v>702.75</v>
      </c>
      <c r="F34" s="187"/>
      <c r="G34" s="187">
        <f t="shared" si="1"/>
        <v>702.75</v>
      </c>
      <c r="H34" s="88">
        <v>2297206</v>
      </c>
      <c r="I34" s="89" t="s">
        <v>102</v>
      </c>
      <c r="J34" s="90" t="s">
        <v>14</v>
      </c>
      <c r="K34" s="90" t="s">
        <v>55</v>
      </c>
      <c r="L34" s="14">
        <v>99489917</v>
      </c>
    </row>
    <row r="35" spans="1:14" x14ac:dyDescent="0.25">
      <c r="A35" s="17">
        <v>2229</v>
      </c>
      <c r="B35" s="18" t="s">
        <v>103</v>
      </c>
      <c r="C35" s="394">
        <v>2997.1</v>
      </c>
      <c r="D35" s="187">
        <v>0.25</v>
      </c>
      <c r="E35" s="187">
        <f t="shared" si="0"/>
        <v>749.27499999999998</v>
      </c>
      <c r="F35" s="187"/>
      <c r="G35" s="187">
        <f t="shared" si="1"/>
        <v>749.27499999999998</v>
      </c>
      <c r="H35" s="88">
        <v>1031091</v>
      </c>
      <c r="I35" s="89" t="s">
        <v>104</v>
      </c>
      <c r="J35" s="90" t="s">
        <v>14</v>
      </c>
      <c r="K35" s="90" t="s">
        <v>55</v>
      </c>
      <c r="L35" s="14">
        <v>92727567</v>
      </c>
    </row>
    <row r="36" spans="1:14" s="137" customFormat="1" x14ac:dyDescent="0.25">
      <c r="A36" s="134">
        <v>2230</v>
      </c>
      <c r="B36" s="129" t="s">
        <v>21</v>
      </c>
      <c r="C36" s="398">
        <v>821</v>
      </c>
      <c r="D36" s="212">
        <v>0.25</v>
      </c>
      <c r="E36" s="212">
        <f t="shared" si="0"/>
        <v>205.25</v>
      </c>
      <c r="F36" s="212">
        <f>E36</f>
        <v>205.25</v>
      </c>
      <c r="G36" s="212">
        <f t="shared" si="1"/>
        <v>0</v>
      </c>
      <c r="H36" s="132">
        <v>18633243</v>
      </c>
      <c r="I36" s="174" t="s">
        <v>105</v>
      </c>
      <c r="J36" s="136" t="s">
        <v>11</v>
      </c>
      <c r="K36" s="136" t="s">
        <v>47</v>
      </c>
      <c r="L36" s="208">
        <v>92201223</v>
      </c>
      <c r="M36" s="137" t="s">
        <v>584</v>
      </c>
    </row>
    <row r="37" spans="1:14" s="69" customFormat="1" x14ac:dyDescent="0.25">
      <c r="A37" s="61">
        <v>2232</v>
      </c>
      <c r="B37" s="358" t="s">
        <v>22</v>
      </c>
      <c r="C37" s="397">
        <v>1425</v>
      </c>
      <c r="D37" s="210">
        <v>0.25</v>
      </c>
      <c r="E37" s="210">
        <f t="shared" ref="E37:E68" si="2">C37*D37</f>
        <v>356.25</v>
      </c>
      <c r="F37" s="210">
        <f>E37</f>
        <v>356.25</v>
      </c>
      <c r="G37" s="210">
        <f t="shared" si="1"/>
        <v>0</v>
      </c>
      <c r="H37" s="106">
        <v>1994004</v>
      </c>
      <c r="I37" s="107" t="s">
        <v>106</v>
      </c>
      <c r="J37" s="108" t="s">
        <v>11</v>
      </c>
      <c r="K37" s="108" t="s">
        <v>47</v>
      </c>
      <c r="L37" s="66">
        <v>92535442</v>
      </c>
      <c r="M37" s="258">
        <v>45669</v>
      </c>
    </row>
    <row r="38" spans="1:14" x14ac:dyDescent="0.25">
      <c r="A38" s="17">
        <v>2234</v>
      </c>
      <c r="B38" s="18" t="s">
        <v>107</v>
      </c>
      <c r="C38" s="393">
        <v>1831</v>
      </c>
      <c r="D38" s="187">
        <v>0.25</v>
      </c>
      <c r="E38" s="187">
        <f t="shared" si="2"/>
        <v>457.75</v>
      </c>
      <c r="F38" s="187"/>
      <c r="G38" s="187">
        <f t="shared" si="1"/>
        <v>457.75</v>
      </c>
      <c r="H38" s="90">
        <v>1235299</v>
      </c>
      <c r="I38" s="89" t="s">
        <v>108</v>
      </c>
      <c r="J38" s="90" t="s">
        <v>50</v>
      </c>
      <c r="K38" s="90" t="s">
        <v>51</v>
      </c>
      <c r="L38" s="13">
        <v>92656157</v>
      </c>
    </row>
    <row r="39" spans="1:14" s="69" customFormat="1" x14ac:dyDescent="0.25">
      <c r="A39" s="61">
        <v>2238</v>
      </c>
      <c r="B39" s="62" t="s">
        <v>23</v>
      </c>
      <c r="C39" s="395">
        <v>549.79999999999995</v>
      </c>
      <c r="D39" s="210">
        <v>0.25</v>
      </c>
      <c r="E39" s="210">
        <f t="shared" si="2"/>
        <v>137.44999999999999</v>
      </c>
      <c r="F39" s="210">
        <v>136.77500000000001</v>
      </c>
      <c r="G39" s="210">
        <f t="shared" si="1"/>
        <v>0.67499999999998295</v>
      </c>
      <c r="H39" s="108">
        <v>1322446</v>
      </c>
      <c r="I39" s="107" t="s">
        <v>109</v>
      </c>
      <c r="J39" s="108" t="s">
        <v>11</v>
      </c>
      <c r="K39" s="108" t="s">
        <v>47</v>
      </c>
      <c r="L39" s="67">
        <v>98882280</v>
      </c>
      <c r="M39" s="69" t="s">
        <v>579</v>
      </c>
    </row>
    <row r="40" spans="1:14" x14ac:dyDescent="0.25">
      <c r="A40" s="61">
        <v>2244</v>
      </c>
      <c r="B40" s="62" t="s">
        <v>110</v>
      </c>
      <c r="C40" s="395">
        <v>3833.9</v>
      </c>
      <c r="D40" s="210">
        <v>0.25</v>
      </c>
      <c r="E40" s="210">
        <f t="shared" si="2"/>
        <v>958.47500000000002</v>
      </c>
      <c r="F40" s="210">
        <f>957.08+1.395</f>
        <v>958.47500000000002</v>
      </c>
      <c r="G40" s="210">
        <f t="shared" si="1"/>
        <v>0</v>
      </c>
      <c r="H40" s="106">
        <v>5474148</v>
      </c>
      <c r="I40" s="107" t="s">
        <v>111</v>
      </c>
      <c r="J40" s="108" t="s">
        <v>11</v>
      </c>
      <c r="K40" s="108" t="s">
        <v>47</v>
      </c>
      <c r="L40" s="66">
        <v>99092789</v>
      </c>
      <c r="M40" s="69" t="s">
        <v>606</v>
      </c>
      <c r="N40" s="312" t="s">
        <v>616</v>
      </c>
    </row>
    <row r="41" spans="1:14" x14ac:dyDescent="0.25">
      <c r="A41" s="17">
        <v>2245</v>
      </c>
      <c r="B41" s="18" t="s">
        <v>112</v>
      </c>
      <c r="C41" s="393">
        <v>1749.7</v>
      </c>
      <c r="D41" s="187">
        <v>0.25</v>
      </c>
      <c r="E41" s="187">
        <f t="shared" si="2"/>
        <v>437.42500000000001</v>
      </c>
      <c r="F41" s="187"/>
      <c r="G41" s="187">
        <f t="shared" si="1"/>
        <v>437.42500000000001</v>
      </c>
      <c r="H41" s="88">
        <v>925058</v>
      </c>
      <c r="I41" s="89" t="s">
        <v>113</v>
      </c>
      <c r="J41" s="90" t="s">
        <v>14</v>
      </c>
      <c r="K41" s="90" t="s">
        <v>55</v>
      </c>
      <c r="L41" s="14">
        <v>95048614</v>
      </c>
    </row>
    <row r="42" spans="1:14" x14ac:dyDescent="0.25">
      <c r="A42" s="17">
        <v>2250</v>
      </c>
      <c r="B42" s="18" t="s">
        <v>114</v>
      </c>
      <c r="C42" s="393">
        <v>1141.9000000000001</v>
      </c>
      <c r="D42" s="187">
        <v>0.25</v>
      </c>
      <c r="E42" s="187">
        <f t="shared" si="2"/>
        <v>285.47500000000002</v>
      </c>
      <c r="F42" s="187"/>
      <c r="G42" s="187">
        <f t="shared" si="1"/>
        <v>285.47500000000002</v>
      </c>
      <c r="H42" s="88">
        <v>10206245</v>
      </c>
      <c r="I42" s="89" t="s">
        <v>115</v>
      </c>
      <c r="J42" s="90" t="s">
        <v>11</v>
      </c>
      <c r="K42" s="90" t="s">
        <v>47</v>
      </c>
      <c r="L42" s="14">
        <v>90666623</v>
      </c>
    </row>
    <row r="43" spans="1:14" x14ac:dyDescent="0.25">
      <c r="A43" s="17">
        <v>2252</v>
      </c>
      <c r="B43" s="18" t="s">
        <v>33</v>
      </c>
      <c r="C43" s="393">
        <v>2380.8000000000002</v>
      </c>
      <c r="D43" s="187">
        <v>0.25</v>
      </c>
      <c r="E43" s="187">
        <f t="shared" si="2"/>
        <v>595.20000000000005</v>
      </c>
      <c r="F43" s="187"/>
      <c r="G43" s="187">
        <f t="shared" si="1"/>
        <v>595.20000000000005</v>
      </c>
      <c r="H43" s="88">
        <v>1133208</v>
      </c>
      <c r="I43" s="89" t="s">
        <v>116</v>
      </c>
      <c r="J43" s="90" t="s">
        <v>81</v>
      </c>
      <c r="K43" s="90" t="s">
        <v>82</v>
      </c>
      <c r="L43" s="14">
        <v>92817678</v>
      </c>
    </row>
    <row r="44" spans="1:14" s="69" customFormat="1" x14ac:dyDescent="0.25">
      <c r="A44" s="61">
        <v>2267</v>
      </c>
      <c r="B44" s="358" t="s">
        <v>117</v>
      </c>
      <c r="C44" s="395">
        <v>2598.4</v>
      </c>
      <c r="D44" s="210">
        <v>0.25</v>
      </c>
      <c r="E44" s="210">
        <f t="shared" si="2"/>
        <v>649.6</v>
      </c>
      <c r="F44" s="210">
        <f>648.1+1.5</f>
        <v>649.6</v>
      </c>
      <c r="G44" s="210">
        <f t="shared" si="1"/>
        <v>0</v>
      </c>
      <c r="H44" s="106">
        <v>18700662</v>
      </c>
      <c r="I44" s="107" t="s">
        <v>118</v>
      </c>
      <c r="J44" s="108" t="s">
        <v>11</v>
      </c>
      <c r="K44" s="108" t="s">
        <v>47</v>
      </c>
      <c r="L44" s="66">
        <v>91106550</v>
      </c>
      <c r="M44" s="375" t="s">
        <v>608</v>
      </c>
      <c r="N44" s="312" t="s">
        <v>616</v>
      </c>
    </row>
    <row r="45" spans="1:14" x14ac:dyDescent="0.25">
      <c r="A45" s="17">
        <v>2281</v>
      </c>
      <c r="B45" s="18" t="s">
        <v>119</v>
      </c>
      <c r="C45" s="393">
        <v>824.5</v>
      </c>
      <c r="D45" s="187">
        <v>0.25</v>
      </c>
      <c r="E45" s="187">
        <f t="shared" si="2"/>
        <v>206.125</v>
      </c>
      <c r="F45" s="187"/>
      <c r="G45" s="187">
        <f t="shared" si="1"/>
        <v>206.125</v>
      </c>
      <c r="H45" s="90">
        <v>2166167</v>
      </c>
      <c r="I45" s="89" t="s">
        <v>120</v>
      </c>
      <c r="J45" s="90" t="s">
        <v>11</v>
      </c>
      <c r="K45" s="90" t="s">
        <v>47</v>
      </c>
      <c r="L45" s="13">
        <v>99090486</v>
      </c>
    </row>
    <row r="46" spans="1:14" x14ac:dyDescent="0.25">
      <c r="A46" s="17">
        <v>2285</v>
      </c>
      <c r="B46" s="18" t="s">
        <v>12</v>
      </c>
      <c r="C46" s="393">
        <v>1634.2</v>
      </c>
      <c r="D46" s="187">
        <v>0.25</v>
      </c>
      <c r="E46" s="187">
        <f t="shared" si="2"/>
        <v>408.55</v>
      </c>
      <c r="F46" s="187"/>
      <c r="G46" s="187">
        <f t="shared" si="1"/>
        <v>408.55</v>
      </c>
      <c r="H46" s="90">
        <v>21077904</v>
      </c>
      <c r="I46" s="89" t="s">
        <v>121</v>
      </c>
      <c r="J46" s="90" t="s">
        <v>14</v>
      </c>
      <c r="K46" s="90" t="s">
        <v>55</v>
      </c>
      <c r="L46" s="13">
        <v>92930610</v>
      </c>
    </row>
    <row r="47" spans="1:14" s="69" customFormat="1" x14ac:dyDescent="0.25">
      <c r="A47" s="61">
        <v>2294</v>
      </c>
      <c r="B47" s="62" t="s">
        <v>122</v>
      </c>
      <c r="C47" s="395">
        <v>4449</v>
      </c>
      <c r="D47" s="210">
        <v>0.25</v>
      </c>
      <c r="E47" s="210">
        <f t="shared" si="2"/>
        <v>1112.25</v>
      </c>
      <c r="F47" s="210">
        <f>1108.8+3.45</f>
        <v>1112.25</v>
      </c>
      <c r="G47" s="210">
        <f t="shared" si="1"/>
        <v>0</v>
      </c>
      <c r="H47" s="106">
        <v>1917308</v>
      </c>
      <c r="I47" s="107" t="s">
        <v>123</v>
      </c>
      <c r="J47" s="108" t="s">
        <v>14</v>
      </c>
      <c r="K47" s="108" t="s">
        <v>55</v>
      </c>
      <c r="L47" s="66">
        <v>95878499</v>
      </c>
      <c r="M47" s="69" t="s">
        <v>607</v>
      </c>
      <c r="N47" s="312" t="s">
        <v>616</v>
      </c>
    </row>
    <row r="48" spans="1:14" s="137" customFormat="1" x14ac:dyDescent="0.25">
      <c r="A48" s="134">
        <v>2297</v>
      </c>
      <c r="B48" s="129" t="s">
        <v>124</v>
      </c>
      <c r="C48" s="398">
        <v>2381.4</v>
      </c>
      <c r="D48" s="212">
        <v>0.25</v>
      </c>
      <c r="E48" s="212">
        <f t="shared" si="2"/>
        <v>595.35</v>
      </c>
      <c r="F48" s="212">
        <f>E48</f>
        <v>595.35</v>
      </c>
      <c r="G48" s="212">
        <f t="shared" si="1"/>
        <v>0</v>
      </c>
      <c r="H48" s="132">
        <v>18689189</v>
      </c>
      <c r="I48" s="174" t="s">
        <v>125</v>
      </c>
      <c r="J48" s="136" t="s">
        <v>11</v>
      </c>
      <c r="K48" s="136" t="s">
        <v>47</v>
      </c>
      <c r="L48" s="208">
        <v>90911901</v>
      </c>
      <c r="M48" s="137" t="s">
        <v>584</v>
      </c>
    </row>
    <row r="49" spans="1:22" x14ac:dyDescent="0.25">
      <c r="A49" s="17">
        <v>2298</v>
      </c>
      <c r="B49" s="18" t="s">
        <v>126</v>
      </c>
      <c r="C49" s="393">
        <v>4588.8999999999996</v>
      </c>
      <c r="D49" s="187">
        <v>0.25</v>
      </c>
      <c r="E49" s="187">
        <f t="shared" si="2"/>
        <v>1147.2249999999999</v>
      </c>
      <c r="F49" s="187"/>
      <c r="G49" s="187">
        <f t="shared" si="1"/>
        <v>1147.2249999999999</v>
      </c>
      <c r="H49" s="88">
        <v>6681518</v>
      </c>
      <c r="I49" s="89" t="s">
        <v>127</v>
      </c>
      <c r="J49" s="90" t="s">
        <v>14</v>
      </c>
      <c r="K49" s="90" t="s">
        <v>55</v>
      </c>
      <c r="L49" s="14">
        <v>99125223</v>
      </c>
    </row>
    <row r="50" spans="1:22" x14ac:dyDescent="0.25">
      <c r="A50" s="17">
        <v>2300</v>
      </c>
      <c r="B50" s="18" t="s">
        <v>128</v>
      </c>
      <c r="C50" s="393">
        <v>990.3</v>
      </c>
      <c r="D50" s="187">
        <v>0.25</v>
      </c>
      <c r="E50" s="187">
        <f t="shared" si="2"/>
        <v>247.57499999999999</v>
      </c>
      <c r="F50" s="187"/>
      <c r="G50" s="187">
        <f t="shared" si="1"/>
        <v>247.57499999999999</v>
      </c>
      <c r="H50" s="88">
        <v>447833</v>
      </c>
      <c r="I50" s="89" t="s">
        <v>129</v>
      </c>
      <c r="J50" s="90" t="s">
        <v>81</v>
      </c>
      <c r="K50" s="90" t="s">
        <v>82</v>
      </c>
      <c r="L50" s="14">
        <v>92005673</v>
      </c>
    </row>
    <row r="51" spans="1:22" s="69" customFormat="1" x14ac:dyDescent="0.25">
      <c r="A51" s="61">
        <v>2301</v>
      </c>
      <c r="B51" s="62" t="s">
        <v>130</v>
      </c>
      <c r="C51" s="395">
        <v>2151</v>
      </c>
      <c r="D51" s="210">
        <v>0.25</v>
      </c>
      <c r="E51" s="210">
        <f t="shared" si="2"/>
        <v>537.75</v>
      </c>
      <c r="F51" s="210">
        <f>536.05+1.7</f>
        <v>537.75</v>
      </c>
      <c r="G51" s="210">
        <f t="shared" si="1"/>
        <v>0</v>
      </c>
      <c r="H51" s="106">
        <v>23600713</v>
      </c>
      <c r="I51" s="107" t="s">
        <v>131</v>
      </c>
      <c r="J51" s="108" t="s">
        <v>132</v>
      </c>
      <c r="K51" s="108" t="s">
        <v>133</v>
      </c>
      <c r="L51" s="66">
        <v>92930610</v>
      </c>
      <c r="M51" s="69" t="s">
        <v>579</v>
      </c>
      <c r="N51" s="311">
        <v>45942</v>
      </c>
    </row>
    <row r="52" spans="1:22" x14ac:dyDescent="0.25">
      <c r="A52" s="17">
        <v>2302</v>
      </c>
      <c r="B52" s="18" t="s">
        <v>134</v>
      </c>
      <c r="C52" s="393">
        <v>398.7</v>
      </c>
      <c r="D52" s="187">
        <v>0.25</v>
      </c>
      <c r="E52" s="187">
        <f t="shared" si="2"/>
        <v>99.674999999999997</v>
      </c>
      <c r="F52" s="187"/>
      <c r="G52" s="187">
        <f t="shared" si="1"/>
        <v>99.674999999999997</v>
      </c>
      <c r="H52" s="88">
        <v>20260365</v>
      </c>
      <c r="I52" s="104" t="s">
        <v>135</v>
      </c>
      <c r="J52" s="90" t="s">
        <v>81</v>
      </c>
      <c r="K52" s="90" t="s">
        <v>82</v>
      </c>
      <c r="L52" s="14">
        <v>99125223</v>
      </c>
    </row>
    <row r="53" spans="1:22" x14ac:dyDescent="0.25">
      <c r="A53" s="17">
        <v>2303</v>
      </c>
      <c r="B53" s="18" t="s">
        <v>13</v>
      </c>
      <c r="C53" s="393">
        <v>1056.7</v>
      </c>
      <c r="D53" s="187">
        <v>0.25</v>
      </c>
      <c r="E53" s="187">
        <f t="shared" si="2"/>
        <v>264.17500000000001</v>
      </c>
      <c r="F53" s="187"/>
      <c r="G53" s="187">
        <f t="shared" si="1"/>
        <v>264.17500000000001</v>
      </c>
      <c r="H53" s="88">
        <v>18636198</v>
      </c>
      <c r="I53" s="89" t="s">
        <v>136</v>
      </c>
      <c r="J53" s="90" t="s">
        <v>14</v>
      </c>
      <c r="K53" s="90" t="s">
        <v>47</v>
      </c>
      <c r="L53" s="14">
        <v>92726444</v>
      </c>
    </row>
    <row r="54" spans="1:22" x14ac:dyDescent="0.25">
      <c r="A54" s="17">
        <v>2304</v>
      </c>
      <c r="B54" s="18" t="s">
        <v>348</v>
      </c>
      <c r="C54" s="393">
        <v>568.79999999999995</v>
      </c>
      <c r="D54" s="187">
        <v>0.25</v>
      </c>
      <c r="E54" s="187">
        <f t="shared" si="2"/>
        <v>142.19999999999999</v>
      </c>
      <c r="F54" s="187"/>
      <c r="G54" s="187">
        <f t="shared" si="1"/>
        <v>142.19999999999999</v>
      </c>
      <c r="H54" s="88">
        <v>7290532</v>
      </c>
      <c r="I54" s="89" t="s">
        <v>137</v>
      </c>
      <c r="J54" s="90" t="s">
        <v>11</v>
      </c>
      <c r="K54" s="90" t="s">
        <v>47</v>
      </c>
      <c r="L54" s="14">
        <v>95117299</v>
      </c>
    </row>
    <row r="55" spans="1:22" s="69" customFormat="1" x14ac:dyDescent="0.25">
      <c r="A55" s="61">
        <v>2306</v>
      </c>
      <c r="B55" s="62" t="s">
        <v>34</v>
      </c>
      <c r="C55" s="395">
        <v>489.6</v>
      </c>
      <c r="D55" s="210">
        <v>0.25</v>
      </c>
      <c r="E55" s="210">
        <f t="shared" si="2"/>
        <v>122.4</v>
      </c>
      <c r="F55" s="210">
        <v>119.90000000000003</v>
      </c>
      <c r="G55" s="210">
        <f t="shared" si="1"/>
        <v>2.4999999999999716</v>
      </c>
      <c r="H55" s="108">
        <v>26425746</v>
      </c>
      <c r="I55" s="107" t="s">
        <v>138</v>
      </c>
      <c r="J55" s="108" t="s">
        <v>14</v>
      </c>
      <c r="K55" s="108" t="s">
        <v>55</v>
      </c>
      <c r="L55" s="67">
        <v>99587923</v>
      </c>
      <c r="M55" s="375" t="s">
        <v>582</v>
      </c>
    </row>
    <row r="56" spans="1:22" s="69" customFormat="1" x14ac:dyDescent="0.25">
      <c r="A56" s="61">
        <v>2307</v>
      </c>
      <c r="B56" s="62" t="s">
        <v>139</v>
      </c>
      <c r="C56" s="395">
        <v>3309.8</v>
      </c>
      <c r="D56" s="210">
        <v>0.25</v>
      </c>
      <c r="E56" s="210">
        <f t="shared" si="2"/>
        <v>827.45</v>
      </c>
      <c r="F56" s="210">
        <f>826.05+1.4</f>
        <v>827.44999999999993</v>
      </c>
      <c r="G56" s="210">
        <f t="shared" si="1"/>
        <v>0</v>
      </c>
      <c r="H56" s="106">
        <v>1485446</v>
      </c>
      <c r="I56" s="107" t="s">
        <v>140</v>
      </c>
      <c r="J56" s="108" t="s">
        <v>50</v>
      </c>
      <c r="K56" s="108" t="s">
        <v>51</v>
      </c>
      <c r="L56" s="66">
        <v>96405050</v>
      </c>
      <c r="M56" s="380">
        <v>45727</v>
      </c>
      <c r="N56" s="312" t="s">
        <v>616</v>
      </c>
    </row>
    <row r="57" spans="1:22" s="69" customFormat="1" x14ac:dyDescent="0.25">
      <c r="A57" s="61">
        <v>2309</v>
      </c>
      <c r="B57" s="62" t="s">
        <v>35</v>
      </c>
      <c r="C57" s="395">
        <v>1032.8</v>
      </c>
      <c r="D57" s="210">
        <v>0.25</v>
      </c>
      <c r="E57" s="210">
        <f t="shared" si="2"/>
        <v>258.2</v>
      </c>
      <c r="F57" s="210">
        <f>255.425+2.775</f>
        <v>258.2</v>
      </c>
      <c r="G57" s="210">
        <f t="shared" si="1"/>
        <v>0</v>
      </c>
      <c r="H57" s="108">
        <v>2733875</v>
      </c>
      <c r="I57" s="107" t="s">
        <v>141</v>
      </c>
      <c r="J57" s="108" t="s">
        <v>11</v>
      </c>
      <c r="K57" s="108" t="s">
        <v>47</v>
      </c>
      <c r="L57" s="67">
        <v>99580134</v>
      </c>
      <c r="M57" s="258">
        <v>45669</v>
      </c>
      <c r="N57" s="312" t="s">
        <v>620</v>
      </c>
    </row>
    <row r="58" spans="1:22" ht="24.75" customHeight="1" x14ac:dyDescent="0.25">
      <c r="A58" s="17">
        <v>2310</v>
      </c>
      <c r="B58" s="18" t="s">
        <v>142</v>
      </c>
      <c r="C58" s="393">
        <v>4310.5</v>
      </c>
      <c r="D58" s="187">
        <v>0.25</v>
      </c>
      <c r="E58" s="187">
        <f t="shared" si="2"/>
        <v>1077.625</v>
      </c>
      <c r="F58" s="187"/>
      <c r="G58" s="187">
        <f t="shared" si="1"/>
        <v>1077.625</v>
      </c>
      <c r="H58" s="88">
        <v>10612452</v>
      </c>
      <c r="I58" s="89" t="s">
        <v>143</v>
      </c>
      <c r="J58" s="90" t="s">
        <v>11</v>
      </c>
      <c r="K58" s="90" t="s">
        <v>47</v>
      </c>
      <c r="L58" s="14">
        <v>98882353</v>
      </c>
    </row>
    <row r="59" spans="1:22" s="69" customFormat="1" x14ac:dyDescent="0.25">
      <c r="A59" s="61">
        <v>2311</v>
      </c>
      <c r="B59" s="62" t="s">
        <v>144</v>
      </c>
      <c r="C59" s="395">
        <v>812.2</v>
      </c>
      <c r="D59" s="210">
        <v>0.25</v>
      </c>
      <c r="E59" s="210">
        <f t="shared" si="2"/>
        <v>203.05</v>
      </c>
      <c r="F59" s="210">
        <f>202.5+0.55</f>
        <v>203.05</v>
      </c>
      <c r="G59" s="210">
        <f t="shared" si="1"/>
        <v>0</v>
      </c>
      <c r="H59" s="106">
        <v>14874655</v>
      </c>
      <c r="I59" s="107" t="s">
        <v>145</v>
      </c>
      <c r="J59" s="108" t="s">
        <v>146</v>
      </c>
      <c r="K59" s="108" t="s">
        <v>47</v>
      </c>
      <c r="L59" s="66">
        <v>99580134</v>
      </c>
      <c r="M59" s="69" t="s">
        <v>582</v>
      </c>
      <c r="N59" s="312" t="s">
        <v>616</v>
      </c>
    </row>
    <row r="60" spans="1:22" s="69" customFormat="1" x14ac:dyDescent="0.25">
      <c r="A60" s="61">
        <v>2312</v>
      </c>
      <c r="B60" s="62" t="s">
        <v>36</v>
      </c>
      <c r="C60" s="395">
        <v>2034.7</v>
      </c>
      <c r="D60" s="210">
        <v>0.25</v>
      </c>
      <c r="E60" s="210">
        <f t="shared" si="2"/>
        <v>508.67500000000001</v>
      </c>
      <c r="F60" s="210">
        <f>86.15+418+4.525</f>
        <v>508.67499999999995</v>
      </c>
      <c r="G60" s="210">
        <f t="shared" si="1"/>
        <v>0</v>
      </c>
      <c r="H60" s="108">
        <v>876418</v>
      </c>
      <c r="I60" s="107" t="s">
        <v>148</v>
      </c>
      <c r="J60" s="108" t="s">
        <v>15</v>
      </c>
      <c r="K60" s="108" t="s">
        <v>67</v>
      </c>
      <c r="L60" s="67">
        <v>93340442</v>
      </c>
      <c r="M60" s="69" t="s">
        <v>582</v>
      </c>
      <c r="N60" s="380">
        <v>45727</v>
      </c>
      <c r="O60" s="312" t="s">
        <v>615</v>
      </c>
    </row>
    <row r="61" spans="1:22" s="69" customFormat="1" x14ac:dyDescent="0.25">
      <c r="A61" s="61">
        <v>2314</v>
      </c>
      <c r="B61" s="62" t="s">
        <v>149</v>
      </c>
      <c r="C61" s="395">
        <v>806.1</v>
      </c>
      <c r="D61" s="210">
        <v>0.25</v>
      </c>
      <c r="E61" s="210">
        <f t="shared" si="2"/>
        <v>201.52500000000001</v>
      </c>
      <c r="F61" s="210">
        <f>E61</f>
        <v>201.52500000000001</v>
      </c>
      <c r="G61" s="210">
        <f t="shared" si="1"/>
        <v>0</v>
      </c>
      <c r="H61" s="108">
        <v>7032433</v>
      </c>
      <c r="I61" s="107" t="s">
        <v>150</v>
      </c>
      <c r="J61" s="108" t="s">
        <v>11</v>
      </c>
      <c r="K61" s="108" t="s">
        <v>47</v>
      </c>
      <c r="L61" s="67">
        <v>96264331</v>
      </c>
      <c r="M61" s="312" t="s">
        <v>619</v>
      </c>
    </row>
    <row r="62" spans="1:22" x14ac:dyDescent="0.25">
      <c r="A62" s="17">
        <v>2316</v>
      </c>
      <c r="B62" s="18" t="s">
        <v>25</v>
      </c>
      <c r="C62" s="393">
        <v>1671.4</v>
      </c>
      <c r="D62" s="187">
        <v>0.25</v>
      </c>
      <c r="E62" s="187">
        <f t="shared" si="2"/>
        <v>417.85</v>
      </c>
      <c r="F62" s="187"/>
      <c r="G62" s="187">
        <f t="shared" si="1"/>
        <v>417.85</v>
      </c>
      <c r="H62" s="88">
        <v>18635847</v>
      </c>
      <c r="I62" s="89" t="s">
        <v>151</v>
      </c>
      <c r="J62" s="90" t="s">
        <v>11</v>
      </c>
      <c r="K62" s="90" t="s">
        <v>47</v>
      </c>
      <c r="L62" s="14">
        <v>92117746</v>
      </c>
    </row>
    <row r="63" spans="1:22" s="86" customFormat="1" x14ac:dyDescent="0.25">
      <c r="A63" s="25">
        <v>2317</v>
      </c>
      <c r="B63" s="26" t="s">
        <v>152</v>
      </c>
      <c r="C63" s="428">
        <v>1505.9</v>
      </c>
      <c r="D63" s="429">
        <v>0.25</v>
      </c>
      <c r="E63" s="429">
        <f t="shared" si="2"/>
        <v>376.47500000000002</v>
      </c>
      <c r="F63" s="429">
        <f>369.5+6.975</f>
        <v>376.47500000000002</v>
      </c>
      <c r="G63" s="429">
        <f t="shared" si="1"/>
        <v>0</v>
      </c>
      <c r="H63" s="98">
        <v>18362174</v>
      </c>
      <c r="I63" s="97" t="s">
        <v>153</v>
      </c>
      <c r="J63" s="98" t="s">
        <v>154</v>
      </c>
      <c r="K63" s="98" t="s">
        <v>155</v>
      </c>
      <c r="L63" s="28">
        <v>97503992</v>
      </c>
      <c r="M63" s="86" t="s">
        <v>600</v>
      </c>
      <c r="V63" s="312" t="s">
        <v>616</v>
      </c>
    </row>
    <row r="64" spans="1:22" x14ac:dyDescent="0.25">
      <c r="A64" s="17">
        <v>2318</v>
      </c>
      <c r="B64" s="18" t="s">
        <v>156</v>
      </c>
      <c r="C64" s="393">
        <v>1021.3</v>
      </c>
      <c r="D64" s="187">
        <v>0.25</v>
      </c>
      <c r="E64" s="187">
        <f t="shared" si="2"/>
        <v>255.32499999999999</v>
      </c>
      <c r="F64" s="187"/>
      <c r="G64" s="187">
        <f t="shared" si="1"/>
        <v>255.32499999999999</v>
      </c>
      <c r="H64" s="88">
        <v>218881</v>
      </c>
      <c r="I64" s="89" t="s">
        <v>157</v>
      </c>
      <c r="J64" s="90" t="s">
        <v>11</v>
      </c>
      <c r="K64" s="90" t="s">
        <v>47</v>
      </c>
      <c r="L64" s="14"/>
    </row>
    <row r="65" spans="1:14" s="69" customFormat="1" x14ac:dyDescent="0.25">
      <c r="A65" s="61">
        <v>2319</v>
      </c>
      <c r="B65" s="62" t="s">
        <v>37</v>
      </c>
      <c r="C65" s="395">
        <v>506.2</v>
      </c>
      <c r="D65" s="210">
        <v>0.25</v>
      </c>
      <c r="E65" s="210">
        <f t="shared" si="2"/>
        <v>126.55</v>
      </c>
      <c r="F65" s="210">
        <f>E65</f>
        <v>126.55</v>
      </c>
      <c r="G65" s="210">
        <f t="shared" si="1"/>
        <v>0</v>
      </c>
      <c r="H65" s="108">
        <v>5006545</v>
      </c>
      <c r="I65" s="107" t="s">
        <v>158</v>
      </c>
      <c r="J65" s="108" t="s">
        <v>11</v>
      </c>
      <c r="K65" s="108" t="s">
        <v>47</v>
      </c>
      <c r="L65" s="66">
        <v>99619074</v>
      </c>
      <c r="M65" s="312" t="s">
        <v>615</v>
      </c>
    </row>
    <row r="66" spans="1:14" x14ac:dyDescent="0.25">
      <c r="A66" s="17">
        <v>2320</v>
      </c>
      <c r="B66" s="18" t="s">
        <v>159</v>
      </c>
      <c r="C66" s="393">
        <v>1492.7</v>
      </c>
      <c r="D66" s="187">
        <v>0.25</v>
      </c>
      <c r="E66" s="187">
        <f t="shared" si="2"/>
        <v>373.17500000000001</v>
      </c>
      <c r="F66" s="187"/>
      <c r="G66" s="187">
        <f t="shared" si="1"/>
        <v>373.17500000000001</v>
      </c>
      <c r="H66" s="90">
        <v>21957384</v>
      </c>
      <c r="I66" s="89" t="s">
        <v>160</v>
      </c>
      <c r="J66" s="90" t="s">
        <v>11</v>
      </c>
      <c r="K66" s="90" t="s">
        <v>47</v>
      </c>
      <c r="L66" s="13">
        <v>94079727</v>
      </c>
    </row>
    <row r="67" spans="1:14" x14ac:dyDescent="0.25">
      <c r="A67" s="17">
        <v>2322</v>
      </c>
      <c r="B67" s="18" t="s">
        <v>161</v>
      </c>
      <c r="C67" s="393">
        <v>1027.3</v>
      </c>
      <c r="D67" s="187">
        <v>0.25</v>
      </c>
      <c r="E67" s="187">
        <f t="shared" si="2"/>
        <v>256.82499999999999</v>
      </c>
      <c r="F67" s="187"/>
      <c r="G67" s="187">
        <f t="shared" si="1"/>
        <v>256.82499999999999</v>
      </c>
      <c r="H67" s="90">
        <v>102559</v>
      </c>
      <c r="I67" s="89" t="s">
        <v>162</v>
      </c>
      <c r="J67" s="90" t="s">
        <v>11</v>
      </c>
      <c r="K67" s="90" t="s">
        <v>47</v>
      </c>
      <c r="L67" s="13">
        <v>99486744</v>
      </c>
    </row>
    <row r="68" spans="1:14" x14ac:dyDescent="0.25">
      <c r="A68" s="17">
        <v>2323</v>
      </c>
      <c r="B68" s="18" t="s">
        <v>163</v>
      </c>
      <c r="C68" s="393">
        <v>1047</v>
      </c>
      <c r="D68" s="187">
        <v>0.25</v>
      </c>
      <c r="E68" s="187">
        <f t="shared" si="2"/>
        <v>261.75</v>
      </c>
      <c r="F68" s="187"/>
      <c r="G68" s="187">
        <f t="shared" si="1"/>
        <v>261.75</v>
      </c>
      <c r="H68" s="90">
        <v>1235899</v>
      </c>
      <c r="I68" s="89" t="s">
        <v>164</v>
      </c>
      <c r="J68" s="90" t="s">
        <v>14</v>
      </c>
      <c r="K68" s="90" t="s">
        <v>55</v>
      </c>
      <c r="L68" s="13">
        <v>96170087</v>
      </c>
    </row>
    <row r="69" spans="1:14" s="86" customFormat="1" x14ac:dyDescent="0.25">
      <c r="A69" s="25">
        <v>2324</v>
      </c>
      <c r="B69" s="26" t="s">
        <v>165</v>
      </c>
      <c r="C69" s="428">
        <v>1565.6</v>
      </c>
      <c r="D69" s="429">
        <v>0.25</v>
      </c>
      <c r="E69" s="429">
        <f t="shared" ref="E69:E81" si="3">C69*D69</f>
        <v>391.4</v>
      </c>
      <c r="F69" s="429">
        <f>E69</f>
        <v>391.4</v>
      </c>
      <c r="G69" s="429">
        <f t="shared" si="1"/>
        <v>0</v>
      </c>
      <c r="H69" s="96">
        <v>12239373</v>
      </c>
      <c r="I69" s="97" t="s">
        <v>166</v>
      </c>
      <c r="J69" s="98" t="s">
        <v>11</v>
      </c>
      <c r="K69" s="98" t="s">
        <v>47</v>
      </c>
      <c r="L69" s="50">
        <v>99589535</v>
      </c>
      <c r="M69" s="86" t="s">
        <v>581</v>
      </c>
    </row>
    <row r="70" spans="1:14" s="69" customFormat="1" x14ac:dyDescent="0.25">
      <c r="A70" s="61">
        <v>2325</v>
      </c>
      <c r="B70" s="62" t="s">
        <v>167</v>
      </c>
      <c r="C70" s="395">
        <v>1287.5999999999999</v>
      </c>
      <c r="D70" s="210">
        <v>0.25</v>
      </c>
      <c r="E70" s="210">
        <f t="shared" si="3"/>
        <v>321.89999999999998</v>
      </c>
      <c r="F70" s="210">
        <f>E70</f>
        <v>321.89999999999998</v>
      </c>
      <c r="G70" s="210">
        <f t="shared" ref="G70:G133" si="4">E70-F70</f>
        <v>0</v>
      </c>
      <c r="H70" s="106">
        <v>3802037</v>
      </c>
      <c r="I70" s="107" t="s">
        <v>168</v>
      </c>
      <c r="J70" s="108" t="s">
        <v>11</v>
      </c>
      <c r="K70" s="108" t="s">
        <v>47</v>
      </c>
      <c r="L70" s="66">
        <v>99481404</v>
      </c>
      <c r="M70" s="312" t="s">
        <v>616</v>
      </c>
    </row>
    <row r="71" spans="1:14" x14ac:dyDescent="0.25">
      <c r="A71" s="17">
        <v>2327</v>
      </c>
      <c r="B71" s="18" t="s">
        <v>169</v>
      </c>
      <c r="C71" s="393">
        <v>577.9</v>
      </c>
      <c r="D71" s="187">
        <v>0.25</v>
      </c>
      <c r="E71" s="187">
        <f t="shared" si="3"/>
        <v>144.47499999999999</v>
      </c>
      <c r="F71" s="187"/>
      <c r="G71" s="187">
        <f t="shared" si="4"/>
        <v>144.47499999999999</v>
      </c>
      <c r="H71" s="90">
        <v>7568982</v>
      </c>
      <c r="I71" s="89" t="s">
        <v>170</v>
      </c>
      <c r="J71" s="90" t="s">
        <v>11</v>
      </c>
      <c r="K71" s="90" t="s">
        <v>47</v>
      </c>
      <c r="L71" s="13">
        <v>99496653</v>
      </c>
    </row>
    <row r="72" spans="1:14" x14ac:dyDescent="0.25">
      <c r="A72" s="17">
        <v>2329</v>
      </c>
      <c r="B72" s="18" t="s">
        <v>171</v>
      </c>
      <c r="C72" s="393">
        <v>1065.9000000000001</v>
      </c>
      <c r="D72" s="187">
        <v>0.25</v>
      </c>
      <c r="E72" s="187">
        <f t="shared" si="3"/>
        <v>266.47500000000002</v>
      </c>
      <c r="F72" s="187"/>
      <c r="G72" s="187">
        <f t="shared" si="4"/>
        <v>266.47500000000002</v>
      </c>
      <c r="H72" s="88">
        <v>500599</v>
      </c>
      <c r="I72" s="89" t="s">
        <v>172</v>
      </c>
      <c r="J72" s="90" t="s">
        <v>11</v>
      </c>
      <c r="K72" s="90" t="s">
        <v>47</v>
      </c>
      <c r="L72" s="14">
        <v>99435565</v>
      </c>
    </row>
    <row r="73" spans="1:14" x14ac:dyDescent="0.25">
      <c r="A73" s="17">
        <v>2331</v>
      </c>
      <c r="B73" s="18" t="s">
        <v>173</v>
      </c>
      <c r="C73" s="393">
        <v>1074</v>
      </c>
      <c r="D73" s="187">
        <v>0.25</v>
      </c>
      <c r="E73" s="187">
        <f t="shared" si="3"/>
        <v>268.5</v>
      </c>
      <c r="F73" s="187"/>
      <c r="G73" s="187">
        <f t="shared" si="4"/>
        <v>268.5</v>
      </c>
      <c r="H73" s="88">
        <v>574696</v>
      </c>
      <c r="I73" s="89" t="s">
        <v>174</v>
      </c>
      <c r="J73" s="90" t="s">
        <v>14</v>
      </c>
      <c r="K73" s="90" t="s">
        <v>55</v>
      </c>
      <c r="L73" s="14">
        <v>92556868</v>
      </c>
    </row>
    <row r="74" spans="1:14" x14ac:dyDescent="0.25">
      <c r="A74" s="17">
        <v>2332</v>
      </c>
      <c r="B74" s="18" t="s">
        <v>175</v>
      </c>
      <c r="C74" s="393">
        <v>2470.1999999999998</v>
      </c>
      <c r="D74" s="187">
        <v>0.25</v>
      </c>
      <c r="E74" s="187">
        <f t="shared" si="3"/>
        <v>617.54999999999995</v>
      </c>
      <c r="F74" s="187"/>
      <c r="G74" s="187">
        <f t="shared" si="4"/>
        <v>617.54999999999995</v>
      </c>
      <c r="H74" s="88">
        <v>1409668</v>
      </c>
      <c r="I74" s="89" t="s">
        <v>176</v>
      </c>
      <c r="J74" s="90" t="s">
        <v>11</v>
      </c>
      <c r="K74" s="90" t="s">
        <v>47</v>
      </c>
      <c r="L74" s="14">
        <v>99493202</v>
      </c>
    </row>
    <row r="75" spans="1:14" x14ac:dyDescent="0.25">
      <c r="A75" s="61">
        <v>2333</v>
      </c>
      <c r="B75" s="62" t="s">
        <v>177</v>
      </c>
      <c r="C75" s="395">
        <v>1132.4000000000001</v>
      </c>
      <c r="D75" s="210">
        <v>0.25</v>
      </c>
      <c r="E75" s="210">
        <f t="shared" si="3"/>
        <v>283.10000000000002</v>
      </c>
      <c r="F75" s="210">
        <f>282.15+0.95</f>
        <v>283.09999999999997</v>
      </c>
      <c r="G75" s="210">
        <f t="shared" si="4"/>
        <v>0</v>
      </c>
      <c r="H75" s="114">
        <v>732042</v>
      </c>
      <c r="I75" s="115" t="s">
        <v>178</v>
      </c>
      <c r="J75" s="116" t="s">
        <v>11</v>
      </c>
      <c r="K75" s="116" t="s">
        <v>47</v>
      </c>
      <c r="L75" s="357">
        <v>92551330</v>
      </c>
      <c r="M75" s="69" t="s">
        <v>577</v>
      </c>
      <c r="N75" s="312" t="s">
        <v>616</v>
      </c>
    </row>
    <row r="76" spans="1:14" s="69" customFormat="1" x14ac:dyDescent="0.25">
      <c r="A76" s="61">
        <v>2334</v>
      </c>
      <c r="B76" s="62" t="s">
        <v>38</v>
      </c>
      <c r="C76" s="395">
        <v>1472.6</v>
      </c>
      <c r="D76" s="210">
        <v>0.25</v>
      </c>
      <c r="E76" s="210">
        <f t="shared" si="3"/>
        <v>368.15</v>
      </c>
      <c r="F76" s="210">
        <f>364.525+3.625</f>
        <v>368.15</v>
      </c>
      <c r="G76" s="210">
        <f t="shared" si="4"/>
        <v>0</v>
      </c>
      <c r="H76" s="114">
        <v>390755</v>
      </c>
      <c r="I76" s="107" t="s">
        <v>179</v>
      </c>
      <c r="J76" s="108" t="s">
        <v>11</v>
      </c>
      <c r="K76" s="108" t="s">
        <v>47</v>
      </c>
      <c r="L76" s="357">
        <v>99488361</v>
      </c>
      <c r="M76" s="69" t="s">
        <v>582</v>
      </c>
      <c r="N76" s="312" t="s">
        <v>616</v>
      </c>
    </row>
    <row r="77" spans="1:14" x14ac:dyDescent="0.25">
      <c r="A77" s="17">
        <v>2335</v>
      </c>
      <c r="B77" s="18" t="s">
        <v>180</v>
      </c>
      <c r="C77" s="393">
        <v>1143.9000000000001</v>
      </c>
      <c r="D77" s="187">
        <v>0.25</v>
      </c>
      <c r="E77" s="187">
        <f t="shared" si="3"/>
        <v>285.97500000000002</v>
      </c>
      <c r="F77" s="187"/>
      <c r="G77" s="187">
        <f t="shared" si="4"/>
        <v>285.97500000000002</v>
      </c>
      <c r="H77" s="93">
        <v>6221853</v>
      </c>
      <c r="I77" s="95" t="s">
        <v>181</v>
      </c>
      <c r="J77" s="94" t="s">
        <v>11</v>
      </c>
      <c r="K77" s="94" t="s">
        <v>47</v>
      </c>
      <c r="L77" s="38">
        <v>99807670</v>
      </c>
    </row>
    <row r="78" spans="1:14" s="69" customFormat="1" x14ac:dyDescent="0.25">
      <c r="A78" s="61">
        <v>2336</v>
      </c>
      <c r="B78" s="62" t="s">
        <v>39</v>
      </c>
      <c r="C78" s="395">
        <v>1055.3</v>
      </c>
      <c r="D78" s="210">
        <v>0.25</v>
      </c>
      <c r="E78" s="210">
        <f t="shared" si="3"/>
        <v>263.82499999999999</v>
      </c>
      <c r="F78" s="210">
        <f>261.075+2.75</f>
        <v>263.82499999999999</v>
      </c>
      <c r="G78" s="210">
        <f t="shared" si="4"/>
        <v>0</v>
      </c>
      <c r="H78" s="114">
        <v>380513</v>
      </c>
      <c r="I78" s="115" t="s">
        <v>182</v>
      </c>
      <c r="J78" s="116" t="s">
        <v>11</v>
      </c>
      <c r="K78" s="116" t="s">
        <v>47</v>
      </c>
      <c r="L78" s="357">
        <v>99490146</v>
      </c>
      <c r="M78" s="69" t="s">
        <v>579</v>
      </c>
      <c r="N78" s="312" t="s">
        <v>616</v>
      </c>
    </row>
    <row r="79" spans="1:14" s="69" customFormat="1" x14ac:dyDescent="0.25">
      <c r="A79" s="61">
        <v>2337</v>
      </c>
      <c r="B79" s="62" t="s">
        <v>183</v>
      </c>
      <c r="C79" s="395">
        <v>494.5</v>
      </c>
      <c r="D79" s="210">
        <v>0.25</v>
      </c>
      <c r="E79" s="210">
        <f t="shared" si="3"/>
        <v>123.625</v>
      </c>
      <c r="F79" s="210">
        <v>121.35</v>
      </c>
      <c r="G79" s="210">
        <f t="shared" si="4"/>
        <v>2.2750000000000057</v>
      </c>
      <c r="H79" s="116">
        <v>813786</v>
      </c>
      <c r="I79" s="115" t="s">
        <v>184</v>
      </c>
      <c r="J79" s="116" t="s">
        <v>11</v>
      </c>
      <c r="K79" s="116" t="s">
        <v>47</v>
      </c>
      <c r="L79" s="61">
        <v>99293129</v>
      </c>
      <c r="M79" s="258">
        <v>46002</v>
      </c>
    </row>
    <row r="80" spans="1:14" x14ac:dyDescent="0.25">
      <c r="A80" s="17">
        <v>2338</v>
      </c>
      <c r="B80" s="18" t="s">
        <v>185</v>
      </c>
      <c r="C80" s="393">
        <v>214.7</v>
      </c>
      <c r="D80" s="187">
        <v>0.25</v>
      </c>
      <c r="E80" s="187">
        <f t="shared" si="3"/>
        <v>53.674999999999997</v>
      </c>
      <c r="F80" s="187"/>
      <c r="G80" s="187">
        <f t="shared" si="4"/>
        <v>53.674999999999997</v>
      </c>
      <c r="H80" s="93">
        <v>902553</v>
      </c>
      <c r="I80" s="95" t="s">
        <v>186</v>
      </c>
      <c r="J80" s="94" t="s">
        <v>11</v>
      </c>
      <c r="K80" s="94" t="s">
        <v>47</v>
      </c>
      <c r="L80" s="38">
        <v>90837777</v>
      </c>
    </row>
    <row r="81" spans="1:14" x14ac:dyDescent="0.25">
      <c r="A81" s="17">
        <v>2342</v>
      </c>
      <c r="B81" s="18" t="s">
        <v>40</v>
      </c>
      <c r="C81" s="393">
        <v>460</v>
      </c>
      <c r="D81" s="187">
        <v>0.25</v>
      </c>
      <c r="E81" s="187">
        <f t="shared" si="3"/>
        <v>115</v>
      </c>
      <c r="F81" s="187"/>
      <c r="G81" s="187">
        <f t="shared" si="4"/>
        <v>115</v>
      </c>
      <c r="H81" s="93">
        <v>6107751</v>
      </c>
      <c r="I81" s="95" t="s">
        <v>187</v>
      </c>
      <c r="J81" s="94" t="s">
        <v>16</v>
      </c>
      <c r="K81" s="94" t="s">
        <v>47</v>
      </c>
      <c r="L81" s="38">
        <v>97191244</v>
      </c>
    </row>
    <row r="82" spans="1:14" x14ac:dyDescent="0.25">
      <c r="A82" s="17">
        <v>2343</v>
      </c>
      <c r="B82" s="18" t="s">
        <v>570</v>
      </c>
      <c r="C82" s="393">
        <v>17.600000000000001</v>
      </c>
      <c r="D82" s="187">
        <v>0.25</v>
      </c>
      <c r="E82" s="187">
        <f t="shared" ref="E82" si="5">C82*D82</f>
        <v>4.4000000000000004</v>
      </c>
      <c r="F82" s="187"/>
      <c r="G82" s="187">
        <f t="shared" si="4"/>
        <v>4.4000000000000004</v>
      </c>
      <c r="H82" s="93"/>
      <c r="I82" s="95"/>
      <c r="J82" s="94"/>
      <c r="K82" s="94"/>
      <c r="L82" s="38"/>
    </row>
    <row r="83" spans="1:14" x14ac:dyDescent="0.25">
      <c r="A83" s="17">
        <v>2344</v>
      </c>
      <c r="B83" s="18" t="s">
        <v>188</v>
      </c>
      <c r="C83" s="393">
        <v>3400.6</v>
      </c>
      <c r="D83" s="187">
        <v>0.25</v>
      </c>
      <c r="E83" s="187">
        <f t="shared" ref="E83:E88" si="6">C83*D83</f>
        <v>850.15</v>
      </c>
      <c r="F83" s="187"/>
      <c r="G83" s="187">
        <f t="shared" si="4"/>
        <v>850.15</v>
      </c>
      <c r="H83" s="93">
        <v>1071884</v>
      </c>
      <c r="I83" s="95" t="s">
        <v>189</v>
      </c>
      <c r="J83" s="94" t="s">
        <v>14</v>
      </c>
      <c r="K83" s="94" t="s">
        <v>55</v>
      </c>
      <c r="L83" s="38">
        <v>99480379</v>
      </c>
    </row>
    <row r="84" spans="1:14" x14ac:dyDescent="0.25">
      <c r="A84" s="17">
        <v>2345</v>
      </c>
      <c r="B84" s="18" t="s">
        <v>41</v>
      </c>
      <c r="C84" s="393">
        <v>1426.5</v>
      </c>
      <c r="D84" s="187">
        <v>0.25</v>
      </c>
      <c r="E84" s="187">
        <f t="shared" si="6"/>
        <v>356.625</v>
      </c>
      <c r="F84" s="187"/>
      <c r="G84" s="187">
        <f t="shared" si="4"/>
        <v>356.625</v>
      </c>
      <c r="H84" s="93">
        <v>1298574</v>
      </c>
      <c r="I84" s="95" t="s">
        <v>190</v>
      </c>
      <c r="J84" s="94" t="s">
        <v>14</v>
      </c>
      <c r="K84" s="94" t="s">
        <v>55</v>
      </c>
      <c r="L84" s="38">
        <v>99299199</v>
      </c>
    </row>
    <row r="85" spans="1:14" s="69" customFormat="1" x14ac:dyDescent="0.25">
      <c r="A85" s="61">
        <v>2346</v>
      </c>
      <c r="B85" s="62" t="s">
        <v>191</v>
      </c>
      <c r="C85" s="395">
        <v>562</v>
      </c>
      <c r="D85" s="210">
        <v>0.25</v>
      </c>
      <c r="E85" s="210">
        <f t="shared" si="6"/>
        <v>140.5</v>
      </c>
      <c r="F85" s="210">
        <f>E85</f>
        <v>140.5</v>
      </c>
      <c r="G85" s="210">
        <f t="shared" si="4"/>
        <v>0</v>
      </c>
      <c r="H85" s="114">
        <v>26080834</v>
      </c>
      <c r="I85" s="115" t="s">
        <v>192</v>
      </c>
      <c r="J85" s="116" t="s">
        <v>81</v>
      </c>
      <c r="K85" s="116" t="s">
        <v>82</v>
      </c>
      <c r="L85" s="357">
        <v>98951760</v>
      </c>
      <c r="M85" s="69" t="s">
        <v>604</v>
      </c>
    </row>
    <row r="86" spans="1:14" s="69" customFormat="1" x14ac:dyDescent="0.25">
      <c r="A86" s="61">
        <v>2347</v>
      </c>
      <c r="B86" s="80" t="s">
        <v>193</v>
      </c>
      <c r="C86" s="397">
        <v>1187.8</v>
      </c>
      <c r="D86" s="265">
        <v>0.25</v>
      </c>
      <c r="E86" s="265">
        <f t="shared" si="6"/>
        <v>296.95</v>
      </c>
      <c r="F86" s="265">
        <f>293.275+3.675</f>
        <v>296.95</v>
      </c>
      <c r="G86" s="265">
        <f t="shared" si="4"/>
        <v>0</v>
      </c>
      <c r="H86" s="114">
        <v>3036144</v>
      </c>
      <c r="I86" s="115" t="s">
        <v>194</v>
      </c>
      <c r="J86" s="116" t="s">
        <v>14</v>
      </c>
      <c r="K86" s="116" t="s">
        <v>55</v>
      </c>
      <c r="L86" s="357">
        <v>99487229</v>
      </c>
      <c r="M86" s="69" t="s">
        <v>580</v>
      </c>
      <c r="N86" s="336" t="s">
        <v>599</v>
      </c>
    </row>
    <row r="87" spans="1:14" x14ac:dyDescent="0.25">
      <c r="A87" s="17">
        <v>2348</v>
      </c>
      <c r="B87" s="18" t="s">
        <v>195</v>
      </c>
      <c r="C87" s="393">
        <v>1971.4</v>
      </c>
      <c r="D87" s="187">
        <v>0.25</v>
      </c>
      <c r="E87" s="187">
        <f t="shared" si="6"/>
        <v>492.85</v>
      </c>
      <c r="F87" s="187"/>
      <c r="G87" s="187">
        <f t="shared" si="4"/>
        <v>492.85</v>
      </c>
      <c r="H87" s="93">
        <v>25374403</v>
      </c>
      <c r="I87" s="95" t="s">
        <v>196</v>
      </c>
      <c r="J87" s="94" t="s">
        <v>154</v>
      </c>
      <c r="K87" s="94" t="s">
        <v>155</v>
      </c>
      <c r="L87" s="38">
        <v>92474433</v>
      </c>
    </row>
    <row r="88" spans="1:14" x14ac:dyDescent="0.25">
      <c r="A88" s="17">
        <v>2349</v>
      </c>
      <c r="B88" s="18" t="s">
        <v>569</v>
      </c>
      <c r="C88" s="393">
        <v>70</v>
      </c>
      <c r="D88" s="187">
        <v>0.25</v>
      </c>
      <c r="E88" s="187">
        <f t="shared" si="6"/>
        <v>17.5</v>
      </c>
      <c r="F88" s="187"/>
      <c r="G88" s="187">
        <f t="shared" si="4"/>
        <v>17.5</v>
      </c>
      <c r="H88" s="93"/>
      <c r="I88" s="95"/>
      <c r="J88" s="94"/>
      <c r="K88" s="94"/>
      <c r="L88" s="38"/>
    </row>
    <row r="89" spans="1:14" s="69" customFormat="1" x14ac:dyDescent="0.25">
      <c r="A89" s="61">
        <v>2350</v>
      </c>
      <c r="B89" s="62" t="s">
        <v>197</v>
      </c>
      <c r="C89" s="395">
        <v>1059.8</v>
      </c>
      <c r="D89" s="210">
        <v>0.25</v>
      </c>
      <c r="E89" s="210">
        <f t="shared" ref="E89:E97" si="7">C89*D89</f>
        <v>264.95</v>
      </c>
      <c r="F89" s="210">
        <v>263.02500000000003</v>
      </c>
      <c r="G89" s="210">
        <f t="shared" si="4"/>
        <v>1.9249999999999545</v>
      </c>
      <c r="H89" s="114">
        <v>734135</v>
      </c>
      <c r="I89" s="115" t="s">
        <v>198</v>
      </c>
      <c r="J89" s="116" t="s">
        <v>11</v>
      </c>
      <c r="K89" s="116" t="s">
        <v>47</v>
      </c>
      <c r="L89" s="357">
        <v>99327078</v>
      </c>
      <c r="M89" s="258">
        <v>45727</v>
      </c>
    </row>
    <row r="90" spans="1:14" x14ac:dyDescent="0.25">
      <c r="A90" s="17">
        <v>2351</v>
      </c>
      <c r="B90" s="18" t="s">
        <v>199</v>
      </c>
      <c r="C90" s="393">
        <v>489.7</v>
      </c>
      <c r="D90" s="187">
        <v>0.25</v>
      </c>
      <c r="E90" s="187">
        <f t="shared" si="7"/>
        <v>122.425</v>
      </c>
      <c r="F90" s="187"/>
      <c r="G90" s="187">
        <f t="shared" si="4"/>
        <v>122.425</v>
      </c>
      <c r="H90" s="93">
        <v>19521995</v>
      </c>
      <c r="I90" s="95" t="s">
        <v>200</v>
      </c>
      <c r="J90" s="94" t="s">
        <v>50</v>
      </c>
      <c r="K90" s="94" t="s">
        <v>51</v>
      </c>
      <c r="L90" s="38">
        <v>92709981</v>
      </c>
    </row>
    <row r="91" spans="1:14" x14ac:dyDescent="0.25">
      <c r="A91" s="61">
        <v>2353</v>
      </c>
      <c r="B91" s="62" t="s">
        <v>42</v>
      </c>
      <c r="C91" s="395">
        <v>538.20000000000005</v>
      </c>
      <c r="D91" s="210">
        <v>0.25</v>
      </c>
      <c r="E91" s="210">
        <f t="shared" si="7"/>
        <v>134.55000000000001</v>
      </c>
      <c r="F91" s="210">
        <f>131.575+2.975</f>
        <v>134.54999999999998</v>
      </c>
      <c r="G91" s="210">
        <f t="shared" si="4"/>
        <v>0</v>
      </c>
      <c r="H91" s="114">
        <v>2088123</v>
      </c>
      <c r="I91" s="115" t="s">
        <v>201</v>
      </c>
      <c r="J91" s="116" t="s">
        <v>11</v>
      </c>
      <c r="K91" s="116" t="s">
        <v>47</v>
      </c>
      <c r="L91" s="80">
        <v>92133374</v>
      </c>
      <c r="M91" s="69" t="s">
        <v>606</v>
      </c>
      <c r="N91" s="312" t="s">
        <v>615</v>
      </c>
    </row>
    <row r="92" spans="1:14" x14ac:dyDescent="0.25">
      <c r="A92" s="17">
        <v>2355</v>
      </c>
      <c r="B92" s="18" t="s">
        <v>202</v>
      </c>
      <c r="C92" s="393">
        <v>1238.0999999999999</v>
      </c>
      <c r="D92" s="187">
        <v>0.25</v>
      </c>
      <c r="E92" s="187">
        <f t="shared" si="7"/>
        <v>309.52499999999998</v>
      </c>
      <c r="F92" s="187"/>
      <c r="G92" s="187">
        <f t="shared" si="4"/>
        <v>309.52499999999998</v>
      </c>
      <c r="H92" s="93">
        <v>1129734</v>
      </c>
      <c r="I92" s="95" t="s">
        <v>203</v>
      </c>
      <c r="J92" s="94" t="s">
        <v>11</v>
      </c>
      <c r="K92" s="94" t="s">
        <v>47</v>
      </c>
      <c r="L92" s="17">
        <v>99481921</v>
      </c>
    </row>
    <row r="93" spans="1:14" s="69" customFormat="1" x14ac:dyDescent="0.25">
      <c r="A93" s="61">
        <v>2356</v>
      </c>
      <c r="B93" s="62" t="s">
        <v>568</v>
      </c>
      <c r="C93" s="395">
        <v>546.79999999999995</v>
      </c>
      <c r="D93" s="210">
        <v>0.25</v>
      </c>
      <c r="E93" s="210">
        <f t="shared" si="7"/>
        <v>136.69999999999999</v>
      </c>
      <c r="F93" s="210">
        <f>132.8+3.9</f>
        <v>136.70000000000002</v>
      </c>
      <c r="G93" s="210">
        <f t="shared" si="4"/>
        <v>0</v>
      </c>
      <c r="H93" s="114">
        <v>6085799</v>
      </c>
      <c r="I93" s="376" t="s">
        <v>578</v>
      </c>
      <c r="J93" s="116" t="s">
        <v>11</v>
      </c>
      <c r="K93" s="116" t="s">
        <v>47</v>
      </c>
      <c r="L93" s="357">
        <v>95122922</v>
      </c>
      <c r="M93" s="69" t="s">
        <v>606</v>
      </c>
      <c r="N93" s="312" t="s">
        <v>616</v>
      </c>
    </row>
    <row r="94" spans="1:14" x14ac:dyDescent="0.25">
      <c r="A94" s="17">
        <v>2358</v>
      </c>
      <c r="B94" s="18" t="s">
        <v>206</v>
      </c>
      <c r="C94" s="393">
        <v>1079.5</v>
      </c>
      <c r="D94" s="187">
        <v>0.25</v>
      </c>
      <c r="E94" s="187">
        <f t="shared" si="7"/>
        <v>269.875</v>
      </c>
      <c r="F94" s="187"/>
      <c r="G94" s="187">
        <f t="shared" si="4"/>
        <v>269.875</v>
      </c>
      <c r="H94" s="93">
        <v>812235</v>
      </c>
      <c r="I94" s="95" t="s">
        <v>207</v>
      </c>
      <c r="J94" s="94" t="s">
        <v>81</v>
      </c>
      <c r="K94" s="94" t="s">
        <v>82</v>
      </c>
      <c r="L94" s="38">
        <v>99496608</v>
      </c>
    </row>
    <row r="95" spans="1:14" s="69" customFormat="1" x14ac:dyDescent="0.25">
      <c r="A95" s="61">
        <v>2360</v>
      </c>
      <c r="B95" s="62" t="s">
        <v>208</v>
      </c>
      <c r="C95" s="397">
        <v>536.1</v>
      </c>
      <c r="D95" s="210">
        <v>0.25</v>
      </c>
      <c r="E95" s="210">
        <f t="shared" si="7"/>
        <v>134.02500000000001</v>
      </c>
      <c r="F95" s="210">
        <f>132.475+1.55</f>
        <v>134.02500000000001</v>
      </c>
      <c r="G95" s="210">
        <f t="shared" si="4"/>
        <v>0</v>
      </c>
      <c r="H95" s="114">
        <v>6791757</v>
      </c>
      <c r="I95" s="115" t="s">
        <v>209</v>
      </c>
      <c r="J95" s="116" t="s">
        <v>14</v>
      </c>
      <c r="K95" s="116" t="s">
        <v>55</v>
      </c>
      <c r="L95" s="61">
        <v>98960002</v>
      </c>
      <c r="M95" s="69" t="s">
        <v>579</v>
      </c>
      <c r="N95" s="312" t="s">
        <v>618</v>
      </c>
    </row>
    <row r="96" spans="1:14" x14ac:dyDescent="0.25">
      <c r="A96" s="17">
        <v>2361</v>
      </c>
      <c r="B96" s="18" t="s">
        <v>210</v>
      </c>
      <c r="C96" s="394">
        <v>2694</v>
      </c>
      <c r="D96" s="187">
        <v>0.25</v>
      </c>
      <c r="E96" s="187">
        <f t="shared" si="7"/>
        <v>673.5</v>
      </c>
      <c r="F96" s="187"/>
      <c r="G96" s="187">
        <f t="shared" si="4"/>
        <v>673.5</v>
      </c>
      <c r="H96" s="93">
        <v>3083395</v>
      </c>
      <c r="I96" s="95" t="s">
        <v>211</v>
      </c>
      <c r="J96" s="94" t="s">
        <v>11</v>
      </c>
      <c r="K96" s="94" t="s">
        <v>47</v>
      </c>
      <c r="L96" s="38">
        <v>99287760</v>
      </c>
    </row>
    <row r="97" spans="1:14" x14ac:dyDescent="0.25">
      <c r="A97" s="17">
        <v>2362</v>
      </c>
      <c r="B97" s="18" t="s">
        <v>212</v>
      </c>
      <c r="C97" s="394">
        <v>3942.4</v>
      </c>
      <c r="D97" s="187">
        <v>0.25</v>
      </c>
      <c r="E97" s="187">
        <f t="shared" si="7"/>
        <v>985.6</v>
      </c>
      <c r="F97" s="187"/>
      <c r="G97" s="187">
        <f t="shared" si="4"/>
        <v>985.6</v>
      </c>
      <c r="H97" s="93">
        <v>614569</v>
      </c>
      <c r="I97" s="95" t="s">
        <v>213</v>
      </c>
      <c r="J97" s="94" t="s">
        <v>11</v>
      </c>
      <c r="K97" s="94" t="s">
        <v>47</v>
      </c>
      <c r="L97" s="38">
        <v>98243557</v>
      </c>
    </row>
    <row r="98" spans="1:14" x14ac:dyDescent="0.25">
      <c r="A98" s="17">
        <v>2363</v>
      </c>
      <c r="B98" s="18" t="s">
        <v>567</v>
      </c>
      <c r="C98" s="394">
        <v>389.9</v>
      </c>
      <c r="D98" s="187">
        <v>0.25</v>
      </c>
      <c r="E98" s="187">
        <f t="shared" ref="E98" si="8">C98*D98</f>
        <v>97.474999999999994</v>
      </c>
      <c r="F98" s="187"/>
      <c r="G98" s="187">
        <f t="shared" si="4"/>
        <v>97.474999999999994</v>
      </c>
      <c r="H98" s="93"/>
      <c r="I98" s="95"/>
      <c r="J98" s="94"/>
      <c r="K98" s="94"/>
      <c r="L98" s="38"/>
    </row>
    <row r="99" spans="1:14" x14ac:dyDescent="0.25">
      <c r="A99" s="17">
        <v>2365</v>
      </c>
      <c r="B99" s="42" t="s">
        <v>214</v>
      </c>
      <c r="C99" s="393">
        <v>3943.3</v>
      </c>
      <c r="D99" s="187">
        <v>0.25</v>
      </c>
      <c r="E99" s="187">
        <f t="shared" ref="E99:E130" si="9">C99*D99</f>
        <v>985.82500000000005</v>
      </c>
      <c r="F99" s="187"/>
      <c r="G99" s="187">
        <f t="shared" si="4"/>
        <v>985.82500000000005</v>
      </c>
      <c r="H99" s="93">
        <v>18164859</v>
      </c>
      <c r="I99" s="95" t="s">
        <v>215</v>
      </c>
      <c r="J99" s="94" t="s">
        <v>14</v>
      </c>
      <c r="K99" s="94" t="s">
        <v>55</v>
      </c>
      <c r="L99" s="39">
        <v>98872820</v>
      </c>
    </row>
    <row r="100" spans="1:14" x14ac:dyDescent="0.25">
      <c r="A100" s="17">
        <v>2366</v>
      </c>
      <c r="B100" s="356" t="s">
        <v>43</v>
      </c>
      <c r="C100" s="394">
        <v>2063.6999999999998</v>
      </c>
      <c r="D100" s="187">
        <v>0.25</v>
      </c>
      <c r="E100" s="187">
        <f t="shared" si="9"/>
        <v>515.92499999999995</v>
      </c>
      <c r="F100" s="187"/>
      <c r="G100" s="187">
        <f t="shared" si="4"/>
        <v>515.92499999999995</v>
      </c>
      <c r="H100" s="93">
        <v>5737041</v>
      </c>
      <c r="I100" s="95" t="s">
        <v>216</v>
      </c>
      <c r="J100" s="94" t="s">
        <v>11</v>
      </c>
      <c r="K100" s="94" t="s">
        <v>47</v>
      </c>
      <c r="L100" s="39">
        <v>99298559</v>
      </c>
    </row>
    <row r="101" spans="1:14" x14ac:dyDescent="0.25">
      <c r="A101" s="17">
        <v>2368</v>
      </c>
      <c r="B101" s="74" t="s">
        <v>26</v>
      </c>
      <c r="C101" s="393">
        <v>3161.7</v>
      </c>
      <c r="D101" s="187">
        <v>0.25</v>
      </c>
      <c r="E101" s="187">
        <f t="shared" si="9"/>
        <v>790.42499999999995</v>
      </c>
      <c r="F101" s="187"/>
      <c r="G101" s="187">
        <f t="shared" si="4"/>
        <v>790.42499999999995</v>
      </c>
      <c r="H101" s="93">
        <v>14028352</v>
      </c>
      <c r="I101" s="95" t="s">
        <v>217</v>
      </c>
      <c r="J101" s="94" t="s">
        <v>11</v>
      </c>
      <c r="K101" s="94" t="s">
        <v>47</v>
      </c>
      <c r="L101" s="39">
        <v>77189591</v>
      </c>
    </row>
    <row r="102" spans="1:14" x14ac:dyDescent="0.25">
      <c r="A102" s="17">
        <v>2369</v>
      </c>
      <c r="B102" s="75" t="s">
        <v>218</v>
      </c>
      <c r="C102" s="393">
        <v>533.1</v>
      </c>
      <c r="D102" s="187">
        <v>0.25</v>
      </c>
      <c r="E102" s="187">
        <f t="shared" si="9"/>
        <v>133.27500000000001</v>
      </c>
      <c r="F102" s="187"/>
      <c r="G102" s="187">
        <f t="shared" si="4"/>
        <v>133.27500000000001</v>
      </c>
      <c r="H102" s="93">
        <v>1305728</v>
      </c>
      <c r="I102" s="95" t="s">
        <v>219</v>
      </c>
      <c r="J102" s="94" t="s">
        <v>81</v>
      </c>
      <c r="K102" s="94" t="s">
        <v>82</v>
      </c>
      <c r="L102" s="39"/>
    </row>
    <row r="103" spans="1:14" x14ac:dyDescent="0.25">
      <c r="A103" s="17">
        <v>2370</v>
      </c>
      <c r="B103" s="75" t="s">
        <v>220</v>
      </c>
      <c r="C103" s="393">
        <v>734.2</v>
      </c>
      <c r="D103" s="187">
        <v>0.25</v>
      </c>
      <c r="E103" s="187">
        <f t="shared" si="9"/>
        <v>183.55</v>
      </c>
      <c r="F103" s="187"/>
      <c r="G103" s="187">
        <f t="shared" si="4"/>
        <v>183.55</v>
      </c>
      <c r="H103" s="93">
        <v>15082454</v>
      </c>
      <c r="I103" s="261" t="s">
        <v>221</v>
      </c>
      <c r="J103" s="94" t="s">
        <v>14</v>
      </c>
      <c r="K103" s="94" t="s">
        <v>55</v>
      </c>
      <c r="L103" s="39">
        <v>92600537</v>
      </c>
    </row>
    <row r="104" spans="1:14" x14ac:dyDescent="0.25">
      <c r="A104" s="17">
        <v>2371</v>
      </c>
      <c r="B104" s="75" t="s">
        <v>222</v>
      </c>
      <c r="C104" s="393">
        <v>1481.4</v>
      </c>
      <c r="D104" s="187">
        <v>0.25</v>
      </c>
      <c r="E104" s="187">
        <f t="shared" si="9"/>
        <v>370.35</v>
      </c>
      <c r="F104" s="187"/>
      <c r="G104" s="187">
        <f t="shared" si="4"/>
        <v>370.35</v>
      </c>
      <c r="H104" s="93">
        <v>4710817</v>
      </c>
      <c r="I104" s="95" t="s">
        <v>223</v>
      </c>
      <c r="J104" s="94" t="s">
        <v>11</v>
      </c>
      <c r="K104" s="94" t="s">
        <v>47</v>
      </c>
      <c r="L104" s="39">
        <v>95375676</v>
      </c>
    </row>
    <row r="105" spans="1:14" x14ac:dyDescent="0.25">
      <c r="A105" s="17">
        <v>2373</v>
      </c>
      <c r="B105" s="75" t="s">
        <v>224</v>
      </c>
      <c r="C105" s="393">
        <v>1452.9</v>
      </c>
      <c r="D105" s="187">
        <v>0.25</v>
      </c>
      <c r="E105" s="187">
        <f t="shared" si="9"/>
        <v>363.22500000000002</v>
      </c>
      <c r="F105" s="187"/>
      <c r="G105" s="187">
        <f t="shared" si="4"/>
        <v>363.22500000000002</v>
      </c>
      <c r="H105" s="93">
        <v>593009</v>
      </c>
      <c r="I105" s="95" t="s">
        <v>225</v>
      </c>
      <c r="J105" s="94" t="s">
        <v>14</v>
      </c>
      <c r="K105" s="94" t="s">
        <v>55</v>
      </c>
      <c r="L105" s="39">
        <v>99555980</v>
      </c>
    </row>
    <row r="106" spans="1:14" x14ac:dyDescent="0.25">
      <c r="A106" s="17">
        <v>2374</v>
      </c>
      <c r="B106" s="75" t="s">
        <v>226</v>
      </c>
      <c r="C106" s="393">
        <v>484.2</v>
      </c>
      <c r="D106" s="187">
        <v>0.25</v>
      </c>
      <c r="E106" s="187">
        <f t="shared" si="9"/>
        <v>121.05</v>
      </c>
      <c r="F106" s="187"/>
      <c r="G106" s="187">
        <f t="shared" si="4"/>
        <v>121.05</v>
      </c>
      <c r="H106" s="93">
        <v>27683269</v>
      </c>
      <c r="I106" s="95" t="s">
        <v>227</v>
      </c>
      <c r="J106" s="94" t="s">
        <v>50</v>
      </c>
      <c r="K106" s="94" t="s">
        <v>51</v>
      </c>
      <c r="L106" s="39">
        <v>99555980</v>
      </c>
    </row>
    <row r="107" spans="1:14" s="69" customFormat="1" x14ac:dyDescent="0.25">
      <c r="A107" s="61">
        <v>2380</v>
      </c>
      <c r="B107" s="374" t="s">
        <v>228</v>
      </c>
      <c r="C107" s="395">
        <v>543.4</v>
      </c>
      <c r="D107" s="210">
        <v>0.25</v>
      </c>
      <c r="E107" s="210">
        <f t="shared" si="9"/>
        <v>135.85</v>
      </c>
      <c r="F107" s="210">
        <f>91.575+44.275</f>
        <v>135.85</v>
      </c>
      <c r="G107" s="210">
        <f t="shared" si="4"/>
        <v>0</v>
      </c>
      <c r="H107" s="114">
        <v>614536</v>
      </c>
      <c r="I107" s="115" t="s">
        <v>229</v>
      </c>
      <c r="J107" s="116" t="s">
        <v>50</v>
      </c>
      <c r="K107" s="116" t="s">
        <v>51</v>
      </c>
      <c r="L107" s="80">
        <v>93977300</v>
      </c>
      <c r="M107" s="69" t="s">
        <v>582</v>
      </c>
      <c r="N107" s="258">
        <v>45972</v>
      </c>
    </row>
    <row r="108" spans="1:14" s="69" customFormat="1" x14ac:dyDescent="0.25">
      <c r="A108" s="61">
        <v>2381</v>
      </c>
      <c r="B108" s="374" t="s">
        <v>230</v>
      </c>
      <c r="C108" s="395">
        <v>1207</v>
      </c>
      <c r="D108" s="210">
        <v>0.25</v>
      </c>
      <c r="E108" s="210">
        <f t="shared" si="9"/>
        <v>301.75</v>
      </c>
      <c r="F108" s="210">
        <f>300.2+1.55</f>
        <v>301.75</v>
      </c>
      <c r="G108" s="210">
        <f t="shared" si="4"/>
        <v>0</v>
      </c>
      <c r="H108" s="114">
        <v>830452</v>
      </c>
      <c r="I108" s="115" t="s">
        <v>231</v>
      </c>
      <c r="J108" s="116" t="s">
        <v>11</v>
      </c>
      <c r="K108" s="116" t="s">
        <v>47</v>
      </c>
      <c r="L108" s="80">
        <v>99493365</v>
      </c>
      <c r="M108" s="258">
        <v>45788</v>
      </c>
      <c r="N108" s="312" t="s">
        <v>616</v>
      </c>
    </row>
    <row r="109" spans="1:14" x14ac:dyDescent="0.25">
      <c r="A109" s="17">
        <v>2383</v>
      </c>
      <c r="B109" s="354" t="s">
        <v>232</v>
      </c>
      <c r="C109" s="393">
        <v>535.5</v>
      </c>
      <c r="D109" s="187">
        <v>0.25</v>
      </c>
      <c r="E109" s="187">
        <f t="shared" si="9"/>
        <v>133.875</v>
      </c>
      <c r="F109" s="187"/>
      <c r="G109" s="187">
        <f t="shared" si="4"/>
        <v>133.875</v>
      </c>
      <c r="H109" s="94">
        <v>11427078</v>
      </c>
      <c r="I109" s="95" t="s">
        <v>233</v>
      </c>
      <c r="J109" s="94" t="s">
        <v>234</v>
      </c>
      <c r="K109" s="94" t="s">
        <v>235</v>
      </c>
      <c r="L109" s="17">
        <v>92192100</v>
      </c>
    </row>
    <row r="110" spans="1:14" s="69" customFormat="1" x14ac:dyDescent="0.25">
      <c r="A110" s="61">
        <v>2385</v>
      </c>
      <c r="B110" s="106" t="s">
        <v>236</v>
      </c>
      <c r="C110" s="395">
        <v>1539.1</v>
      </c>
      <c r="D110" s="210">
        <v>0.25</v>
      </c>
      <c r="E110" s="210">
        <f t="shared" si="9"/>
        <v>384.77499999999998</v>
      </c>
      <c r="F110" s="210">
        <f>E110</f>
        <v>384.77499999999998</v>
      </c>
      <c r="G110" s="210">
        <f t="shared" si="4"/>
        <v>0</v>
      </c>
      <c r="H110" s="114">
        <v>3039422</v>
      </c>
      <c r="I110" s="115" t="s">
        <v>237</v>
      </c>
      <c r="J110" s="116" t="s">
        <v>50</v>
      </c>
      <c r="K110" s="116" t="s">
        <v>51</v>
      </c>
      <c r="L110" s="357">
        <v>99589937</v>
      </c>
      <c r="M110" s="312" t="s">
        <v>603</v>
      </c>
    </row>
    <row r="111" spans="1:14" s="69" customFormat="1" x14ac:dyDescent="0.25">
      <c r="A111" s="61">
        <v>2390</v>
      </c>
      <c r="B111" s="79" t="s">
        <v>238</v>
      </c>
      <c r="C111" s="395">
        <v>1309.9000000000001</v>
      </c>
      <c r="D111" s="210">
        <v>0.25</v>
      </c>
      <c r="E111" s="210">
        <f t="shared" si="9"/>
        <v>327.47500000000002</v>
      </c>
      <c r="F111" s="210">
        <f>325.875+1.6</f>
        <v>327.47500000000002</v>
      </c>
      <c r="G111" s="210">
        <f t="shared" si="4"/>
        <v>0</v>
      </c>
      <c r="H111" s="114">
        <v>738486</v>
      </c>
      <c r="I111" s="116" t="s">
        <v>239</v>
      </c>
      <c r="J111" s="116" t="s">
        <v>11</v>
      </c>
      <c r="K111" s="116" t="s">
        <v>47</v>
      </c>
      <c r="L111" s="80">
        <v>92960447</v>
      </c>
      <c r="M111" s="69" t="s">
        <v>577</v>
      </c>
      <c r="N111" s="312" t="s">
        <v>616</v>
      </c>
    </row>
    <row r="112" spans="1:14" x14ac:dyDescent="0.25">
      <c r="A112" s="17">
        <v>2391</v>
      </c>
      <c r="B112" s="74" t="s">
        <v>240</v>
      </c>
      <c r="C112" s="393">
        <v>772.1</v>
      </c>
      <c r="D112" s="187">
        <v>0.25</v>
      </c>
      <c r="E112" s="187">
        <f t="shared" si="9"/>
        <v>193.02500000000001</v>
      </c>
      <c r="F112" s="187"/>
      <c r="G112" s="187">
        <f t="shared" si="4"/>
        <v>193.02500000000001</v>
      </c>
      <c r="H112" s="93">
        <v>952571</v>
      </c>
      <c r="I112" s="95" t="s">
        <v>241</v>
      </c>
      <c r="J112" s="94" t="s">
        <v>14</v>
      </c>
      <c r="K112" s="94" t="s">
        <v>55</v>
      </c>
      <c r="L112" s="39"/>
    </row>
    <row r="113" spans="1:14" x14ac:dyDescent="0.25">
      <c r="A113" s="13">
        <v>2392</v>
      </c>
      <c r="B113" s="353" t="s">
        <v>566</v>
      </c>
      <c r="C113" s="393">
        <v>365.7</v>
      </c>
      <c r="D113" s="187">
        <v>0.25</v>
      </c>
      <c r="E113" s="187">
        <f t="shared" si="9"/>
        <v>91.424999999999997</v>
      </c>
      <c r="F113" s="187"/>
      <c r="G113" s="187">
        <f t="shared" si="4"/>
        <v>91.424999999999997</v>
      </c>
      <c r="H113" s="90">
        <v>20054677</v>
      </c>
      <c r="I113" s="89" t="s">
        <v>565</v>
      </c>
      <c r="J113" s="90" t="s">
        <v>11</v>
      </c>
      <c r="K113" s="90"/>
      <c r="L113" s="13">
        <v>98955033</v>
      </c>
    </row>
    <row r="114" spans="1:14" s="69" customFormat="1" x14ac:dyDescent="0.25">
      <c r="A114" s="67">
        <v>2400</v>
      </c>
      <c r="B114" s="396" t="s">
        <v>564</v>
      </c>
      <c r="C114" s="395">
        <v>332.5</v>
      </c>
      <c r="D114" s="210">
        <v>0.25</v>
      </c>
      <c r="E114" s="210">
        <f t="shared" si="9"/>
        <v>83.125</v>
      </c>
      <c r="F114" s="210">
        <f>E114</f>
        <v>83.125</v>
      </c>
      <c r="G114" s="210">
        <f t="shared" si="4"/>
        <v>0</v>
      </c>
      <c r="H114" s="108">
        <v>21522312</v>
      </c>
      <c r="I114" s="107" t="s">
        <v>563</v>
      </c>
      <c r="J114" s="108" t="s">
        <v>18</v>
      </c>
      <c r="K114" s="108"/>
      <c r="L114" s="67">
        <v>96066507</v>
      </c>
      <c r="M114" s="312" t="s">
        <v>616</v>
      </c>
    </row>
    <row r="115" spans="1:14" x14ac:dyDescent="0.25">
      <c r="A115" s="13">
        <v>2401</v>
      </c>
      <c r="B115" s="353" t="s">
        <v>562</v>
      </c>
      <c r="C115" s="393">
        <v>298.39999999999998</v>
      </c>
      <c r="D115" s="187">
        <v>0.25</v>
      </c>
      <c r="E115" s="187">
        <f t="shared" si="9"/>
        <v>74.599999999999994</v>
      </c>
      <c r="F115" s="187"/>
      <c r="G115" s="187">
        <f t="shared" si="4"/>
        <v>74.599999999999994</v>
      </c>
      <c r="H115" s="90">
        <v>24154695</v>
      </c>
      <c r="I115" s="89" t="s">
        <v>561</v>
      </c>
      <c r="J115" s="90" t="s">
        <v>16</v>
      </c>
      <c r="K115" s="90" t="s">
        <v>47</v>
      </c>
      <c r="L115" s="13">
        <v>99584708</v>
      </c>
    </row>
    <row r="116" spans="1:14" s="177" customFormat="1" x14ac:dyDescent="0.25">
      <c r="A116" s="449">
        <v>2402</v>
      </c>
      <c r="B116" s="450" t="s">
        <v>560</v>
      </c>
      <c r="C116" s="451"/>
      <c r="D116" s="452">
        <v>0.25</v>
      </c>
      <c r="E116" s="452">
        <f t="shared" si="9"/>
        <v>0</v>
      </c>
      <c r="F116" s="452"/>
      <c r="G116" s="452">
        <f t="shared" si="4"/>
        <v>0</v>
      </c>
      <c r="H116" s="453">
        <v>805323</v>
      </c>
      <c r="I116" s="454" t="s">
        <v>559</v>
      </c>
      <c r="J116" s="453" t="s">
        <v>14</v>
      </c>
      <c r="K116" s="453"/>
      <c r="L116" s="449">
        <v>92141256</v>
      </c>
    </row>
    <row r="117" spans="1:14" s="69" customFormat="1" x14ac:dyDescent="0.25">
      <c r="A117" s="67">
        <v>2403</v>
      </c>
      <c r="B117" s="396" t="s">
        <v>558</v>
      </c>
      <c r="C117" s="395">
        <v>315.2</v>
      </c>
      <c r="D117" s="210">
        <v>0.25</v>
      </c>
      <c r="E117" s="210">
        <f t="shared" si="9"/>
        <v>78.8</v>
      </c>
      <c r="F117" s="210">
        <f>E117</f>
        <v>78.8</v>
      </c>
      <c r="G117" s="210">
        <f t="shared" si="4"/>
        <v>0</v>
      </c>
      <c r="H117" s="108">
        <v>7562374</v>
      </c>
      <c r="I117" s="107" t="s">
        <v>557</v>
      </c>
      <c r="J117" s="108" t="s">
        <v>14</v>
      </c>
      <c r="K117" s="108"/>
      <c r="L117" s="67">
        <v>91755668</v>
      </c>
      <c r="M117" s="312" t="s">
        <v>616</v>
      </c>
    </row>
    <row r="118" spans="1:14" s="177" customFormat="1" x14ac:dyDescent="0.25">
      <c r="A118" s="449">
        <v>2404</v>
      </c>
      <c r="B118" s="450" t="s">
        <v>556</v>
      </c>
      <c r="C118" s="451"/>
      <c r="D118" s="452">
        <v>0.25</v>
      </c>
      <c r="E118" s="452">
        <f t="shared" si="9"/>
        <v>0</v>
      </c>
      <c r="F118" s="452"/>
      <c r="G118" s="452">
        <f t="shared" si="4"/>
        <v>0</v>
      </c>
      <c r="H118" s="453">
        <v>5146838</v>
      </c>
      <c r="I118" s="454" t="s">
        <v>555</v>
      </c>
      <c r="J118" s="453" t="s">
        <v>18</v>
      </c>
      <c r="K118" s="453" t="s">
        <v>47</v>
      </c>
      <c r="L118" s="449">
        <v>99111132</v>
      </c>
    </row>
    <row r="119" spans="1:14" s="69" customFormat="1" x14ac:dyDescent="0.25">
      <c r="A119" s="67">
        <v>2405</v>
      </c>
      <c r="B119" s="396" t="s">
        <v>554</v>
      </c>
      <c r="C119" s="395">
        <v>154.69999999999999</v>
      </c>
      <c r="D119" s="210">
        <v>0.25</v>
      </c>
      <c r="E119" s="210">
        <f t="shared" si="9"/>
        <v>38.674999999999997</v>
      </c>
      <c r="F119" s="210">
        <f>E119</f>
        <v>38.674999999999997</v>
      </c>
      <c r="G119" s="210">
        <f t="shared" si="4"/>
        <v>0</v>
      </c>
      <c r="H119" s="108">
        <v>21957473</v>
      </c>
      <c r="I119" s="107" t="s">
        <v>553</v>
      </c>
      <c r="J119" s="108" t="s">
        <v>18</v>
      </c>
      <c r="K119" s="108"/>
      <c r="L119" s="67">
        <v>99492349</v>
      </c>
      <c r="M119" s="312" t="s">
        <v>619</v>
      </c>
    </row>
    <row r="120" spans="1:14" s="177" customFormat="1" x14ac:dyDescent="0.25">
      <c r="A120" s="449">
        <v>2406</v>
      </c>
      <c r="B120" s="450" t="s">
        <v>552</v>
      </c>
      <c r="C120" s="451"/>
      <c r="D120" s="452">
        <v>0.25</v>
      </c>
      <c r="E120" s="452">
        <f t="shared" si="9"/>
        <v>0</v>
      </c>
      <c r="F120" s="452"/>
      <c r="G120" s="452">
        <f t="shared" si="4"/>
        <v>0</v>
      </c>
      <c r="H120" s="453">
        <v>14614758</v>
      </c>
      <c r="I120" s="454" t="s">
        <v>551</v>
      </c>
      <c r="J120" s="453" t="s">
        <v>18</v>
      </c>
      <c r="K120" s="453"/>
      <c r="L120" s="449">
        <v>90422500</v>
      </c>
    </row>
    <row r="121" spans="1:14" s="177" customFormat="1" x14ac:dyDescent="0.25">
      <c r="A121" s="449">
        <v>2407</v>
      </c>
      <c r="B121" s="450" t="s">
        <v>550</v>
      </c>
      <c r="C121" s="451"/>
      <c r="D121" s="452">
        <v>0.25</v>
      </c>
      <c r="E121" s="452">
        <f t="shared" si="9"/>
        <v>0</v>
      </c>
      <c r="F121" s="452"/>
      <c r="G121" s="452">
        <f t="shared" si="4"/>
        <v>0</v>
      </c>
      <c r="H121" s="453">
        <v>5586325</v>
      </c>
      <c r="I121" s="454" t="s">
        <v>549</v>
      </c>
      <c r="J121" s="453" t="s">
        <v>18</v>
      </c>
      <c r="K121" s="453" t="s">
        <v>47</v>
      </c>
      <c r="L121" s="449">
        <v>91199514</v>
      </c>
    </row>
    <row r="122" spans="1:14" s="177" customFormat="1" x14ac:dyDescent="0.25">
      <c r="A122" s="449">
        <v>2408</v>
      </c>
      <c r="B122" s="450" t="s">
        <v>548</v>
      </c>
      <c r="C122" s="451"/>
      <c r="D122" s="452">
        <v>0.25</v>
      </c>
      <c r="E122" s="452">
        <f t="shared" si="9"/>
        <v>0</v>
      </c>
      <c r="F122" s="452"/>
      <c r="G122" s="452">
        <f t="shared" si="4"/>
        <v>0</v>
      </c>
      <c r="H122" s="453">
        <v>7790427</v>
      </c>
      <c r="I122" s="454" t="s">
        <v>547</v>
      </c>
      <c r="J122" s="453" t="s">
        <v>18</v>
      </c>
      <c r="K122" s="453"/>
      <c r="L122" s="449">
        <v>96394004</v>
      </c>
    </row>
    <row r="123" spans="1:14" s="177" customFormat="1" x14ac:dyDescent="0.25">
      <c r="A123" s="449">
        <v>2409</v>
      </c>
      <c r="B123" s="450" t="s">
        <v>546</v>
      </c>
      <c r="C123" s="451"/>
      <c r="D123" s="452">
        <v>0.25</v>
      </c>
      <c r="E123" s="452">
        <f t="shared" si="9"/>
        <v>0</v>
      </c>
      <c r="F123" s="452"/>
      <c r="G123" s="452">
        <f t="shared" si="4"/>
        <v>0</v>
      </c>
      <c r="H123" s="453">
        <v>19573665</v>
      </c>
      <c r="I123" s="454" t="s">
        <v>545</v>
      </c>
      <c r="J123" s="453" t="s">
        <v>18</v>
      </c>
      <c r="K123" s="453"/>
      <c r="L123" s="449">
        <v>98895532</v>
      </c>
    </row>
    <row r="124" spans="1:14" s="177" customFormat="1" x14ac:dyDescent="0.25">
      <c r="A124" s="449">
        <v>2410</v>
      </c>
      <c r="B124" s="450" t="s">
        <v>544</v>
      </c>
      <c r="C124" s="451"/>
      <c r="D124" s="452">
        <v>0.25</v>
      </c>
      <c r="E124" s="452">
        <f t="shared" si="9"/>
        <v>0</v>
      </c>
      <c r="F124" s="452"/>
      <c r="G124" s="452">
        <f t="shared" si="4"/>
        <v>0</v>
      </c>
      <c r="H124" s="453">
        <v>21277364</v>
      </c>
      <c r="I124" s="454" t="s">
        <v>543</v>
      </c>
      <c r="J124" s="453" t="s">
        <v>18</v>
      </c>
      <c r="K124" s="453"/>
      <c r="L124" s="449">
        <v>98895532</v>
      </c>
    </row>
    <row r="125" spans="1:14" s="69" customFormat="1" x14ac:dyDescent="0.25">
      <c r="A125" s="67">
        <v>2411</v>
      </c>
      <c r="B125" s="396" t="s">
        <v>542</v>
      </c>
      <c r="C125" s="395">
        <v>151.19999999999999</v>
      </c>
      <c r="D125" s="210">
        <v>0.25</v>
      </c>
      <c r="E125" s="210">
        <f t="shared" si="9"/>
        <v>37.799999999999997</v>
      </c>
      <c r="F125" s="210">
        <f>E125</f>
        <v>37.799999999999997</v>
      </c>
      <c r="G125" s="210">
        <f t="shared" si="4"/>
        <v>0</v>
      </c>
      <c r="H125" s="108">
        <v>22960574</v>
      </c>
      <c r="I125" s="107" t="s">
        <v>541</v>
      </c>
      <c r="J125" s="108" t="s">
        <v>14</v>
      </c>
      <c r="K125" s="108"/>
      <c r="L125" s="67">
        <v>92139763</v>
      </c>
      <c r="M125" s="312" t="s">
        <v>618</v>
      </c>
    </row>
    <row r="126" spans="1:14" s="177" customFormat="1" x14ac:dyDescent="0.25">
      <c r="A126" s="449">
        <v>2412</v>
      </c>
      <c r="B126" s="450" t="s">
        <v>540</v>
      </c>
      <c r="C126" s="451"/>
      <c r="D126" s="452">
        <v>0.25</v>
      </c>
      <c r="E126" s="452">
        <f t="shared" si="9"/>
        <v>0</v>
      </c>
      <c r="F126" s="452"/>
      <c r="G126" s="452">
        <f t="shared" si="4"/>
        <v>0</v>
      </c>
      <c r="H126" s="453">
        <v>21923766</v>
      </c>
      <c r="I126" s="454">
        <v>10600380878017</v>
      </c>
      <c r="J126" s="453" t="s">
        <v>50</v>
      </c>
      <c r="K126" s="453"/>
      <c r="L126" s="449">
        <v>91976544</v>
      </c>
    </row>
    <row r="127" spans="1:14" s="177" customFormat="1" x14ac:dyDescent="0.25">
      <c r="A127" s="449">
        <v>2413</v>
      </c>
      <c r="B127" s="450" t="s">
        <v>539</v>
      </c>
      <c r="C127" s="451"/>
      <c r="D127" s="452">
        <v>0.25</v>
      </c>
      <c r="E127" s="452">
        <f t="shared" si="9"/>
        <v>0</v>
      </c>
      <c r="F127" s="452"/>
      <c r="G127" s="452">
        <f t="shared" si="4"/>
        <v>0</v>
      </c>
      <c r="H127" s="453">
        <v>4747784</v>
      </c>
      <c r="I127" s="454" t="s">
        <v>538</v>
      </c>
      <c r="J127" s="453" t="s">
        <v>18</v>
      </c>
      <c r="K127" s="453"/>
      <c r="L127" s="449">
        <v>99111159</v>
      </c>
    </row>
    <row r="128" spans="1:14" s="69" customFormat="1" x14ac:dyDescent="0.25">
      <c r="A128" s="67">
        <v>2414</v>
      </c>
      <c r="B128" s="396" t="s">
        <v>537</v>
      </c>
      <c r="C128" s="395">
        <v>157</v>
      </c>
      <c r="D128" s="210">
        <v>0.25</v>
      </c>
      <c r="E128" s="210">
        <f t="shared" si="9"/>
        <v>39.25</v>
      </c>
      <c r="F128" s="210">
        <f>38+1.25</f>
        <v>39.25</v>
      </c>
      <c r="G128" s="210">
        <f t="shared" si="4"/>
        <v>0</v>
      </c>
      <c r="H128" s="108">
        <v>21386722</v>
      </c>
      <c r="I128" s="107" t="s">
        <v>536</v>
      </c>
      <c r="J128" s="108" t="s">
        <v>18</v>
      </c>
      <c r="K128" s="108"/>
      <c r="L128" s="67">
        <v>98165777</v>
      </c>
      <c r="M128" s="69" t="s">
        <v>582</v>
      </c>
      <c r="N128" s="312" t="s">
        <v>616</v>
      </c>
    </row>
    <row r="129" spans="1:13" x14ac:dyDescent="0.25">
      <c r="A129" s="13">
        <v>2415</v>
      </c>
      <c r="B129" s="353" t="s">
        <v>535</v>
      </c>
      <c r="C129" s="393">
        <v>147.1</v>
      </c>
      <c r="D129" s="187">
        <v>0.25</v>
      </c>
      <c r="E129" s="187">
        <f t="shared" si="9"/>
        <v>36.774999999999999</v>
      </c>
      <c r="F129" s="187"/>
      <c r="G129" s="187">
        <f t="shared" si="4"/>
        <v>36.774999999999999</v>
      </c>
      <c r="H129" s="90">
        <v>10606683</v>
      </c>
      <c r="I129" s="89">
        <v>10060323147001</v>
      </c>
      <c r="J129" s="90" t="s">
        <v>50</v>
      </c>
      <c r="K129" s="90"/>
      <c r="L129" s="13">
        <v>92391517</v>
      </c>
    </row>
    <row r="130" spans="1:13" x14ac:dyDescent="0.25">
      <c r="A130" s="13">
        <v>2416</v>
      </c>
      <c r="B130" s="353" t="s">
        <v>534</v>
      </c>
      <c r="C130" s="393">
        <v>226.4</v>
      </c>
      <c r="D130" s="187">
        <v>0.25</v>
      </c>
      <c r="E130" s="187">
        <f t="shared" si="9"/>
        <v>56.6</v>
      </c>
      <c r="F130" s="187"/>
      <c r="G130" s="187">
        <f t="shared" si="4"/>
        <v>56.6</v>
      </c>
      <c r="H130" s="90">
        <v>20001264</v>
      </c>
      <c r="I130" s="89" t="s">
        <v>533</v>
      </c>
      <c r="J130" s="90" t="s">
        <v>18</v>
      </c>
      <c r="K130" s="90"/>
      <c r="L130" s="13">
        <v>90194995</v>
      </c>
    </row>
    <row r="131" spans="1:13" x14ac:dyDescent="0.25">
      <c r="A131" s="13">
        <v>2417</v>
      </c>
      <c r="B131" s="353" t="s">
        <v>532</v>
      </c>
      <c r="C131" s="393">
        <v>80.599999999999994</v>
      </c>
      <c r="D131" s="187">
        <v>0.25</v>
      </c>
      <c r="E131" s="187">
        <f t="shared" ref="E131:E162" si="10">C131*D131</f>
        <v>20.149999999999999</v>
      </c>
      <c r="F131" s="187"/>
      <c r="G131" s="187">
        <f t="shared" si="4"/>
        <v>20.149999999999999</v>
      </c>
      <c r="H131" s="90">
        <v>20133681</v>
      </c>
      <c r="I131" s="89" t="s">
        <v>531</v>
      </c>
      <c r="J131" s="90" t="s">
        <v>18</v>
      </c>
      <c r="K131" s="90"/>
      <c r="L131" s="13">
        <v>99832113</v>
      </c>
    </row>
    <row r="132" spans="1:13" x14ac:dyDescent="0.25">
      <c r="A132" s="13">
        <v>2418</v>
      </c>
      <c r="B132" s="353" t="s">
        <v>530</v>
      </c>
      <c r="C132" s="393">
        <v>299.2</v>
      </c>
      <c r="D132" s="187">
        <v>0.25</v>
      </c>
      <c r="E132" s="187">
        <f t="shared" si="10"/>
        <v>74.8</v>
      </c>
      <c r="F132" s="187"/>
      <c r="G132" s="187">
        <f t="shared" si="4"/>
        <v>74.8</v>
      </c>
      <c r="H132" s="90">
        <v>21230564</v>
      </c>
      <c r="I132" s="89" t="s">
        <v>529</v>
      </c>
      <c r="J132" s="90" t="s">
        <v>18</v>
      </c>
      <c r="K132" s="90"/>
      <c r="L132" s="13">
        <v>92763233</v>
      </c>
    </row>
    <row r="133" spans="1:13" x14ac:dyDescent="0.25">
      <c r="A133" s="13">
        <v>2419</v>
      </c>
      <c r="B133" s="353" t="s">
        <v>528</v>
      </c>
      <c r="C133" s="393">
        <v>249.1</v>
      </c>
      <c r="D133" s="187">
        <v>0.25</v>
      </c>
      <c r="E133" s="187">
        <f t="shared" si="10"/>
        <v>62.274999999999999</v>
      </c>
      <c r="F133" s="187"/>
      <c r="G133" s="187">
        <f t="shared" si="4"/>
        <v>62.274999999999999</v>
      </c>
      <c r="H133" s="90">
        <v>21970257</v>
      </c>
      <c r="I133" s="89" t="s">
        <v>527</v>
      </c>
      <c r="J133" s="90" t="s">
        <v>18</v>
      </c>
      <c r="K133" s="90"/>
      <c r="L133" s="13">
        <v>99112407</v>
      </c>
    </row>
    <row r="134" spans="1:13" s="177" customFormat="1" x14ac:dyDescent="0.25">
      <c r="A134" s="449">
        <v>2420</v>
      </c>
      <c r="B134" s="450" t="s">
        <v>526</v>
      </c>
      <c r="C134" s="451"/>
      <c r="D134" s="452">
        <v>0.25</v>
      </c>
      <c r="E134" s="452">
        <f t="shared" si="10"/>
        <v>0</v>
      </c>
      <c r="F134" s="452"/>
      <c r="G134" s="452">
        <f t="shared" ref="G134:G197" si="11">E134-F134</f>
        <v>0</v>
      </c>
      <c r="H134" s="453">
        <v>21915674</v>
      </c>
      <c r="I134" s="454" t="s">
        <v>525</v>
      </c>
      <c r="J134" s="453" t="s">
        <v>18</v>
      </c>
      <c r="K134" s="453"/>
      <c r="L134" s="449">
        <v>92477050</v>
      </c>
    </row>
    <row r="135" spans="1:13" x14ac:dyDescent="0.25">
      <c r="A135" s="13">
        <v>2421</v>
      </c>
      <c r="B135" s="353" t="s">
        <v>524</v>
      </c>
      <c r="C135" s="393">
        <v>251.9</v>
      </c>
      <c r="D135" s="187">
        <v>0.25</v>
      </c>
      <c r="E135" s="187">
        <f t="shared" si="10"/>
        <v>62.975000000000001</v>
      </c>
      <c r="F135" s="187"/>
      <c r="G135" s="187">
        <f t="shared" si="11"/>
        <v>62.975000000000001</v>
      </c>
      <c r="H135" s="90">
        <v>12449617</v>
      </c>
      <c r="I135" s="89" t="s">
        <v>523</v>
      </c>
      <c r="J135" s="90" t="s">
        <v>18</v>
      </c>
      <c r="K135" s="90"/>
      <c r="L135" s="13">
        <v>93639790</v>
      </c>
    </row>
    <row r="136" spans="1:13" x14ac:dyDescent="0.25">
      <c r="A136" s="13">
        <v>2422</v>
      </c>
      <c r="B136" s="353" t="s">
        <v>522</v>
      </c>
      <c r="C136" s="393">
        <v>267.3</v>
      </c>
      <c r="D136" s="187">
        <v>0.25</v>
      </c>
      <c r="E136" s="187">
        <f t="shared" si="10"/>
        <v>66.825000000000003</v>
      </c>
      <c r="F136" s="187"/>
      <c r="G136" s="187">
        <f t="shared" si="11"/>
        <v>66.825000000000003</v>
      </c>
      <c r="H136" s="90">
        <v>3457326</v>
      </c>
      <c r="I136" s="89" t="s">
        <v>521</v>
      </c>
      <c r="J136" s="90" t="s">
        <v>18</v>
      </c>
      <c r="K136" s="90"/>
      <c r="L136" s="13">
        <v>91290077</v>
      </c>
    </row>
    <row r="137" spans="1:13" s="69" customFormat="1" x14ac:dyDescent="0.25">
      <c r="A137" s="67">
        <v>2423</v>
      </c>
      <c r="B137" s="396" t="s">
        <v>520</v>
      </c>
      <c r="C137" s="395">
        <v>129.9</v>
      </c>
      <c r="D137" s="210">
        <v>0.25</v>
      </c>
      <c r="E137" s="210">
        <f t="shared" si="10"/>
        <v>32.475000000000001</v>
      </c>
      <c r="F137" s="210">
        <f>E137</f>
        <v>32.475000000000001</v>
      </c>
      <c r="G137" s="210">
        <f t="shared" si="11"/>
        <v>0</v>
      </c>
      <c r="H137" s="108">
        <v>19952186</v>
      </c>
      <c r="I137" s="107" t="s">
        <v>519</v>
      </c>
      <c r="J137" s="108" t="s">
        <v>18</v>
      </c>
      <c r="K137" s="108"/>
      <c r="L137" s="67">
        <v>92960031</v>
      </c>
      <c r="M137" s="312" t="s">
        <v>616</v>
      </c>
    </row>
    <row r="138" spans="1:13" s="69" customFormat="1" x14ac:dyDescent="0.25">
      <c r="A138" s="67">
        <v>2424</v>
      </c>
      <c r="B138" s="396" t="s">
        <v>518</v>
      </c>
      <c r="C138" s="395">
        <v>174</v>
      </c>
      <c r="D138" s="210">
        <v>0.25</v>
      </c>
      <c r="E138" s="210">
        <f t="shared" si="10"/>
        <v>43.5</v>
      </c>
      <c r="F138" s="210">
        <f>E138</f>
        <v>43.5</v>
      </c>
      <c r="G138" s="210">
        <f t="shared" si="11"/>
        <v>0</v>
      </c>
      <c r="H138" s="108">
        <v>24187573</v>
      </c>
      <c r="I138" s="107" t="s">
        <v>517</v>
      </c>
      <c r="J138" s="108" t="s">
        <v>18</v>
      </c>
      <c r="K138" s="108"/>
      <c r="L138" s="67">
        <v>98585956</v>
      </c>
      <c r="M138" s="312" t="s">
        <v>616</v>
      </c>
    </row>
    <row r="139" spans="1:13" s="177" customFormat="1" x14ac:dyDescent="0.25">
      <c r="A139" s="449">
        <v>2425</v>
      </c>
      <c r="B139" s="450" t="s">
        <v>516</v>
      </c>
      <c r="C139" s="451"/>
      <c r="D139" s="452">
        <v>0.25</v>
      </c>
      <c r="E139" s="452">
        <f t="shared" si="10"/>
        <v>0</v>
      </c>
      <c r="F139" s="452"/>
      <c r="G139" s="452">
        <f t="shared" si="11"/>
        <v>0</v>
      </c>
      <c r="H139" s="453">
        <v>6460241</v>
      </c>
      <c r="I139" s="454">
        <v>10830442149001</v>
      </c>
      <c r="J139" s="453" t="s">
        <v>14</v>
      </c>
      <c r="K139" s="453"/>
      <c r="L139" s="449">
        <v>92550479</v>
      </c>
    </row>
    <row r="140" spans="1:13" x14ac:dyDescent="0.25">
      <c r="A140" s="13">
        <v>2426</v>
      </c>
      <c r="B140" s="353" t="s">
        <v>515</v>
      </c>
      <c r="C140" s="393">
        <v>302.2</v>
      </c>
      <c r="D140" s="187">
        <v>0.25</v>
      </c>
      <c r="E140" s="187">
        <f t="shared" si="10"/>
        <v>75.55</v>
      </c>
      <c r="F140" s="187"/>
      <c r="G140" s="187">
        <f t="shared" si="11"/>
        <v>75.55</v>
      </c>
      <c r="H140" s="90">
        <v>8186</v>
      </c>
      <c r="I140" s="89">
        <v>3129202361500</v>
      </c>
      <c r="J140" s="90" t="s">
        <v>81</v>
      </c>
      <c r="K140" s="90"/>
      <c r="L140" s="13"/>
    </row>
    <row r="141" spans="1:13" x14ac:dyDescent="0.25">
      <c r="A141" s="13">
        <v>2427</v>
      </c>
      <c r="B141" s="353" t="s">
        <v>514</v>
      </c>
      <c r="C141" s="393">
        <v>163.6</v>
      </c>
      <c r="D141" s="187">
        <v>0.25</v>
      </c>
      <c r="E141" s="187">
        <f t="shared" si="10"/>
        <v>40.9</v>
      </c>
      <c r="F141" s="187"/>
      <c r="G141" s="187">
        <f t="shared" si="11"/>
        <v>40.9</v>
      </c>
      <c r="H141" s="90">
        <v>24992905</v>
      </c>
      <c r="I141" s="89" t="s">
        <v>513</v>
      </c>
      <c r="J141" s="90" t="s">
        <v>11</v>
      </c>
      <c r="K141" s="90"/>
      <c r="L141" s="13">
        <v>91222276</v>
      </c>
    </row>
    <row r="142" spans="1:13" s="69" customFormat="1" x14ac:dyDescent="0.25">
      <c r="A142" s="67">
        <v>2428</v>
      </c>
      <c r="B142" s="396" t="s">
        <v>512</v>
      </c>
      <c r="C142" s="395">
        <v>227.5</v>
      </c>
      <c r="D142" s="210">
        <v>0.25</v>
      </c>
      <c r="E142" s="210">
        <f t="shared" si="10"/>
        <v>56.875</v>
      </c>
      <c r="F142" s="210">
        <f>E142</f>
        <v>56.875</v>
      </c>
      <c r="G142" s="210">
        <f t="shared" si="11"/>
        <v>0</v>
      </c>
      <c r="H142" s="108">
        <v>1254982</v>
      </c>
      <c r="I142" s="107" t="s">
        <v>412</v>
      </c>
      <c r="J142" s="108" t="s">
        <v>11</v>
      </c>
      <c r="K142" s="108"/>
      <c r="L142" s="67">
        <v>92566993</v>
      </c>
      <c r="M142" s="312" t="s">
        <v>619</v>
      </c>
    </row>
    <row r="143" spans="1:13" x14ac:dyDescent="0.25">
      <c r="A143" s="13">
        <v>2429</v>
      </c>
      <c r="B143" s="353" t="s">
        <v>511</v>
      </c>
      <c r="C143" s="393">
        <v>225.7</v>
      </c>
      <c r="D143" s="187">
        <v>0.25</v>
      </c>
      <c r="E143" s="187">
        <f t="shared" si="10"/>
        <v>56.424999999999997</v>
      </c>
      <c r="F143" s="187"/>
      <c r="G143" s="187">
        <f t="shared" si="11"/>
        <v>56.424999999999997</v>
      </c>
      <c r="H143" s="90">
        <v>21219395</v>
      </c>
      <c r="I143" s="89" t="s">
        <v>510</v>
      </c>
      <c r="J143" s="90" t="s">
        <v>11</v>
      </c>
      <c r="K143" s="90"/>
      <c r="L143" s="13">
        <v>92983191</v>
      </c>
    </row>
    <row r="144" spans="1:13" s="69" customFormat="1" x14ac:dyDescent="0.25">
      <c r="A144" s="67">
        <v>2430</v>
      </c>
      <c r="B144" s="396" t="s">
        <v>509</v>
      </c>
      <c r="C144" s="395">
        <v>331.2</v>
      </c>
      <c r="D144" s="210">
        <v>0.25</v>
      </c>
      <c r="E144" s="210">
        <f t="shared" si="10"/>
        <v>82.8</v>
      </c>
      <c r="F144" s="210">
        <f>E144</f>
        <v>82.8</v>
      </c>
      <c r="G144" s="210">
        <f t="shared" si="11"/>
        <v>0</v>
      </c>
      <c r="H144" s="108">
        <v>5961982</v>
      </c>
      <c r="I144" s="107" t="s">
        <v>508</v>
      </c>
      <c r="J144" s="108" t="s">
        <v>50</v>
      </c>
      <c r="K144" s="108"/>
      <c r="L144" s="67">
        <v>99787037</v>
      </c>
      <c r="M144" s="312" t="s">
        <v>606</v>
      </c>
    </row>
    <row r="145" spans="1:13" x14ac:dyDescent="0.25">
      <c r="A145" s="13">
        <v>2431</v>
      </c>
      <c r="B145" s="353" t="s">
        <v>507</v>
      </c>
      <c r="C145" s="393">
        <v>199.2</v>
      </c>
      <c r="D145" s="187">
        <v>0.25</v>
      </c>
      <c r="E145" s="187">
        <f t="shared" si="10"/>
        <v>49.8</v>
      </c>
      <c r="F145" s="187"/>
      <c r="G145" s="187">
        <f t="shared" si="11"/>
        <v>49.8</v>
      </c>
      <c r="H145" s="90">
        <v>7534764</v>
      </c>
      <c r="I145" s="89" t="s">
        <v>506</v>
      </c>
      <c r="J145" s="90" t="s">
        <v>14</v>
      </c>
      <c r="K145" s="90"/>
      <c r="L145" s="13">
        <v>91222276</v>
      </c>
    </row>
    <row r="146" spans="1:13" x14ac:dyDescent="0.25">
      <c r="A146" s="13">
        <v>2432</v>
      </c>
      <c r="B146" s="353" t="s">
        <v>505</v>
      </c>
      <c r="C146" s="393">
        <v>218.5</v>
      </c>
      <c r="D146" s="187">
        <v>0.25</v>
      </c>
      <c r="E146" s="187">
        <f t="shared" si="10"/>
        <v>54.625</v>
      </c>
      <c r="F146" s="187"/>
      <c r="G146" s="187">
        <f t="shared" si="11"/>
        <v>54.625</v>
      </c>
      <c r="H146" s="90">
        <v>7534801</v>
      </c>
      <c r="I146" s="89" t="s">
        <v>504</v>
      </c>
      <c r="J146" s="90" t="s">
        <v>14</v>
      </c>
      <c r="K146" s="90"/>
      <c r="L146" s="13">
        <v>91222276</v>
      </c>
    </row>
    <row r="147" spans="1:13" s="69" customFormat="1" x14ac:dyDescent="0.25">
      <c r="A147" s="67">
        <v>2433</v>
      </c>
      <c r="B147" s="396" t="s">
        <v>503</v>
      </c>
      <c r="C147" s="395">
        <v>295.5</v>
      </c>
      <c r="D147" s="210">
        <v>0.25</v>
      </c>
      <c r="E147" s="210">
        <f t="shared" si="10"/>
        <v>73.875</v>
      </c>
      <c r="F147" s="210">
        <f>E147</f>
        <v>73.875</v>
      </c>
      <c r="G147" s="210">
        <f t="shared" si="11"/>
        <v>0</v>
      </c>
      <c r="H147" s="108">
        <v>5911959</v>
      </c>
      <c r="I147" s="107" t="s">
        <v>502</v>
      </c>
      <c r="J147" s="108" t="s">
        <v>14</v>
      </c>
      <c r="K147" s="108"/>
      <c r="L147" s="67">
        <v>99195434</v>
      </c>
      <c r="M147" s="312" t="s">
        <v>621</v>
      </c>
    </row>
    <row r="148" spans="1:13" s="69" customFormat="1" x14ac:dyDescent="0.25">
      <c r="A148" s="67">
        <v>2434</v>
      </c>
      <c r="B148" s="396" t="s">
        <v>501</v>
      </c>
      <c r="C148" s="395">
        <v>235.3</v>
      </c>
      <c r="D148" s="210">
        <v>0.25</v>
      </c>
      <c r="E148" s="210">
        <f t="shared" si="10"/>
        <v>58.825000000000003</v>
      </c>
      <c r="F148" s="210">
        <f>E148</f>
        <v>58.825000000000003</v>
      </c>
      <c r="G148" s="210">
        <f t="shared" si="11"/>
        <v>0</v>
      </c>
      <c r="H148" s="108">
        <v>5725461</v>
      </c>
      <c r="I148" s="107" t="s">
        <v>500</v>
      </c>
      <c r="J148" s="108" t="s">
        <v>11</v>
      </c>
      <c r="K148" s="108"/>
      <c r="L148" s="67">
        <v>91337496</v>
      </c>
      <c r="M148" s="312" t="s">
        <v>620</v>
      </c>
    </row>
    <row r="149" spans="1:13" s="69" customFormat="1" x14ac:dyDescent="0.25">
      <c r="A149" s="67">
        <v>2435</v>
      </c>
      <c r="B149" s="396" t="s">
        <v>499</v>
      </c>
      <c r="C149" s="395">
        <v>306.3</v>
      </c>
      <c r="D149" s="210">
        <v>0.25</v>
      </c>
      <c r="E149" s="210">
        <f t="shared" si="10"/>
        <v>76.575000000000003</v>
      </c>
      <c r="F149" s="210">
        <f>E149</f>
        <v>76.575000000000003</v>
      </c>
      <c r="G149" s="210">
        <f t="shared" si="11"/>
        <v>0</v>
      </c>
      <c r="H149" s="108">
        <v>1253923</v>
      </c>
      <c r="I149" s="107">
        <v>1006261375017</v>
      </c>
      <c r="J149" s="108" t="s">
        <v>50</v>
      </c>
      <c r="K149" s="108"/>
      <c r="L149" s="67">
        <v>93638182</v>
      </c>
      <c r="M149" s="312" t="s">
        <v>620</v>
      </c>
    </row>
    <row r="150" spans="1:13" x14ac:dyDescent="0.25">
      <c r="A150" s="13">
        <v>2436</v>
      </c>
      <c r="B150" s="353" t="s">
        <v>498</v>
      </c>
      <c r="C150" s="393">
        <v>19.3</v>
      </c>
      <c r="D150" s="187">
        <v>0.25</v>
      </c>
      <c r="E150" s="187">
        <f t="shared" si="10"/>
        <v>4.8250000000000002</v>
      </c>
      <c r="F150" s="187"/>
      <c r="G150" s="187">
        <f t="shared" si="11"/>
        <v>4.8250000000000002</v>
      </c>
      <c r="H150" s="90">
        <v>675043</v>
      </c>
      <c r="I150" s="89" t="s">
        <v>496</v>
      </c>
      <c r="J150" s="90" t="s">
        <v>11</v>
      </c>
      <c r="K150" s="90"/>
      <c r="L150" s="13">
        <v>92411044</v>
      </c>
    </row>
    <row r="151" spans="1:13" x14ac:dyDescent="0.25">
      <c r="A151" s="13">
        <v>2437</v>
      </c>
      <c r="B151" s="353" t="s">
        <v>497</v>
      </c>
      <c r="C151" s="393">
        <v>9.3000000000000007</v>
      </c>
      <c r="D151" s="187">
        <v>0.25</v>
      </c>
      <c r="E151" s="187">
        <f t="shared" si="10"/>
        <v>2.3250000000000002</v>
      </c>
      <c r="F151" s="187"/>
      <c r="G151" s="187">
        <f t="shared" si="11"/>
        <v>2.3250000000000002</v>
      </c>
      <c r="H151" s="90">
        <v>22984194</v>
      </c>
      <c r="I151" s="89" t="s">
        <v>496</v>
      </c>
      <c r="J151" s="90" t="s">
        <v>11</v>
      </c>
      <c r="K151" s="90"/>
      <c r="L151" s="13">
        <v>98152202</v>
      </c>
    </row>
    <row r="152" spans="1:13" s="177" customFormat="1" x14ac:dyDescent="0.25">
      <c r="A152" s="449">
        <v>2438</v>
      </c>
      <c r="B152" s="450" t="s">
        <v>495</v>
      </c>
      <c r="C152" s="451"/>
      <c r="D152" s="452">
        <v>0.25</v>
      </c>
      <c r="E152" s="452">
        <f t="shared" si="10"/>
        <v>0</v>
      </c>
      <c r="F152" s="452"/>
      <c r="G152" s="452">
        <f t="shared" si="11"/>
        <v>0</v>
      </c>
      <c r="H152" s="453">
        <v>7813752</v>
      </c>
      <c r="I152" s="454">
        <v>3109611932700</v>
      </c>
      <c r="J152" s="453" t="s">
        <v>81</v>
      </c>
      <c r="K152" s="453"/>
      <c r="L152" s="449">
        <v>92746334</v>
      </c>
    </row>
    <row r="153" spans="1:13" s="69" customFormat="1" x14ac:dyDescent="0.25">
      <c r="A153" s="67">
        <v>2439</v>
      </c>
      <c r="B153" s="396" t="s">
        <v>494</v>
      </c>
      <c r="C153" s="395">
        <v>188.6</v>
      </c>
      <c r="D153" s="210">
        <v>0.25</v>
      </c>
      <c r="E153" s="210">
        <f t="shared" si="10"/>
        <v>47.15</v>
      </c>
      <c r="F153" s="210">
        <f>E153</f>
        <v>47.15</v>
      </c>
      <c r="G153" s="210">
        <f t="shared" si="11"/>
        <v>0</v>
      </c>
      <c r="H153" s="108">
        <v>5207939</v>
      </c>
      <c r="I153" s="107" t="s">
        <v>481</v>
      </c>
      <c r="J153" s="108" t="s">
        <v>11</v>
      </c>
      <c r="K153" s="108"/>
      <c r="L153" s="67">
        <v>92850044</v>
      </c>
      <c r="M153" s="312" t="s">
        <v>618</v>
      </c>
    </row>
    <row r="154" spans="1:13" s="69" customFormat="1" x14ac:dyDescent="0.25">
      <c r="A154" s="67">
        <v>2440</v>
      </c>
      <c r="B154" s="396" t="s">
        <v>493</v>
      </c>
      <c r="C154" s="395">
        <v>170.2</v>
      </c>
      <c r="D154" s="210">
        <v>0.25</v>
      </c>
      <c r="E154" s="210">
        <f t="shared" si="10"/>
        <v>42.55</v>
      </c>
      <c r="F154" s="210">
        <f>E154</f>
        <v>42.55</v>
      </c>
      <c r="G154" s="210">
        <f t="shared" si="11"/>
        <v>0</v>
      </c>
      <c r="H154" s="108">
        <v>5208008</v>
      </c>
      <c r="I154" s="107" t="s">
        <v>481</v>
      </c>
      <c r="J154" s="108" t="s">
        <v>11</v>
      </c>
      <c r="K154" s="108"/>
      <c r="L154" s="67">
        <v>95242286</v>
      </c>
      <c r="M154" s="312" t="s">
        <v>618</v>
      </c>
    </row>
    <row r="155" spans="1:13" s="69" customFormat="1" x14ac:dyDescent="0.25">
      <c r="A155" s="67">
        <v>2441</v>
      </c>
      <c r="B155" s="396" t="s">
        <v>492</v>
      </c>
      <c r="C155" s="395">
        <v>80.8</v>
      </c>
      <c r="D155" s="210">
        <v>0.25</v>
      </c>
      <c r="E155" s="210">
        <f t="shared" si="10"/>
        <v>20.2</v>
      </c>
      <c r="F155" s="210">
        <f>E155</f>
        <v>20.2</v>
      </c>
      <c r="G155" s="210">
        <f t="shared" si="11"/>
        <v>0</v>
      </c>
      <c r="H155" s="108">
        <v>25029513</v>
      </c>
      <c r="I155" s="107" t="s">
        <v>491</v>
      </c>
      <c r="J155" s="108" t="s">
        <v>11</v>
      </c>
      <c r="K155" s="108"/>
      <c r="L155" s="67">
        <v>91133515</v>
      </c>
      <c r="M155" s="312" t="s">
        <v>616</v>
      </c>
    </row>
    <row r="156" spans="1:13" x14ac:dyDescent="0.25">
      <c r="A156" s="13">
        <v>2442</v>
      </c>
      <c r="B156" s="353" t="s">
        <v>490</v>
      </c>
      <c r="C156" s="393">
        <v>62.3</v>
      </c>
      <c r="D156" s="187">
        <v>0.25</v>
      </c>
      <c r="E156" s="187">
        <f t="shared" si="10"/>
        <v>15.574999999999999</v>
      </c>
      <c r="F156" s="187"/>
      <c r="G156" s="187">
        <f t="shared" si="11"/>
        <v>15.574999999999999</v>
      </c>
      <c r="H156" s="90">
        <v>4741692</v>
      </c>
      <c r="I156" s="89" t="s">
        <v>489</v>
      </c>
      <c r="J156" s="90" t="s">
        <v>11</v>
      </c>
      <c r="K156" s="90"/>
      <c r="L156" s="13">
        <v>99832113</v>
      </c>
    </row>
    <row r="157" spans="1:13" x14ac:dyDescent="0.25">
      <c r="A157" s="13">
        <v>2443</v>
      </c>
      <c r="B157" s="353" t="s">
        <v>488</v>
      </c>
      <c r="C157" s="393">
        <v>112.1</v>
      </c>
      <c r="D157" s="187">
        <v>0.25</v>
      </c>
      <c r="E157" s="187">
        <f t="shared" si="10"/>
        <v>28.024999999999999</v>
      </c>
      <c r="F157" s="187"/>
      <c r="G157" s="187">
        <f t="shared" si="11"/>
        <v>28.024999999999999</v>
      </c>
      <c r="H157" s="90">
        <v>18184709</v>
      </c>
      <c r="I157" s="89" t="s">
        <v>487</v>
      </c>
      <c r="J157" s="90" t="s">
        <v>11</v>
      </c>
      <c r="K157" s="90"/>
      <c r="L157" s="13">
        <v>92953353</v>
      </c>
    </row>
    <row r="158" spans="1:13" x14ac:dyDescent="0.25">
      <c r="A158" s="13">
        <v>2444</v>
      </c>
      <c r="B158" s="353" t="s">
        <v>486</v>
      </c>
      <c r="C158" s="393">
        <v>328.5</v>
      </c>
      <c r="D158" s="187">
        <v>0.25</v>
      </c>
      <c r="E158" s="187">
        <f t="shared" si="10"/>
        <v>82.125</v>
      </c>
      <c r="F158" s="187"/>
      <c r="G158" s="187">
        <f t="shared" si="11"/>
        <v>82.125</v>
      </c>
      <c r="H158" s="90">
        <v>24568402</v>
      </c>
      <c r="I158" s="89" t="s">
        <v>485</v>
      </c>
      <c r="J158" s="90" t="s">
        <v>11</v>
      </c>
      <c r="K158" s="90"/>
      <c r="L158" s="13">
        <v>91199565</v>
      </c>
    </row>
    <row r="159" spans="1:13" x14ac:dyDescent="0.25">
      <c r="A159" s="13">
        <v>2445</v>
      </c>
      <c r="B159" s="353" t="s">
        <v>484</v>
      </c>
      <c r="C159" s="393">
        <v>38.200000000000003</v>
      </c>
      <c r="D159" s="187">
        <v>0.25</v>
      </c>
      <c r="E159" s="187">
        <f t="shared" si="10"/>
        <v>9.5500000000000007</v>
      </c>
      <c r="F159" s="187"/>
      <c r="G159" s="187">
        <f t="shared" si="11"/>
        <v>9.5500000000000007</v>
      </c>
      <c r="H159" s="90">
        <v>4710747</v>
      </c>
      <c r="I159" s="89" t="s">
        <v>483</v>
      </c>
      <c r="J159" s="90" t="s">
        <v>11</v>
      </c>
      <c r="K159" s="90"/>
      <c r="L159" s="13">
        <v>99272177</v>
      </c>
    </row>
    <row r="160" spans="1:13" s="69" customFormat="1" x14ac:dyDescent="0.25">
      <c r="A160" s="67">
        <v>2446</v>
      </c>
      <c r="B160" s="396" t="s">
        <v>482</v>
      </c>
      <c r="C160" s="395">
        <v>127.5</v>
      </c>
      <c r="D160" s="210">
        <v>0.25</v>
      </c>
      <c r="E160" s="210">
        <f t="shared" si="10"/>
        <v>31.875</v>
      </c>
      <c r="F160" s="210">
        <f>E160</f>
        <v>31.875</v>
      </c>
      <c r="G160" s="210">
        <f t="shared" si="11"/>
        <v>0</v>
      </c>
      <c r="H160" s="108">
        <v>24608881</v>
      </c>
      <c r="I160" s="107" t="s">
        <v>481</v>
      </c>
      <c r="J160" s="108" t="s">
        <v>11</v>
      </c>
      <c r="K160" s="108"/>
      <c r="L160" s="67">
        <v>99488331</v>
      </c>
      <c r="M160" s="312" t="s">
        <v>618</v>
      </c>
    </row>
    <row r="161" spans="1:14" x14ac:dyDescent="0.25">
      <c r="A161" s="13">
        <v>2447</v>
      </c>
      <c r="B161" s="353" t="s">
        <v>480</v>
      </c>
      <c r="C161" s="393">
        <v>245.1</v>
      </c>
      <c r="D161" s="187">
        <v>0.25</v>
      </c>
      <c r="E161" s="187">
        <f t="shared" si="10"/>
        <v>61.274999999999999</v>
      </c>
      <c r="F161" s="187"/>
      <c r="G161" s="187">
        <f t="shared" si="11"/>
        <v>61.274999999999999</v>
      </c>
      <c r="H161" s="90">
        <v>4815215</v>
      </c>
      <c r="I161" s="89" t="s">
        <v>479</v>
      </c>
      <c r="J161" s="90" t="s">
        <v>11</v>
      </c>
      <c r="K161" s="90"/>
      <c r="L161" s="13">
        <v>99697227</v>
      </c>
    </row>
    <row r="162" spans="1:14" x14ac:dyDescent="0.25">
      <c r="A162" s="13">
        <v>2448</v>
      </c>
      <c r="B162" s="353" t="s">
        <v>478</v>
      </c>
      <c r="C162" s="393">
        <v>227.2</v>
      </c>
      <c r="D162" s="187">
        <v>0.25</v>
      </c>
      <c r="E162" s="187">
        <f t="shared" si="10"/>
        <v>56.8</v>
      </c>
      <c r="F162" s="187"/>
      <c r="G162" s="187">
        <f t="shared" si="11"/>
        <v>56.8</v>
      </c>
      <c r="H162" s="90">
        <v>4815197</v>
      </c>
      <c r="I162" s="89" t="s">
        <v>477</v>
      </c>
      <c r="J162" s="90" t="s">
        <v>11</v>
      </c>
      <c r="K162" s="90"/>
      <c r="L162" s="13">
        <v>99697227</v>
      </c>
    </row>
    <row r="163" spans="1:14" s="177" customFormat="1" x14ac:dyDescent="0.25">
      <c r="A163" s="449">
        <v>2449</v>
      </c>
      <c r="B163" s="450" t="s">
        <v>476</v>
      </c>
      <c r="C163" s="451"/>
      <c r="D163" s="452">
        <v>0.25</v>
      </c>
      <c r="E163" s="452">
        <f t="shared" ref="E163:E194" si="12">C163*D163</f>
        <v>0</v>
      </c>
      <c r="F163" s="452"/>
      <c r="G163" s="452">
        <f t="shared" si="11"/>
        <v>0</v>
      </c>
      <c r="H163" s="453">
        <v>24912693</v>
      </c>
      <c r="I163" s="454" t="s">
        <v>475</v>
      </c>
      <c r="J163" s="453" t="s">
        <v>11</v>
      </c>
      <c r="K163" s="453"/>
      <c r="L163" s="449">
        <v>98061810</v>
      </c>
    </row>
    <row r="164" spans="1:14" s="177" customFormat="1" x14ac:dyDescent="0.25">
      <c r="A164" s="449">
        <v>2450</v>
      </c>
      <c r="B164" s="450" t="s">
        <v>474</v>
      </c>
      <c r="C164" s="451"/>
      <c r="D164" s="452">
        <v>0.25</v>
      </c>
      <c r="E164" s="452">
        <f t="shared" si="12"/>
        <v>0</v>
      </c>
      <c r="F164" s="452"/>
      <c r="G164" s="452">
        <f t="shared" si="11"/>
        <v>0</v>
      </c>
      <c r="H164" s="453">
        <v>27754827</v>
      </c>
      <c r="I164" s="454">
        <v>10600543787017</v>
      </c>
      <c r="J164" s="453" t="s">
        <v>50</v>
      </c>
      <c r="K164" s="453"/>
      <c r="L164" s="449">
        <v>98061810</v>
      </c>
    </row>
    <row r="165" spans="1:14" s="69" customFormat="1" x14ac:dyDescent="0.25">
      <c r="A165" s="67">
        <v>2451</v>
      </c>
      <c r="B165" s="396" t="s">
        <v>473</v>
      </c>
      <c r="C165" s="395">
        <v>89.1</v>
      </c>
      <c r="D165" s="210">
        <v>0.25</v>
      </c>
      <c r="E165" s="210">
        <f t="shared" si="12"/>
        <v>22.274999999999999</v>
      </c>
      <c r="F165" s="210">
        <f>E165</f>
        <v>22.274999999999999</v>
      </c>
      <c r="G165" s="210">
        <f t="shared" si="11"/>
        <v>0</v>
      </c>
      <c r="H165" s="108">
        <v>5679738</v>
      </c>
      <c r="I165" s="107" t="s">
        <v>356</v>
      </c>
      <c r="J165" s="108" t="s">
        <v>11</v>
      </c>
      <c r="K165" s="108"/>
      <c r="L165" s="67">
        <v>95606291</v>
      </c>
      <c r="M165" s="312" t="s">
        <v>618</v>
      </c>
    </row>
    <row r="166" spans="1:14" s="177" customFormat="1" x14ac:dyDescent="0.25">
      <c r="A166" s="449">
        <v>2452</v>
      </c>
      <c r="B166" s="450" t="s">
        <v>472</v>
      </c>
      <c r="C166" s="451"/>
      <c r="D166" s="452">
        <v>0.25</v>
      </c>
      <c r="E166" s="452">
        <f t="shared" si="12"/>
        <v>0</v>
      </c>
      <c r="F166" s="452"/>
      <c r="G166" s="452">
        <f t="shared" si="11"/>
        <v>0</v>
      </c>
      <c r="H166" s="453">
        <v>23192109</v>
      </c>
      <c r="I166" s="454" t="s">
        <v>471</v>
      </c>
      <c r="J166" s="453" t="s">
        <v>11</v>
      </c>
      <c r="K166" s="453"/>
      <c r="L166" s="449">
        <v>98550071</v>
      </c>
    </row>
    <row r="167" spans="1:14" s="177" customFormat="1" x14ac:dyDescent="0.25">
      <c r="A167" s="449">
        <v>2453</v>
      </c>
      <c r="B167" s="450" t="s">
        <v>470</v>
      </c>
      <c r="C167" s="451"/>
      <c r="D167" s="452">
        <v>0.25</v>
      </c>
      <c r="E167" s="452">
        <f t="shared" si="12"/>
        <v>0</v>
      </c>
      <c r="F167" s="452"/>
      <c r="G167" s="452">
        <f t="shared" si="11"/>
        <v>0</v>
      </c>
      <c r="H167" s="453">
        <v>27461</v>
      </c>
      <c r="I167" s="454" t="s">
        <v>469</v>
      </c>
      <c r="J167" s="453" t="s">
        <v>11</v>
      </c>
      <c r="K167" s="453"/>
      <c r="L167" s="449">
        <v>99287760</v>
      </c>
    </row>
    <row r="168" spans="1:14" s="177" customFormat="1" x14ac:dyDescent="0.25">
      <c r="A168" s="449">
        <v>2454</v>
      </c>
      <c r="B168" s="450" t="s">
        <v>468</v>
      </c>
      <c r="C168" s="451"/>
      <c r="D168" s="452">
        <v>0.25</v>
      </c>
      <c r="E168" s="452">
        <f t="shared" si="12"/>
        <v>0</v>
      </c>
      <c r="F168" s="452"/>
      <c r="G168" s="452">
        <f t="shared" si="11"/>
        <v>0</v>
      </c>
      <c r="H168" s="453">
        <v>6225617</v>
      </c>
      <c r="I168" s="471" t="s">
        <v>625</v>
      </c>
      <c r="J168" s="453" t="s">
        <v>11</v>
      </c>
      <c r="K168" s="453"/>
      <c r="L168" s="449">
        <v>99549846</v>
      </c>
      <c r="M168" s="177" t="s">
        <v>588</v>
      </c>
    </row>
    <row r="169" spans="1:14" s="69" customFormat="1" x14ac:dyDescent="0.25">
      <c r="A169" s="67">
        <v>2455</v>
      </c>
      <c r="B169" s="396" t="s">
        <v>466</v>
      </c>
      <c r="C169" s="395">
        <v>59.6</v>
      </c>
      <c r="D169" s="210">
        <v>0.25</v>
      </c>
      <c r="E169" s="210">
        <f t="shared" si="12"/>
        <v>14.9</v>
      </c>
      <c r="F169" s="210">
        <f>E169</f>
        <v>14.9</v>
      </c>
      <c r="G169" s="210">
        <f t="shared" si="11"/>
        <v>0</v>
      </c>
      <c r="H169" s="108">
        <v>18834778</v>
      </c>
      <c r="I169" s="107">
        <v>10600275516017</v>
      </c>
      <c r="J169" s="108" t="s">
        <v>50</v>
      </c>
      <c r="K169" s="108"/>
      <c r="L169" s="67">
        <v>99151242</v>
      </c>
      <c r="M169" s="312" t="s">
        <v>619</v>
      </c>
    </row>
    <row r="170" spans="1:14" s="177" customFormat="1" x14ac:dyDescent="0.25">
      <c r="A170" s="449">
        <v>2456</v>
      </c>
      <c r="B170" s="450" t="s">
        <v>465</v>
      </c>
      <c r="C170" s="451"/>
      <c r="D170" s="452">
        <v>0.25</v>
      </c>
      <c r="E170" s="452">
        <f t="shared" si="12"/>
        <v>0</v>
      </c>
      <c r="F170" s="452"/>
      <c r="G170" s="452">
        <f t="shared" si="11"/>
        <v>0</v>
      </c>
      <c r="H170" s="453">
        <v>8743576</v>
      </c>
      <c r="I170" s="454">
        <v>1006421917017</v>
      </c>
      <c r="J170" s="453" t="s">
        <v>50</v>
      </c>
      <c r="K170" s="453"/>
      <c r="L170" s="449">
        <v>92627406</v>
      </c>
    </row>
    <row r="171" spans="1:14" s="69" customFormat="1" x14ac:dyDescent="0.25">
      <c r="A171" s="61">
        <v>2500</v>
      </c>
      <c r="B171" s="79" t="s">
        <v>242</v>
      </c>
      <c r="C171" s="395">
        <v>2169.5</v>
      </c>
      <c r="D171" s="210">
        <v>0.25</v>
      </c>
      <c r="E171" s="210">
        <f t="shared" si="12"/>
        <v>542.375</v>
      </c>
      <c r="F171" s="210">
        <f>0.62499999999995+541.5</f>
        <v>542.125</v>
      </c>
      <c r="G171" s="210">
        <f t="shared" si="11"/>
        <v>0.25</v>
      </c>
      <c r="H171" s="114">
        <v>19597106</v>
      </c>
      <c r="I171" s="115" t="s">
        <v>243</v>
      </c>
      <c r="J171" s="116" t="s">
        <v>11</v>
      </c>
      <c r="K171" s="116" t="s">
        <v>47</v>
      </c>
      <c r="L171" s="80">
        <v>95499996</v>
      </c>
      <c r="M171" s="258">
        <v>45941</v>
      </c>
      <c r="N171" s="258">
        <v>45881</v>
      </c>
    </row>
    <row r="172" spans="1:14" s="69" customFormat="1" x14ac:dyDescent="0.25">
      <c r="A172" s="61">
        <v>2501</v>
      </c>
      <c r="B172" s="79" t="s">
        <v>244</v>
      </c>
      <c r="C172" s="395">
        <v>615.4</v>
      </c>
      <c r="D172" s="210">
        <v>0.25</v>
      </c>
      <c r="E172" s="210">
        <f t="shared" si="12"/>
        <v>153.85</v>
      </c>
      <c r="F172" s="210">
        <f>150.475+3.375</f>
        <v>153.85</v>
      </c>
      <c r="G172" s="210">
        <f t="shared" si="11"/>
        <v>0</v>
      </c>
      <c r="H172" s="114">
        <v>15593565</v>
      </c>
      <c r="I172" s="115" t="s">
        <v>245</v>
      </c>
      <c r="J172" s="116" t="s">
        <v>11</v>
      </c>
      <c r="K172" s="116" t="s">
        <v>47</v>
      </c>
      <c r="L172" s="80">
        <v>92757472</v>
      </c>
      <c r="M172" s="69" t="s">
        <v>582</v>
      </c>
      <c r="N172" s="312" t="s">
        <v>616</v>
      </c>
    </row>
    <row r="173" spans="1:14" x14ac:dyDescent="0.25">
      <c r="A173" s="17">
        <v>2502</v>
      </c>
      <c r="B173" s="74" t="s">
        <v>27</v>
      </c>
      <c r="C173" s="393">
        <v>956.3</v>
      </c>
      <c r="D173" s="187">
        <v>0.25</v>
      </c>
      <c r="E173" s="187">
        <f t="shared" si="12"/>
        <v>239.07499999999999</v>
      </c>
      <c r="F173" s="187"/>
      <c r="G173" s="187">
        <f t="shared" si="11"/>
        <v>239.07499999999999</v>
      </c>
      <c r="H173" s="93">
        <v>6231138</v>
      </c>
      <c r="I173" s="95" t="s">
        <v>246</v>
      </c>
      <c r="J173" s="94" t="s">
        <v>11</v>
      </c>
      <c r="K173" s="94" t="s">
        <v>47</v>
      </c>
      <c r="L173" s="39">
        <v>96940393</v>
      </c>
    </row>
    <row r="174" spans="1:14" x14ac:dyDescent="0.25">
      <c r="A174" s="61">
        <v>2503</v>
      </c>
      <c r="B174" s="79" t="s">
        <v>247</v>
      </c>
      <c r="C174" s="395">
        <v>752.3</v>
      </c>
      <c r="D174" s="210">
        <v>0.25</v>
      </c>
      <c r="E174" s="210">
        <f t="shared" si="12"/>
        <v>188.07499999999999</v>
      </c>
      <c r="F174" s="210">
        <f>183.525+4.55</f>
        <v>188.07500000000002</v>
      </c>
      <c r="G174" s="210">
        <f t="shared" si="11"/>
        <v>0</v>
      </c>
      <c r="H174" s="114">
        <v>568083</v>
      </c>
      <c r="I174" s="115" t="s">
        <v>248</v>
      </c>
      <c r="J174" s="116" t="s">
        <v>249</v>
      </c>
      <c r="K174" s="116" t="s">
        <v>250</v>
      </c>
      <c r="L174" s="80">
        <v>98146666</v>
      </c>
      <c r="M174" s="258">
        <v>45788</v>
      </c>
      <c r="N174" s="312" t="s">
        <v>619</v>
      </c>
    </row>
    <row r="175" spans="1:14" x14ac:dyDescent="0.25">
      <c r="A175" s="17">
        <v>2504</v>
      </c>
      <c r="B175" s="74" t="s">
        <v>323</v>
      </c>
      <c r="C175" s="393">
        <v>550.79999999999995</v>
      </c>
      <c r="D175" s="187">
        <v>0.25</v>
      </c>
      <c r="E175" s="187">
        <f t="shared" si="12"/>
        <v>137.69999999999999</v>
      </c>
      <c r="F175" s="187"/>
      <c r="G175" s="187">
        <f t="shared" si="11"/>
        <v>137.69999999999999</v>
      </c>
      <c r="H175" s="38">
        <v>6296825</v>
      </c>
      <c r="I175" s="95">
        <v>1011059043002</v>
      </c>
      <c r="J175" s="93" t="s">
        <v>14</v>
      </c>
      <c r="K175" s="39" t="s">
        <v>55</v>
      </c>
      <c r="L175" s="39">
        <v>96768800</v>
      </c>
    </row>
    <row r="176" spans="1:14" x14ac:dyDescent="0.25">
      <c r="A176" s="17">
        <v>2505</v>
      </c>
      <c r="B176" s="74" t="s">
        <v>251</v>
      </c>
      <c r="C176" s="393">
        <v>899.3</v>
      </c>
      <c r="D176" s="187">
        <v>0.25</v>
      </c>
      <c r="E176" s="187">
        <f t="shared" si="12"/>
        <v>224.82499999999999</v>
      </c>
      <c r="F176" s="187"/>
      <c r="G176" s="187">
        <f t="shared" si="11"/>
        <v>224.82499999999999</v>
      </c>
      <c r="H176" s="93">
        <v>257889</v>
      </c>
      <c r="I176" s="95" t="s">
        <v>252</v>
      </c>
      <c r="J176" s="94" t="s">
        <v>11</v>
      </c>
      <c r="K176" s="94" t="s">
        <v>47</v>
      </c>
      <c r="L176" s="39">
        <v>99492623</v>
      </c>
    </row>
    <row r="177" spans="1:14" x14ac:dyDescent="0.25">
      <c r="A177" s="17">
        <v>2506</v>
      </c>
      <c r="B177" s="74" t="s">
        <v>253</v>
      </c>
      <c r="C177" s="393">
        <v>960.4</v>
      </c>
      <c r="D177" s="187">
        <v>0.25</v>
      </c>
      <c r="E177" s="187">
        <f t="shared" si="12"/>
        <v>240.1</v>
      </c>
      <c r="F177" s="187"/>
      <c r="G177" s="187">
        <f t="shared" si="11"/>
        <v>240.1</v>
      </c>
      <c r="H177" s="93">
        <v>11082822</v>
      </c>
      <c r="I177" s="95" t="s">
        <v>254</v>
      </c>
      <c r="J177" s="94" t="s">
        <v>18</v>
      </c>
      <c r="K177" s="94" t="s">
        <v>47</v>
      </c>
      <c r="L177" s="39">
        <v>99583618</v>
      </c>
    </row>
    <row r="178" spans="1:14" x14ac:dyDescent="0.25">
      <c r="A178" s="17">
        <v>2507</v>
      </c>
      <c r="B178" s="74" t="s">
        <v>255</v>
      </c>
      <c r="C178" s="393">
        <v>1363.3</v>
      </c>
      <c r="D178" s="187">
        <v>0.25</v>
      </c>
      <c r="E178" s="187">
        <f t="shared" si="12"/>
        <v>340.82499999999999</v>
      </c>
      <c r="F178" s="187"/>
      <c r="G178" s="187">
        <f t="shared" si="11"/>
        <v>340.82499999999999</v>
      </c>
      <c r="H178" s="93">
        <v>21947545</v>
      </c>
      <c r="I178" s="95" t="s">
        <v>256</v>
      </c>
      <c r="J178" s="94" t="s">
        <v>11</v>
      </c>
      <c r="K178" s="94" t="s">
        <v>47</v>
      </c>
      <c r="L178" s="39">
        <v>77183344</v>
      </c>
    </row>
    <row r="179" spans="1:14" x14ac:dyDescent="0.25">
      <c r="A179" s="17">
        <v>2509</v>
      </c>
      <c r="B179" s="74" t="s">
        <v>257</v>
      </c>
      <c r="C179" s="393">
        <v>1356.3</v>
      </c>
      <c r="D179" s="187">
        <v>0.25</v>
      </c>
      <c r="E179" s="187">
        <f t="shared" si="12"/>
        <v>339.07499999999999</v>
      </c>
      <c r="F179" s="187"/>
      <c r="G179" s="187">
        <f t="shared" si="11"/>
        <v>339.07499999999999</v>
      </c>
      <c r="H179" s="93">
        <v>5739429</v>
      </c>
      <c r="I179" s="95" t="s">
        <v>258</v>
      </c>
      <c r="J179" s="94" t="s">
        <v>16</v>
      </c>
      <c r="K179" s="94" t="s">
        <v>47</v>
      </c>
      <c r="L179" s="39">
        <v>92733224</v>
      </c>
    </row>
    <row r="180" spans="1:14" x14ac:dyDescent="0.25">
      <c r="A180" s="17">
        <v>2510</v>
      </c>
      <c r="B180" s="74" t="s">
        <v>259</v>
      </c>
      <c r="C180" s="393">
        <v>863.5</v>
      </c>
      <c r="D180" s="187">
        <v>0.25</v>
      </c>
      <c r="E180" s="187">
        <f t="shared" si="12"/>
        <v>215.875</v>
      </c>
      <c r="F180" s="187"/>
      <c r="G180" s="187">
        <f t="shared" si="11"/>
        <v>215.875</v>
      </c>
      <c r="H180" s="93">
        <v>5542574</v>
      </c>
      <c r="I180" s="95" t="s">
        <v>260</v>
      </c>
      <c r="J180" s="94" t="s">
        <v>11</v>
      </c>
      <c r="K180" s="94" t="s">
        <v>47</v>
      </c>
      <c r="L180" s="39">
        <v>98173841</v>
      </c>
    </row>
    <row r="181" spans="1:14" x14ac:dyDescent="0.25">
      <c r="A181" s="17">
        <v>2511</v>
      </c>
      <c r="B181" s="74" t="s">
        <v>261</v>
      </c>
      <c r="C181" s="393">
        <v>293.89999999999998</v>
      </c>
      <c r="D181" s="187">
        <v>0.25</v>
      </c>
      <c r="E181" s="187">
        <f t="shared" si="12"/>
        <v>73.474999999999994</v>
      </c>
      <c r="F181" s="187"/>
      <c r="G181" s="187">
        <f t="shared" si="11"/>
        <v>73.474999999999994</v>
      </c>
      <c r="H181" s="93">
        <v>1109954</v>
      </c>
      <c r="I181" s="95" t="s">
        <v>262</v>
      </c>
      <c r="J181" s="94" t="s">
        <v>132</v>
      </c>
      <c r="K181" s="94" t="s">
        <v>133</v>
      </c>
      <c r="L181" s="39">
        <v>92251158</v>
      </c>
    </row>
    <row r="182" spans="1:14" x14ac:dyDescent="0.25">
      <c r="A182" s="61">
        <v>2512</v>
      </c>
      <c r="B182" s="79" t="s">
        <v>263</v>
      </c>
      <c r="C182" s="395">
        <v>1157.8</v>
      </c>
      <c r="D182" s="210">
        <v>0.25</v>
      </c>
      <c r="E182" s="210">
        <f t="shared" si="12"/>
        <v>289.45</v>
      </c>
      <c r="F182" s="210">
        <v>0.32500000000000923</v>
      </c>
      <c r="G182" s="210">
        <f t="shared" si="11"/>
        <v>289.125</v>
      </c>
      <c r="H182" s="114">
        <v>990628</v>
      </c>
      <c r="I182" s="115" t="s">
        <v>264</v>
      </c>
      <c r="J182" s="116" t="s">
        <v>146</v>
      </c>
      <c r="K182" s="116" t="s">
        <v>47</v>
      </c>
      <c r="L182" s="80">
        <v>91232518</v>
      </c>
      <c r="M182" s="258">
        <v>45669</v>
      </c>
    </row>
    <row r="183" spans="1:14" x14ac:dyDescent="0.25">
      <c r="A183" s="17">
        <v>2513</v>
      </c>
      <c r="B183" s="74" t="s">
        <v>28</v>
      </c>
      <c r="C183" s="393">
        <v>1485.9</v>
      </c>
      <c r="D183" s="187">
        <v>0.25</v>
      </c>
      <c r="E183" s="187">
        <f t="shared" si="12"/>
        <v>371.47500000000002</v>
      </c>
      <c r="F183" s="187"/>
      <c r="G183" s="187">
        <f t="shared" si="11"/>
        <v>371.47500000000002</v>
      </c>
      <c r="H183" s="93">
        <v>6332123</v>
      </c>
      <c r="I183" s="95" t="s">
        <v>265</v>
      </c>
      <c r="J183" s="94" t="s">
        <v>146</v>
      </c>
      <c r="K183" s="94" t="s">
        <v>47</v>
      </c>
      <c r="L183" s="39">
        <v>98777808</v>
      </c>
    </row>
    <row r="184" spans="1:14" x14ac:dyDescent="0.25">
      <c r="A184" s="17">
        <v>2514</v>
      </c>
      <c r="B184" s="74" t="s">
        <v>266</v>
      </c>
      <c r="C184" s="393">
        <v>511.7</v>
      </c>
      <c r="D184" s="187">
        <v>0.25</v>
      </c>
      <c r="E184" s="187">
        <f t="shared" si="12"/>
        <v>127.925</v>
      </c>
      <c r="F184" s="187"/>
      <c r="G184" s="187">
        <f t="shared" si="11"/>
        <v>127.925</v>
      </c>
      <c r="H184" s="93">
        <v>10795387</v>
      </c>
      <c r="I184" s="95" t="s">
        <v>267</v>
      </c>
      <c r="J184" s="94" t="s">
        <v>146</v>
      </c>
      <c r="K184" s="94" t="s">
        <v>47</v>
      </c>
      <c r="L184" s="39">
        <v>96744447</v>
      </c>
    </row>
    <row r="185" spans="1:14" x14ac:dyDescent="0.25">
      <c r="A185" s="17">
        <v>2515</v>
      </c>
      <c r="B185" s="74" t="s">
        <v>268</v>
      </c>
      <c r="C185" s="393">
        <v>1438.7</v>
      </c>
      <c r="D185" s="187">
        <v>0.25</v>
      </c>
      <c r="E185" s="187">
        <f t="shared" si="12"/>
        <v>359.67500000000001</v>
      </c>
      <c r="F185" s="187"/>
      <c r="G185" s="187">
        <f t="shared" si="11"/>
        <v>359.67500000000001</v>
      </c>
      <c r="H185" s="93">
        <v>5638084</v>
      </c>
      <c r="I185" s="95" t="s">
        <v>269</v>
      </c>
      <c r="J185" s="94" t="s">
        <v>11</v>
      </c>
      <c r="K185" s="94" t="s">
        <v>47</v>
      </c>
      <c r="L185" s="39">
        <v>92597738</v>
      </c>
    </row>
    <row r="186" spans="1:14" x14ac:dyDescent="0.25">
      <c r="A186" s="17">
        <v>2516</v>
      </c>
      <c r="B186" s="74" t="s">
        <v>270</v>
      </c>
      <c r="C186" s="393">
        <v>579.29999999999995</v>
      </c>
      <c r="D186" s="187">
        <v>0.25</v>
      </c>
      <c r="E186" s="187">
        <f t="shared" si="12"/>
        <v>144.82499999999999</v>
      </c>
      <c r="F186" s="187"/>
      <c r="G186" s="187">
        <f t="shared" si="11"/>
        <v>144.82499999999999</v>
      </c>
      <c r="H186" s="93">
        <v>21934588</v>
      </c>
      <c r="I186" s="95" t="s">
        <v>271</v>
      </c>
      <c r="J186" s="94" t="s">
        <v>11</v>
      </c>
      <c r="K186" s="94" t="s">
        <v>47</v>
      </c>
      <c r="L186" s="39">
        <v>98094444</v>
      </c>
    </row>
    <row r="187" spans="1:14" x14ac:dyDescent="0.25">
      <c r="A187" s="17">
        <v>2517</v>
      </c>
      <c r="B187" s="74" t="s">
        <v>29</v>
      </c>
      <c r="C187" s="393">
        <v>3409.4</v>
      </c>
      <c r="D187" s="187">
        <v>0.25</v>
      </c>
      <c r="E187" s="187">
        <f t="shared" si="12"/>
        <v>852.35</v>
      </c>
      <c r="F187" s="187"/>
      <c r="G187" s="187">
        <f t="shared" si="11"/>
        <v>852.35</v>
      </c>
      <c r="H187" s="94">
        <v>6231419</v>
      </c>
      <c r="I187" s="95" t="s">
        <v>272</v>
      </c>
      <c r="J187" s="94" t="s">
        <v>18</v>
      </c>
      <c r="K187" s="94" t="s">
        <v>47</v>
      </c>
      <c r="L187" s="17">
        <v>99053198</v>
      </c>
    </row>
    <row r="188" spans="1:14" s="69" customFormat="1" x14ac:dyDescent="0.25">
      <c r="A188" s="61">
        <v>2518</v>
      </c>
      <c r="B188" s="80" t="s">
        <v>273</v>
      </c>
      <c r="C188" s="395">
        <v>1331.1</v>
      </c>
      <c r="D188" s="210">
        <v>0.25</v>
      </c>
      <c r="E188" s="210">
        <f t="shared" si="12"/>
        <v>332.77499999999998</v>
      </c>
      <c r="F188" s="210">
        <f>332.4+0.375</f>
        <v>332.77499999999998</v>
      </c>
      <c r="G188" s="210">
        <f t="shared" si="11"/>
        <v>0</v>
      </c>
      <c r="H188" s="114">
        <v>27683344</v>
      </c>
      <c r="I188" s="115" t="s">
        <v>274</v>
      </c>
      <c r="J188" s="116" t="s">
        <v>14</v>
      </c>
      <c r="K188" s="116" t="s">
        <v>55</v>
      </c>
      <c r="L188" s="80">
        <v>98011308</v>
      </c>
      <c r="M188" s="69" t="s">
        <v>579</v>
      </c>
      <c r="N188" s="312" t="s">
        <v>615</v>
      </c>
    </row>
    <row r="189" spans="1:14" x14ac:dyDescent="0.25">
      <c r="A189" s="17">
        <v>2519</v>
      </c>
      <c r="B189" s="18" t="s">
        <v>275</v>
      </c>
      <c r="C189" s="393">
        <v>844.7</v>
      </c>
      <c r="D189" s="187">
        <v>0.25</v>
      </c>
      <c r="E189" s="187">
        <f t="shared" si="12"/>
        <v>211.17500000000001</v>
      </c>
      <c r="F189" s="187">
        <f>E189</f>
        <v>211.17500000000001</v>
      </c>
      <c r="G189" s="187">
        <f t="shared" si="11"/>
        <v>0</v>
      </c>
      <c r="H189" s="94">
        <v>19923785</v>
      </c>
      <c r="I189" s="95" t="s">
        <v>276</v>
      </c>
      <c r="J189" s="94" t="s">
        <v>18</v>
      </c>
      <c r="K189" s="94" t="s">
        <v>47</v>
      </c>
      <c r="L189" s="17">
        <v>91115870</v>
      </c>
      <c r="M189" s="312" t="s">
        <v>618</v>
      </c>
    </row>
    <row r="190" spans="1:14" s="69" customFormat="1" x14ac:dyDescent="0.25">
      <c r="A190" s="67">
        <v>2520</v>
      </c>
      <c r="B190" s="62" t="s">
        <v>277</v>
      </c>
      <c r="C190" s="395">
        <v>1379.1</v>
      </c>
      <c r="D190" s="210">
        <v>0.25</v>
      </c>
      <c r="E190" s="210">
        <f t="shared" si="12"/>
        <v>344.77499999999998</v>
      </c>
      <c r="F190" s="210">
        <f>E190</f>
        <v>344.77499999999998</v>
      </c>
      <c r="G190" s="210">
        <f t="shared" si="11"/>
        <v>0</v>
      </c>
      <c r="H190" s="108">
        <v>1297459</v>
      </c>
      <c r="I190" s="107" t="s">
        <v>278</v>
      </c>
      <c r="J190" s="108" t="s">
        <v>50</v>
      </c>
      <c r="K190" s="108" t="s">
        <v>51</v>
      </c>
      <c r="L190" s="67">
        <v>92532520</v>
      </c>
      <c r="M190" s="69" t="s">
        <v>601</v>
      </c>
    </row>
    <row r="191" spans="1:14" s="69" customFormat="1" x14ac:dyDescent="0.25">
      <c r="A191" s="67">
        <v>2521</v>
      </c>
      <c r="B191" s="62" t="s">
        <v>279</v>
      </c>
      <c r="C191" s="395">
        <v>1676.3</v>
      </c>
      <c r="D191" s="210">
        <v>0.25</v>
      </c>
      <c r="E191" s="210">
        <f t="shared" si="12"/>
        <v>419.07499999999999</v>
      </c>
      <c r="F191" s="210">
        <f>417.189+1.886</f>
        <v>419.07500000000005</v>
      </c>
      <c r="G191" s="210">
        <f t="shared" si="11"/>
        <v>0</v>
      </c>
      <c r="H191" s="108">
        <v>5146927</v>
      </c>
      <c r="I191" s="107" t="s">
        <v>280</v>
      </c>
      <c r="J191" s="108" t="s">
        <v>50</v>
      </c>
      <c r="K191" s="108" t="s">
        <v>51</v>
      </c>
      <c r="L191" s="67">
        <v>96399028</v>
      </c>
      <c r="M191" s="375" t="s">
        <v>608</v>
      </c>
      <c r="N191" s="312" t="s">
        <v>618</v>
      </c>
    </row>
    <row r="192" spans="1:14" x14ac:dyDescent="0.25">
      <c r="A192" s="13">
        <v>2522</v>
      </c>
      <c r="B192" s="18" t="s">
        <v>244</v>
      </c>
      <c r="C192" s="393">
        <v>551.79999999999995</v>
      </c>
      <c r="D192" s="187">
        <v>0.25</v>
      </c>
      <c r="E192" s="187">
        <f t="shared" si="12"/>
        <v>137.94999999999999</v>
      </c>
      <c r="F192" s="187"/>
      <c r="G192" s="187">
        <f t="shared" si="11"/>
        <v>137.94999999999999</v>
      </c>
      <c r="H192" s="90">
        <v>4530913</v>
      </c>
      <c r="I192" s="89" t="s">
        <v>281</v>
      </c>
      <c r="J192" s="120" t="s">
        <v>81</v>
      </c>
      <c r="K192" s="120" t="s">
        <v>82</v>
      </c>
      <c r="L192" s="13"/>
    </row>
    <row r="193" spans="1:14" s="69" customFormat="1" x14ac:dyDescent="0.25">
      <c r="A193" s="67">
        <v>2523</v>
      </c>
      <c r="B193" s="62" t="s">
        <v>44</v>
      </c>
      <c r="C193" s="395">
        <v>568.29999999999995</v>
      </c>
      <c r="D193" s="210">
        <v>0.25</v>
      </c>
      <c r="E193" s="210">
        <f t="shared" si="12"/>
        <v>142.07499999999999</v>
      </c>
      <c r="F193" s="210">
        <f>139.5+2.575</f>
        <v>142.07499999999999</v>
      </c>
      <c r="G193" s="210">
        <f t="shared" si="11"/>
        <v>0</v>
      </c>
      <c r="H193" s="108">
        <v>4909387</v>
      </c>
      <c r="I193" s="107" t="s">
        <v>282</v>
      </c>
      <c r="J193" s="108" t="s">
        <v>18</v>
      </c>
      <c r="K193" s="108" t="s">
        <v>47</v>
      </c>
      <c r="L193" s="67">
        <v>92524184</v>
      </c>
      <c r="M193" s="69" t="s">
        <v>582</v>
      </c>
      <c r="N193" s="312" t="s">
        <v>619</v>
      </c>
    </row>
    <row r="194" spans="1:14" x14ac:dyDescent="0.25">
      <c r="A194" s="13">
        <v>2524</v>
      </c>
      <c r="B194" s="18" t="s">
        <v>283</v>
      </c>
      <c r="C194" s="393">
        <v>564.9</v>
      </c>
      <c r="D194" s="187">
        <v>0.25</v>
      </c>
      <c r="E194" s="187">
        <f t="shared" si="12"/>
        <v>141.22499999999999</v>
      </c>
      <c r="F194" s="187"/>
      <c r="G194" s="187">
        <f t="shared" si="11"/>
        <v>141.22499999999999</v>
      </c>
      <c r="H194" s="88">
        <v>5827884</v>
      </c>
      <c r="I194" s="89" t="s">
        <v>284</v>
      </c>
      <c r="J194" s="90" t="s">
        <v>11</v>
      </c>
      <c r="K194" s="90" t="s">
        <v>47</v>
      </c>
      <c r="L194" s="18"/>
    </row>
    <row r="195" spans="1:14" x14ac:dyDescent="0.25">
      <c r="A195" s="13">
        <v>2526</v>
      </c>
      <c r="B195" s="18" t="s">
        <v>285</v>
      </c>
      <c r="C195" s="393">
        <v>235.3</v>
      </c>
      <c r="D195" s="187">
        <v>0.25</v>
      </c>
      <c r="E195" s="187">
        <f t="shared" ref="E195:E226" si="13">C195*D195</f>
        <v>58.825000000000003</v>
      </c>
      <c r="F195" s="187"/>
      <c r="G195" s="187">
        <f t="shared" si="11"/>
        <v>58.825000000000003</v>
      </c>
      <c r="H195" s="90">
        <v>5827579</v>
      </c>
      <c r="I195" s="89" t="s">
        <v>286</v>
      </c>
      <c r="J195" s="90" t="s">
        <v>50</v>
      </c>
      <c r="K195" s="90" t="s">
        <v>51</v>
      </c>
      <c r="L195" s="13">
        <v>99294007</v>
      </c>
    </row>
    <row r="196" spans="1:14" s="69" customFormat="1" x14ac:dyDescent="0.25">
      <c r="A196" s="67">
        <v>2528</v>
      </c>
      <c r="B196" s="62" t="s">
        <v>614</v>
      </c>
      <c r="C196" s="395">
        <v>372</v>
      </c>
      <c r="D196" s="210">
        <v>0.25</v>
      </c>
      <c r="E196" s="210">
        <f t="shared" si="13"/>
        <v>93</v>
      </c>
      <c r="F196" s="210">
        <f>E196</f>
        <v>93</v>
      </c>
      <c r="G196" s="210">
        <f t="shared" si="11"/>
        <v>0</v>
      </c>
      <c r="H196" s="106">
        <v>5911997</v>
      </c>
      <c r="I196" s="219" t="s">
        <v>623</v>
      </c>
      <c r="J196" s="108" t="s">
        <v>18</v>
      </c>
      <c r="K196" s="108" t="s">
        <v>47</v>
      </c>
      <c r="L196" s="62">
        <v>95144359</v>
      </c>
      <c r="M196" s="69" t="s">
        <v>622</v>
      </c>
      <c r="N196" s="69" t="s">
        <v>624</v>
      </c>
    </row>
    <row r="197" spans="1:14" x14ac:dyDescent="0.25">
      <c r="A197" s="13">
        <v>2530</v>
      </c>
      <c r="B197" s="18" t="s">
        <v>289</v>
      </c>
      <c r="C197" s="393">
        <v>196.4</v>
      </c>
      <c r="D197" s="187">
        <v>0.25</v>
      </c>
      <c r="E197" s="187">
        <f t="shared" si="13"/>
        <v>49.1</v>
      </c>
      <c r="F197" s="187"/>
      <c r="G197" s="187">
        <f t="shared" si="11"/>
        <v>49.1</v>
      </c>
      <c r="H197" s="88">
        <v>7506751</v>
      </c>
      <c r="I197" s="121" t="s">
        <v>290</v>
      </c>
      <c r="J197" s="90" t="s">
        <v>18</v>
      </c>
      <c r="K197" s="90" t="s">
        <v>47</v>
      </c>
      <c r="L197" s="18">
        <v>92269060</v>
      </c>
    </row>
    <row r="198" spans="1:14" x14ac:dyDescent="0.25">
      <c r="A198" s="13">
        <v>2533</v>
      </c>
      <c r="B198" s="18" t="s">
        <v>349</v>
      </c>
      <c r="C198" s="393">
        <v>1015.4</v>
      </c>
      <c r="D198" s="187">
        <v>0.25</v>
      </c>
      <c r="E198" s="187">
        <f t="shared" si="13"/>
        <v>253.85</v>
      </c>
      <c r="F198" s="187"/>
      <c r="G198" s="187">
        <f t="shared" ref="G198:G261" si="14">E198-F198</f>
        <v>253.85</v>
      </c>
      <c r="H198" s="88">
        <v>1275604</v>
      </c>
      <c r="I198" s="121">
        <v>250010082881</v>
      </c>
      <c r="J198" s="90" t="s">
        <v>15</v>
      </c>
      <c r="K198" s="90"/>
      <c r="L198" s="18">
        <v>92920012</v>
      </c>
    </row>
    <row r="199" spans="1:14" x14ac:dyDescent="0.25">
      <c r="A199" s="13">
        <v>2534</v>
      </c>
      <c r="B199" s="353" t="s">
        <v>464</v>
      </c>
      <c r="C199" s="393">
        <v>329.9</v>
      </c>
      <c r="D199" s="187">
        <v>0.25</v>
      </c>
      <c r="E199" s="187">
        <f t="shared" si="13"/>
        <v>82.474999999999994</v>
      </c>
      <c r="F199" s="187"/>
      <c r="G199" s="187">
        <f t="shared" si="14"/>
        <v>82.474999999999994</v>
      </c>
      <c r="H199" s="90">
        <v>2124138</v>
      </c>
      <c r="I199" s="89" t="s">
        <v>463</v>
      </c>
      <c r="J199" s="90" t="s">
        <v>11</v>
      </c>
      <c r="K199" s="90"/>
      <c r="L199" s="13">
        <v>99497234</v>
      </c>
    </row>
    <row r="200" spans="1:14" x14ac:dyDescent="0.25">
      <c r="A200" s="13">
        <v>2535</v>
      </c>
      <c r="B200" s="353" t="s">
        <v>462</v>
      </c>
      <c r="C200" s="393">
        <v>193.8</v>
      </c>
      <c r="D200" s="187">
        <v>0.25</v>
      </c>
      <c r="E200" s="187">
        <f t="shared" si="13"/>
        <v>48.45</v>
      </c>
      <c r="F200" s="187"/>
      <c r="G200" s="187">
        <f t="shared" si="14"/>
        <v>48.45</v>
      </c>
      <c r="H200" s="90">
        <v>6332118</v>
      </c>
      <c r="I200" s="89">
        <v>10600335276017</v>
      </c>
      <c r="J200" s="90" t="s">
        <v>50</v>
      </c>
      <c r="K200" s="90"/>
      <c r="L200" s="13">
        <v>98572335</v>
      </c>
    </row>
    <row r="201" spans="1:14" s="177" customFormat="1" x14ac:dyDescent="0.25">
      <c r="A201" s="449">
        <v>2536</v>
      </c>
      <c r="B201" s="450" t="s">
        <v>461</v>
      </c>
      <c r="C201" s="451"/>
      <c r="D201" s="452">
        <v>0.25</v>
      </c>
      <c r="E201" s="452">
        <f t="shared" si="13"/>
        <v>0</v>
      </c>
      <c r="F201" s="452"/>
      <c r="G201" s="452">
        <f t="shared" si="14"/>
        <v>0</v>
      </c>
      <c r="H201" s="453">
        <v>22734098</v>
      </c>
      <c r="I201" s="454">
        <v>1502164255300</v>
      </c>
      <c r="J201" s="453" t="s">
        <v>234</v>
      </c>
      <c r="K201" s="453"/>
      <c r="L201" s="449">
        <v>90277231</v>
      </c>
    </row>
    <row r="202" spans="1:14" s="69" customFormat="1" x14ac:dyDescent="0.25">
      <c r="A202" s="67">
        <v>2537</v>
      </c>
      <c r="B202" s="396" t="s">
        <v>460</v>
      </c>
      <c r="C202" s="395">
        <v>247.3</v>
      </c>
      <c r="D202" s="210">
        <v>0.25</v>
      </c>
      <c r="E202" s="210">
        <f t="shared" si="13"/>
        <v>61.825000000000003</v>
      </c>
      <c r="F202" s="210">
        <f>E202</f>
        <v>61.825000000000003</v>
      </c>
      <c r="G202" s="210">
        <f t="shared" si="14"/>
        <v>0</v>
      </c>
      <c r="H202" s="108">
        <v>5157262</v>
      </c>
      <c r="I202" s="107" t="s">
        <v>459</v>
      </c>
      <c r="J202" s="108" t="s">
        <v>11</v>
      </c>
      <c r="K202" s="108"/>
      <c r="L202" s="67">
        <v>99542444</v>
      </c>
      <c r="M202" s="311">
        <v>46001</v>
      </c>
    </row>
    <row r="203" spans="1:14" s="177" customFormat="1" x14ac:dyDescent="0.25">
      <c r="A203" s="449">
        <v>2538</v>
      </c>
      <c r="B203" s="450" t="s">
        <v>458</v>
      </c>
      <c r="C203" s="451"/>
      <c r="D203" s="452">
        <v>0.25</v>
      </c>
      <c r="E203" s="452">
        <f t="shared" si="13"/>
        <v>0</v>
      </c>
      <c r="F203" s="452"/>
      <c r="G203" s="452">
        <f t="shared" si="14"/>
        <v>0</v>
      </c>
      <c r="H203" s="453">
        <v>5574815</v>
      </c>
      <c r="I203" s="454" t="s">
        <v>457</v>
      </c>
      <c r="J203" s="453" t="s">
        <v>11</v>
      </c>
      <c r="K203" s="453"/>
      <c r="L203" s="449">
        <v>92808864</v>
      </c>
    </row>
    <row r="204" spans="1:14" x14ac:dyDescent="0.25">
      <c r="A204" s="13">
        <v>2539</v>
      </c>
      <c r="B204" s="353" t="s">
        <v>456</v>
      </c>
      <c r="C204" s="393">
        <v>386.5</v>
      </c>
      <c r="D204" s="187">
        <v>0.25</v>
      </c>
      <c r="E204" s="187">
        <f t="shared" si="13"/>
        <v>96.625</v>
      </c>
      <c r="F204" s="187"/>
      <c r="G204" s="187">
        <f t="shared" si="14"/>
        <v>96.625</v>
      </c>
      <c r="H204" s="90">
        <v>23587841</v>
      </c>
      <c r="I204" s="89" t="s">
        <v>455</v>
      </c>
      <c r="J204" s="90" t="s">
        <v>11</v>
      </c>
      <c r="K204" s="90"/>
      <c r="L204" s="13">
        <v>92413336</v>
      </c>
    </row>
    <row r="205" spans="1:14" x14ac:dyDescent="0.25">
      <c r="A205" s="13">
        <v>2540</v>
      </c>
      <c r="B205" s="353" t="s">
        <v>454</v>
      </c>
      <c r="C205" s="393">
        <v>391.4</v>
      </c>
      <c r="D205" s="187">
        <v>0.25</v>
      </c>
      <c r="E205" s="187">
        <f t="shared" si="13"/>
        <v>97.85</v>
      </c>
      <c r="F205" s="187"/>
      <c r="G205" s="187">
        <f t="shared" si="14"/>
        <v>97.85</v>
      </c>
      <c r="H205" s="90">
        <v>1960532</v>
      </c>
      <c r="I205" s="89">
        <v>3109080738500</v>
      </c>
      <c r="J205" s="90" t="s">
        <v>81</v>
      </c>
      <c r="K205" s="90"/>
      <c r="L205" s="13">
        <v>99491378</v>
      </c>
    </row>
    <row r="206" spans="1:14" s="177" customFormat="1" x14ac:dyDescent="0.25">
      <c r="A206" s="449">
        <v>2541</v>
      </c>
      <c r="B206" s="450" t="s">
        <v>453</v>
      </c>
      <c r="C206" s="451"/>
      <c r="D206" s="452">
        <v>0.25</v>
      </c>
      <c r="E206" s="452">
        <f t="shared" si="13"/>
        <v>0</v>
      </c>
      <c r="F206" s="452"/>
      <c r="G206" s="452">
        <f t="shared" si="14"/>
        <v>0</v>
      </c>
      <c r="H206" s="453">
        <v>2406494</v>
      </c>
      <c r="I206" s="454">
        <v>15020343300</v>
      </c>
      <c r="J206" s="453" t="s">
        <v>234</v>
      </c>
      <c r="K206" s="453"/>
      <c r="L206" s="449">
        <v>99497110</v>
      </c>
    </row>
    <row r="207" spans="1:14" x14ac:dyDescent="0.25">
      <c r="A207" s="13">
        <v>2542</v>
      </c>
      <c r="B207" s="353" t="s">
        <v>452</v>
      </c>
      <c r="C207" s="393">
        <v>354.3</v>
      </c>
      <c r="D207" s="187">
        <v>0.25</v>
      </c>
      <c r="E207" s="187">
        <f t="shared" si="13"/>
        <v>88.575000000000003</v>
      </c>
      <c r="F207" s="187"/>
      <c r="G207" s="187">
        <f t="shared" si="14"/>
        <v>88.575000000000003</v>
      </c>
      <c r="H207" s="90">
        <v>12402682</v>
      </c>
      <c r="I207" s="89" t="s">
        <v>451</v>
      </c>
      <c r="J207" s="90" t="s">
        <v>450</v>
      </c>
      <c r="K207" s="90"/>
      <c r="L207" s="13">
        <v>94404401</v>
      </c>
    </row>
    <row r="208" spans="1:14" s="177" customFormat="1" x14ac:dyDescent="0.25">
      <c r="A208" s="449">
        <v>2543</v>
      </c>
      <c r="B208" s="450" t="s">
        <v>449</v>
      </c>
      <c r="C208" s="451"/>
      <c r="D208" s="452">
        <v>0.25</v>
      </c>
      <c r="E208" s="452">
        <f t="shared" si="13"/>
        <v>0</v>
      </c>
      <c r="F208" s="452"/>
      <c r="G208" s="452">
        <f t="shared" si="14"/>
        <v>0</v>
      </c>
      <c r="H208" s="453">
        <v>23195196</v>
      </c>
      <c r="I208" s="454">
        <v>250010019151</v>
      </c>
      <c r="J208" s="453" t="s">
        <v>249</v>
      </c>
      <c r="K208" s="453"/>
      <c r="L208" s="449">
        <v>91216415</v>
      </c>
    </row>
    <row r="209" spans="1:13" x14ac:dyDescent="0.25">
      <c r="A209" s="13">
        <v>2544</v>
      </c>
      <c r="B209" s="353" t="s">
        <v>448</v>
      </c>
      <c r="C209" s="393">
        <v>346.5</v>
      </c>
      <c r="D209" s="187">
        <v>0.25</v>
      </c>
      <c r="E209" s="187">
        <f t="shared" si="13"/>
        <v>86.625</v>
      </c>
      <c r="F209" s="187"/>
      <c r="G209" s="187">
        <f t="shared" si="14"/>
        <v>86.625</v>
      </c>
      <c r="H209" s="90">
        <v>670459</v>
      </c>
      <c r="I209" s="89" t="s">
        <v>447</v>
      </c>
      <c r="J209" s="90" t="s">
        <v>11</v>
      </c>
      <c r="K209" s="90"/>
      <c r="L209" s="13">
        <v>93228850</v>
      </c>
    </row>
    <row r="210" spans="1:13" s="69" customFormat="1" x14ac:dyDescent="0.25">
      <c r="A210" s="67">
        <v>2545</v>
      </c>
      <c r="B210" s="396" t="s">
        <v>446</v>
      </c>
      <c r="C210" s="395">
        <v>391.2</v>
      </c>
      <c r="D210" s="210">
        <v>0.25</v>
      </c>
      <c r="E210" s="210">
        <f t="shared" si="13"/>
        <v>97.8</v>
      </c>
      <c r="F210" s="210">
        <f>95</f>
        <v>95</v>
      </c>
      <c r="G210" s="210">
        <f t="shared" si="14"/>
        <v>2.7999999999999972</v>
      </c>
      <c r="H210" s="108">
        <v>6709882</v>
      </c>
      <c r="I210" s="107" t="s">
        <v>445</v>
      </c>
      <c r="J210" s="108" t="s">
        <v>11</v>
      </c>
      <c r="K210" s="108"/>
      <c r="L210" s="67">
        <v>95659540</v>
      </c>
      <c r="M210" s="69" t="s">
        <v>579</v>
      </c>
    </row>
    <row r="211" spans="1:13" x14ac:dyDescent="0.25">
      <c r="A211" s="13">
        <v>2546</v>
      </c>
      <c r="B211" s="353" t="s">
        <v>444</v>
      </c>
      <c r="C211" s="393">
        <v>387.3</v>
      </c>
      <c r="D211" s="187">
        <v>0.25</v>
      </c>
      <c r="E211" s="187">
        <f t="shared" si="13"/>
        <v>96.825000000000003</v>
      </c>
      <c r="F211" s="187"/>
      <c r="G211" s="187">
        <f t="shared" si="14"/>
        <v>96.825000000000003</v>
      </c>
      <c r="H211" s="90">
        <v>7401537</v>
      </c>
      <c r="I211" s="89" t="s">
        <v>443</v>
      </c>
      <c r="J211" s="90" t="s">
        <v>11</v>
      </c>
      <c r="K211" s="90"/>
      <c r="L211" s="13">
        <v>92554883</v>
      </c>
    </row>
    <row r="212" spans="1:13" x14ac:dyDescent="0.25">
      <c r="A212" s="13">
        <v>2547</v>
      </c>
      <c r="B212" s="353" t="s">
        <v>442</v>
      </c>
      <c r="C212" s="393">
        <v>319.3</v>
      </c>
      <c r="D212" s="187">
        <v>0.25</v>
      </c>
      <c r="E212" s="187">
        <f t="shared" si="13"/>
        <v>79.825000000000003</v>
      </c>
      <c r="F212" s="187"/>
      <c r="G212" s="187">
        <f t="shared" si="14"/>
        <v>79.825000000000003</v>
      </c>
      <c r="H212" s="90">
        <v>5293842</v>
      </c>
      <c r="I212" s="89" t="s">
        <v>441</v>
      </c>
      <c r="J212" s="90" t="s">
        <v>11</v>
      </c>
      <c r="K212" s="90"/>
      <c r="L212" s="13">
        <v>96442949</v>
      </c>
    </row>
    <row r="213" spans="1:13" s="69" customFormat="1" x14ac:dyDescent="0.25">
      <c r="A213" s="67">
        <v>2548</v>
      </c>
      <c r="B213" s="396" t="s">
        <v>440</v>
      </c>
      <c r="C213" s="395">
        <v>385.9</v>
      </c>
      <c r="D213" s="210">
        <v>0.25</v>
      </c>
      <c r="E213" s="210">
        <f t="shared" si="13"/>
        <v>96.474999999999994</v>
      </c>
      <c r="F213" s="210">
        <f>E213</f>
        <v>96.474999999999994</v>
      </c>
      <c r="G213" s="210">
        <f t="shared" si="14"/>
        <v>0</v>
      </c>
      <c r="H213" s="108">
        <v>1064386</v>
      </c>
      <c r="I213" s="107">
        <v>3129040044700</v>
      </c>
      <c r="J213" s="108" t="s">
        <v>81</v>
      </c>
      <c r="K213" s="108"/>
      <c r="L213" s="67">
        <v>99492191</v>
      </c>
      <c r="M213" s="312" t="s">
        <v>616</v>
      </c>
    </row>
    <row r="214" spans="1:13" x14ac:dyDescent="0.25">
      <c r="A214" s="13">
        <v>2549</v>
      </c>
      <c r="B214" s="353" t="s">
        <v>439</v>
      </c>
      <c r="C214" s="393">
        <v>348.4</v>
      </c>
      <c r="D214" s="187">
        <v>0.25</v>
      </c>
      <c r="E214" s="187">
        <f t="shared" si="13"/>
        <v>87.1</v>
      </c>
      <c r="F214" s="187"/>
      <c r="G214" s="187">
        <f t="shared" si="14"/>
        <v>87.1</v>
      </c>
      <c r="H214" s="90">
        <v>8400297</v>
      </c>
      <c r="I214" s="89" t="s">
        <v>438</v>
      </c>
      <c r="J214" s="90" t="s">
        <v>11</v>
      </c>
      <c r="K214" s="90"/>
      <c r="L214" s="13">
        <v>92804884</v>
      </c>
    </row>
    <row r="215" spans="1:13" s="69" customFormat="1" x14ac:dyDescent="0.25">
      <c r="A215" s="67">
        <v>2550</v>
      </c>
      <c r="B215" s="396" t="s">
        <v>437</v>
      </c>
      <c r="C215" s="395">
        <v>120.5</v>
      </c>
      <c r="D215" s="210">
        <v>0.25</v>
      </c>
      <c r="E215" s="210">
        <f t="shared" si="13"/>
        <v>30.125</v>
      </c>
      <c r="F215" s="210">
        <f>E215</f>
        <v>30.125</v>
      </c>
      <c r="G215" s="210">
        <f t="shared" si="14"/>
        <v>0</v>
      </c>
      <c r="H215" s="108">
        <v>848673</v>
      </c>
      <c r="I215" s="107" t="s">
        <v>436</v>
      </c>
      <c r="J215" s="108" t="s">
        <v>132</v>
      </c>
      <c r="K215" s="108"/>
      <c r="L215" s="67">
        <v>99498772</v>
      </c>
      <c r="M215" s="312" t="s">
        <v>616</v>
      </c>
    </row>
    <row r="216" spans="1:13" s="177" customFormat="1" x14ac:dyDescent="0.25">
      <c r="A216" s="449">
        <v>2551</v>
      </c>
      <c r="B216" s="450" t="s">
        <v>435</v>
      </c>
      <c r="C216" s="451"/>
      <c r="D216" s="452">
        <v>0.25</v>
      </c>
      <c r="E216" s="452">
        <f t="shared" si="13"/>
        <v>0</v>
      </c>
      <c r="F216" s="452"/>
      <c r="G216" s="452">
        <f t="shared" si="14"/>
        <v>0</v>
      </c>
      <c r="H216" s="453">
        <v>81253</v>
      </c>
      <c r="I216" s="454" t="s">
        <v>434</v>
      </c>
      <c r="J216" s="453" t="s">
        <v>11</v>
      </c>
      <c r="K216" s="453"/>
      <c r="L216" s="449">
        <v>99496155</v>
      </c>
    </row>
    <row r="217" spans="1:13" s="69" customFormat="1" x14ac:dyDescent="0.25">
      <c r="A217" s="67">
        <v>2552</v>
      </c>
      <c r="B217" s="396" t="s">
        <v>433</v>
      </c>
      <c r="C217" s="395">
        <v>341.5</v>
      </c>
      <c r="D217" s="210">
        <v>0.25</v>
      </c>
      <c r="E217" s="210">
        <f t="shared" si="13"/>
        <v>85.375</v>
      </c>
      <c r="F217" s="210">
        <f>84.15</f>
        <v>84.15</v>
      </c>
      <c r="G217" s="210">
        <f t="shared" si="14"/>
        <v>1.2249999999999943</v>
      </c>
      <c r="H217" s="108">
        <v>7401542</v>
      </c>
      <c r="I217" s="107" t="s">
        <v>432</v>
      </c>
      <c r="J217" s="108" t="s">
        <v>11</v>
      </c>
      <c r="K217" s="108"/>
      <c r="L217" s="67">
        <v>92341518</v>
      </c>
      <c r="M217" s="258">
        <v>45881</v>
      </c>
    </row>
    <row r="218" spans="1:13" x14ac:dyDescent="0.25">
      <c r="A218" s="13">
        <v>2553</v>
      </c>
      <c r="B218" s="353" t="s">
        <v>431</v>
      </c>
      <c r="C218" s="393">
        <v>372.8</v>
      </c>
      <c r="D218" s="187">
        <v>0.25</v>
      </c>
      <c r="E218" s="187">
        <f t="shared" si="13"/>
        <v>93.2</v>
      </c>
      <c r="F218" s="187"/>
      <c r="G218" s="187">
        <f t="shared" si="14"/>
        <v>93.2</v>
      </c>
      <c r="H218" s="90">
        <v>5127962</v>
      </c>
      <c r="I218" s="89" t="s">
        <v>430</v>
      </c>
      <c r="J218" s="90" t="s">
        <v>11</v>
      </c>
      <c r="K218" s="90"/>
      <c r="L218" s="13">
        <v>92974929</v>
      </c>
    </row>
    <row r="219" spans="1:13" s="177" customFormat="1" x14ac:dyDescent="0.25">
      <c r="A219" s="449">
        <v>2554</v>
      </c>
      <c r="B219" s="450" t="s">
        <v>429</v>
      </c>
      <c r="C219" s="451"/>
      <c r="D219" s="452">
        <v>0.25</v>
      </c>
      <c r="E219" s="452">
        <f t="shared" si="13"/>
        <v>0</v>
      </c>
      <c r="F219" s="452"/>
      <c r="G219" s="452">
        <f t="shared" si="14"/>
        <v>0</v>
      </c>
      <c r="H219" s="453">
        <v>5177797</v>
      </c>
      <c r="I219" s="454" t="s">
        <v>428</v>
      </c>
      <c r="J219" s="453" t="s">
        <v>11</v>
      </c>
      <c r="K219" s="453"/>
      <c r="L219" s="449">
        <v>92912400</v>
      </c>
    </row>
    <row r="220" spans="1:13" s="69" customFormat="1" x14ac:dyDescent="0.25">
      <c r="A220" s="67">
        <v>2555</v>
      </c>
      <c r="B220" s="396" t="s">
        <v>427</v>
      </c>
      <c r="C220" s="395">
        <v>348.7</v>
      </c>
      <c r="D220" s="210">
        <v>0.25</v>
      </c>
      <c r="E220" s="210">
        <f t="shared" si="13"/>
        <v>87.174999999999997</v>
      </c>
      <c r="F220" s="210">
        <f>E220</f>
        <v>87.174999999999997</v>
      </c>
      <c r="G220" s="210">
        <f t="shared" si="14"/>
        <v>0</v>
      </c>
      <c r="H220" s="108">
        <v>921289</v>
      </c>
      <c r="I220" s="107" t="s">
        <v>426</v>
      </c>
      <c r="J220" s="108" t="s">
        <v>11</v>
      </c>
      <c r="K220" s="108"/>
      <c r="L220" s="67">
        <v>99492037</v>
      </c>
      <c r="M220" s="312" t="s">
        <v>616</v>
      </c>
    </row>
    <row r="221" spans="1:13" x14ac:dyDescent="0.25">
      <c r="A221" s="13">
        <v>2556</v>
      </c>
      <c r="B221" s="353" t="s">
        <v>425</v>
      </c>
      <c r="C221" s="393">
        <v>347.7</v>
      </c>
      <c r="D221" s="187">
        <v>0.25</v>
      </c>
      <c r="E221" s="187">
        <f t="shared" si="13"/>
        <v>86.924999999999997</v>
      </c>
      <c r="F221" s="210">
        <f>E221</f>
        <v>86.924999999999997</v>
      </c>
      <c r="G221" s="187">
        <f t="shared" si="14"/>
        <v>0</v>
      </c>
      <c r="H221" s="90">
        <v>9242965</v>
      </c>
      <c r="I221" s="89">
        <v>1060582704001</v>
      </c>
      <c r="J221" s="90" t="s">
        <v>50</v>
      </c>
      <c r="K221" s="90"/>
      <c r="L221" s="13">
        <v>92540021</v>
      </c>
      <c r="M221" s="312" t="s">
        <v>616</v>
      </c>
    </row>
    <row r="222" spans="1:13" s="177" customFormat="1" x14ac:dyDescent="0.25">
      <c r="A222" s="449">
        <v>2557</v>
      </c>
      <c r="B222" s="450" t="s">
        <v>424</v>
      </c>
      <c r="C222" s="451"/>
      <c r="D222" s="452">
        <v>0.25</v>
      </c>
      <c r="E222" s="452">
        <f t="shared" si="13"/>
        <v>0</v>
      </c>
      <c r="F222" s="452"/>
      <c r="G222" s="452">
        <f t="shared" si="14"/>
        <v>0</v>
      </c>
      <c r="H222" s="453">
        <v>23718186</v>
      </c>
      <c r="I222" s="454" t="s">
        <v>423</v>
      </c>
      <c r="J222" s="453" t="s">
        <v>14</v>
      </c>
      <c r="K222" s="453"/>
      <c r="L222" s="449">
        <v>93242020</v>
      </c>
    </row>
    <row r="223" spans="1:13" x14ac:dyDescent="0.25">
      <c r="A223" s="13">
        <v>2558</v>
      </c>
      <c r="B223" s="353" t="s">
        <v>422</v>
      </c>
      <c r="C223" s="393">
        <v>353.7</v>
      </c>
      <c r="D223" s="187">
        <v>0.25</v>
      </c>
      <c r="E223" s="187">
        <f t="shared" si="13"/>
        <v>88.424999999999997</v>
      </c>
      <c r="F223" s="187"/>
      <c r="G223" s="187">
        <f t="shared" si="14"/>
        <v>88.424999999999997</v>
      </c>
      <c r="H223" s="90">
        <v>1105496</v>
      </c>
      <c r="I223" s="89">
        <v>250020014491</v>
      </c>
      <c r="J223" s="90" t="s">
        <v>14</v>
      </c>
      <c r="K223" s="90"/>
      <c r="L223" s="13">
        <v>99480919</v>
      </c>
    </row>
    <row r="224" spans="1:13" x14ac:dyDescent="0.25">
      <c r="A224" s="13">
        <v>2559</v>
      </c>
      <c r="B224" s="353" t="s">
        <v>421</v>
      </c>
      <c r="C224" s="393">
        <v>388</v>
      </c>
      <c r="D224" s="187">
        <v>0.25</v>
      </c>
      <c r="E224" s="187">
        <f t="shared" si="13"/>
        <v>97</v>
      </c>
      <c r="F224" s="187"/>
      <c r="G224" s="187">
        <f t="shared" si="14"/>
        <v>97</v>
      </c>
      <c r="H224" s="90">
        <v>5128715</v>
      </c>
      <c r="I224" s="89" t="s">
        <v>420</v>
      </c>
      <c r="J224" s="90" t="s">
        <v>11</v>
      </c>
      <c r="K224" s="90"/>
      <c r="L224" s="13">
        <v>95257749</v>
      </c>
    </row>
    <row r="225" spans="1:14" s="69" customFormat="1" x14ac:dyDescent="0.25">
      <c r="A225" s="67">
        <v>2560</v>
      </c>
      <c r="B225" s="396" t="s">
        <v>419</v>
      </c>
      <c r="C225" s="395">
        <v>393.1</v>
      </c>
      <c r="D225" s="210">
        <v>0.25</v>
      </c>
      <c r="E225" s="210">
        <f t="shared" si="13"/>
        <v>98.275000000000006</v>
      </c>
      <c r="F225" s="210">
        <f>95+3.275</f>
        <v>98.275000000000006</v>
      </c>
      <c r="G225" s="210">
        <f t="shared" si="14"/>
        <v>0</v>
      </c>
      <c r="H225" s="108">
        <v>14436155</v>
      </c>
      <c r="I225" s="107" t="s">
        <v>418</v>
      </c>
      <c r="J225" s="108" t="s">
        <v>11</v>
      </c>
      <c r="K225" s="108"/>
      <c r="L225" s="67">
        <v>99557773</v>
      </c>
      <c r="M225" s="69" t="s">
        <v>579</v>
      </c>
      <c r="N225" s="312" t="s">
        <v>616</v>
      </c>
    </row>
    <row r="226" spans="1:14" s="69" customFormat="1" x14ac:dyDescent="0.25">
      <c r="A226" s="67">
        <v>2561</v>
      </c>
      <c r="B226" s="396" t="s">
        <v>417</v>
      </c>
      <c r="C226" s="395">
        <v>372</v>
      </c>
      <c r="D226" s="210">
        <v>0.25</v>
      </c>
      <c r="E226" s="210">
        <f t="shared" si="13"/>
        <v>93</v>
      </c>
      <c r="F226" s="210">
        <f>89.1</f>
        <v>89.1</v>
      </c>
      <c r="G226" s="210">
        <f t="shared" si="14"/>
        <v>3.9000000000000057</v>
      </c>
      <c r="H226" s="108">
        <v>18975018</v>
      </c>
      <c r="I226" s="107" t="s">
        <v>416</v>
      </c>
      <c r="J226" s="108" t="s">
        <v>11</v>
      </c>
      <c r="K226" s="108"/>
      <c r="L226" s="67">
        <v>99486864</v>
      </c>
      <c r="M226" s="258">
        <v>45669</v>
      </c>
    </row>
    <row r="227" spans="1:14" s="69" customFormat="1" x14ac:dyDescent="0.25">
      <c r="A227" s="67">
        <v>2562</v>
      </c>
      <c r="B227" s="396" t="s">
        <v>415</v>
      </c>
      <c r="C227" s="395">
        <v>334.2</v>
      </c>
      <c r="D227" s="210">
        <v>0.25</v>
      </c>
      <c r="E227" s="210">
        <f t="shared" ref="E227:E258" si="15">C227*D227</f>
        <v>83.55</v>
      </c>
      <c r="F227" s="210">
        <f>E227</f>
        <v>83.55</v>
      </c>
      <c r="G227" s="210">
        <f t="shared" si="14"/>
        <v>0</v>
      </c>
      <c r="H227" s="108">
        <v>7790465</v>
      </c>
      <c r="I227" s="107" t="s">
        <v>414</v>
      </c>
      <c r="J227" s="108" t="s">
        <v>11</v>
      </c>
      <c r="K227" s="108"/>
      <c r="L227" s="67">
        <v>98026664</v>
      </c>
      <c r="M227" s="312" t="s">
        <v>616</v>
      </c>
    </row>
    <row r="228" spans="1:14" s="69" customFormat="1" x14ac:dyDescent="0.25">
      <c r="A228" s="67">
        <v>2563</v>
      </c>
      <c r="B228" s="396" t="s">
        <v>413</v>
      </c>
      <c r="C228" s="395">
        <v>292.39999999999998</v>
      </c>
      <c r="D228" s="210">
        <v>0.25</v>
      </c>
      <c r="E228" s="210">
        <f t="shared" si="15"/>
        <v>73.099999999999994</v>
      </c>
      <c r="F228" s="210">
        <f>E228</f>
        <v>73.099999999999994</v>
      </c>
      <c r="G228" s="210">
        <f t="shared" si="14"/>
        <v>0</v>
      </c>
      <c r="H228" s="108">
        <v>5744412</v>
      </c>
      <c r="I228" s="107" t="s">
        <v>412</v>
      </c>
      <c r="J228" s="108" t="s">
        <v>11</v>
      </c>
      <c r="K228" s="108"/>
      <c r="L228" s="67">
        <v>92566993</v>
      </c>
      <c r="M228" s="312" t="s">
        <v>619</v>
      </c>
    </row>
    <row r="229" spans="1:14" s="69" customFormat="1" x14ac:dyDescent="0.25">
      <c r="A229" s="67">
        <v>2564</v>
      </c>
      <c r="B229" s="396" t="s">
        <v>411</v>
      </c>
      <c r="C229" s="395">
        <v>322</v>
      </c>
      <c r="D229" s="210">
        <v>0.25</v>
      </c>
      <c r="E229" s="210">
        <f t="shared" si="15"/>
        <v>80.5</v>
      </c>
      <c r="F229" s="210">
        <f>E229</f>
        <v>80.5</v>
      </c>
      <c r="G229" s="210">
        <f t="shared" si="14"/>
        <v>0</v>
      </c>
      <c r="H229" s="108">
        <v>27272455</v>
      </c>
      <c r="I229" s="107" t="s">
        <v>410</v>
      </c>
      <c r="J229" s="108" t="s">
        <v>11</v>
      </c>
      <c r="K229" s="108"/>
      <c r="L229" s="67">
        <v>92315109</v>
      </c>
      <c r="M229" s="312" t="s">
        <v>621</v>
      </c>
    </row>
    <row r="230" spans="1:14" s="177" customFormat="1" x14ac:dyDescent="0.25">
      <c r="A230" s="449">
        <v>2565</v>
      </c>
      <c r="B230" s="450" t="s">
        <v>409</v>
      </c>
      <c r="C230" s="451"/>
      <c r="D230" s="452">
        <v>0.25</v>
      </c>
      <c r="E230" s="452">
        <f t="shared" si="15"/>
        <v>0</v>
      </c>
      <c r="F230" s="452"/>
      <c r="G230" s="452">
        <f t="shared" si="14"/>
        <v>0</v>
      </c>
      <c r="H230" s="453">
        <v>24900494</v>
      </c>
      <c r="I230" s="454" t="s">
        <v>408</v>
      </c>
      <c r="J230" s="453" t="s">
        <v>11</v>
      </c>
      <c r="K230" s="453"/>
      <c r="L230" s="449">
        <v>92219137</v>
      </c>
    </row>
    <row r="231" spans="1:14" s="177" customFormat="1" x14ac:dyDescent="0.25">
      <c r="A231" s="449">
        <v>2566</v>
      </c>
      <c r="B231" s="450" t="s">
        <v>407</v>
      </c>
      <c r="C231" s="451"/>
      <c r="D231" s="452">
        <v>0.25</v>
      </c>
      <c r="E231" s="452">
        <f t="shared" si="15"/>
        <v>0</v>
      </c>
      <c r="F231" s="452"/>
      <c r="G231" s="452">
        <f t="shared" si="14"/>
        <v>0</v>
      </c>
      <c r="H231" s="453">
        <v>11652477</v>
      </c>
      <c r="I231" s="454" t="s">
        <v>406</v>
      </c>
      <c r="J231" s="453" t="s">
        <v>11</v>
      </c>
      <c r="K231" s="453"/>
      <c r="L231" s="449">
        <v>95606419</v>
      </c>
    </row>
    <row r="232" spans="1:14" s="177" customFormat="1" x14ac:dyDescent="0.25">
      <c r="A232" s="449">
        <v>2567</v>
      </c>
      <c r="B232" s="450" t="s">
        <v>405</v>
      </c>
      <c r="C232" s="451"/>
      <c r="D232" s="452">
        <v>0.25</v>
      </c>
      <c r="E232" s="452">
        <f t="shared" si="15"/>
        <v>0</v>
      </c>
      <c r="F232" s="452"/>
      <c r="G232" s="452">
        <f t="shared" si="14"/>
        <v>0</v>
      </c>
      <c r="H232" s="453">
        <v>23716828</v>
      </c>
      <c r="I232" s="454" t="s">
        <v>404</v>
      </c>
      <c r="J232" s="453" t="s">
        <v>11</v>
      </c>
      <c r="K232" s="453"/>
      <c r="L232" s="449">
        <v>96117533</v>
      </c>
    </row>
    <row r="233" spans="1:14" x14ac:dyDescent="0.25">
      <c r="A233" s="13">
        <v>2568</v>
      </c>
      <c r="B233" s="353" t="s">
        <v>403</v>
      </c>
      <c r="C233" s="393">
        <v>329</v>
      </c>
      <c r="D233" s="187">
        <v>0.25</v>
      </c>
      <c r="E233" s="187">
        <f t="shared" si="15"/>
        <v>82.25</v>
      </c>
      <c r="F233" s="187"/>
      <c r="G233" s="187">
        <f t="shared" si="14"/>
        <v>82.25</v>
      </c>
      <c r="H233" s="90">
        <v>817274</v>
      </c>
      <c r="I233" s="89" t="s">
        <v>402</v>
      </c>
      <c r="J233" s="90" t="s">
        <v>11</v>
      </c>
      <c r="K233" s="90"/>
      <c r="L233" s="13">
        <v>99495145</v>
      </c>
    </row>
    <row r="234" spans="1:14" x14ac:dyDescent="0.25">
      <c r="A234" s="13">
        <v>2569</v>
      </c>
      <c r="B234" s="353" t="s">
        <v>401</v>
      </c>
      <c r="C234" s="393">
        <v>349.5</v>
      </c>
      <c r="D234" s="187">
        <v>0.25</v>
      </c>
      <c r="E234" s="187">
        <f t="shared" si="15"/>
        <v>87.375</v>
      </c>
      <c r="F234" s="187"/>
      <c r="G234" s="187">
        <f t="shared" si="14"/>
        <v>87.375</v>
      </c>
      <c r="H234" s="90">
        <v>6079331</v>
      </c>
      <c r="I234" s="89" t="s">
        <v>400</v>
      </c>
      <c r="J234" s="90" t="s">
        <v>11</v>
      </c>
      <c r="K234" s="90"/>
      <c r="L234" s="13">
        <v>93337750</v>
      </c>
    </row>
    <row r="235" spans="1:14" s="69" customFormat="1" x14ac:dyDescent="0.25">
      <c r="A235" s="67">
        <v>2570</v>
      </c>
      <c r="B235" s="396" t="s">
        <v>399</v>
      </c>
      <c r="C235" s="395">
        <v>120.3</v>
      </c>
      <c r="D235" s="210">
        <v>0.25</v>
      </c>
      <c r="E235" s="210">
        <f t="shared" si="15"/>
        <v>30.074999999999999</v>
      </c>
      <c r="F235" s="210">
        <f>E235</f>
        <v>30.074999999999999</v>
      </c>
      <c r="G235" s="210">
        <f t="shared" si="14"/>
        <v>0</v>
      </c>
      <c r="H235" s="108">
        <v>5032113</v>
      </c>
      <c r="I235" s="107" t="s">
        <v>398</v>
      </c>
      <c r="J235" s="108" t="s">
        <v>11</v>
      </c>
      <c r="K235" s="108"/>
      <c r="L235" s="67">
        <v>93675225</v>
      </c>
      <c r="M235" s="312" t="s">
        <v>616</v>
      </c>
    </row>
    <row r="236" spans="1:14" x14ac:dyDescent="0.25">
      <c r="A236" s="13">
        <v>2571</v>
      </c>
      <c r="B236" s="353" t="s">
        <v>397</v>
      </c>
      <c r="C236" s="393">
        <v>365.9</v>
      </c>
      <c r="D236" s="187">
        <v>0.25</v>
      </c>
      <c r="E236" s="187">
        <f t="shared" si="15"/>
        <v>91.474999999999994</v>
      </c>
      <c r="F236" s="187"/>
      <c r="G236" s="187">
        <f t="shared" si="14"/>
        <v>91.474999999999994</v>
      </c>
      <c r="H236" s="90">
        <v>670478</v>
      </c>
      <c r="I236" s="89" t="s">
        <v>396</v>
      </c>
      <c r="J236" s="90" t="s">
        <v>11</v>
      </c>
      <c r="K236" s="90"/>
      <c r="L236" s="13">
        <v>92989511</v>
      </c>
    </row>
    <row r="237" spans="1:14" x14ac:dyDescent="0.25">
      <c r="A237" s="13">
        <v>2572</v>
      </c>
      <c r="B237" s="353" t="s">
        <v>395</v>
      </c>
      <c r="C237" s="393">
        <v>350.8</v>
      </c>
      <c r="D237" s="187">
        <v>0.25</v>
      </c>
      <c r="E237" s="187">
        <f t="shared" si="15"/>
        <v>87.7</v>
      </c>
      <c r="F237" s="187"/>
      <c r="G237" s="187">
        <f t="shared" si="14"/>
        <v>87.7</v>
      </c>
      <c r="H237" s="90">
        <v>660288</v>
      </c>
      <c r="I237" s="89" t="s">
        <v>394</v>
      </c>
      <c r="J237" s="90" t="s">
        <v>11</v>
      </c>
      <c r="K237" s="90"/>
      <c r="L237" s="13">
        <v>99494647</v>
      </c>
    </row>
    <row r="238" spans="1:14" x14ac:dyDescent="0.25">
      <c r="A238" s="13">
        <v>2573</v>
      </c>
      <c r="B238" s="353" t="s">
        <v>393</v>
      </c>
      <c r="C238" s="393">
        <v>377.1</v>
      </c>
      <c r="D238" s="187">
        <v>0.25</v>
      </c>
      <c r="E238" s="187">
        <f t="shared" si="15"/>
        <v>94.275000000000006</v>
      </c>
      <c r="F238" s="187"/>
      <c r="G238" s="187">
        <f t="shared" si="14"/>
        <v>94.275000000000006</v>
      </c>
      <c r="H238" s="90">
        <v>7885146</v>
      </c>
      <c r="I238" s="89" t="s">
        <v>392</v>
      </c>
      <c r="J238" s="90" t="s">
        <v>11</v>
      </c>
      <c r="K238" s="90"/>
      <c r="L238" s="13">
        <v>95103701</v>
      </c>
    </row>
    <row r="239" spans="1:14" x14ac:dyDescent="0.25">
      <c r="A239" s="13">
        <v>2574</v>
      </c>
      <c r="B239" s="353" t="s">
        <v>391</v>
      </c>
      <c r="C239" s="393">
        <v>382</v>
      </c>
      <c r="D239" s="187">
        <v>0.25</v>
      </c>
      <c r="E239" s="187">
        <f t="shared" si="15"/>
        <v>95.5</v>
      </c>
      <c r="F239" s="187"/>
      <c r="G239" s="187">
        <f t="shared" si="14"/>
        <v>95.5</v>
      </c>
      <c r="H239" s="90">
        <v>5586433</v>
      </c>
      <c r="I239" s="89" t="s">
        <v>390</v>
      </c>
      <c r="J239" s="90" t="s">
        <v>11</v>
      </c>
      <c r="K239" s="90"/>
      <c r="L239" s="13">
        <v>91199514</v>
      </c>
    </row>
    <row r="240" spans="1:14" x14ac:dyDescent="0.25">
      <c r="A240" s="13">
        <v>2575</v>
      </c>
      <c r="B240" s="353" t="s">
        <v>389</v>
      </c>
      <c r="C240" s="393">
        <v>19.5</v>
      </c>
      <c r="D240" s="187">
        <v>0.25</v>
      </c>
      <c r="E240" s="187">
        <f t="shared" si="15"/>
        <v>4.875</v>
      </c>
      <c r="F240" s="187"/>
      <c r="G240" s="187">
        <f t="shared" si="14"/>
        <v>4.875</v>
      </c>
      <c r="H240" s="90">
        <v>7321541</v>
      </c>
      <c r="I240" s="89" t="s">
        <v>388</v>
      </c>
      <c r="J240" s="90" t="s">
        <v>11</v>
      </c>
      <c r="K240" s="90"/>
      <c r="L240" s="13">
        <v>99774726</v>
      </c>
    </row>
    <row r="241" spans="1:13" s="177" customFormat="1" x14ac:dyDescent="0.25">
      <c r="A241" s="449">
        <v>2576</v>
      </c>
      <c r="B241" s="450" t="s">
        <v>387</v>
      </c>
      <c r="C241" s="451"/>
      <c r="D241" s="452">
        <v>0.25</v>
      </c>
      <c r="E241" s="452">
        <f t="shared" si="15"/>
        <v>0</v>
      </c>
      <c r="F241" s="452"/>
      <c r="G241" s="452">
        <f t="shared" si="14"/>
        <v>0</v>
      </c>
      <c r="H241" s="453">
        <v>13307977</v>
      </c>
      <c r="I241" s="454" t="s">
        <v>386</v>
      </c>
      <c r="J241" s="453" t="s">
        <v>11</v>
      </c>
      <c r="K241" s="453"/>
      <c r="L241" s="449">
        <v>99774726</v>
      </c>
    </row>
    <row r="242" spans="1:13" s="69" customFormat="1" x14ac:dyDescent="0.25">
      <c r="A242" s="67">
        <v>2577</v>
      </c>
      <c r="B242" s="396" t="s">
        <v>385</v>
      </c>
      <c r="C242" s="395">
        <v>359.8</v>
      </c>
      <c r="D242" s="210">
        <v>0.25</v>
      </c>
      <c r="E242" s="210">
        <f t="shared" si="15"/>
        <v>89.95</v>
      </c>
      <c r="F242" s="210">
        <f>E242</f>
        <v>89.95</v>
      </c>
      <c r="G242" s="210">
        <f t="shared" si="14"/>
        <v>0</v>
      </c>
      <c r="H242" s="108">
        <v>7756767</v>
      </c>
      <c r="I242" s="107" t="s">
        <v>384</v>
      </c>
      <c r="J242" s="108" t="s">
        <v>11</v>
      </c>
      <c r="K242" s="108"/>
      <c r="L242" s="67">
        <v>98895532</v>
      </c>
      <c r="M242" s="312" t="s">
        <v>616</v>
      </c>
    </row>
    <row r="243" spans="1:13" x14ac:dyDescent="0.25">
      <c r="A243" s="13">
        <v>2578</v>
      </c>
      <c r="B243" s="353" t="s">
        <v>383</v>
      </c>
      <c r="C243" s="393">
        <v>322.8</v>
      </c>
      <c r="D243" s="187">
        <v>0.25</v>
      </c>
      <c r="E243" s="187">
        <f t="shared" si="15"/>
        <v>80.7</v>
      </c>
      <c r="F243" s="187"/>
      <c r="G243" s="187">
        <f t="shared" si="14"/>
        <v>80.7</v>
      </c>
      <c r="H243" s="90">
        <v>1006702</v>
      </c>
      <c r="I243" s="89">
        <v>2500200115581</v>
      </c>
      <c r="J243" s="90" t="s">
        <v>15</v>
      </c>
      <c r="K243" s="90"/>
      <c r="L243" s="13">
        <v>96442944</v>
      </c>
    </row>
    <row r="244" spans="1:13" s="69" customFormat="1" x14ac:dyDescent="0.25">
      <c r="A244" s="67">
        <v>2579</v>
      </c>
      <c r="B244" s="396" t="s">
        <v>382</v>
      </c>
      <c r="C244" s="395">
        <v>148.4</v>
      </c>
      <c r="D244" s="210">
        <v>0.25</v>
      </c>
      <c r="E244" s="210">
        <f t="shared" si="15"/>
        <v>37.1</v>
      </c>
      <c r="F244" s="210">
        <f>E244</f>
        <v>37.1</v>
      </c>
      <c r="G244" s="210">
        <f t="shared" si="14"/>
        <v>0</v>
      </c>
      <c r="H244" s="108">
        <v>373386</v>
      </c>
      <c r="I244" s="107">
        <v>3109086634500</v>
      </c>
      <c r="J244" s="108" t="s">
        <v>81</v>
      </c>
      <c r="K244" s="108"/>
      <c r="L244" s="67">
        <v>92834411</v>
      </c>
      <c r="M244" s="312" t="s">
        <v>618</v>
      </c>
    </row>
    <row r="245" spans="1:13" s="69" customFormat="1" x14ac:dyDescent="0.25">
      <c r="A245" s="67">
        <v>2580</v>
      </c>
      <c r="B245" s="396" t="s">
        <v>381</v>
      </c>
      <c r="C245" s="395">
        <v>345.1</v>
      </c>
      <c r="D245" s="210">
        <v>0.25</v>
      </c>
      <c r="E245" s="210">
        <f t="shared" si="15"/>
        <v>86.275000000000006</v>
      </c>
      <c r="F245" s="210">
        <f>E245</f>
        <v>86.275000000000006</v>
      </c>
      <c r="G245" s="210">
        <f t="shared" si="14"/>
        <v>0</v>
      </c>
      <c r="H245" s="108">
        <v>4345131</v>
      </c>
      <c r="I245" s="107" t="s">
        <v>380</v>
      </c>
      <c r="J245" s="108" t="s">
        <v>11</v>
      </c>
      <c r="K245" s="108"/>
      <c r="L245" s="67">
        <v>98895532</v>
      </c>
      <c r="M245" s="312" t="s">
        <v>616</v>
      </c>
    </row>
    <row r="246" spans="1:13" x14ac:dyDescent="0.25">
      <c r="A246" s="13">
        <f t="shared" ref="A246:A260" si="16">A245+1</f>
        <v>2581</v>
      </c>
      <c r="B246" s="353" t="s">
        <v>379</v>
      </c>
      <c r="C246" s="393">
        <v>352</v>
      </c>
      <c r="D246" s="187">
        <v>0.25</v>
      </c>
      <c r="E246" s="187">
        <f t="shared" si="15"/>
        <v>88</v>
      </c>
      <c r="F246" s="187"/>
      <c r="G246" s="187">
        <f t="shared" si="14"/>
        <v>88</v>
      </c>
      <c r="H246" s="90">
        <v>18827936</v>
      </c>
      <c r="I246" s="89" t="s">
        <v>378</v>
      </c>
      <c r="J246" s="90" t="s">
        <v>14</v>
      </c>
      <c r="K246" s="90"/>
      <c r="L246" s="13">
        <v>99693456</v>
      </c>
    </row>
    <row r="247" spans="1:13" x14ac:dyDescent="0.25">
      <c r="A247" s="13">
        <f t="shared" si="16"/>
        <v>2582</v>
      </c>
      <c r="B247" s="353" t="s">
        <v>377</v>
      </c>
      <c r="C247" s="393">
        <v>76.5</v>
      </c>
      <c r="D247" s="187">
        <v>0.25</v>
      </c>
      <c r="E247" s="187">
        <f t="shared" si="15"/>
        <v>19.125</v>
      </c>
      <c r="F247" s="187"/>
      <c r="G247" s="187">
        <f t="shared" si="14"/>
        <v>19.125</v>
      </c>
      <c r="H247" s="90">
        <v>5827813</v>
      </c>
      <c r="I247" s="89" t="s">
        <v>376</v>
      </c>
      <c r="J247" s="90" t="s">
        <v>14</v>
      </c>
      <c r="K247" s="90"/>
      <c r="L247" s="13">
        <v>99180888</v>
      </c>
    </row>
    <row r="248" spans="1:13" x14ac:dyDescent="0.25">
      <c r="A248" s="13">
        <f t="shared" si="16"/>
        <v>2583</v>
      </c>
      <c r="B248" s="353" t="s">
        <v>375</v>
      </c>
      <c r="C248" s="393">
        <v>332.4</v>
      </c>
      <c r="D248" s="187">
        <v>0.25</v>
      </c>
      <c r="E248" s="187">
        <f t="shared" si="15"/>
        <v>83.1</v>
      </c>
      <c r="F248" s="187"/>
      <c r="G248" s="187">
        <f t="shared" si="14"/>
        <v>83.1</v>
      </c>
      <c r="H248" s="90">
        <v>8344529</v>
      </c>
      <c r="I248" s="89" t="s">
        <v>374</v>
      </c>
      <c r="J248" s="90" t="s">
        <v>11</v>
      </c>
      <c r="K248" s="90"/>
      <c r="L248" s="13">
        <v>98977703</v>
      </c>
    </row>
    <row r="249" spans="1:13" x14ac:dyDescent="0.25">
      <c r="A249" s="13">
        <f t="shared" si="16"/>
        <v>2584</v>
      </c>
      <c r="B249" s="353" t="s">
        <v>373</v>
      </c>
      <c r="C249" s="393">
        <v>364.1</v>
      </c>
      <c r="D249" s="187">
        <v>0.25</v>
      </c>
      <c r="E249" s="187">
        <f t="shared" si="15"/>
        <v>91.025000000000006</v>
      </c>
      <c r="F249" s="187"/>
      <c r="G249" s="187">
        <f t="shared" si="14"/>
        <v>91.025000000000006</v>
      </c>
      <c r="H249" s="90">
        <v>21365246</v>
      </c>
      <c r="I249" s="89" t="s">
        <v>372</v>
      </c>
      <c r="J249" s="90" t="s">
        <v>11</v>
      </c>
      <c r="K249" s="90"/>
      <c r="L249" s="13">
        <v>92396040</v>
      </c>
    </row>
    <row r="250" spans="1:13" x14ac:dyDescent="0.25">
      <c r="A250" s="13">
        <f t="shared" si="16"/>
        <v>2585</v>
      </c>
      <c r="B250" s="353" t="s">
        <v>371</v>
      </c>
      <c r="C250" s="393">
        <v>369</v>
      </c>
      <c r="D250" s="187">
        <v>0.25</v>
      </c>
      <c r="E250" s="187">
        <f t="shared" si="15"/>
        <v>92.25</v>
      </c>
      <c r="F250" s="187"/>
      <c r="G250" s="187">
        <f t="shared" si="14"/>
        <v>92.25</v>
      </c>
      <c r="H250" s="90">
        <v>1361572</v>
      </c>
      <c r="I250" s="89" t="s">
        <v>370</v>
      </c>
      <c r="J250" s="90" t="s">
        <v>11</v>
      </c>
      <c r="K250" s="90"/>
      <c r="L250" s="13">
        <v>96143385</v>
      </c>
    </row>
    <row r="251" spans="1:13" s="69" customFormat="1" x14ac:dyDescent="0.25">
      <c r="A251" s="67">
        <f t="shared" si="16"/>
        <v>2586</v>
      </c>
      <c r="B251" s="396" t="s">
        <v>369</v>
      </c>
      <c r="C251" s="395">
        <v>358.6</v>
      </c>
      <c r="D251" s="210">
        <v>0.25</v>
      </c>
      <c r="E251" s="210">
        <f t="shared" si="15"/>
        <v>89.65</v>
      </c>
      <c r="F251" s="210">
        <f>E251</f>
        <v>89.65</v>
      </c>
      <c r="G251" s="210">
        <f t="shared" si="14"/>
        <v>0</v>
      </c>
      <c r="H251" s="108">
        <v>12587499</v>
      </c>
      <c r="I251" s="107">
        <v>1060716020017</v>
      </c>
      <c r="J251" s="108" t="s">
        <v>50</v>
      </c>
      <c r="K251" s="108"/>
      <c r="L251" s="67">
        <v>92194564</v>
      </c>
      <c r="M251" s="312" t="s">
        <v>616</v>
      </c>
    </row>
    <row r="252" spans="1:13" x14ac:dyDescent="0.25">
      <c r="A252" s="13">
        <f t="shared" si="16"/>
        <v>2587</v>
      </c>
      <c r="B252" s="353" t="s">
        <v>368</v>
      </c>
      <c r="C252" s="393">
        <v>118.3</v>
      </c>
      <c r="D252" s="187">
        <v>0.25</v>
      </c>
      <c r="E252" s="187">
        <f t="shared" si="15"/>
        <v>29.574999999999999</v>
      </c>
      <c r="F252" s="187"/>
      <c r="G252" s="187">
        <f t="shared" si="14"/>
        <v>29.574999999999999</v>
      </c>
      <c r="H252" s="90">
        <v>27667399</v>
      </c>
      <c r="I252" s="89" t="s">
        <v>367</v>
      </c>
      <c r="J252" s="90" t="s">
        <v>11</v>
      </c>
      <c r="K252" s="90"/>
      <c r="L252" s="13">
        <v>93327116</v>
      </c>
    </row>
    <row r="253" spans="1:13" s="69" customFormat="1" x14ac:dyDescent="0.25">
      <c r="A253" s="67">
        <f t="shared" si="16"/>
        <v>2588</v>
      </c>
      <c r="B253" s="396" t="s">
        <v>366</v>
      </c>
      <c r="C253" s="395">
        <v>165.9</v>
      </c>
      <c r="D253" s="210">
        <v>0.25</v>
      </c>
      <c r="E253" s="210">
        <f t="shared" si="15"/>
        <v>41.475000000000001</v>
      </c>
      <c r="F253" s="210">
        <f>E253</f>
        <v>41.475000000000001</v>
      </c>
      <c r="G253" s="210">
        <f t="shared" si="14"/>
        <v>0</v>
      </c>
      <c r="H253" s="108">
        <v>5022012</v>
      </c>
      <c r="I253" s="107">
        <v>31292006511700</v>
      </c>
      <c r="J253" s="108" t="s">
        <v>50</v>
      </c>
      <c r="K253" s="108"/>
      <c r="L253" s="67">
        <v>93273434</v>
      </c>
      <c r="M253" s="312" t="s">
        <v>616</v>
      </c>
    </row>
    <row r="254" spans="1:13" x14ac:dyDescent="0.25">
      <c r="A254" s="13">
        <f t="shared" si="16"/>
        <v>2589</v>
      </c>
      <c r="B254" s="353" t="s">
        <v>218</v>
      </c>
      <c r="C254" s="393">
        <v>360.3</v>
      </c>
      <c r="D254" s="187">
        <v>0.25</v>
      </c>
      <c r="E254" s="187">
        <f t="shared" si="15"/>
        <v>90.075000000000003</v>
      </c>
      <c r="F254" s="187"/>
      <c r="G254" s="187">
        <f t="shared" si="14"/>
        <v>90.075000000000003</v>
      </c>
      <c r="H254" s="90">
        <v>24512658</v>
      </c>
      <c r="I254" s="89" t="s">
        <v>365</v>
      </c>
      <c r="J254" s="90" t="s">
        <v>14</v>
      </c>
      <c r="K254" s="90"/>
      <c r="L254" s="13">
        <v>93967172</v>
      </c>
    </row>
    <row r="255" spans="1:13" x14ac:dyDescent="0.25">
      <c r="A255" s="13">
        <f t="shared" si="16"/>
        <v>2590</v>
      </c>
      <c r="B255" s="353" t="s">
        <v>364</v>
      </c>
      <c r="C255" s="393">
        <v>344.3</v>
      </c>
      <c r="D255" s="187">
        <v>0.25</v>
      </c>
      <c r="E255" s="187">
        <f t="shared" si="15"/>
        <v>86.075000000000003</v>
      </c>
      <c r="F255" s="187"/>
      <c r="G255" s="187">
        <f t="shared" si="14"/>
        <v>86.075000000000003</v>
      </c>
      <c r="H255" s="90">
        <v>10613224</v>
      </c>
      <c r="I255" s="89">
        <v>70402005917501</v>
      </c>
      <c r="J255" s="90" t="s">
        <v>11</v>
      </c>
      <c r="K255" s="90"/>
      <c r="L255" s="13">
        <v>92528593</v>
      </c>
    </row>
    <row r="256" spans="1:13" s="69" customFormat="1" x14ac:dyDescent="0.25">
      <c r="A256" s="67">
        <f t="shared" si="16"/>
        <v>2591</v>
      </c>
      <c r="B256" s="396" t="s">
        <v>363</v>
      </c>
      <c r="C256" s="395">
        <v>350.7</v>
      </c>
      <c r="D256" s="210">
        <v>0.25</v>
      </c>
      <c r="E256" s="210">
        <f t="shared" si="15"/>
        <v>87.674999999999997</v>
      </c>
      <c r="F256" s="210">
        <f>84.15</f>
        <v>84.15</v>
      </c>
      <c r="G256" s="210">
        <f t="shared" si="14"/>
        <v>3.5249999999999915</v>
      </c>
      <c r="H256" s="108">
        <v>13842333</v>
      </c>
      <c r="I256" s="107" t="s">
        <v>362</v>
      </c>
      <c r="J256" s="108" t="s">
        <v>11</v>
      </c>
      <c r="K256" s="108"/>
      <c r="L256" s="67">
        <v>92366628</v>
      </c>
      <c r="M256" s="258">
        <v>46002</v>
      </c>
    </row>
    <row r="257" spans="1:13" x14ac:dyDescent="0.25">
      <c r="A257" s="13">
        <f t="shared" si="16"/>
        <v>2592</v>
      </c>
      <c r="B257" s="353" t="s">
        <v>361</v>
      </c>
      <c r="C257" s="393">
        <v>349.4</v>
      </c>
      <c r="D257" s="187">
        <v>0.25</v>
      </c>
      <c r="E257" s="187">
        <f t="shared" si="15"/>
        <v>87.35</v>
      </c>
      <c r="F257" s="187"/>
      <c r="G257" s="187">
        <f t="shared" si="14"/>
        <v>87.35</v>
      </c>
      <c r="H257" s="90">
        <v>977263</v>
      </c>
      <c r="I257" s="89" t="s">
        <v>360</v>
      </c>
      <c r="J257" s="90" t="s">
        <v>11</v>
      </c>
      <c r="K257" s="90"/>
      <c r="L257" s="13">
        <v>99162100</v>
      </c>
    </row>
    <row r="258" spans="1:13" x14ac:dyDescent="0.25">
      <c r="A258" s="13">
        <f t="shared" si="16"/>
        <v>2593</v>
      </c>
      <c r="B258" s="353" t="s">
        <v>359</v>
      </c>
      <c r="C258" s="393">
        <v>372.8</v>
      </c>
      <c r="D258" s="187">
        <v>0.25</v>
      </c>
      <c r="E258" s="187">
        <f t="shared" si="15"/>
        <v>93.2</v>
      </c>
      <c r="F258" s="187"/>
      <c r="G258" s="187">
        <f t="shared" si="14"/>
        <v>93.2</v>
      </c>
      <c r="H258" s="90">
        <v>22642816</v>
      </c>
      <c r="I258" s="89" t="s">
        <v>358</v>
      </c>
      <c r="J258" s="90" t="s">
        <v>11</v>
      </c>
      <c r="K258" s="90"/>
      <c r="L258" s="13">
        <v>92626230</v>
      </c>
    </row>
    <row r="259" spans="1:13" s="69" customFormat="1" ht="14.25" customHeight="1" x14ac:dyDescent="0.25">
      <c r="A259" s="67">
        <f t="shared" si="16"/>
        <v>2594</v>
      </c>
      <c r="B259" s="396" t="s">
        <v>357</v>
      </c>
      <c r="C259" s="395">
        <v>301</v>
      </c>
      <c r="D259" s="210">
        <v>0.25</v>
      </c>
      <c r="E259" s="210">
        <f t="shared" ref="E259:E261" si="17">C259*D259</f>
        <v>75.25</v>
      </c>
      <c r="F259" s="210">
        <f>E259</f>
        <v>75.25</v>
      </c>
      <c r="G259" s="210">
        <f t="shared" si="14"/>
        <v>0</v>
      </c>
      <c r="H259" s="108">
        <v>5679673</v>
      </c>
      <c r="I259" s="107" t="s">
        <v>356</v>
      </c>
      <c r="J259" s="108" t="s">
        <v>11</v>
      </c>
      <c r="K259" s="108"/>
      <c r="L259" s="67">
        <v>95606291</v>
      </c>
      <c r="M259" s="312" t="s">
        <v>616</v>
      </c>
    </row>
    <row r="260" spans="1:13" x14ac:dyDescent="0.25">
      <c r="A260" s="13">
        <f t="shared" si="16"/>
        <v>2595</v>
      </c>
      <c r="B260" s="353" t="s">
        <v>355</v>
      </c>
      <c r="C260" s="393">
        <v>366.7</v>
      </c>
      <c r="D260" s="187">
        <v>0.25</v>
      </c>
      <c r="E260" s="187">
        <f t="shared" si="17"/>
        <v>91.674999999999997</v>
      </c>
      <c r="F260" s="187"/>
      <c r="G260" s="187">
        <f t="shared" si="14"/>
        <v>91.674999999999997</v>
      </c>
      <c r="H260" s="90">
        <v>5128697</v>
      </c>
      <c r="I260" s="89" t="s">
        <v>354</v>
      </c>
      <c r="J260" s="90" t="s">
        <v>11</v>
      </c>
      <c r="K260" s="90"/>
      <c r="L260" s="13">
        <v>99695076</v>
      </c>
    </row>
    <row r="261" spans="1:13" x14ac:dyDescent="0.25">
      <c r="A261" s="13">
        <v>3166</v>
      </c>
      <c r="B261" s="353" t="s">
        <v>17</v>
      </c>
      <c r="C261" s="393">
        <v>2775.4</v>
      </c>
      <c r="D261" s="187">
        <v>0.25</v>
      </c>
      <c r="E261" s="187">
        <f t="shared" si="17"/>
        <v>693.85</v>
      </c>
      <c r="F261" s="187"/>
      <c r="G261" s="187">
        <f t="shared" si="14"/>
        <v>693.85</v>
      </c>
      <c r="H261" s="90">
        <v>6381786</v>
      </c>
      <c r="I261" s="89" t="s">
        <v>291</v>
      </c>
      <c r="J261" s="90" t="s">
        <v>18</v>
      </c>
      <c r="K261" s="90" t="s">
        <v>47</v>
      </c>
      <c r="L261" s="13">
        <v>92224863</v>
      </c>
    </row>
    <row r="262" spans="1:13" ht="24" x14ac:dyDescent="0.4">
      <c r="A262" s="17"/>
      <c r="B262" s="123" t="s">
        <v>302</v>
      </c>
      <c r="C262" s="392">
        <f>SUM(C5:C261)</f>
        <v>204541.69999999987</v>
      </c>
      <c r="D262" s="352" t="s">
        <v>303</v>
      </c>
      <c r="E262" s="351">
        <f>SUM(E5:E261)</f>
        <v>51135.424999999967</v>
      </c>
      <c r="F262" s="351">
        <f t="shared" ref="F262" si="18">SUM(F5:F261)</f>
        <v>20420.225000000006</v>
      </c>
      <c r="G262" s="351">
        <f>SUM(G5:G261)</f>
        <v>30715.19999999999</v>
      </c>
      <c r="H262" s="38"/>
      <c r="I262" s="31"/>
      <c r="J262" s="17"/>
      <c r="K262" s="17"/>
      <c r="L262" s="39"/>
    </row>
    <row r="263" spans="1:13" x14ac:dyDescent="0.25">
      <c r="E263" s="379">
        <f>51145-E262</f>
        <v>9.5750000000334694</v>
      </c>
    </row>
    <row r="264" spans="1:13" x14ac:dyDescent="0.25">
      <c r="C264" s="391">
        <f>C262*0.25</f>
        <v>51135.424999999967</v>
      </c>
    </row>
  </sheetData>
  <autoFilter ref="A3:F262" xr:uid="{336A0896-9557-40C8-89AA-F343CD01ADAB}"/>
  <mergeCells count="8">
    <mergeCell ref="F3:F4"/>
    <mergeCell ref="G3:G4"/>
    <mergeCell ref="H3:H4"/>
    <mergeCell ref="A3:A4"/>
    <mergeCell ref="B3:B4"/>
    <mergeCell ref="C3:C4"/>
    <mergeCell ref="D3:D4"/>
    <mergeCell ref="E3:E4"/>
  </mergeCells>
  <conditionalFormatting sqref="I4">
    <cfRule type="duplicateValues" dxfId="57" priority="2"/>
  </conditionalFormatting>
  <conditionalFormatting sqref="I9">
    <cfRule type="duplicateValues" dxfId="56" priority="5"/>
  </conditionalFormatting>
  <conditionalFormatting sqref="I20">
    <cfRule type="duplicateValues" dxfId="55" priority="11"/>
  </conditionalFormatting>
  <conditionalFormatting sqref="I60">
    <cfRule type="duplicateValues" dxfId="54" priority="4"/>
  </conditionalFormatting>
  <conditionalFormatting sqref="I70">
    <cfRule type="duplicateValues" dxfId="53" priority="13"/>
  </conditionalFormatting>
  <conditionalFormatting sqref="I92">
    <cfRule type="duplicateValues" dxfId="52" priority="14"/>
  </conditionalFormatting>
  <conditionalFormatting sqref="I93">
    <cfRule type="duplicateValues" dxfId="51" priority="1"/>
  </conditionalFormatting>
  <conditionalFormatting sqref="I104">
    <cfRule type="duplicateValues" dxfId="50" priority="10"/>
  </conditionalFormatting>
  <conditionalFormatting sqref="I105">
    <cfRule type="duplicateValues" dxfId="49" priority="12"/>
  </conditionalFormatting>
  <conditionalFormatting sqref="I108:I115 I94:I103 I106 I71:I91 I64:I69 I21:I59 I123 I10:I19 I61:I62 I117:I121 I132:I262 I6:I8">
    <cfRule type="duplicateValues" dxfId="48" priority="17"/>
  </conditionalFormatting>
  <conditionalFormatting sqref="I116">
    <cfRule type="duplicateValues" dxfId="47" priority="3"/>
  </conditionalFormatting>
  <conditionalFormatting sqref="I122">
    <cfRule type="duplicateValues" dxfId="46" priority="9"/>
  </conditionalFormatting>
  <conditionalFormatting sqref="I125">
    <cfRule type="duplicateValues" dxfId="45" priority="8"/>
  </conditionalFormatting>
  <conditionalFormatting sqref="I126:I129 I131">
    <cfRule type="duplicateValues" dxfId="44" priority="7"/>
  </conditionalFormatting>
  <conditionalFormatting sqref="I130">
    <cfRule type="duplicateValues" dxfId="43" priority="6"/>
  </conditionalFormatting>
  <conditionalFormatting sqref="J5">
    <cfRule type="duplicateValues" dxfId="42" priority="15"/>
  </conditionalFormatting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7559-CED7-4DAE-8510-EBF195A5B0CB}">
  <dimension ref="A2:N277"/>
  <sheetViews>
    <sheetView view="pageBreakPreview" topLeftCell="A246" zoomScale="112" zoomScaleNormal="100" zoomScaleSheetLayoutView="112" workbookViewId="0">
      <selection activeCell="B174" sqref="B174"/>
    </sheetView>
  </sheetViews>
  <sheetFormatPr defaultColWidth="9.140625" defaultRowHeight="13.5" x14ac:dyDescent="0.25"/>
  <cols>
    <col min="1" max="1" width="61" style="45" bestFit="1" customWidth="1"/>
    <col min="2" max="2" width="45.5703125" style="45" bestFit="1" customWidth="1"/>
    <col min="3" max="3" width="19.85546875" style="423" customWidth="1"/>
    <col min="4" max="4" width="7" style="45" bestFit="1" customWidth="1"/>
    <col min="5" max="5" width="15.42578125" style="45" customWidth="1"/>
    <col min="6" max="6" width="14.42578125" style="45" customWidth="1"/>
    <col min="7" max="7" width="15.42578125" style="45" customWidth="1"/>
    <col min="8" max="8" width="14.28515625" style="45" bestFit="1" customWidth="1"/>
    <col min="9" max="9" width="18.7109375" style="45" customWidth="1"/>
    <col min="10" max="10" width="17" style="45" customWidth="1"/>
    <col min="11" max="11" width="14.85546875" style="45" customWidth="1"/>
    <col min="12" max="12" width="10" style="45" customWidth="1"/>
    <col min="13" max="13" width="17" style="465" customWidth="1"/>
    <col min="14" max="16384" width="9.140625" style="45"/>
  </cols>
  <sheetData>
    <row r="2" spans="1:14" x14ac:dyDescent="0.25">
      <c r="A2" s="477" t="s">
        <v>598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</row>
    <row r="3" spans="1:14" x14ac:dyDescent="0.25">
      <c r="A3" s="317"/>
      <c r="B3" s="317"/>
      <c r="C3" s="405"/>
      <c r="D3" s="317"/>
      <c r="E3" s="317"/>
      <c r="F3" s="317"/>
      <c r="G3" s="317"/>
      <c r="H3" s="317"/>
      <c r="I3" s="317"/>
      <c r="J3" s="317"/>
      <c r="K3" s="317"/>
      <c r="L3" s="317"/>
    </row>
    <row r="4" spans="1:14" x14ac:dyDescent="0.25">
      <c r="A4" s="406" t="s">
        <v>2</v>
      </c>
      <c r="B4" s="406" t="s">
        <v>3</v>
      </c>
      <c r="C4" s="407" t="s">
        <v>4</v>
      </c>
      <c r="D4" s="408" t="s">
        <v>5</v>
      </c>
      <c r="E4" s="409" t="s">
        <v>6</v>
      </c>
      <c r="F4" s="409" t="s">
        <v>333</v>
      </c>
      <c r="G4" s="409" t="s">
        <v>346</v>
      </c>
      <c r="H4" s="408" t="s">
        <v>7</v>
      </c>
      <c r="I4" s="410" t="s">
        <v>8</v>
      </c>
      <c r="J4" s="408" t="s">
        <v>9</v>
      </c>
      <c r="K4" s="408"/>
      <c r="L4" s="408" t="s">
        <v>322</v>
      </c>
    </row>
    <row r="5" spans="1:14" s="312" customFormat="1" ht="14.45" customHeight="1" x14ac:dyDescent="0.25">
      <c r="A5" s="341">
        <v>2015</v>
      </c>
      <c r="B5" s="443" t="s">
        <v>573</v>
      </c>
      <c r="C5" s="444">
        <v>407.8</v>
      </c>
      <c r="D5" s="309">
        <v>0.25</v>
      </c>
      <c r="E5" s="309">
        <f t="shared" ref="E5:E13" si="0">C5*D5</f>
        <v>101.95</v>
      </c>
      <c r="F5" s="309">
        <f>E5</f>
        <v>101.95</v>
      </c>
      <c r="G5" s="309">
        <f t="shared" ref="G5:G68" si="1">E5-F5</f>
        <v>0</v>
      </c>
      <c r="H5" s="323">
        <v>2027246</v>
      </c>
      <c r="I5" s="347" t="s">
        <v>572</v>
      </c>
      <c r="J5" s="343" t="s">
        <v>154</v>
      </c>
      <c r="K5" s="341"/>
      <c r="L5" s="347">
        <v>99292240</v>
      </c>
      <c r="M5" s="387">
        <v>45942</v>
      </c>
      <c r="N5" s="445"/>
    </row>
    <row r="6" spans="1:14" x14ac:dyDescent="0.25">
      <c r="A6" s="281">
        <v>2022</v>
      </c>
      <c r="B6" s="411" t="s">
        <v>45</v>
      </c>
      <c r="C6" s="412">
        <v>548.79999999999995</v>
      </c>
      <c r="D6" s="324">
        <v>0.25</v>
      </c>
      <c r="E6" s="324">
        <f t="shared" si="0"/>
        <v>137.19999999999999</v>
      </c>
      <c r="F6" s="324"/>
      <c r="G6" s="324">
        <f t="shared" si="1"/>
        <v>137.19999999999999</v>
      </c>
      <c r="H6" s="285">
        <v>8542496</v>
      </c>
      <c r="I6" s="325" t="s">
        <v>46</v>
      </c>
      <c r="J6" s="288" t="s">
        <v>11</v>
      </c>
      <c r="K6" s="288" t="s">
        <v>47</v>
      </c>
      <c r="L6" s="326">
        <v>99198330</v>
      </c>
    </row>
    <row r="7" spans="1:14" x14ac:dyDescent="0.25">
      <c r="A7" s="281">
        <v>2023</v>
      </c>
      <c r="B7" s="413" t="s">
        <v>571</v>
      </c>
      <c r="C7" s="412">
        <v>596</v>
      </c>
      <c r="D7" s="324">
        <v>0.25</v>
      </c>
      <c r="E7" s="324">
        <f t="shared" si="0"/>
        <v>149</v>
      </c>
      <c r="F7" s="324"/>
      <c r="G7" s="324">
        <f t="shared" si="1"/>
        <v>149</v>
      </c>
      <c r="H7" s="288">
        <v>5586433</v>
      </c>
      <c r="I7" s="325" t="s">
        <v>390</v>
      </c>
      <c r="J7" s="288" t="s">
        <v>11</v>
      </c>
      <c r="K7" s="288"/>
      <c r="L7" s="281">
        <v>91199514</v>
      </c>
    </row>
    <row r="8" spans="1:14" x14ac:dyDescent="0.25">
      <c r="A8" s="281">
        <v>2026</v>
      </c>
      <c r="B8" s="282" t="s">
        <v>48</v>
      </c>
      <c r="C8" s="412">
        <v>637.4</v>
      </c>
      <c r="D8" s="324">
        <v>0.25</v>
      </c>
      <c r="E8" s="324">
        <f t="shared" si="0"/>
        <v>159.35</v>
      </c>
      <c r="F8" s="324"/>
      <c r="G8" s="324">
        <f t="shared" si="1"/>
        <v>159.35</v>
      </c>
      <c r="H8" s="285">
        <v>5352667</v>
      </c>
      <c r="I8" s="325" t="s">
        <v>49</v>
      </c>
      <c r="J8" s="288" t="s">
        <v>50</v>
      </c>
      <c r="K8" s="288" t="s">
        <v>51</v>
      </c>
      <c r="L8" s="326">
        <v>96669695</v>
      </c>
    </row>
    <row r="9" spans="1:14" x14ac:dyDescent="0.25">
      <c r="A9" s="281">
        <v>2027</v>
      </c>
      <c r="B9" s="282" t="s">
        <v>52</v>
      </c>
      <c r="C9" s="412">
        <v>350.6</v>
      </c>
      <c r="D9" s="324">
        <v>0.25</v>
      </c>
      <c r="E9" s="324">
        <f t="shared" si="0"/>
        <v>87.65</v>
      </c>
      <c r="F9" s="324"/>
      <c r="G9" s="324">
        <f t="shared" si="1"/>
        <v>87.65</v>
      </c>
      <c r="H9" s="285">
        <v>19187402</v>
      </c>
      <c r="I9" s="325" t="s">
        <v>53</v>
      </c>
      <c r="J9" s="288" t="s">
        <v>11</v>
      </c>
      <c r="K9" s="288" t="s">
        <v>47</v>
      </c>
      <c r="L9" s="326">
        <v>99198330</v>
      </c>
    </row>
    <row r="10" spans="1:14" s="312" customFormat="1" x14ac:dyDescent="0.25">
      <c r="A10" s="341">
        <v>2033</v>
      </c>
      <c r="B10" s="322" t="s">
        <v>19</v>
      </c>
      <c r="C10" s="424">
        <v>1379.3</v>
      </c>
      <c r="D10" s="309">
        <v>0.25</v>
      </c>
      <c r="E10" s="309">
        <f t="shared" si="0"/>
        <v>344.82499999999999</v>
      </c>
      <c r="F10" s="309">
        <v>344.15</v>
      </c>
      <c r="G10" s="309">
        <f t="shared" si="1"/>
        <v>0.67500000000001137</v>
      </c>
      <c r="H10" s="323">
        <v>1290824</v>
      </c>
      <c r="I10" s="343" t="s">
        <v>54</v>
      </c>
      <c r="J10" s="342" t="s">
        <v>14</v>
      </c>
      <c r="K10" s="342" t="s">
        <v>55</v>
      </c>
      <c r="L10" s="347">
        <v>97064018</v>
      </c>
      <c r="M10" s="386" t="s">
        <v>615</v>
      </c>
    </row>
    <row r="11" spans="1:14" s="312" customFormat="1" x14ac:dyDescent="0.25">
      <c r="A11" s="341">
        <v>2036</v>
      </c>
      <c r="B11" s="322" t="s">
        <v>56</v>
      </c>
      <c r="C11" s="424">
        <v>481.6</v>
      </c>
      <c r="D11" s="309">
        <v>0.25</v>
      </c>
      <c r="E11" s="309">
        <f t="shared" si="0"/>
        <v>120.4</v>
      </c>
      <c r="F11" s="309">
        <v>115.77500000000001</v>
      </c>
      <c r="G11" s="309">
        <f t="shared" si="1"/>
        <v>4.625</v>
      </c>
      <c r="H11" s="323">
        <v>8201282</v>
      </c>
      <c r="I11" s="343" t="s">
        <v>57</v>
      </c>
      <c r="J11" s="342" t="s">
        <v>14</v>
      </c>
      <c r="K11" s="342" t="s">
        <v>55</v>
      </c>
      <c r="L11" s="347">
        <v>91425474</v>
      </c>
      <c r="M11" s="386" t="s">
        <v>615</v>
      </c>
    </row>
    <row r="12" spans="1:14" s="312" customFormat="1" x14ac:dyDescent="0.25">
      <c r="A12" s="341">
        <v>2051</v>
      </c>
      <c r="B12" s="322" t="s">
        <v>58</v>
      </c>
      <c r="C12" s="424">
        <v>1053.8</v>
      </c>
      <c r="D12" s="309">
        <v>0.25</v>
      </c>
      <c r="E12" s="309">
        <f t="shared" si="0"/>
        <v>263.45</v>
      </c>
      <c r="F12" s="309">
        <v>259.72499999999997</v>
      </c>
      <c r="G12" s="309">
        <f t="shared" si="1"/>
        <v>3.7250000000000227</v>
      </c>
      <c r="H12" s="323">
        <v>575519</v>
      </c>
      <c r="I12" s="343" t="s">
        <v>59</v>
      </c>
      <c r="J12" s="342" t="s">
        <v>14</v>
      </c>
      <c r="K12" s="342" t="s">
        <v>55</v>
      </c>
      <c r="L12" s="341">
        <v>99486262</v>
      </c>
      <c r="M12" s="386" t="s">
        <v>616</v>
      </c>
    </row>
    <row r="13" spans="1:14" s="312" customFormat="1" x14ac:dyDescent="0.25">
      <c r="A13" s="341">
        <v>2058</v>
      </c>
      <c r="B13" s="322" t="s">
        <v>597</v>
      </c>
      <c r="C13" s="424">
        <v>577.1</v>
      </c>
      <c r="D13" s="309">
        <v>0.25</v>
      </c>
      <c r="E13" s="309">
        <f t="shared" si="0"/>
        <v>144.27500000000001</v>
      </c>
      <c r="F13" s="309">
        <f>142.5</f>
        <v>142.5</v>
      </c>
      <c r="G13" s="309">
        <f t="shared" si="1"/>
        <v>1.7750000000000057</v>
      </c>
      <c r="H13" s="323">
        <v>426432</v>
      </c>
      <c r="I13" s="343"/>
      <c r="J13" s="342"/>
      <c r="K13" s="342"/>
      <c r="L13" s="341"/>
      <c r="M13" s="386" t="s">
        <v>617</v>
      </c>
    </row>
    <row r="14" spans="1:14" x14ac:dyDescent="0.25">
      <c r="A14" s="281">
        <v>2095</v>
      </c>
      <c r="B14" s="282" t="s">
        <v>20</v>
      </c>
      <c r="C14" s="412">
        <v>1217.8</v>
      </c>
      <c r="D14" s="324">
        <v>0.25</v>
      </c>
      <c r="E14" s="324">
        <f t="shared" ref="E14:E45" si="2">C14*D14</f>
        <v>304.45</v>
      </c>
      <c r="F14" s="324"/>
      <c r="G14" s="324">
        <f t="shared" si="1"/>
        <v>304.45</v>
      </c>
      <c r="H14" s="285">
        <v>26224</v>
      </c>
      <c r="I14" s="325" t="s">
        <v>60</v>
      </c>
      <c r="J14" s="288" t="s">
        <v>14</v>
      </c>
      <c r="K14" s="288" t="s">
        <v>55</v>
      </c>
      <c r="L14" s="326">
        <v>96177155</v>
      </c>
    </row>
    <row r="15" spans="1:14" x14ac:dyDescent="0.25">
      <c r="A15" s="281">
        <v>2097</v>
      </c>
      <c r="B15" s="282" t="s">
        <v>61</v>
      </c>
      <c r="C15" s="412">
        <v>587.9</v>
      </c>
      <c r="D15" s="324">
        <v>0.25</v>
      </c>
      <c r="E15" s="324">
        <f t="shared" si="2"/>
        <v>146.97499999999999</v>
      </c>
      <c r="F15" s="324"/>
      <c r="G15" s="324">
        <f t="shared" si="1"/>
        <v>146.97499999999999</v>
      </c>
      <c r="H15" s="285">
        <v>677206</v>
      </c>
      <c r="I15" s="325" t="s">
        <v>62</v>
      </c>
      <c r="J15" s="288" t="s">
        <v>50</v>
      </c>
      <c r="K15" s="288" t="s">
        <v>51</v>
      </c>
      <c r="L15" s="326">
        <v>99083310</v>
      </c>
    </row>
    <row r="16" spans="1:14" s="448" customFormat="1" x14ac:dyDescent="0.25">
      <c r="A16" s="328">
        <v>2098</v>
      </c>
      <c r="B16" s="329" t="s">
        <v>63</v>
      </c>
      <c r="C16" s="447"/>
      <c r="D16" s="330">
        <v>0.25</v>
      </c>
      <c r="E16" s="330">
        <f t="shared" si="2"/>
        <v>0</v>
      </c>
      <c r="F16" s="330"/>
      <c r="G16" s="330">
        <f t="shared" si="1"/>
        <v>0</v>
      </c>
      <c r="H16" s="331">
        <v>1065899</v>
      </c>
      <c r="I16" s="332" t="s">
        <v>64</v>
      </c>
      <c r="J16" s="333" t="s">
        <v>11</v>
      </c>
      <c r="K16" s="333" t="s">
        <v>47</v>
      </c>
      <c r="L16" s="329"/>
      <c r="M16" s="466"/>
    </row>
    <row r="17" spans="1:14" x14ac:dyDescent="0.25">
      <c r="A17" s="281">
        <v>2100</v>
      </c>
      <c r="B17" s="282" t="s">
        <v>65</v>
      </c>
      <c r="C17" s="412">
        <v>1234.9000000000001</v>
      </c>
      <c r="D17" s="324">
        <v>0.25</v>
      </c>
      <c r="E17" s="324">
        <f t="shared" si="2"/>
        <v>308.72500000000002</v>
      </c>
      <c r="F17" s="324"/>
      <c r="G17" s="324">
        <f t="shared" si="1"/>
        <v>308.72500000000002</v>
      </c>
      <c r="H17" s="285">
        <v>5550806</v>
      </c>
      <c r="I17" s="325" t="s">
        <v>66</v>
      </c>
      <c r="J17" s="288" t="s">
        <v>15</v>
      </c>
      <c r="K17" s="288" t="s">
        <v>67</v>
      </c>
      <c r="L17" s="326">
        <v>95614480</v>
      </c>
    </row>
    <row r="18" spans="1:14" s="312" customFormat="1" x14ac:dyDescent="0.25">
      <c r="A18" s="341">
        <v>2101</v>
      </c>
      <c r="B18" s="322" t="s">
        <v>68</v>
      </c>
      <c r="C18" s="424">
        <v>632.20000000000005</v>
      </c>
      <c r="D18" s="309">
        <v>0.25</v>
      </c>
      <c r="E18" s="309">
        <f t="shared" si="2"/>
        <v>158.05000000000001</v>
      </c>
      <c r="F18" s="309">
        <v>155.4</v>
      </c>
      <c r="G18" s="309">
        <f t="shared" si="1"/>
        <v>2.6500000000000057</v>
      </c>
      <c r="H18" s="342">
        <v>1145267</v>
      </c>
      <c r="I18" s="343" t="s">
        <v>69</v>
      </c>
      <c r="J18" s="342" t="s">
        <v>18</v>
      </c>
      <c r="K18" s="342" t="s">
        <v>47</v>
      </c>
      <c r="L18" s="341">
        <v>99287071</v>
      </c>
      <c r="M18" s="387">
        <v>45788</v>
      </c>
    </row>
    <row r="19" spans="1:14" x14ac:dyDescent="0.25">
      <c r="A19" s="281">
        <v>2112</v>
      </c>
      <c r="B19" s="282" t="s">
        <v>71</v>
      </c>
      <c r="C19" s="412">
        <v>1077.7</v>
      </c>
      <c r="D19" s="324">
        <v>0.25</v>
      </c>
      <c r="E19" s="324">
        <f t="shared" si="2"/>
        <v>269.42500000000001</v>
      </c>
      <c r="F19" s="324">
        <v>266.25</v>
      </c>
      <c r="G19" s="324">
        <f t="shared" si="1"/>
        <v>3.1750000000000114</v>
      </c>
      <c r="H19" s="285">
        <v>11412524</v>
      </c>
      <c r="I19" s="325" t="s">
        <v>72</v>
      </c>
      <c r="J19" s="288" t="s">
        <v>11</v>
      </c>
      <c r="K19" s="288" t="s">
        <v>47</v>
      </c>
      <c r="L19" s="326">
        <v>93337934</v>
      </c>
      <c r="M19" s="386" t="s">
        <v>616</v>
      </c>
    </row>
    <row r="20" spans="1:14" x14ac:dyDescent="0.25">
      <c r="A20" s="281">
        <v>2120</v>
      </c>
      <c r="B20" s="282" t="s">
        <v>73</v>
      </c>
      <c r="C20" s="412">
        <v>603.4</v>
      </c>
      <c r="D20" s="324">
        <v>0.25</v>
      </c>
      <c r="E20" s="324">
        <f t="shared" si="2"/>
        <v>150.85</v>
      </c>
      <c r="F20" s="324">
        <v>149.9</v>
      </c>
      <c r="G20" s="324">
        <f t="shared" si="1"/>
        <v>0.94999999999998863</v>
      </c>
      <c r="H20" s="285">
        <v>1298606</v>
      </c>
      <c r="I20" s="325" t="s">
        <v>74</v>
      </c>
      <c r="J20" s="288" t="s">
        <v>11</v>
      </c>
      <c r="K20" s="288" t="s">
        <v>47</v>
      </c>
      <c r="L20" s="326">
        <v>97064018</v>
      </c>
      <c r="M20" s="386" t="s">
        <v>619</v>
      </c>
    </row>
    <row r="21" spans="1:14" s="312" customFormat="1" x14ac:dyDescent="0.25">
      <c r="A21" s="341">
        <v>2125</v>
      </c>
      <c r="B21" s="360" t="s">
        <v>75</v>
      </c>
      <c r="C21" s="424">
        <v>1057.7</v>
      </c>
      <c r="D21" s="309">
        <v>0.25</v>
      </c>
      <c r="E21" s="309">
        <f t="shared" si="2"/>
        <v>264.42500000000001</v>
      </c>
      <c r="F21" s="309">
        <v>260.67500000000001</v>
      </c>
      <c r="G21" s="309">
        <f t="shared" si="1"/>
        <v>3.75</v>
      </c>
      <c r="H21" s="342">
        <v>6539352</v>
      </c>
      <c r="I21" s="343" t="s">
        <v>76</v>
      </c>
      <c r="J21" s="342" t="s">
        <v>18</v>
      </c>
      <c r="K21" s="342" t="s">
        <v>47</v>
      </c>
      <c r="L21" s="341">
        <v>91307575</v>
      </c>
      <c r="M21" s="387">
        <v>46002</v>
      </c>
    </row>
    <row r="22" spans="1:14" s="312" customFormat="1" x14ac:dyDescent="0.25">
      <c r="A22" s="341">
        <v>2128</v>
      </c>
      <c r="B22" s="322" t="s">
        <v>77</v>
      </c>
      <c r="C22" s="424">
        <v>1508.1</v>
      </c>
      <c r="D22" s="309">
        <v>0.25</v>
      </c>
      <c r="E22" s="309">
        <f t="shared" si="2"/>
        <v>377.02499999999998</v>
      </c>
      <c r="F22" s="309">
        <v>373.875</v>
      </c>
      <c r="G22" s="309">
        <f t="shared" si="1"/>
        <v>3.1499999999999773</v>
      </c>
      <c r="H22" s="323">
        <v>4648259</v>
      </c>
      <c r="I22" s="343" t="s">
        <v>78</v>
      </c>
      <c r="J22" s="342" t="s">
        <v>11</v>
      </c>
      <c r="K22" s="342" t="s">
        <v>47</v>
      </c>
      <c r="L22" s="347">
        <v>99492747</v>
      </c>
      <c r="M22" s="386" t="s">
        <v>619</v>
      </c>
    </row>
    <row r="23" spans="1:14" x14ac:dyDescent="0.25">
      <c r="A23" s="281">
        <v>2137</v>
      </c>
      <c r="B23" s="282" t="s">
        <v>79</v>
      </c>
      <c r="C23" s="412">
        <v>664.9</v>
      </c>
      <c r="D23" s="324">
        <v>0.25</v>
      </c>
      <c r="E23" s="324">
        <f t="shared" si="2"/>
        <v>166.22499999999999</v>
      </c>
      <c r="F23" s="324">
        <v>165.47499999999999</v>
      </c>
      <c r="G23" s="324">
        <f t="shared" si="1"/>
        <v>0.75</v>
      </c>
      <c r="H23" s="285">
        <v>10285189</v>
      </c>
      <c r="I23" s="325" t="s">
        <v>80</v>
      </c>
      <c r="J23" s="288" t="s">
        <v>81</v>
      </c>
      <c r="K23" s="288" t="s">
        <v>82</v>
      </c>
      <c r="L23" s="326">
        <v>91160451</v>
      </c>
      <c r="M23" s="386" t="s">
        <v>616</v>
      </c>
    </row>
    <row r="24" spans="1:14" x14ac:dyDescent="0.25">
      <c r="A24" s="281">
        <v>2144</v>
      </c>
      <c r="B24" s="282" t="s">
        <v>83</v>
      </c>
      <c r="C24" s="412">
        <v>2907.3</v>
      </c>
      <c r="D24" s="324">
        <v>0.25</v>
      </c>
      <c r="E24" s="324">
        <f t="shared" si="2"/>
        <v>726.82500000000005</v>
      </c>
      <c r="F24" s="324"/>
      <c r="G24" s="324">
        <f t="shared" si="1"/>
        <v>726.82500000000005</v>
      </c>
      <c r="H24" s="285">
        <v>532494</v>
      </c>
      <c r="I24" s="325" t="s">
        <v>84</v>
      </c>
      <c r="J24" s="288" t="s">
        <v>11</v>
      </c>
      <c r="K24" s="288" t="s">
        <v>47</v>
      </c>
      <c r="L24" s="326">
        <v>92251158</v>
      </c>
    </row>
    <row r="25" spans="1:14" s="312" customFormat="1" x14ac:dyDescent="0.25">
      <c r="A25" s="341">
        <v>2148</v>
      </c>
      <c r="B25" s="322" t="s">
        <v>85</v>
      </c>
      <c r="C25" s="424">
        <v>2896.4</v>
      </c>
      <c r="D25" s="309">
        <v>0.25</v>
      </c>
      <c r="E25" s="309">
        <f t="shared" si="2"/>
        <v>724.1</v>
      </c>
      <c r="F25" s="309">
        <v>722.27500000000009</v>
      </c>
      <c r="G25" s="309">
        <f t="shared" si="1"/>
        <v>1.8249999999999318</v>
      </c>
      <c r="H25" s="323">
        <v>6466788</v>
      </c>
      <c r="I25" s="343" t="s">
        <v>86</v>
      </c>
      <c r="J25" s="342" t="s">
        <v>50</v>
      </c>
      <c r="K25" s="342" t="s">
        <v>51</v>
      </c>
      <c r="L25" s="347">
        <v>99011887</v>
      </c>
      <c r="M25" s="387">
        <v>45972</v>
      </c>
    </row>
    <row r="26" spans="1:14" x14ac:dyDescent="0.25">
      <c r="A26" s="281">
        <v>2150</v>
      </c>
      <c r="B26" s="282" t="s">
        <v>30</v>
      </c>
      <c r="C26" s="412">
        <v>5805.6</v>
      </c>
      <c r="D26" s="324">
        <v>0.25</v>
      </c>
      <c r="E26" s="324">
        <f t="shared" si="2"/>
        <v>1451.4</v>
      </c>
      <c r="F26" s="324"/>
      <c r="G26" s="324">
        <f t="shared" si="1"/>
        <v>1451.4</v>
      </c>
      <c r="H26" s="285">
        <v>6657734</v>
      </c>
      <c r="I26" s="325" t="s">
        <v>87</v>
      </c>
      <c r="J26" s="288" t="s">
        <v>11</v>
      </c>
      <c r="K26" s="288" t="s">
        <v>47</v>
      </c>
      <c r="L26" s="326">
        <v>99319163</v>
      </c>
    </row>
    <row r="27" spans="1:14" s="312" customFormat="1" x14ac:dyDescent="0.25">
      <c r="A27" s="341">
        <v>2151</v>
      </c>
      <c r="B27" s="322" t="s">
        <v>88</v>
      </c>
      <c r="C27" s="424">
        <v>671.7</v>
      </c>
      <c r="D27" s="309">
        <v>0.25</v>
      </c>
      <c r="E27" s="309">
        <f t="shared" si="2"/>
        <v>167.92500000000001</v>
      </c>
      <c r="F27" s="309">
        <v>163.67500000000001</v>
      </c>
      <c r="G27" s="309">
        <f t="shared" si="1"/>
        <v>4.25</v>
      </c>
      <c r="H27" s="323">
        <v>2190491</v>
      </c>
      <c r="I27" s="343" t="s">
        <v>89</v>
      </c>
      <c r="J27" s="342" t="s">
        <v>11</v>
      </c>
      <c r="K27" s="342" t="s">
        <v>47</v>
      </c>
      <c r="L27" s="347">
        <v>92591034</v>
      </c>
      <c r="M27" s="386" t="s">
        <v>616</v>
      </c>
    </row>
    <row r="28" spans="1:14" x14ac:dyDescent="0.25">
      <c r="A28" s="281">
        <v>2155</v>
      </c>
      <c r="B28" s="282" t="s">
        <v>90</v>
      </c>
      <c r="C28" s="412">
        <v>426.4</v>
      </c>
      <c r="D28" s="324">
        <v>0.25</v>
      </c>
      <c r="E28" s="324">
        <f t="shared" si="2"/>
        <v>106.6</v>
      </c>
      <c r="F28" s="324"/>
      <c r="G28" s="324">
        <f t="shared" si="1"/>
        <v>106.6</v>
      </c>
      <c r="H28" s="285">
        <v>21145036</v>
      </c>
      <c r="I28" s="325" t="s">
        <v>91</v>
      </c>
      <c r="J28" s="288" t="s">
        <v>50</v>
      </c>
      <c r="K28" s="288" t="s">
        <v>51</v>
      </c>
      <c r="L28" s="326">
        <v>92847990</v>
      </c>
    </row>
    <row r="29" spans="1:14" s="312" customFormat="1" x14ac:dyDescent="0.25">
      <c r="A29" s="341">
        <v>2168</v>
      </c>
      <c r="B29" s="322" t="s">
        <v>10</v>
      </c>
      <c r="C29" s="424">
        <v>2875.8</v>
      </c>
      <c r="D29" s="309">
        <v>0.25</v>
      </c>
      <c r="E29" s="309">
        <f t="shared" si="2"/>
        <v>718.95</v>
      </c>
      <c r="F29" s="309">
        <v>717.25</v>
      </c>
      <c r="G29" s="309">
        <f t="shared" si="1"/>
        <v>1.7000000000000455</v>
      </c>
      <c r="H29" s="323">
        <v>941022</v>
      </c>
      <c r="I29" s="343" t="s">
        <v>92</v>
      </c>
      <c r="J29" s="342" t="s">
        <v>11</v>
      </c>
      <c r="K29" s="342" t="s">
        <v>47</v>
      </c>
      <c r="L29" s="347">
        <v>99542444</v>
      </c>
      <c r="M29" s="387">
        <v>45942</v>
      </c>
    </row>
    <row r="30" spans="1:14" x14ac:dyDescent="0.25">
      <c r="A30" s="281">
        <v>2198</v>
      </c>
      <c r="B30" s="282" t="s">
        <v>93</v>
      </c>
      <c r="C30" s="412">
        <v>1206.2</v>
      </c>
      <c r="D30" s="324">
        <v>0.25</v>
      </c>
      <c r="E30" s="324">
        <f t="shared" si="2"/>
        <v>301.55</v>
      </c>
      <c r="F30" s="324">
        <v>299.52499999999998</v>
      </c>
      <c r="G30" s="324">
        <f t="shared" si="1"/>
        <v>2.0250000000000341</v>
      </c>
      <c r="H30" s="285">
        <v>10331933</v>
      </c>
      <c r="I30" s="325" t="s">
        <v>94</v>
      </c>
      <c r="J30" s="288" t="s">
        <v>11</v>
      </c>
      <c r="K30" s="288" t="s">
        <v>47</v>
      </c>
      <c r="L30" s="326">
        <v>99490105</v>
      </c>
      <c r="M30" s="386" t="s">
        <v>615</v>
      </c>
    </row>
    <row r="31" spans="1:14" x14ac:dyDescent="0.25">
      <c r="A31" s="341">
        <v>2205</v>
      </c>
      <c r="B31" s="322" t="s">
        <v>95</v>
      </c>
      <c r="C31" s="424">
        <v>1043.2</v>
      </c>
      <c r="D31" s="309">
        <v>0.25</v>
      </c>
      <c r="E31" s="309">
        <f t="shared" si="2"/>
        <v>260.8</v>
      </c>
      <c r="F31" s="309">
        <v>259.125</v>
      </c>
      <c r="G31" s="309">
        <f t="shared" si="1"/>
        <v>1.6750000000000114</v>
      </c>
      <c r="H31" s="323">
        <v>26733843</v>
      </c>
      <c r="I31" s="343" t="s">
        <v>96</v>
      </c>
      <c r="J31" s="342" t="s">
        <v>11</v>
      </c>
      <c r="K31" s="342" t="s">
        <v>47</v>
      </c>
      <c r="L31" s="347">
        <v>98966301</v>
      </c>
      <c r="M31" s="386" t="s">
        <v>615</v>
      </c>
    </row>
    <row r="32" spans="1:14" s="312" customFormat="1" ht="14.25" customHeight="1" x14ac:dyDescent="0.25">
      <c r="A32" s="341">
        <v>2207</v>
      </c>
      <c r="B32" s="322" t="s">
        <v>31</v>
      </c>
      <c r="C32" s="424">
        <v>1547.2</v>
      </c>
      <c r="D32" s="309">
        <v>0.25</v>
      </c>
      <c r="E32" s="309">
        <f t="shared" si="2"/>
        <v>386.8</v>
      </c>
      <c r="F32" s="309">
        <f>1.85+383.25</f>
        <v>385.1</v>
      </c>
      <c r="G32" s="309">
        <f t="shared" si="1"/>
        <v>1.6999999999999886</v>
      </c>
      <c r="H32" s="323">
        <v>1386691</v>
      </c>
      <c r="I32" s="343" t="s">
        <v>97</v>
      </c>
      <c r="J32" s="342" t="s">
        <v>81</v>
      </c>
      <c r="K32" s="342" t="s">
        <v>82</v>
      </c>
      <c r="L32" s="347">
        <v>91337606</v>
      </c>
      <c r="M32" s="216">
        <v>45699</v>
      </c>
      <c r="N32" s="311">
        <v>45788</v>
      </c>
    </row>
    <row r="33" spans="1:13" x14ac:dyDescent="0.25">
      <c r="A33" s="157">
        <v>2209</v>
      </c>
      <c r="B33" s="282" t="s">
        <v>98</v>
      </c>
      <c r="C33" s="414">
        <v>589.4</v>
      </c>
      <c r="D33" s="324">
        <v>0.25</v>
      </c>
      <c r="E33" s="324">
        <f t="shared" si="2"/>
        <v>147.35</v>
      </c>
      <c r="F33" s="324"/>
      <c r="G33" s="324">
        <f t="shared" si="1"/>
        <v>147.35</v>
      </c>
      <c r="H33" s="292">
        <v>821878</v>
      </c>
      <c r="I33" s="325" t="s">
        <v>99</v>
      </c>
      <c r="J33" s="296" t="s">
        <v>11</v>
      </c>
      <c r="K33" s="296" t="s">
        <v>47</v>
      </c>
      <c r="L33" s="156">
        <v>92927906</v>
      </c>
    </row>
    <row r="34" spans="1:13" x14ac:dyDescent="0.25">
      <c r="A34" s="157">
        <v>2213</v>
      </c>
      <c r="B34" s="282" t="s">
        <v>100</v>
      </c>
      <c r="C34" s="414">
        <v>1689.9</v>
      </c>
      <c r="D34" s="324">
        <v>0.25</v>
      </c>
      <c r="E34" s="324">
        <f t="shared" si="2"/>
        <v>422.47500000000002</v>
      </c>
      <c r="F34" s="324"/>
      <c r="G34" s="324">
        <f t="shared" si="1"/>
        <v>422.47500000000002</v>
      </c>
      <c r="H34" s="292">
        <v>594176</v>
      </c>
      <c r="I34" s="327" t="s">
        <v>101</v>
      </c>
      <c r="J34" s="296" t="s">
        <v>11</v>
      </c>
      <c r="K34" s="296" t="s">
        <v>47</v>
      </c>
      <c r="L34" s="156">
        <v>92971719</v>
      </c>
    </row>
    <row r="35" spans="1:13" x14ac:dyDescent="0.25">
      <c r="A35" s="157">
        <v>2223</v>
      </c>
      <c r="B35" s="282" t="s">
        <v>32</v>
      </c>
      <c r="C35" s="414">
        <v>3238.3</v>
      </c>
      <c r="D35" s="324">
        <v>0.25</v>
      </c>
      <c r="E35" s="324">
        <f t="shared" si="2"/>
        <v>809.57500000000005</v>
      </c>
      <c r="F35" s="324"/>
      <c r="G35" s="324">
        <f t="shared" si="1"/>
        <v>809.57500000000005</v>
      </c>
      <c r="H35" s="285">
        <v>2297206</v>
      </c>
      <c r="I35" s="325" t="s">
        <v>102</v>
      </c>
      <c r="J35" s="288" t="s">
        <v>14</v>
      </c>
      <c r="K35" s="288" t="s">
        <v>55</v>
      </c>
      <c r="L35" s="326">
        <v>99489917</v>
      </c>
    </row>
    <row r="36" spans="1:13" x14ac:dyDescent="0.25">
      <c r="A36" s="157">
        <v>2229</v>
      </c>
      <c r="B36" s="282" t="s">
        <v>103</v>
      </c>
      <c r="C36" s="414">
        <v>3028.9</v>
      </c>
      <c r="D36" s="324">
        <v>0.25</v>
      </c>
      <c r="E36" s="324">
        <f t="shared" si="2"/>
        <v>757.22500000000002</v>
      </c>
      <c r="F36" s="324"/>
      <c r="G36" s="324">
        <f t="shared" si="1"/>
        <v>757.22500000000002</v>
      </c>
      <c r="H36" s="285">
        <v>1031091</v>
      </c>
      <c r="I36" s="325" t="s">
        <v>104</v>
      </c>
      <c r="J36" s="288" t="s">
        <v>14</v>
      </c>
      <c r="K36" s="288" t="s">
        <v>55</v>
      </c>
      <c r="L36" s="326">
        <v>92727567</v>
      </c>
    </row>
    <row r="37" spans="1:13" s="312" customFormat="1" x14ac:dyDescent="0.25">
      <c r="A37" s="305">
        <v>2230</v>
      </c>
      <c r="B37" s="322" t="s">
        <v>21</v>
      </c>
      <c r="C37" s="424">
        <v>967.5</v>
      </c>
      <c r="D37" s="309">
        <v>0.25</v>
      </c>
      <c r="E37" s="309">
        <f t="shared" si="2"/>
        <v>241.875</v>
      </c>
      <c r="F37" s="309">
        <f>240.9</f>
        <v>240.9</v>
      </c>
      <c r="G37" s="309">
        <f t="shared" si="1"/>
        <v>0.97499999999999432</v>
      </c>
      <c r="H37" s="323">
        <v>18633243</v>
      </c>
      <c r="I37" s="343" t="s">
        <v>105</v>
      </c>
      <c r="J37" s="342" t="s">
        <v>11</v>
      </c>
      <c r="K37" s="342" t="s">
        <v>47</v>
      </c>
      <c r="L37" s="347">
        <v>92201223</v>
      </c>
      <c r="M37" s="386" t="s">
        <v>619</v>
      </c>
    </row>
    <row r="38" spans="1:13" s="312" customFormat="1" x14ac:dyDescent="0.25">
      <c r="A38" s="305">
        <v>2232</v>
      </c>
      <c r="B38" s="455" t="s">
        <v>22</v>
      </c>
      <c r="C38" s="464">
        <v>1731.5</v>
      </c>
      <c r="D38" s="309">
        <v>0.25</v>
      </c>
      <c r="E38" s="309">
        <f t="shared" si="2"/>
        <v>432.875</v>
      </c>
      <c r="F38" s="309">
        <v>428.70000000000005</v>
      </c>
      <c r="G38" s="309">
        <f t="shared" si="1"/>
        <v>4.1749999999999545</v>
      </c>
      <c r="H38" s="323">
        <v>1994004</v>
      </c>
      <c r="I38" s="343" t="s">
        <v>106</v>
      </c>
      <c r="J38" s="342" t="s">
        <v>11</v>
      </c>
      <c r="K38" s="342" t="s">
        <v>47</v>
      </c>
      <c r="L38" s="347">
        <v>92535442</v>
      </c>
      <c r="M38" s="386" t="s">
        <v>620</v>
      </c>
    </row>
    <row r="39" spans="1:13" x14ac:dyDescent="0.25">
      <c r="A39" s="157">
        <v>2234</v>
      </c>
      <c r="B39" s="282" t="s">
        <v>107</v>
      </c>
      <c r="C39" s="412">
        <v>2184.9</v>
      </c>
      <c r="D39" s="324">
        <v>0.25</v>
      </c>
      <c r="E39" s="324">
        <f t="shared" si="2"/>
        <v>546.22500000000002</v>
      </c>
      <c r="F39" s="324"/>
      <c r="G39" s="324">
        <f t="shared" si="1"/>
        <v>546.22500000000002</v>
      </c>
      <c r="H39" s="288">
        <v>1235299</v>
      </c>
      <c r="I39" s="325" t="s">
        <v>108</v>
      </c>
      <c r="J39" s="288" t="s">
        <v>50</v>
      </c>
      <c r="K39" s="288" t="s">
        <v>51</v>
      </c>
      <c r="L39" s="281">
        <v>92656157</v>
      </c>
    </row>
    <row r="40" spans="1:13" x14ac:dyDescent="0.25">
      <c r="A40" s="157">
        <v>2238</v>
      </c>
      <c r="B40" s="282" t="s">
        <v>23</v>
      </c>
      <c r="C40" s="412">
        <v>586.4</v>
      </c>
      <c r="D40" s="324">
        <v>0.25</v>
      </c>
      <c r="E40" s="324">
        <f t="shared" si="2"/>
        <v>146.6</v>
      </c>
      <c r="F40" s="324"/>
      <c r="G40" s="324">
        <f t="shared" si="1"/>
        <v>146.6</v>
      </c>
      <c r="H40" s="288">
        <v>1322446</v>
      </c>
      <c r="I40" s="325" t="s">
        <v>109</v>
      </c>
      <c r="J40" s="288" t="s">
        <v>11</v>
      </c>
      <c r="K40" s="288" t="s">
        <v>47</v>
      </c>
      <c r="L40" s="281">
        <v>98882280</v>
      </c>
    </row>
    <row r="41" spans="1:13" s="312" customFormat="1" x14ac:dyDescent="0.25">
      <c r="A41" s="305">
        <v>2244</v>
      </c>
      <c r="B41" s="322" t="s">
        <v>110</v>
      </c>
      <c r="C41" s="424">
        <v>4036.8</v>
      </c>
      <c r="D41" s="309">
        <v>0.25</v>
      </c>
      <c r="E41" s="309">
        <f t="shared" si="2"/>
        <v>1009.2</v>
      </c>
      <c r="F41" s="309">
        <v>1005.605</v>
      </c>
      <c r="G41" s="309">
        <f t="shared" si="1"/>
        <v>3.5950000000000273</v>
      </c>
      <c r="H41" s="323">
        <v>5474148</v>
      </c>
      <c r="I41" s="343" t="s">
        <v>111</v>
      </c>
      <c r="J41" s="342" t="s">
        <v>11</v>
      </c>
      <c r="K41" s="342" t="s">
        <v>47</v>
      </c>
      <c r="L41" s="347">
        <v>99092789</v>
      </c>
      <c r="M41" s="386" t="s">
        <v>616</v>
      </c>
    </row>
    <row r="42" spans="1:13" x14ac:dyDescent="0.25">
      <c r="A42" s="157">
        <v>2245</v>
      </c>
      <c r="B42" s="282" t="s">
        <v>112</v>
      </c>
      <c r="C42" s="412">
        <v>1869.6</v>
      </c>
      <c r="D42" s="324">
        <v>0.25</v>
      </c>
      <c r="E42" s="324">
        <f t="shared" si="2"/>
        <v>467.4</v>
      </c>
      <c r="F42" s="324"/>
      <c r="G42" s="324">
        <f t="shared" si="1"/>
        <v>467.4</v>
      </c>
      <c r="H42" s="285">
        <v>925058</v>
      </c>
      <c r="I42" s="325" t="s">
        <v>113</v>
      </c>
      <c r="J42" s="288" t="s">
        <v>14</v>
      </c>
      <c r="K42" s="288" t="s">
        <v>55</v>
      </c>
      <c r="L42" s="326">
        <v>95048614</v>
      </c>
    </row>
    <row r="43" spans="1:13" x14ac:dyDescent="0.25">
      <c r="A43" s="157">
        <v>2250</v>
      </c>
      <c r="B43" s="282" t="s">
        <v>114</v>
      </c>
      <c r="C43" s="412">
        <v>1227.7</v>
      </c>
      <c r="D43" s="324">
        <v>0.25</v>
      </c>
      <c r="E43" s="324">
        <f t="shared" si="2"/>
        <v>306.92500000000001</v>
      </c>
      <c r="F43" s="324"/>
      <c r="G43" s="324">
        <f t="shared" si="1"/>
        <v>306.92500000000001</v>
      </c>
      <c r="H43" s="285">
        <v>10206245</v>
      </c>
      <c r="I43" s="325" t="s">
        <v>115</v>
      </c>
      <c r="J43" s="288" t="s">
        <v>11</v>
      </c>
      <c r="K43" s="288" t="s">
        <v>47</v>
      </c>
      <c r="L43" s="326">
        <v>90666623</v>
      </c>
    </row>
    <row r="44" spans="1:13" x14ac:dyDescent="0.25">
      <c r="A44" s="157">
        <v>2252</v>
      </c>
      <c r="B44" s="282" t="s">
        <v>33</v>
      </c>
      <c r="C44" s="412">
        <v>2554.6999999999998</v>
      </c>
      <c r="D44" s="324">
        <v>0.25</v>
      </c>
      <c r="E44" s="324">
        <f t="shared" si="2"/>
        <v>638.67499999999995</v>
      </c>
      <c r="F44" s="324"/>
      <c r="G44" s="324">
        <f t="shared" si="1"/>
        <v>638.67499999999995</v>
      </c>
      <c r="H44" s="285">
        <v>1133208</v>
      </c>
      <c r="I44" s="325" t="s">
        <v>116</v>
      </c>
      <c r="J44" s="288" t="s">
        <v>81</v>
      </c>
      <c r="K44" s="288" t="s">
        <v>82</v>
      </c>
      <c r="L44" s="326">
        <v>92817678</v>
      </c>
    </row>
    <row r="45" spans="1:13" s="312" customFormat="1" x14ac:dyDescent="0.25">
      <c r="A45" s="305">
        <v>2267</v>
      </c>
      <c r="B45" s="455" t="s">
        <v>117</v>
      </c>
      <c r="C45" s="424">
        <v>2414.6999999999998</v>
      </c>
      <c r="D45" s="309">
        <v>0.25</v>
      </c>
      <c r="E45" s="309">
        <f t="shared" si="2"/>
        <v>603.67499999999995</v>
      </c>
      <c r="F45" s="309">
        <v>601.75</v>
      </c>
      <c r="G45" s="309">
        <f t="shared" si="1"/>
        <v>1.9249999999999545</v>
      </c>
      <c r="H45" s="323">
        <v>18700662</v>
      </c>
      <c r="I45" s="343" t="s">
        <v>118</v>
      </c>
      <c r="J45" s="342" t="s">
        <v>11</v>
      </c>
      <c r="K45" s="342" t="s">
        <v>47</v>
      </c>
      <c r="L45" s="347">
        <v>91106550</v>
      </c>
      <c r="M45" s="386" t="s">
        <v>616</v>
      </c>
    </row>
    <row r="46" spans="1:13" x14ac:dyDescent="0.25">
      <c r="A46" s="157">
        <v>2281</v>
      </c>
      <c r="B46" s="282" t="s">
        <v>119</v>
      </c>
      <c r="C46" s="412">
        <v>745.3</v>
      </c>
      <c r="D46" s="324">
        <v>0.25</v>
      </c>
      <c r="E46" s="324">
        <f t="shared" ref="E46:E77" si="3">C46*D46</f>
        <v>186.32499999999999</v>
      </c>
      <c r="F46" s="324"/>
      <c r="G46" s="324">
        <f t="shared" si="1"/>
        <v>186.32499999999999</v>
      </c>
      <c r="H46" s="288">
        <v>2166167</v>
      </c>
      <c r="I46" s="325" t="s">
        <v>120</v>
      </c>
      <c r="J46" s="288" t="s">
        <v>11</v>
      </c>
      <c r="K46" s="288" t="s">
        <v>47</v>
      </c>
      <c r="L46" s="281">
        <v>99090486</v>
      </c>
    </row>
    <row r="47" spans="1:13" x14ac:dyDescent="0.25">
      <c r="A47" s="157">
        <v>2285</v>
      </c>
      <c r="B47" s="282" t="s">
        <v>12</v>
      </c>
      <c r="C47" s="412">
        <v>2095.4</v>
      </c>
      <c r="D47" s="324">
        <v>0.25</v>
      </c>
      <c r="E47" s="324">
        <f t="shared" si="3"/>
        <v>523.85</v>
      </c>
      <c r="F47" s="324"/>
      <c r="G47" s="324">
        <f t="shared" si="1"/>
        <v>523.85</v>
      </c>
      <c r="H47" s="288">
        <v>21077904</v>
      </c>
      <c r="I47" s="325" t="s">
        <v>121</v>
      </c>
      <c r="J47" s="288" t="s">
        <v>14</v>
      </c>
      <c r="K47" s="288" t="s">
        <v>55</v>
      </c>
      <c r="L47" s="281">
        <v>92930610</v>
      </c>
    </row>
    <row r="48" spans="1:13" s="312" customFormat="1" x14ac:dyDescent="0.25">
      <c r="A48" s="305">
        <v>2294</v>
      </c>
      <c r="B48" s="322" t="s">
        <v>122</v>
      </c>
      <c r="C48" s="424">
        <v>5856.8</v>
      </c>
      <c r="D48" s="309">
        <v>0.25</v>
      </c>
      <c r="E48" s="309">
        <f t="shared" si="3"/>
        <v>1464.2</v>
      </c>
      <c r="F48" s="309">
        <v>1461.75</v>
      </c>
      <c r="G48" s="309">
        <f t="shared" si="1"/>
        <v>2.4500000000000455</v>
      </c>
      <c r="H48" s="323">
        <v>1917308</v>
      </c>
      <c r="I48" s="343" t="s">
        <v>123</v>
      </c>
      <c r="J48" s="342" t="s">
        <v>14</v>
      </c>
      <c r="K48" s="342" t="s">
        <v>55</v>
      </c>
      <c r="L48" s="347">
        <v>95878499</v>
      </c>
      <c r="M48" s="386" t="s">
        <v>616</v>
      </c>
    </row>
    <row r="49" spans="1:14" s="312" customFormat="1" x14ac:dyDescent="0.25">
      <c r="A49" s="305">
        <v>2297</v>
      </c>
      <c r="B49" s="322" t="s">
        <v>124</v>
      </c>
      <c r="C49" s="424">
        <v>2478.9</v>
      </c>
      <c r="D49" s="309">
        <v>0.25</v>
      </c>
      <c r="E49" s="309">
        <f t="shared" si="3"/>
        <v>619.72500000000002</v>
      </c>
      <c r="F49" s="309">
        <f>285+332.5</f>
        <v>617.5</v>
      </c>
      <c r="G49" s="309">
        <f t="shared" si="1"/>
        <v>2.2250000000000227</v>
      </c>
      <c r="H49" s="323">
        <v>18689189</v>
      </c>
      <c r="I49" s="343" t="s">
        <v>125</v>
      </c>
      <c r="J49" s="342" t="s">
        <v>11</v>
      </c>
      <c r="K49" s="342" t="s">
        <v>47</v>
      </c>
      <c r="L49" s="347">
        <v>90911901</v>
      </c>
      <c r="M49" s="387">
        <v>45759</v>
      </c>
      <c r="N49" s="311">
        <v>45850</v>
      </c>
    </row>
    <row r="50" spans="1:14" x14ac:dyDescent="0.25">
      <c r="A50" s="157">
        <v>2298</v>
      </c>
      <c r="B50" s="282" t="s">
        <v>126</v>
      </c>
      <c r="C50" s="412">
        <v>4457.7</v>
      </c>
      <c r="D50" s="324">
        <v>0.25</v>
      </c>
      <c r="E50" s="324">
        <f t="shared" si="3"/>
        <v>1114.425</v>
      </c>
      <c r="F50" s="324"/>
      <c r="G50" s="324">
        <f t="shared" si="1"/>
        <v>1114.425</v>
      </c>
      <c r="H50" s="285">
        <v>6681518</v>
      </c>
      <c r="I50" s="325" t="s">
        <v>127</v>
      </c>
      <c r="J50" s="288" t="s">
        <v>14</v>
      </c>
      <c r="K50" s="288" t="s">
        <v>55</v>
      </c>
      <c r="L50" s="326">
        <v>99125223</v>
      </c>
    </row>
    <row r="51" spans="1:14" x14ac:dyDescent="0.25">
      <c r="A51" s="157">
        <v>2300</v>
      </c>
      <c r="B51" s="282" t="s">
        <v>128</v>
      </c>
      <c r="C51" s="412">
        <v>1095.0999999999999</v>
      </c>
      <c r="D51" s="324">
        <v>0.25</v>
      </c>
      <c r="E51" s="324">
        <f t="shared" si="3"/>
        <v>273.77499999999998</v>
      </c>
      <c r="F51" s="324"/>
      <c r="G51" s="324">
        <f t="shared" si="1"/>
        <v>273.77499999999998</v>
      </c>
      <c r="H51" s="285">
        <v>447833</v>
      </c>
      <c r="I51" s="325" t="s">
        <v>129</v>
      </c>
      <c r="J51" s="288" t="s">
        <v>81</v>
      </c>
      <c r="K51" s="288" t="s">
        <v>82</v>
      </c>
      <c r="L51" s="326">
        <v>92005673</v>
      </c>
    </row>
    <row r="52" spans="1:14" s="312" customFormat="1" x14ac:dyDescent="0.25">
      <c r="A52" s="305">
        <v>2301</v>
      </c>
      <c r="B52" s="322" t="s">
        <v>130</v>
      </c>
      <c r="C52" s="424">
        <v>1955.1</v>
      </c>
      <c r="D52" s="309">
        <v>0.25</v>
      </c>
      <c r="E52" s="309">
        <f t="shared" si="3"/>
        <v>488.77499999999998</v>
      </c>
      <c r="F52" s="309">
        <v>487.55</v>
      </c>
      <c r="G52" s="309">
        <f t="shared" si="1"/>
        <v>1.2249999999999659</v>
      </c>
      <c r="H52" s="323">
        <v>23600713</v>
      </c>
      <c r="I52" s="343" t="s">
        <v>131</v>
      </c>
      <c r="J52" s="342" t="s">
        <v>132</v>
      </c>
      <c r="K52" s="342" t="s">
        <v>133</v>
      </c>
      <c r="L52" s="347">
        <v>92930610</v>
      </c>
      <c r="M52" s="387">
        <v>45942</v>
      </c>
    </row>
    <row r="53" spans="1:14" x14ac:dyDescent="0.25">
      <c r="A53" s="157">
        <v>2302</v>
      </c>
      <c r="B53" s="282" t="s">
        <v>134</v>
      </c>
      <c r="C53" s="412">
        <v>464.7</v>
      </c>
      <c r="D53" s="324">
        <v>0.25</v>
      </c>
      <c r="E53" s="324">
        <f t="shared" si="3"/>
        <v>116.175</v>
      </c>
      <c r="F53" s="324"/>
      <c r="G53" s="324">
        <f t="shared" si="1"/>
        <v>116.175</v>
      </c>
      <c r="H53" s="285">
        <v>20260365</v>
      </c>
      <c r="I53" s="327" t="s">
        <v>135</v>
      </c>
      <c r="J53" s="288" t="s">
        <v>81</v>
      </c>
      <c r="K53" s="288" t="s">
        <v>82</v>
      </c>
      <c r="L53" s="326">
        <v>99125223</v>
      </c>
    </row>
    <row r="54" spans="1:14" x14ac:dyDescent="0.25">
      <c r="A54" s="157">
        <v>2303</v>
      </c>
      <c r="B54" s="282" t="s">
        <v>13</v>
      </c>
      <c r="C54" s="412">
        <v>1688.8</v>
      </c>
      <c r="D54" s="324">
        <v>0.25</v>
      </c>
      <c r="E54" s="324">
        <f t="shared" si="3"/>
        <v>422.2</v>
      </c>
      <c r="F54" s="324"/>
      <c r="G54" s="324">
        <f t="shared" si="1"/>
        <v>422.2</v>
      </c>
      <c r="H54" s="285">
        <v>18636198</v>
      </c>
      <c r="I54" s="325" t="s">
        <v>136</v>
      </c>
      <c r="J54" s="288" t="s">
        <v>14</v>
      </c>
      <c r="K54" s="288" t="s">
        <v>47</v>
      </c>
      <c r="L54" s="326">
        <v>92726444</v>
      </c>
    </row>
    <row r="55" spans="1:14" x14ac:dyDescent="0.25">
      <c r="A55" s="157">
        <v>2304</v>
      </c>
      <c r="B55" s="282" t="s">
        <v>348</v>
      </c>
      <c r="C55" s="412">
        <v>571.9</v>
      </c>
      <c r="D55" s="324">
        <v>0.25</v>
      </c>
      <c r="E55" s="324">
        <f t="shared" si="3"/>
        <v>142.97499999999999</v>
      </c>
      <c r="F55" s="324"/>
      <c r="G55" s="324">
        <f t="shared" si="1"/>
        <v>142.97499999999999</v>
      </c>
      <c r="H55" s="285">
        <v>7290532</v>
      </c>
      <c r="I55" s="325" t="s">
        <v>137</v>
      </c>
      <c r="J55" s="288" t="s">
        <v>11</v>
      </c>
      <c r="K55" s="288" t="s">
        <v>47</v>
      </c>
      <c r="L55" s="326">
        <v>95117299</v>
      </c>
    </row>
    <row r="56" spans="1:14" x14ac:dyDescent="0.25">
      <c r="A56" s="157">
        <v>2306</v>
      </c>
      <c r="B56" s="282" t="s">
        <v>34</v>
      </c>
      <c r="C56" s="412">
        <v>432.3</v>
      </c>
      <c r="D56" s="324">
        <v>0.25</v>
      </c>
      <c r="E56" s="324">
        <f t="shared" si="3"/>
        <v>108.075</v>
      </c>
      <c r="F56" s="324"/>
      <c r="G56" s="324">
        <f t="shared" si="1"/>
        <v>108.075</v>
      </c>
      <c r="H56" s="288">
        <v>26425746</v>
      </c>
      <c r="I56" s="325" t="s">
        <v>138</v>
      </c>
      <c r="J56" s="288" t="s">
        <v>14</v>
      </c>
      <c r="K56" s="288" t="s">
        <v>55</v>
      </c>
      <c r="L56" s="281">
        <v>99587923</v>
      </c>
    </row>
    <row r="57" spans="1:14" s="312" customFormat="1" x14ac:dyDescent="0.25">
      <c r="A57" s="305">
        <v>2307</v>
      </c>
      <c r="B57" s="322" t="s">
        <v>139</v>
      </c>
      <c r="C57" s="424">
        <v>4412.8</v>
      </c>
      <c r="D57" s="309">
        <v>0.25</v>
      </c>
      <c r="E57" s="309">
        <f t="shared" si="3"/>
        <v>1103.2</v>
      </c>
      <c r="F57" s="309">
        <v>1000.85</v>
      </c>
      <c r="G57" s="309">
        <f t="shared" si="1"/>
        <v>102.35000000000002</v>
      </c>
      <c r="H57" s="323">
        <v>1485446</v>
      </c>
      <c r="I57" s="343" t="s">
        <v>140</v>
      </c>
      <c r="J57" s="342" t="s">
        <v>50</v>
      </c>
      <c r="K57" s="342" t="s">
        <v>51</v>
      </c>
      <c r="L57" s="347">
        <v>96405050</v>
      </c>
      <c r="M57" s="386" t="s">
        <v>616</v>
      </c>
    </row>
    <row r="58" spans="1:14" s="312" customFormat="1" x14ac:dyDescent="0.25">
      <c r="A58" s="305">
        <v>2309</v>
      </c>
      <c r="B58" s="322" t="s">
        <v>35</v>
      </c>
      <c r="C58" s="424">
        <v>1161.3</v>
      </c>
      <c r="D58" s="309">
        <v>0.25</v>
      </c>
      <c r="E58" s="309">
        <f t="shared" si="3"/>
        <v>290.32499999999999</v>
      </c>
      <c r="F58" s="309">
        <v>286.97500000000002</v>
      </c>
      <c r="G58" s="309">
        <f t="shared" si="1"/>
        <v>3.3499999999999659</v>
      </c>
      <c r="H58" s="342">
        <v>2733875</v>
      </c>
      <c r="I58" s="343" t="s">
        <v>141</v>
      </c>
      <c r="J58" s="342" t="s">
        <v>11</v>
      </c>
      <c r="K58" s="342" t="s">
        <v>47</v>
      </c>
      <c r="L58" s="341">
        <v>99580134</v>
      </c>
      <c r="M58" s="386" t="s">
        <v>620</v>
      </c>
    </row>
    <row r="59" spans="1:14" x14ac:dyDescent="0.25">
      <c r="A59" s="157">
        <v>2310</v>
      </c>
      <c r="B59" s="282" t="s">
        <v>142</v>
      </c>
      <c r="C59" s="412">
        <v>4592.2</v>
      </c>
      <c r="D59" s="324">
        <v>0.25</v>
      </c>
      <c r="E59" s="324">
        <f t="shared" si="3"/>
        <v>1148.05</v>
      </c>
      <c r="F59" s="324"/>
      <c r="G59" s="324">
        <f t="shared" si="1"/>
        <v>1148.05</v>
      </c>
      <c r="H59" s="285">
        <v>10612452</v>
      </c>
      <c r="I59" s="325" t="s">
        <v>143</v>
      </c>
      <c r="J59" s="288" t="s">
        <v>11</v>
      </c>
      <c r="K59" s="288" t="s">
        <v>47</v>
      </c>
      <c r="L59" s="326">
        <v>98882353</v>
      </c>
    </row>
    <row r="60" spans="1:14" s="312" customFormat="1" x14ac:dyDescent="0.25">
      <c r="A60" s="305">
        <v>2311</v>
      </c>
      <c r="B60" s="322" t="s">
        <v>144</v>
      </c>
      <c r="C60" s="424">
        <v>986.4</v>
      </c>
      <c r="D60" s="309">
        <v>0.25</v>
      </c>
      <c r="E60" s="309">
        <f t="shared" si="3"/>
        <v>246.6</v>
      </c>
      <c r="F60" s="309">
        <v>246.45000000000002</v>
      </c>
      <c r="G60" s="309">
        <f t="shared" si="1"/>
        <v>0.14999999999997726</v>
      </c>
      <c r="H60" s="323">
        <v>14874655</v>
      </c>
      <c r="I60" s="343" t="s">
        <v>145</v>
      </c>
      <c r="J60" s="342" t="s">
        <v>146</v>
      </c>
      <c r="K60" s="342" t="s">
        <v>47</v>
      </c>
      <c r="L60" s="347">
        <v>99580134</v>
      </c>
      <c r="M60" s="386" t="s">
        <v>616</v>
      </c>
    </row>
    <row r="61" spans="1:14" s="312" customFormat="1" x14ac:dyDescent="0.25">
      <c r="A61" s="305">
        <v>2312</v>
      </c>
      <c r="B61" s="322" t="s">
        <v>36</v>
      </c>
      <c r="C61" s="424">
        <v>2354.6</v>
      </c>
      <c r="D61" s="309">
        <v>0.25</v>
      </c>
      <c r="E61" s="309">
        <f t="shared" si="3"/>
        <v>588.65</v>
      </c>
      <c r="F61" s="309">
        <v>584.47499999999991</v>
      </c>
      <c r="G61" s="309">
        <f t="shared" si="1"/>
        <v>4.1750000000000682</v>
      </c>
      <c r="H61" s="342">
        <v>876418</v>
      </c>
      <c r="I61" s="343" t="s">
        <v>148</v>
      </c>
      <c r="J61" s="342" t="s">
        <v>15</v>
      </c>
      <c r="K61" s="342" t="s">
        <v>67</v>
      </c>
      <c r="L61" s="341">
        <v>93340442</v>
      </c>
      <c r="M61" s="386" t="s">
        <v>615</v>
      </c>
    </row>
    <row r="62" spans="1:14" s="312" customFormat="1" x14ac:dyDescent="0.25">
      <c r="A62" s="305">
        <v>2314</v>
      </c>
      <c r="B62" s="322" t="s">
        <v>149</v>
      </c>
      <c r="C62" s="424">
        <v>913.8</v>
      </c>
      <c r="D62" s="309">
        <v>0.25</v>
      </c>
      <c r="E62" s="309">
        <f t="shared" si="3"/>
        <v>228.45</v>
      </c>
      <c r="F62" s="309">
        <v>228</v>
      </c>
      <c r="G62" s="309">
        <f t="shared" si="1"/>
        <v>0.44999999999998863</v>
      </c>
      <c r="H62" s="342">
        <v>7032433</v>
      </c>
      <c r="I62" s="343" t="s">
        <v>150</v>
      </c>
      <c r="J62" s="342" t="s">
        <v>11</v>
      </c>
      <c r="K62" s="342" t="s">
        <v>47</v>
      </c>
      <c r="L62" s="341">
        <v>96264331</v>
      </c>
      <c r="M62" s="386" t="s">
        <v>619</v>
      </c>
    </row>
    <row r="63" spans="1:14" x14ac:dyDescent="0.25">
      <c r="A63" s="157">
        <v>2316</v>
      </c>
      <c r="B63" s="282" t="s">
        <v>25</v>
      </c>
      <c r="C63" s="412">
        <v>1845.9</v>
      </c>
      <c r="D63" s="324">
        <v>0.25</v>
      </c>
      <c r="E63" s="324">
        <f t="shared" si="3"/>
        <v>461.47500000000002</v>
      </c>
      <c r="F63" s="324"/>
      <c r="G63" s="324">
        <f t="shared" si="1"/>
        <v>461.47500000000002</v>
      </c>
      <c r="H63" s="285">
        <v>18635847</v>
      </c>
      <c r="I63" s="325" t="s">
        <v>151</v>
      </c>
      <c r="J63" s="288" t="s">
        <v>11</v>
      </c>
      <c r="K63" s="288" t="s">
        <v>47</v>
      </c>
      <c r="L63" s="326">
        <v>92117746</v>
      </c>
    </row>
    <row r="64" spans="1:14" s="312" customFormat="1" x14ac:dyDescent="0.25">
      <c r="A64" s="305">
        <v>2317</v>
      </c>
      <c r="B64" s="322" t="s">
        <v>152</v>
      </c>
      <c r="C64" s="424">
        <v>1945.1</v>
      </c>
      <c r="D64" s="309">
        <v>0.25</v>
      </c>
      <c r="E64" s="309">
        <f t="shared" si="3"/>
        <v>486.27499999999998</v>
      </c>
      <c r="F64" s="309">
        <v>482.27499999999998</v>
      </c>
      <c r="G64" s="309">
        <f t="shared" si="1"/>
        <v>4</v>
      </c>
      <c r="H64" s="342">
        <v>18362174</v>
      </c>
      <c r="I64" s="343" t="s">
        <v>153</v>
      </c>
      <c r="J64" s="342" t="s">
        <v>154</v>
      </c>
      <c r="K64" s="342" t="s">
        <v>155</v>
      </c>
      <c r="L64" s="341">
        <v>97503992</v>
      </c>
      <c r="M64" s="386" t="s">
        <v>616</v>
      </c>
    </row>
    <row r="65" spans="1:13" x14ac:dyDescent="0.25">
      <c r="A65" s="157">
        <v>2318</v>
      </c>
      <c r="B65" s="282" t="s">
        <v>156</v>
      </c>
      <c r="C65" s="412">
        <v>1146.2</v>
      </c>
      <c r="D65" s="324">
        <v>0.25</v>
      </c>
      <c r="E65" s="324">
        <f t="shared" si="3"/>
        <v>286.55</v>
      </c>
      <c r="F65" s="324"/>
      <c r="G65" s="324">
        <f t="shared" si="1"/>
        <v>286.55</v>
      </c>
      <c r="H65" s="285">
        <v>218881</v>
      </c>
      <c r="I65" s="325" t="s">
        <v>157</v>
      </c>
      <c r="J65" s="288" t="s">
        <v>11</v>
      </c>
      <c r="K65" s="288" t="s">
        <v>47</v>
      </c>
      <c r="L65" s="326"/>
    </row>
    <row r="66" spans="1:13" s="312" customFormat="1" x14ac:dyDescent="0.25">
      <c r="A66" s="305">
        <v>2319</v>
      </c>
      <c r="B66" s="322" t="s">
        <v>37</v>
      </c>
      <c r="C66" s="424">
        <v>575.5</v>
      </c>
      <c r="D66" s="309">
        <v>0.25</v>
      </c>
      <c r="E66" s="309">
        <f t="shared" si="3"/>
        <v>143.875</v>
      </c>
      <c r="F66" s="309">
        <v>139.875</v>
      </c>
      <c r="G66" s="309">
        <f t="shared" si="1"/>
        <v>4</v>
      </c>
      <c r="H66" s="342">
        <v>5006545</v>
      </c>
      <c r="I66" s="343" t="s">
        <v>158</v>
      </c>
      <c r="J66" s="342" t="s">
        <v>11</v>
      </c>
      <c r="K66" s="342" t="s">
        <v>47</v>
      </c>
      <c r="L66" s="347">
        <v>99619074</v>
      </c>
      <c r="M66" s="386" t="s">
        <v>615</v>
      </c>
    </row>
    <row r="67" spans="1:13" x14ac:dyDescent="0.25">
      <c r="A67" s="157">
        <v>2320</v>
      </c>
      <c r="B67" s="282" t="s">
        <v>159</v>
      </c>
      <c r="C67" s="412">
        <v>1719.2</v>
      </c>
      <c r="D67" s="324">
        <v>0.25</v>
      </c>
      <c r="E67" s="324">
        <f t="shared" si="3"/>
        <v>429.8</v>
      </c>
      <c r="F67" s="324"/>
      <c r="G67" s="324">
        <f t="shared" si="1"/>
        <v>429.8</v>
      </c>
      <c r="H67" s="288">
        <v>21957384</v>
      </c>
      <c r="I67" s="325" t="s">
        <v>160</v>
      </c>
      <c r="J67" s="288" t="s">
        <v>11</v>
      </c>
      <c r="K67" s="288" t="s">
        <v>47</v>
      </c>
      <c r="L67" s="281">
        <v>94079727</v>
      </c>
    </row>
    <row r="68" spans="1:13" x14ac:dyDescent="0.25">
      <c r="A68" s="157">
        <v>2322</v>
      </c>
      <c r="B68" s="282" t="s">
        <v>161</v>
      </c>
      <c r="C68" s="412">
        <v>1054.7</v>
      </c>
      <c r="D68" s="324">
        <v>0.25</v>
      </c>
      <c r="E68" s="324">
        <f t="shared" si="3"/>
        <v>263.67500000000001</v>
      </c>
      <c r="F68" s="324"/>
      <c r="G68" s="324">
        <f t="shared" si="1"/>
        <v>263.67500000000001</v>
      </c>
      <c r="H68" s="288">
        <v>102559</v>
      </c>
      <c r="I68" s="325" t="s">
        <v>162</v>
      </c>
      <c r="J68" s="288" t="s">
        <v>11</v>
      </c>
      <c r="K68" s="288" t="s">
        <v>47</v>
      </c>
      <c r="L68" s="281">
        <v>99486744</v>
      </c>
    </row>
    <row r="69" spans="1:13" x14ac:dyDescent="0.25">
      <c r="A69" s="157">
        <v>2323</v>
      </c>
      <c r="B69" s="282" t="s">
        <v>163</v>
      </c>
      <c r="C69" s="412">
        <v>1192.5999999999999</v>
      </c>
      <c r="D69" s="324">
        <v>0.25</v>
      </c>
      <c r="E69" s="324">
        <f t="shared" si="3"/>
        <v>298.14999999999998</v>
      </c>
      <c r="F69" s="324"/>
      <c r="G69" s="324">
        <f t="shared" ref="G69:G132" si="4">E69-F69</f>
        <v>298.14999999999998</v>
      </c>
      <c r="H69" s="288">
        <v>1235899</v>
      </c>
      <c r="I69" s="325" t="s">
        <v>164</v>
      </c>
      <c r="J69" s="288" t="s">
        <v>14</v>
      </c>
      <c r="K69" s="288" t="s">
        <v>55</v>
      </c>
      <c r="L69" s="281">
        <v>96170087</v>
      </c>
    </row>
    <row r="70" spans="1:13" s="312" customFormat="1" x14ac:dyDescent="0.25">
      <c r="A70" s="305">
        <v>2324</v>
      </c>
      <c r="B70" s="322" t="s">
        <v>165</v>
      </c>
      <c r="C70" s="424">
        <v>1818.3</v>
      </c>
      <c r="D70" s="309">
        <v>0.25</v>
      </c>
      <c r="E70" s="309">
        <f t="shared" si="3"/>
        <v>454.57499999999999</v>
      </c>
      <c r="F70" s="309">
        <f>452.6</f>
        <v>452.6</v>
      </c>
      <c r="G70" s="309">
        <f t="shared" si="4"/>
        <v>1.9749999999999659</v>
      </c>
      <c r="H70" s="323">
        <v>12239373</v>
      </c>
      <c r="I70" s="343" t="s">
        <v>166</v>
      </c>
      <c r="J70" s="342" t="s">
        <v>11</v>
      </c>
      <c r="K70" s="342" t="s">
        <v>47</v>
      </c>
      <c r="L70" s="347">
        <v>99589535</v>
      </c>
      <c r="M70" s="387">
        <v>45973</v>
      </c>
    </row>
    <row r="71" spans="1:13" s="312" customFormat="1" x14ac:dyDescent="0.25">
      <c r="A71" s="305">
        <v>2325</v>
      </c>
      <c r="B71" s="322" t="s">
        <v>167</v>
      </c>
      <c r="C71" s="424">
        <v>1007.7</v>
      </c>
      <c r="D71" s="309">
        <v>0.25</v>
      </c>
      <c r="E71" s="309">
        <f t="shared" si="3"/>
        <v>251.92500000000001</v>
      </c>
      <c r="F71" s="309">
        <v>251.92500000000001</v>
      </c>
      <c r="G71" s="309">
        <f t="shared" si="4"/>
        <v>0</v>
      </c>
      <c r="H71" s="323">
        <v>3802037</v>
      </c>
      <c r="I71" s="343" t="s">
        <v>168</v>
      </c>
      <c r="J71" s="342" t="s">
        <v>11</v>
      </c>
      <c r="K71" s="342" t="s">
        <v>47</v>
      </c>
      <c r="L71" s="347">
        <v>99481404</v>
      </c>
      <c r="M71" s="386" t="s">
        <v>616</v>
      </c>
    </row>
    <row r="72" spans="1:13" x14ac:dyDescent="0.25">
      <c r="A72" s="157">
        <v>2327</v>
      </c>
      <c r="B72" s="282" t="s">
        <v>169</v>
      </c>
      <c r="C72" s="412">
        <v>626.9</v>
      </c>
      <c r="D72" s="324">
        <v>0.25</v>
      </c>
      <c r="E72" s="324">
        <f t="shared" si="3"/>
        <v>156.72499999999999</v>
      </c>
      <c r="F72" s="324"/>
      <c r="G72" s="324">
        <f t="shared" si="4"/>
        <v>156.72499999999999</v>
      </c>
      <c r="H72" s="288">
        <v>7568982</v>
      </c>
      <c r="I72" s="325" t="s">
        <v>170</v>
      </c>
      <c r="J72" s="288" t="s">
        <v>11</v>
      </c>
      <c r="K72" s="288" t="s">
        <v>47</v>
      </c>
      <c r="L72" s="281">
        <v>99496653</v>
      </c>
    </row>
    <row r="73" spans="1:13" x14ac:dyDescent="0.25">
      <c r="A73" s="157">
        <v>2329</v>
      </c>
      <c r="B73" s="282" t="s">
        <v>171</v>
      </c>
      <c r="C73" s="412">
        <v>1141</v>
      </c>
      <c r="D73" s="324">
        <v>0.25</v>
      </c>
      <c r="E73" s="324">
        <f t="shared" si="3"/>
        <v>285.25</v>
      </c>
      <c r="F73" s="324"/>
      <c r="G73" s="324">
        <f t="shared" si="4"/>
        <v>285.25</v>
      </c>
      <c r="H73" s="285">
        <v>500599</v>
      </c>
      <c r="I73" s="325" t="s">
        <v>172</v>
      </c>
      <c r="J73" s="288" t="s">
        <v>11</v>
      </c>
      <c r="K73" s="288" t="s">
        <v>47</v>
      </c>
      <c r="L73" s="326">
        <v>99435565</v>
      </c>
    </row>
    <row r="74" spans="1:13" x14ac:dyDescent="0.25">
      <c r="A74" s="157">
        <v>2331</v>
      </c>
      <c r="B74" s="282" t="s">
        <v>173</v>
      </c>
      <c r="C74" s="412">
        <v>1257.2</v>
      </c>
      <c r="D74" s="324">
        <v>0.25</v>
      </c>
      <c r="E74" s="324">
        <f t="shared" si="3"/>
        <v>314.3</v>
      </c>
      <c r="F74" s="324"/>
      <c r="G74" s="324">
        <f t="shared" si="4"/>
        <v>314.3</v>
      </c>
      <c r="H74" s="285">
        <v>574696</v>
      </c>
      <c r="I74" s="325" t="s">
        <v>174</v>
      </c>
      <c r="J74" s="288" t="s">
        <v>14</v>
      </c>
      <c r="K74" s="288" t="s">
        <v>55</v>
      </c>
      <c r="L74" s="326">
        <v>92556868</v>
      </c>
    </row>
    <row r="75" spans="1:13" x14ac:dyDescent="0.25">
      <c r="A75" s="157">
        <v>2332</v>
      </c>
      <c r="B75" s="282" t="s">
        <v>175</v>
      </c>
      <c r="C75" s="412">
        <v>2565.8000000000002</v>
      </c>
      <c r="D75" s="324">
        <v>0.25</v>
      </c>
      <c r="E75" s="324">
        <f t="shared" si="3"/>
        <v>641.45000000000005</v>
      </c>
      <c r="F75" s="324"/>
      <c r="G75" s="324">
        <f t="shared" si="4"/>
        <v>641.45000000000005</v>
      </c>
      <c r="H75" s="285">
        <v>1409668</v>
      </c>
      <c r="I75" s="325" t="s">
        <v>176</v>
      </c>
      <c r="J75" s="288" t="s">
        <v>11</v>
      </c>
      <c r="K75" s="288" t="s">
        <v>47</v>
      </c>
      <c r="L75" s="326">
        <v>99493202</v>
      </c>
    </row>
    <row r="76" spans="1:13" s="312" customFormat="1" x14ac:dyDescent="0.25">
      <c r="A76" s="305">
        <v>2333</v>
      </c>
      <c r="B76" s="322" t="s">
        <v>177</v>
      </c>
      <c r="C76" s="424">
        <v>1231.8</v>
      </c>
      <c r="D76" s="309">
        <v>0.25</v>
      </c>
      <c r="E76" s="309">
        <f t="shared" si="3"/>
        <v>307.95</v>
      </c>
      <c r="F76" s="309">
        <v>305.95000000000005</v>
      </c>
      <c r="G76" s="309">
        <f t="shared" si="4"/>
        <v>1.9999999999999432</v>
      </c>
      <c r="H76" s="310">
        <v>732042</v>
      </c>
      <c r="I76" s="345" t="s">
        <v>178</v>
      </c>
      <c r="J76" s="344" t="s">
        <v>11</v>
      </c>
      <c r="K76" s="344" t="s">
        <v>47</v>
      </c>
      <c r="L76" s="348">
        <v>92551330</v>
      </c>
      <c r="M76" s="386" t="s">
        <v>616</v>
      </c>
    </row>
    <row r="77" spans="1:13" s="312" customFormat="1" x14ac:dyDescent="0.25">
      <c r="A77" s="305">
        <v>2334</v>
      </c>
      <c r="B77" s="322" t="s">
        <v>38</v>
      </c>
      <c r="C77" s="424">
        <v>1769.2</v>
      </c>
      <c r="D77" s="309">
        <v>0.25</v>
      </c>
      <c r="E77" s="309">
        <f t="shared" si="3"/>
        <v>442.3</v>
      </c>
      <c r="F77" s="309">
        <v>441.875</v>
      </c>
      <c r="G77" s="309">
        <f t="shared" si="4"/>
        <v>0.42500000000001137</v>
      </c>
      <c r="H77" s="310">
        <v>390755</v>
      </c>
      <c r="I77" s="343" t="s">
        <v>179</v>
      </c>
      <c r="J77" s="342" t="s">
        <v>11</v>
      </c>
      <c r="K77" s="342" t="s">
        <v>47</v>
      </c>
      <c r="L77" s="348">
        <v>99488361</v>
      </c>
      <c r="M77" s="386" t="s">
        <v>616</v>
      </c>
    </row>
    <row r="78" spans="1:13" x14ac:dyDescent="0.25">
      <c r="A78" s="157">
        <v>2335</v>
      </c>
      <c r="B78" s="282" t="s">
        <v>180</v>
      </c>
      <c r="C78" s="412">
        <v>1118.5999999999999</v>
      </c>
      <c r="D78" s="324">
        <v>0.25</v>
      </c>
      <c r="E78" s="324">
        <f t="shared" ref="E78:E82" si="5">C78*D78</f>
        <v>279.64999999999998</v>
      </c>
      <c r="F78" s="324"/>
      <c r="G78" s="324">
        <f t="shared" si="4"/>
        <v>279.64999999999998</v>
      </c>
      <c r="H78" s="292">
        <v>6221853</v>
      </c>
      <c r="I78" s="327" t="s">
        <v>181</v>
      </c>
      <c r="J78" s="296" t="s">
        <v>11</v>
      </c>
      <c r="K78" s="296" t="s">
        <v>47</v>
      </c>
      <c r="L78" s="156">
        <v>99807670</v>
      </c>
    </row>
    <row r="79" spans="1:13" s="312" customFormat="1" x14ac:dyDescent="0.25">
      <c r="A79" s="305">
        <v>2336</v>
      </c>
      <c r="B79" s="322" t="s">
        <v>39</v>
      </c>
      <c r="C79" s="424">
        <v>1143.8</v>
      </c>
      <c r="D79" s="309">
        <v>0.25</v>
      </c>
      <c r="E79" s="309">
        <f t="shared" si="5"/>
        <v>285.95</v>
      </c>
      <c r="F79" s="309">
        <v>284.35000000000002</v>
      </c>
      <c r="G79" s="309">
        <f t="shared" si="4"/>
        <v>1.5999999999999659</v>
      </c>
      <c r="H79" s="310">
        <v>380513</v>
      </c>
      <c r="I79" s="345" t="s">
        <v>182</v>
      </c>
      <c r="J79" s="344" t="s">
        <v>11</v>
      </c>
      <c r="K79" s="344" t="s">
        <v>47</v>
      </c>
      <c r="L79" s="348">
        <v>99490146</v>
      </c>
      <c r="M79" s="386" t="s">
        <v>616</v>
      </c>
    </row>
    <row r="80" spans="1:13" x14ac:dyDescent="0.25">
      <c r="A80" s="157">
        <v>2337</v>
      </c>
      <c r="B80" s="282" t="s">
        <v>183</v>
      </c>
      <c r="C80" s="412">
        <v>563.9</v>
      </c>
      <c r="D80" s="324">
        <v>0.25</v>
      </c>
      <c r="E80" s="324">
        <f t="shared" si="5"/>
        <v>140.97499999999999</v>
      </c>
      <c r="F80" s="324"/>
      <c r="G80" s="324">
        <f t="shared" si="4"/>
        <v>140.97499999999999</v>
      </c>
      <c r="H80" s="296">
        <v>813786</v>
      </c>
      <c r="I80" s="327" t="s">
        <v>184</v>
      </c>
      <c r="J80" s="296" t="s">
        <v>11</v>
      </c>
      <c r="K80" s="296" t="s">
        <v>47</v>
      </c>
      <c r="L80" s="157">
        <v>99293129</v>
      </c>
    </row>
    <row r="81" spans="1:13" s="448" customFormat="1" x14ac:dyDescent="0.25">
      <c r="A81" s="459">
        <v>2338</v>
      </c>
      <c r="B81" s="329" t="s">
        <v>185</v>
      </c>
      <c r="C81" s="447"/>
      <c r="D81" s="330">
        <v>0.25</v>
      </c>
      <c r="E81" s="330">
        <f t="shared" si="5"/>
        <v>0</v>
      </c>
      <c r="F81" s="330"/>
      <c r="G81" s="330">
        <f t="shared" si="4"/>
        <v>0</v>
      </c>
      <c r="H81" s="460">
        <v>902553</v>
      </c>
      <c r="I81" s="461" t="s">
        <v>186</v>
      </c>
      <c r="J81" s="462" t="s">
        <v>11</v>
      </c>
      <c r="K81" s="462" t="s">
        <v>47</v>
      </c>
      <c r="L81" s="463">
        <v>90837777</v>
      </c>
      <c r="M81" s="466"/>
    </row>
    <row r="82" spans="1:13" x14ac:dyDescent="0.25">
      <c r="A82" s="157">
        <v>2342</v>
      </c>
      <c r="B82" s="282" t="s">
        <v>40</v>
      </c>
      <c r="C82" s="412">
        <v>421.5</v>
      </c>
      <c r="D82" s="324">
        <v>0.25</v>
      </c>
      <c r="E82" s="324">
        <f t="shared" si="5"/>
        <v>105.375</v>
      </c>
      <c r="F82" s="324"/>
      <c r="G82" s="324">
        <f t="shared" si="4"/>
        <v>105.375</v>
      </c>
      <c r="H82" s="292">
        <v>6107751</v>
      </c>
      <c r="I82" s="327" t="s">
        <v>187</v>
      </c>
      <c r="J82" s="296" t="s">
        <v>16</v>
      </c>
      <c r="K82" s="296" t="s">
        <v>47</v>
      </c>
      <c r="L82" s="156">
        <v>97191244</v>
      </c>
    </row>
    <row r="83" spans="1:13" s="448" customFormat="1" x14ac:dyDescent="0.25">
      <c r="A83" s="459">
        <v>2343</v>
      </c>
      <c r="B83" s="329" t="s">
        <v>570</v>
      </c>
      <c r="C83" s="447"/>
      <c r="D83" s="330"/>
      <c r="E83" s="330"/>
      <c r="F83" s="330"/>
      <c r="G83" s="330">
        <f t="shared" si="4"/>
        <v>0</v>
      </c>
      <c r="H83" s="460"/>
      <c r="I83" s="461"/>
      <c r="J83" s="462"/>
      <c r="K83" s="462"/>
      <c r="L83" s="463"/>
      <c r="M83" s="466"/>
    </row>
    <row r="84" spans="1:13" x14ac:dyDescent="0.25">
      <c r="A84" s="157">
        <v>2344</v>
      </c>
      <c r="B84" s="282" t="s">
        <v>188</v>
      </c>
      <c r="C84" s="412">
        <v>3211.2</v>
      </c>
      <c r="D84" s="324">
        <v>0.25</v>
      </c>
      <c r="E84" s="324">
        <f>C84*D84</f>
        <v>802.8</v>
      </c>
      <c r="F84" s="324"/>
      <c r="G84" s="324">
        <f t="shared" si="4"/>
        <v>802.8</v>
      </c>
      <c r="H84" s="292">
        <v>1071884</v>
      </c>
      <c r="I84" s="327" t="s">
        <v>189</v>
      </c>
      <c r="J84" s="296" t="s">
        <v>14</v>
      </c>
      <c r="K84" s="296" t="s">
        <v>55</v>
      </c>
      <c r="L84" s="156">
        <v>99480379</v>
      </c>
    </row>
    <row r="85" spans="1:13" x14ac:dyDescent="0.25">
      <c r="A85" s="157">
        <v>2345</v>
      </c>
      <c r="B85" s="282" t="s">
        <v>41</v>
      </c>
      <c r="C85" s="412">
        <v>1668.5</v>
      </c>
      <c r="D85" s="324">
        <v>0.25</v>
      </c>
      <c r="E85" s="324">
        <f>C85*D85</f>
        <v>417.125</v>
      </c>
      <c r="F85" s="324"/>
      <c r="G85" s="324">
        <f t="shared" si="4"/>
        <v>417.125</v>
      </c>
      <c r="H85" s="292">
        <v>1298574</v>
      </c>
      <c r="I85" s="327" t="s">
        <v>190</v>
      </c>
      <c r="J85" s="296" t="s">
        <v>14</v>
      </c>
      <c r="K85" s="296" t="s">
        <v>55</v>
      </c>
      <c r="L85" s="156">
        <v>99299199</v>
      </c>
    </row>
    <row r="86" spans="1:13" s="312" customFormat="1" ht="15" x14ac:dyDescent="0.25">
      <c r="A86" s="305">
        <v>2346</v>
      </c>
      <c r="B86" s="322" t="s">
        <v>191</v>
      </c>
      <c r="C86" s="424">
        <v>582.20000000000005</v>
      </c>
      <c r="D86" s="309">
        <v>0.25</v>
      </c>
      <c r="E86" s="309">
        <f>C86*D86</f>
        <v>145.55000000000001</v>
      </c>
      <c r="F86" s="309">
        <v>142.85000000000002</v>
      </c>
      <c r="G86" s="309">
        <f t="shared" si="4"/>
        <v>2.6999999999999886</v>
      </c>
      <c r="H86" s="310">
        <v>26080834</v>
      </c>
      <c r="I86" s="345" t="s">
        <v>192</v>
      </c>
      <c r="J86" s="344" t="s">
        <v>81</v>
      </c>
      <c r="K86" s="344" t="s">
        <v>82</v>
      </c>
      <c r="L86" s="348">
        <v>98951760</v>
      </c>
      <c r="M86" s="381" t="s">
        <v>604</v>
      </c>
    </row>
    <row r="87" spans="1:13" s="336" customFormat="1" x14ac:dyDescent="0.25">
      <c r="A87" s="337">
        <v>2347</v>
      </c>
      <c r="B87" s="334" t="s">
        <v>193</v>
      </c>
      <c r="C87" s="426">
        <v>1641.2</v>
      </c>
      <c r="D87" s="335">
        <v>0.25</v>
      </c>
      <c r="E87" s="335">
        <f>C87*D87</f>
        <v>410.3</v>
      </c>
      <c r="F87" s="335">
        <f>E87</f>
        <v>410.3</v>
      </c>
      <c r="G87" s="335">
        <f t="shared" si="4"/>
        <v>0</v>
      </c>
      <c r="H87" s="338">
        <v>3036144</v>
      </c>
      <c r="I87" s="339" t="s">
        <v>194</v>
      </c>
      <c r="J87" s="340" t="s">
        <v>14</v>
      </c>
      <c r="K87" s="340" t="s">
        <v>55</v>
      </c>
      <c r="L87" s="427">
        <v>99487229</v>
      </c>
      <c r="M87" s="467" t="s">
        <v>599</v>
      </c>
    </row>
    <row r="88" spans="1:13" x14ac:dyDescent="0.25">
      <c r="A88" s="157">
        <v>2348</v>
      </c>
      <c r="B88" s="282" t="s">
        <v>195</v>
      </c>
      <c r="C88" s="412">
        <v>2294.9</v>
      </c>
      <c r="D88" s="324">
        <v>0.25</v>
      </c>
      <c r="E88" s="324">
        <f>C88*D88</f>
        <v>573.72500000000002</v>
      </c>
      <c r="F88" s="324"/>
      <c r="G88" s="324">
        <f t="shared" si="4"/>
        <v>573.72500000000002</v>
      </c>
      <c r="H88" s="292">
        <v>25374403</v>
      </c>
      <c r="I88" s="327" t="s">
        <v>196</v>
      </c>
      <c r="J88" s="296" t="s">
        <v>154</v>
      </c>
      <c r="K88" s="296" t="s">
        <v>155</v>
      </c>
      <c r="L88" s="156">
        <v>92474433</v>
      </c>
    </row>
    <row r="89" spans="1:13" s="448" customFormat="1" x14ac:dyDescent="0.25">
      <c r="A89" s="459">
        <v>2349</v>
      </c>
      <c r="B89" s="329" t="s">
        <v>569</v>
      </c>
      <c r="C89" s="447"/>
      <c r="D89" s="330"/>
      <c r="E89" s="330"/>
      <c r="F89" s="330"/>
      <c r="G89" s="330">
        <f t="shared" si="4"/>
        <v>0</v>
      </c>
      <c r="H89" s="460"/>
      <c r="I89" s="461"/>
      <c r="J89" s="462"/>
      <c r="K89" s="462"/>
      <c r="L89" s="463"/>
      <c r="M89" s="466"/>
    </row>
    <row r="90" spans="1:13" x14ac:dyDescent="0.25">
      <c r="A90" s="157">
        <v>2350</v>
      </c>
      <c r="B90" s="282" t="s">
        <v>197</v>
      </c>
      <c r="C90" s="412">
        <v>1178.9000000000001</v>
      </c>
      <c r="D90" s="324">
        <v>0.25</v>
      </c>
      <c r="E90" s="324">
        <f t="shared" ref="E90:E99" si="6">C90*D90</f>
        <v>294.72500000000002</v>
      </c>
      <c r="F90" s="324"/>
      <c r="G90" s="324">
        <f t="shared" si="4"/>
        <v>294.72500000000002</v>
      </c>
      <c r="H90" s="292">
        <v>734135</v>
      </c>
      <c r="I90" s="327" t="s">
        <v>198</v>
      </c>
      <c r="J90" s="296" t="s">
        <v>11</v>
      </c>
      <c r="K90" s="296" t="s">
        <v>47</v>
      </c>
      <c r="L90" s="156">
        <v>99327078</v>
      </c>
    </row>
    <row r="91" spans="1:13" x14ac:dyDescent="0.25">
      <c r="A91" s="157">
        <v>2351</v>
      </c>
      <c r="B91" s="282" t="s">
        <v>199</v>
      </c>
      <c r="C91" s="412">
        <v>574.4</v>
      </c>
      <c r="D91" s="324">
        <v>0.25</v>
      </c>
      <c r="E91" s="324">
        <f t="shared" si="6"/>
        <v>143.6</v>
      </c>
      <c r="F91" s="324"/>
      <c r="G91" s="324">
        <f t="shared" si="4"/>
        <v>143.6</v>
      </c>
      <c r="H91" s="292">
        <v>19521995</v>
      </c>
      <c r="I91" s="327" t="s">
        <v>200</v>
      </c>
      <c r="J91" s="296" t="s">
        <v>50</v>
      </c>
      <c r="K91" s="296" t="s">
        <v>51</v>
      </c>
      <c r="L91" s="156">
        <v>92709981</v>
      </c>
    </row>
    <row r="92" spans="1:13" s="312" customFormat="1" x14ac:dyDescent="0.25">
      <c r="A92" s="305">
        <v>2353</v>
      </c>
      <c r="B92" s="322" t="s">
        <v>42</v>
      </c>
      <c r="C92" s="424">
        <v>614</v>
      </c>
      <c r="D92" s="309">
        <v>0.25</v>
      </c>
      <c r="E92" s="309">
        <f t="shared" si="6"/>
        <v>153.5</v>
      </c>
      <c r="F92" s="309">
        <v>149.02500000000001</v>
      </c>
      <c r="G92" s="309">
        <f t="shared" si="4"/>
        <v>4.4749999999999943</v>
      </c>
      <c r="H92" s="310">
        <v>2088123</v>
      </c>
      <c r="I92" s="345" t="s">
        <v>201</v>
      </c>
      <c r="J92" s="344" t="s">
        <v>11</v>
      </c>
      <c r="K92" s="344" t="s">
        <v>47</v>
      </c>
      <c r="L92" s="346">
        <v>92133374</v>
      </c>
      <c r="M92" s="386" t="s">
        <v>615</v>
      </c>
    </row>
    <row r="93" spans="1:13" x14ac:dyDescent="0.25">
      <c r="A93" s="157">
        <v>2355</v>
      </c>
      <c r="B93" s="282" t="s">
        <v>202</v>
      </c>
      <c r="C93" s="412">
        <v>1524.3</v>
      </c>
      <c r="D93" s="324">
        <v>0.25</v>
      </c>
      <c r="E93" s="324">
        <f t="shared" si="6"/>
        <v>381.07499999999999</v>
      </c>
      <c r="F93" s="324"/>
      <c r="G93" s="324">
        <f t="shared" si="4"/>
        <v>381.07499999999999</v>
      </c>
      <c r="H93" s="292">
        <v>1129734</v>
      </c>
      <c r="I93" s="327" t="s">
        <v>203</v>
      </c>
      <c r="J93" s="296" t="s">
        <v>11</v>
      </c>
      <c r="K93" s="296" t="s">
        <v>47</v>
      </c>
      <c r="L93" s="157">
        <v>99481921</v>
      </c>
    </row>
    <row r="94" spans="1:13" s="312" customFormat="1" x14ac:dyDescent="0.25">
      <c r="A94" s="305">
        <v>2356</v>
      </c>
      <c r="B94" s="322" t="s">
        <v>568</v>
      </c>
      <c r="C94" s="424">
        <v>601.70000000000005</v>
      </c>
      <c r="D94" s="309">
        <v>0.25</v>
      </c>
      <c r="E94" s="309">
        <f t="shared" si="6"/>
        <v>150.42500000000001</v>
      </c>
      <c r="F94" s="309">
        <v>149.55000000000001</v>
      </c>
      <c r="G94" s="309">
        <f t="shared" si="4"/>
        <v>0.875</v>
      </c>
      <c r="H94" s="310">
        <v>6085799</v>
      </c>
      <c r="I94" s="345">
        <v>401003560930037</v>
      </c>
      <c r="J94" s="344" t="s">
        <v>11</v>
      </c>
      <c r="K94" s="344" t="s">
        <v>47</v>
      </c>
      <c r="L94" s="348">
        <v>95122922</v>
      </c>
      <c r="M94" s="386" t="s">
        <v>616</v>
      </c>
    </row>
    <row r="95" spans="1:13" x14ac:dyDescent="0.25">
      <c r="A95" s="157">
        <v>2358</v>
      </c>
      <c r="B95" s="282" t="s">
        <v>206</v>
      </c>
      <c r="C95" s="412">
        <v>1152.3</v>
      </c>
      <c r="D95" s="324">
        <v>0.25</v>
      </c>
      <c r="E95" s="324">
        <f t="shared" si="6"/>
        <v>288.07499999999999</v>
      </c>
      <c r="F95" s="324"/>
      <c r="G95" s="324">
        <f t="shared" si="4"/>
        <v>288.07499999999999</v>
      </c>
      <c r="H95" s="292">
        <v>812235</v>
      </c>
      <c r="I95" s="327" t="s">
        <v>207</v>
      </c>
      <c r="J95" s="296" t="s">
        <v>81</v>
      </c>
      <c r="K95" s="296" t="s">
        <v>82</v>
      </c>
      <c r="L95" s="156">
        <v>99496608</v>
      </c>
    </row>
    <row r="96" spans="1:13" s="312" customFormat="1" x14ac:dyDescent="0.25">
      <c r="A96" s="305">
        <v>2360</v>
      </c>
      <c r="B96" s="322" t="s">
        <v>208</v>
      </c>
      <c r="C96" s="464">
        <v>594.6</v>
      </c>
      <c r="D96" s="309">
        <v>0.25</v>
      </c>
      <c r="E96" s="309">
        <f t="shared" si="6"/>
        <v>148.65</v>
      </c>
      <c r="F96" s="309">
        <v>148.1</v>
      </c>
      <c r="G96" s="309">
        <f t="shared" si="4"/>
        <v>0.55000000000001137</v>
      </c>
      <c r="H96" s="310">
        <v>6791757</v>
      </c>
      <c r="I96" s="345" t="s">
        <v>209</v>
      </c>
      <c r="J96" s="344" t="s">
        <v>14</v>
      </c>
      <c r="K96" s="344" t="s">
        <v>55</v>
      </c>
      <c r="L96" s="305">
        <v>98960002</v>
      </c>
      <c r="M96" s="386" t="s">
        <v>618</v>
      </c>
    </row>
    <row r="97" spans="1:13" x14ac:dyDescent="0.25">
      <c r="A97" s="157">
        <v>2361</v>
      </c>
      <c r="B97" s="282" t="s">
        <v>210</v>
      </c>
      <c r="C97" s="414">
        <v>3126.7</v>
      </c>
      <c r="D97" s="324">
        <v>0.25</v>
      </c>
      <c r="E97" s="324">
        <f t="shared" si="6"/>
        <v>781.67499999999995</v>
      </c>
      <c r="F97" s="324"/>
      <c r="G97" s="324">
        <f t="shared" si="4"/>
        <v>781.67499999999995</v>
      </c>
      <c r="H97" s="292">
        <v>3083395</v>
      </c>
      <c r="I97" s="327" t="s">
        <v>211</v>
      </c>
      <c r="J97" s="296" t="s">
        <v>11</v>
      </c>
      <c r="K97" s="296" t="s">
        <v>47</v>
      </c>
      <c r="L97" s="156">
        <v>99287760</v>
      </c>
    </row>
    <row r="98" spans="1:13" x14ac:dyDescent="0.25">
      <c r="A98" s="157">
        <v>2362</v>
      </c>
      <c r="B98" s="282" t="s">
        <v>212</v>
      </c>
      <c r="C98" s="414">
        <v>3998.1</v>
      </c>
      <c r="D98" s="324">
        <v>0.25</v>
      </c>
      <c r="E98" s="324">
        <f t="shared" si="6"/>
        <v>999.52499999999998</v>
      </c>
      <c r="F98" s="324"/>
      <c r="G98" s="324">
        <f t="shared" si="4"/>
        <v>999.52499999999998</v>
      </c>
      <c r="H98" s="292">
        <v>614569</v>
      </c>
      <c r="I98" s="327" t="s">
        <v>213</v>
      </c>
      <c r="J98" s="296" t="s">
        <v>11</v>
      </c>
      <c r="K98" s="296" t="s">
        <v>47</v>
      </c>
      <c r="L98" s="156">
        <v>98243557</v>
      </c>
    </row>
    <row r="99" spans="1:13" x14ac:dyDescent="0.25">
      <c r="A99" s="157">
        <v>2363</v>
      </c>
      <c r="B99" s="282" t="s">
        <v>567</v>
      </c>
      <c r="C99" s="414">
        <v>629.29999999999995</v>
      </c>
      <c r="D99" s="324">
        <v>0.25</v>
      </c>
      <c r="E99" s="324">
        <f t="shared" si="6"/>
        <v>157.32499999999999</v>
      </c>
      <c r="F99" s="324"/>
      <c r="G99" s="324">
        <f t="shared" si="4"/>
        <v>157.32499999999999</v>
      </c>
      <c r="H99" s="292"/>
      <c r="I99" s="327"/>
      <c r="J99" s="296"/>
      <c r="K99" s="296"/>
      <c r="L99" s="156"/>
    </row>
    <row r="100" spans="1:13" x14ac:dyDescent="0.25">
      <c r="A100" s="157">
        <v>2365</v>
      </c>
      <c r="B100" s="293" t="s">
        <v>214</v>
      </c>
      <c r="C100" s="412">
        <v>4706.8999999999996</v>
      </c>
      <c r="D100" s="324">
        <v>0.25</v>
      </c>
      <c r="E100" s="324">
        <f t="shared" ref="E100:E131" si="7">C100*D100</f>
        <v>1176.7249999999999</v>
      </c>
      <c r="F100" s="324"/>
      <c r="G100" s="324">
        <f t="shared" si="4"/>
        <v>1176.7249999999999</v>
      </c>
      <c r="H100" s="292">
        <v>18164859</v>
      </c>
      <c r="I100" s="327" t="s">
        <v>215</v>
      </c>
      <c r="J100" s="296" t="s">
        <v>14</v>
      </c>
      <c r="K100" s="296" t="s">
        <v>55</v>
      </c>
      <c r="L100" s="317">
        <v>98872820</v>
      </c>
    </row>
    <row r="101" spans="1:13" x14ac:dyDescent="0.25">
      <c r="A101" s="157">
        <v>2366</v>
      </c>
      <c r="B101" s="415" t="s">
        <v>43</v>
      </c>
      <c r="C101" s="414">
        <v>2373.1999999999998</v>
      </c>
      <c r="D101" s="324">
        <v>0.25</v>
      </c>
      <c r="E101" s="324">
        <f t="shared" si="7"/>
        <v>593.29999999999995</v>
      </c>
      <c r="F101" s="324"/>
      <c r="G101" s="324">
        <f t="shared" si="4"/>
        <v>593.29999999999995</v>
      </c>
      <c r="H101" s="292">
        <v>5737041</v>
      </c>
      <c r="I101" s="327" t="s">
        <v>216</v>
      </c>
      <c r="J101" s="296" t="s">
        <v>11</v>
      </c>
      <c r="K101" s="296" t="s">
        <v>47</v>
      </c>
      <c r="L101" s="317">
        <v>99298559</v>
      </c>
    </row>
    <row r="102" spans="1:13" x14ac:dyDescent="0.25">
      <c r="A102" s="157">
        <v>2368</v>
      </c>
      <c r="B102" s="416" t="s">
        <v>26</v>
      </c>
      <c r="C102" s="412">
        <v>3373.6</v>
      </c>
      <c r="D102" s="324">
        <v>0.25</v>
      </c>
      <c r="E102" s="324">
        <f t="shared" si="7"/>
        <v>843.4</v>
      </c>
      <c r="F102" s="324"/>
      <c r="G102" s="324">
        <f t="shared" si="4"/>
        <v>843.4</v>
      </c>
      <c r="H102" s="292">
        <v>14028352</v>
      </c>
      <c r="I102" s="327" t="s">
        <v>217</v>
      </c>
      <c r="J102" s="296" t="s">
        <v>11</v>
      </c>
      <c r="K102" s="296" t="s">
        <v>47</v>
      </c>
      <c r="L102" s="317">
        <v>77189591</v>
      </c>
    </row>
    <row r="103" spans="1:13" x14ac:dyDescent="0.25">
      <c r="A103" s="157">
        <v>2369</v>
      </c>
      <c r="B103" s="417" t="s">
        <v>218</v>
      </c>
      <c r="C103" s="412">
        <v>612.79999999999995</v>
      </c>
      <c r="D103" s="324">
        <v>0.25</v>
      </c>
      <c r="E103" s="324">
        <f t="shared" si="7"/>
        <v>153.19999999999999</v>
      </c>
      <c r="F103" s="324"/>
      <c r="G103" s="324">
        <f t="shared" si="4"/>
        <v>153.19999999999999</v>
      </c>
      <c r="H103" s="292">
        <v>1305728</v>
      </c>
      <c r="I103" s="327" t="s">
        <v>219</v>
      </c>
      <c r="J103" s="296" t="s">
        <v>81</v>
      </c>
      <c r="K103" s="296" t="s">
        <v>82</v>
      </c>
      <c r="L103" s="317"/>
    </row>
    <row r="104" spans="1:13" x14ac:dyDescent="0.25">
      <c r="A104" s="157">
        <v>2370</v>
      </c>
      <c r="B104" s="417" t="s">
        <v>220</v>
      </c>
      <c r="C104" s="412">
        <v>1244.5</v>
      </c>
      <c r="D104" s="324">
        <v>0.25</v>
      </c>
      <c r="E104" s="324">
        <f t="shared" si="7"/>
        <v>311.125</v>
      </c>
      <c r="F104" s="324"/>
      <c r="G104" s="324">
        <f t="shared" si="4"/>
        <v>311.125</v>
      </c>
      <c r="H104" s="292">
        <v>15082454</v>
      </c>
      <c r="I104" s="418" t="s">
        <v>221</v>
      </c>
      <c r="J104" s="296" t="s">
        <v>14</v>
      </c>
      <c r="K104" s="296" t="s">
        <v>55</v>
      </c>
      <c r="L104" s="317">
        <v>92600537</v>
      </c>
    </row>
    <row r="105" spans="1:13" x14ac:dyDescent="0.25">
      <c r="A105" s="157">
        <v>2371</v>
      </c>
      <c r="B105" s="417" t="s">
        <v>222</v>
      </c>
      <c r="C105" s="412">
        <v>1649.7</v>
      </c>
      <c r="D105" s="324">
        <v>0.25</v>
      </c>
      <c r="E105" s="324">
        <f t="shared" si="7"/>
        <v>412.42500000000001</v>
      </c>
      <c r="F105" s="324"/>
      <c r="G105" s="324">
        <f t="shared" si="4"/>
        <v>412.42500000000001</v>
      </c>
      <c r="H105" s="292">
        <v>4710817</v>
      </c>
      <c r="I105" s="327" t="s">
        <v>223</v>
      </c>
      <c r="J105" s="296" t="s">
        <v>11</v>
      </c>
      <c r="K105" s="296" t="s">
        <v>47</v>
      </c>
      <c r="L105" s="317">
        <v>95375676</v>
      </c>
    </row>
    <row r="106" spans="1:13" x14ac:dyDescent="0.25">
      <c r="A106" s="157">
        <v>2373</v>
      </c>
      <c r="B106" s="417" t="s">
        <v>224</v>
      </c>
      <c r="C106" s="412">
        <v>1774.9</v>
      </c>
      <c r="D106" s="324">
        <v>0.25</v>
      </c>
      <c r="E106" s="324">
        <f t="shared" si="7"/>
        <v>443.72500000000002</v>
      </c>
      <c r="F106" s="324"/>
      <c r="G106" s="324">
        <f t="shared" si="4"/>
        <v>443.72500000000002</v>
      </c>
      <c r="H106" s="292">
        <v>593009</v>
      </c>
      <c r="I106" s="327" t="s">
        <v>225</v>
      </c>
      <c r="J106" s="296" t="s">
        <v>14</v>
      </c>
      <c r="K106" s="296" t="s">
        <v>55</v>
      </c>
      <c r="L106" s="317">
        <v>99555980</v>
      </c>
    </row>
    <row r="107" spans="1:13" x14ac:dyDescent="0.25">
      <c r="A107" s="157">
        <v>2374</v>
      </c>
      <c r="B107" s="417" t="s">
        <v>226</v>
      </c>
      <c r="C107" s="412">
        <v>559.70000000000005</v>
      </c>
      <c r="D107" s="324">
        <v>0.25</v>
      </c>
      <c r="E107" s="324">
        <f t="shared" si="7"/>
        <v>139.92500000000001</v>
      </c>
      <c r="F107" s="324"/>
      <c r="G107" s="324">
        <f t="shared" si="4"/>
        <v>139.92500000000001</v>
      </c>
      <c r="H107" s="292">
        <v>27683269</v>
      </c>
      <c r="I107" s="327" t="s">
        <v>227</v>
      </c>
      <c r="J107" s="296" t="s">
        <v>50</v>
      </c>
      <c r="K107" s="296" t="s">
        <v>51</v>
      </c>
      <c r="L107" s="317">
        <v>99555980</v>
      </c>
    </row>
    <row r="108" spans="1:13" s="312" customFormat="1" ht="15" x14ac:dyDescent="0.25">
      <c r="A108" s="305">
        <v>2380</v>
      </c>
      <c r="B108" s="349" t="s">
        <v>228</v>
      </c>
      <c r="C108" s="424">
        <v>565.20000000000005</v>
      </c>
      <c r="D108" s="309">
        <v>0.25</v>
      </c>
      <c r="E108" s="309">
        <f t="shared" si="7"/>
        <v>141.30000000000001</v>
      </c>
      <c r="F108" s="309">
        <f>98.225</f>
        <v>98.224999999999994</v>
      </c>
      <c r="G108" s="309">
        <f t="shared" si="4"/>
        <v>43.075000000000017</v>
      </c>
      <c r="H108" s="310">
        <v>614536</v>
      </c>
      <c r="I108" s="345" t="s">
        <v>229</v>
      </c>
      <c r="J108" s="344" t="s">
        <v>50</v>
      </c>
      <c r="K108" s="344" t="s">
        <v>51</v>
      </c>
      <c r="L108" s="346">
        <v>93977300</v>
      </c>
      <c r="M108" s="216">
        <v>45972</v>
      </c>
    </row>
    <row r="109" spans="1:13" s="312" customFormat="1" x14ac:dyDescent="0.25">
      <c r="A109" s="305">
        <v>2381</v>
      </c>
      <c r="B109" s="349" t="s">
        <v>230</v>
      </c>
      <c r="C109" s="424">
        <v>1601.1</v>
      </c>
      <c r="D109" s="309">
        <v>0.25</v>
      </c>
      <c r="E109" s="309">
        <f t="shared" si="7"/>
        <v>400.27499999999998</v>
      </c>
      <c r="F109" s="309">
        <v>397.45</v>
      </c>
      <c r="G109" s="309">
        <f t="shared" si="4"/>
        <v>2.8249999999999886</v>
      </c>
      <c r="H109" s="310">
        <v>830452</v>
      </c>
      <c r="I109" s="345" t="s">
        <v>231</v>
      </c>
      <c r="J109" s="344" t="s">
        <v>11</v>
      </c>
      <c r="K109" s="344" t="s">
        <v>47</v>
      </c>
      <c r="L109" s="346">
        <v>99493365</v>
      </c>
      <c r="M109" s="386" t="s">
        <v>616</v>
      </c>
    </row>
    <row r="110" spans="1:13" x14ac:dyDescent="0.25">
      <c r="A110" s="157">
        <v>2383</v>
      </c>
      <c r="B110" s="317" t="s">
        <v>232</v>
      </c>
      <c r="C110" s="412">
        <v>590.79999999999995</v>
      </c>
      <c r="D110" s="324">
        <v>0.25</v>
      </c>
      <c r="E110" s="324">
        <f t="shared" si="7"/>
        <v>147.69999999999999</v>
      </c>
      <c r="F110" s="324"/>
      <c r="G110" s="324">
        <f t="shared" si="4"/>
        <v>147.69999999999999</v>
      </c>
      <c r="H110" s="296">
        <v>11427078</v>
      </c>
      <c r="I110" s="327" t="s">
        <v>233</v>
      </c>
      <c r="J110" s="296" t="s">
        <v>234</v>
      </c>
      <c r="K110" s="296" t="s">
        <v>235</v>
      </c>
      <c r="L110" s="157">
        <v>92192100</v>
      </c>
    </row>
    <row r="111" spans="1:13" s="312" customFormat="1" x14ac:dyDescent="0.25">
      <c r="A111" s="305">
        <v>2385</v>
      </c>
      <c r="B111" s="323" t="s">
        <v>236</v>
      </c>
      <c r="C111" s="424">
        <v>1835</v>
      </c>
      <c r="D111" s="309">
        <v>0.25</v>
      </c>
      <c r="E111" s="309">
        <f t="shared" si="7"/>
        <v>458.75</v>
      </c>
      <c r="F111" s="309">
        <v>456.25000000000011</v>
      </c>
      <c r="G111" s="309">
        <f t="shared" si="4"/>
        <v>2.4999999999998863</v>
      </c>
      <c r="H111" s="310">
        <v>3039422</v>
      </c>
      <c r="I111" s="345" t="s">
        <v>237</v>
      </c>
      <c r="J111" s="344" t="s">
        <v>50</v>
      </c>
      <c r="K111" s="344" t="s">
        <v>51</v>
      </c>
      <c r="L111" s="348">
        <v>99589937</v>
      </c>
      <c r="M111" s="386" t="s">
        <v>603</v>
      </c>
    </row>
    <row r="112" spans="1:13" s="312" customFormat="1" x14ac:dyDescent="0.25">
      <c r="A112" s="305">
        <v>2390</v>
      </c>
      <c r="B112" s="306" t="s">
        <v>238</v>
      </c>
      <c r="C112" s="424">
        <v>1369</v>
      </c>
      <c r="D112" s="309">
        <v>0.25</v>
      </c>
      <c r="E112" s="309">
        <f t="shared" si="7"/>
        <v>342.25</v>
      </c>
      <c r="F112" s="309">
        <v>340.4</v>
      </c>
      <c r="G112" s="309">
        <f t="shared" si="4"/>
        <v>1.8500000000000227</v>
      </c>
      <c r="H112" s="310">
        <v>738486</v>
      </c>
      <c r="I112" s="344" t="s">
        <v>239</v>
      </c>
      <c r="J112" s="344" t="s">
        <v>11</v>
      </c>
      <c r="K112" s="344" t="s">
        <v>47</v>
      </c>
      <c r="L112" s="346">
        <v>92960447</v>
      </c>
      <c r="M112" s="386" t="s">
        <v>616</v>
      </c>
    </row>
    <row r="113" spans="1:13" x14ac:dyDescent="0.25">
      <c r="A113" s="157">
        <v>2391</v>
      </c>
      <c r="B113" s="416" t="s">
        <v>240</v>
      </c>
      <c r="C113" s="412">
        <v>948.6</v>
      </c>
      <c r="D113" s="324">
        <v>0.25</v>
      </c>
      <c r="E113" s="324">
        <f t="shared" si="7"/>
        <v>237.15</v>
      </c>
      <c r="F113" s="324"/>
      <c r="G113" s="324">
        <f t="shared" si="4"/>
        <v>237.15</v>
      </c>
      <c r="H113" s="292">
        <v>952571</v>
      </c>
      <c r="I113" s="327" t="s">
        <v>241</v>
      </c>
      <c r="J113" s="296" t="s">
        <v>14</v>
      </c>
      <c r="K113" s="296" t="s">
        <v>55</v>
      </c>
      <c r="L113" s="317"/>
    </row>
    <row r="114" spans="1:13" x14ac:dyDescent="0.25">
      <c r="A114" s="281">
        <v>2392</v>
      </c>
      <c r="B114" s="413" t="s">
        <v>566</v>
      </c>
      <c r="C114" s="412">
        <v>604.5</v>
      </c>
      <c r="D114" s="324">
        <v>0.25</v>
      </c>
      <c r="E114" s="324">
        <f t="shared" si="7"/>
        <v>151.125</v>
      </c>
      <c r="F114" s="324"/>
      <c r="G114" s="324">
        <f t="shared" si="4"/>
        <v>151.125</v>
      </c>
      <c r="H114" s="288">
        <v>20054677</v>
      </c>
      <c r="I114" s="325" t="s">
        <v>565</v>
      </c>
      <c r="J114" s="288" t="s">
        <v>11</v>
      </c>
      <c r="K114" s="288"/>
      <c r="L114" s="281">
        <v>98955033</v>
      </c>
    </row>
    <row r="115" spans="1:13" s="312" customFormat="1" x14ac:dyDescent="0.25">
      <c r="A115" s="341">
        <v>2400</v>
      </c>
      <c r="B115" s="350" t="s">
        <v>564</v>
      </c>
      <c r="C115" s="424">
        <v>614.5</v>
      </c>
      <c r="D115" s="309">
        <v>0.25</v>
      </c>
      <c r="E115" s="309">
        <f t="shared" si="7"/>
        <v>153.625</v>
      </c>
      <c r="F115" s="309">
        <v>116.375</v>
      </c>
      <c r="G115" s="309">
        <f t="shared" si="4"/>
        <v>37.25</v>
      </c>
      <c r="H115" s="342">
        <v>21522312</v>
      </c>
      <c r="I115" s="343" t="s">
        <v>563</v>
      </c>
      <c r="J115" s="342" t="s">
        <v>18</v>
      </c>
      <c r="K115" s="342"/>
      <c r="L115" s="341">
        <v>96066507</v>
      </c>
      <c r="M115" s="386" t="s">
        <v>616</v>
      </c>
    </row>
    <row r="116" spans="1:13" x14ac:dyDescent="0.25">
      <c r="A116" s="281">
        <v>2401</v>
      </c>
      <c r="B116" s="413" t="s">
        <v>562</v>
      </c>
      <c r="C116" s="412">
        <v>550.20000000000005</v>
      </c>
      <c r="D116" s="324">
        <v>0.25</v>
      </c>
      <c r="E116" s="324">
        <f t="shared" si="7"/>
        <v>137.55000000000001</v>
      </c>
      <c r="F116" s="324"/>
      <c r="G116" s="324">
        <f t="shared" si="4"/>
        <v>137.55000000000001</v>
      </c>
      <c r="H116" s="288">
        <v>24154695</v>
      </c>
      <c r="I116" s="325" t="s">
        <v>561</v>
      </c>
      <c r="J116" s="288" t="s">
        <v>16</v>
      </c>
      <c r="K116" s="288" t="s">
        <v>47</v>
      </c>
      <c r="L116" s="281">
        <v>99584708</v>
      </c>
    </row>
    <row r="117" spans="1:13" s="448" customFormat="1" x14ac:dyDescent="0.25">
      <c r="A117" s="328">
        <v>2402</v>
      </c>
      <c r="B117" s="446" t="s">
        <v>560</v>
      </c>
      <c r="C117" s="447"/>
      <c r="D117" s="330">
        <v>0.25</v>
      </c>
      <c r="E117" s="330">
        <f t="shared" si="7"/>
        <v>0</v>
      </c>
      <c r="F117" s="330"/>
      <c r="G117" s="330">
        <f t="shared" si="4"/>
        <v>0</v>
      </c>
      <c r="H117" s="333">
        <v>805323</v>
      </c>
      <c r="I117" s="332" t="s">
        <v>559</v>
      </c>
      <c r="J117" s="333" t="s">
        <v>14</v>
      </c>
      <c r="K117" s="333"/>
      <c r="L117" s="328">
        <v>92141256</v>
      </c>
      <c r="M117" s="466"/>
    </row>
    <row r="118" spans="1:13" s="312" customFormat="1" x14ac:dyDescent="0.25">
      <c r="A118" s="341">
        <v>2403</v>
      </c>
      <c r="B118" s="350" t="s">
        <v>558</v>
      </c>
      <c r="C118" s="424">
        <v>616</v>
      </c>
      <c r="D118" s="309">
        <v>0.25</v>
      </c>
      <c r="E118" s="309">
        <f t="shared" si="7"/>
        <v>154</v>
      </c>
      <c r="F118" s="309">
        <v>153.95000000000002</v>
      </c>
      <c r="G118" s="309">
        <f t="shared" si="4"/>
        <v>4.9999999999982947E-2</v>
      </c>
      <c r="H118" s="342">
        <v>7562374</v>
      </c>
      <c r="I118" s="343" t="s">
        <v>557</v>
      </c>
      <c r="J118" s="342" t="s">
        <v>14</v>
      </c>
      <c r="K118" s="342"/>
      <c r="L118" s="341">
        <v>91755668</v>
      </c>
      <c r="M118" s="386" t="s">
        <v>616</v>
      </c>
    </row>
    <row r="119" spans="1:13" s="448" customFormat="1" x14ac:dyDescent="0.25">
      <c r="A119" s="328">
        <v>2404</v>
      </c>
      <c r="B119" s="446" t="s">
        <v>556</v>
      </c>
      <c r="C119" s="447"/>
      <c r="D119" s="330">
        <v>0.25</v>
      </c>
      <c r="E119" s="330">
        <f t="shared" si="7"/>
        <v>0</v>
      </c>
      <c r="F119" s="330"/>
      <c r="G119" s="330">
        <f t="shared" si="4"/>
        <v>0</v>
      </c>
      <c r="H119" s="333">
        <v>5146838</v>
      </c>
      <c r="I119" s="332" t="s">
        <v>555</v>
      </c>
      <c r="J119" s="333" t="s">
        <v>18</v>
      </c>
      <c r="K119" s="333" t="s">
        <v>47</v>
      </c>
      <c r="L119" s="328">
        <v>99111132</v>
      </c>
      <c r="M119" s="466"/>
    </row>
    <row r="120" spans="1:13" s="312" customFormat="1" x14ac:dyDescent="0.25">
      <c r="A120" s="341">
        <v>2405</v>
      </c>
      <c r="B120" s="350" t="s">
        <v>554</v>
      </c>
      <c r="C120" s="424">
        <v>277.39999999999998</v>
      </c>
      <c r="D120" s="309">
        <v>0.25</v>
      </c>
      <c r="E120" s="309">
        <f t="shared" si="7"/>
        <v>69.349999999999994</v>
      </c>
      <c r="F120" s="309">
        <v>65.825000000000003</v>
      </c>
      <c r="G120" s="309">
        <f t="shared" si="4"/>
        <v>3.5249999999999915</v>
      </c>
      <c r="H120" s="342">
        <v>21957473</v>
      </c>
      <c r="I120" s="343" t="s">
        <v>553</v>
      </c>
      <c r="J120" s="342" t="s">
        <v>18</v>
      </c>
      <c r="K120" s="342"/>
      <c r="L120" s="341">
        <v>99492349</v>
      </c>
      <c r="M120" s="386" t="s">
        <v>619</v>
      </c>
    </row>
    <row r="121" spans="1:13" s="448" customFormat="1" x14ac:dyDescent="0.25">
      <c r="A121" s="328">
        <v>2406</v>
      </c>
      <c r="B121" s="446" t="s">
        <v>552</v>
      </c>
      <c r="C121" s="447"/>
      <c r="D121" s="330">
        <v>0.25</v>
      </c>
      <c r="E121" s="330">
        <f t="shared" si="7"/>
        <v>0</v>
      </c>
      <c r="F121" s="330"/>
      <c r="G121" s="330">
        <f t="shared" si="4"/>
        <v>0</v>
      </c>
      <c r="H121" s="333">
        <v>14614758</v>
      </c>
      <c r="I121" s="332" t="s">
        <v>551</v>
      </c>
      <c r="J121" s="333" t="s">
        <v>18</v>
      </c>
      <c r="K121" s="333"/>
      <c r="L121" s="328">
        <v>90422500</v>
      </c>
      <c r="M121" s="466"/>
    </row>
    <row r="122" spans="1:13" s="448" customFormat="1" ht="12" customHeight="1" x14ac:dyDescent="0.25">
      <c r="A122" s="328">
        <v>2407</v>
      </c>
      <c r="B122" s="446" t="s">
        <v>550</v>
      </c>
      <c r="C122" s="447"/>
      <c r="D122" s="330">
        <v>0.25</v>
      </c>
      <c r="E122" s="330">
        <f t="shared" si="7"/>
        <v>0</v>
      </c>
      <c r="F122" s="330"/>
      <c r="G122" s="330">
        <f t="shared" si="4"/>
        <v>0</v>
      </c>
      <c r="H122" s="333">
        <v>5586325</v>
      </c>
      <c r="I122" s="332" t="s">
        <v>549</v>
      </c>
      <c r="J122" s="333" t="s">
        <v>18</v>
      </c>
      <c r="K122" s="333" t="s">
        <v>47</v>
      </c>
      <c r="L122" s="328">
        <v>91199514</v>
      </c>
      <c r="M122" s="466"/>
    </row>
    <row r="123" spans="1:13" s="312" customFormat="1" x14ac:dyDescent="0.25">
      <c r="A123" s="341">
        <v>2408</v>
      </c>
      <c r="B123" s="350" t="s">
        <v>548</v>
      </c>
      <c r="C123" s="424">
        <v>184.5</v>
      </c>
      <c r="D123" s="309">
        <v>0.25</v>
      </c>
      <c r="E123" s="309">
        <f t="shared" si="7"/>
        <v>46.125</v>
      </c>
      <c r="F123" s="309">
        <v>42.75</v>
      </c>
      <c r="G123" s="309">
        <f t="shared" si="4"/>
        <v>3.375</v>
      </c>
      <c r="H123" s="342">
        <v>7790427</v>
      </c>
      <c r="I123" s="343" t="s">
        <v>547</v>
      </c>
      <c r="J123" s="342" t="s">
        <v>18</v>
      </c>
      <c r="K123" s="342"/>
      <c r="L123" s="341">
        <v>96394004</v>
      </c>
      <c r="M123" s="386" t="s">
        <v>616</v>
      </c>
    </row>
    <row r="124" spans="1:13" s="448" customFormat="1" x14ac:dyDescent="0.25">
      <c r="A124" s="328">
        <v>2409</v>
      </c>
      <c r="B124" s="446" t="s">
        <v>546</v>
      </c>
      <c r="C124" s="447"/>
      <c r="D124" s="330">
        <v>0.25</v>
      </c>
      <c r="E124" s="330">
        <f t="shared" si="7"/>
        <v>0</v>
      </c>
      <c r="F124" s="330"/>
      <c r="G124" s="330">
        <f t="shared" si="4"/>
        <v>0</v>
      </c>
      <c r="H124" s="333">
        <v>19573665</v>
      </c>
      <c r="I124" s="332" t="s">
        <v>545</v>
      </c>
      <c r="J124" s="333" t="s">
        <v>18</v>
      </c>
      <c r="K124" s="333"/>
      <c r="L124" s="328">
        <v>98895532</v>
      </c>
      <c r="M124" s="466"/>
    </row>
    <row r="125" spans="1:13" s="448" customFormat="1" x14ac:dyDescent="0.25">
      <c r="A125" s="328">
        <v>2410</v>
      </c>
      <c r="B125" s="446" t="s">
        <v>544</v>
      </c>
      <c r="C125" s="447"/>
      <c r="D125" s="330">
        <v>0.25</v>
      </c>
      <c r="E125" s="330">
        <f t="shared" si="7"/>
        <v>0</v>
      </c>
      <c r="F125" s="330"/>
      <c r="G125" s="330">
        <f t="shared" si="4"/>
        <v>0</v>
      </c>
      <c r="H125" s="333">
        <v>21277364</v>
      </c>
      <c r="I125" s="332" t="s">
        <v>543</v>
      </c>
      <c r="J125" s="333" t="s">
        <v>18</v>
      </c>
      <c r="K125" s="333"/>
      <c r="L125" s="328">
        <v>98895532</v>
      </c>
      <c r="M125" s="466"/>
    </row>
    <row r="126" spans="1:13" s="312" customFormat="1" x14ac:dyDescent="0.25">
      <c r="A126" s="341">
        <v>2411</v>
      </c>
      <c r="B126" s="350" t="s">
        <v>542</v>
      </c>
      <c r="C126" s="424">
        <v>415.3</v>
      </c>
      <c r="D126" s="309">
        <v>0.25</v>
      </c>
      <c r="E126" s="309">
        <f t="shared" si="7"/>
        <v>103.825</v>
      </c>
      <c r="F126" s="309">
        <v>99.95</v>
      </c>
      <c r="G126" s="309">
        <f t="shared" si="4"/>
        <v>3.875</v>
      </c>
      <c r="H126" s="342">
        <v>22960574</v>
      </c>
      <c r="I126" s="343" t="s">
        <v>541</v>
      </c>
      <c r="J126" s="342" t="s">
        <v>14</v>
      </c>
      <c r="K126" s="342"/>
      <c r="L126" s="341">
        <v>92139763</v>
      </c>
      <c r="M126" s="386" t="s">
        <v>618</v>
      </c>
    </row>
    <row r="127" spans="1:13" s="448" customFormat="1" x14ac:dyDescent="0.25">
      <c r="A127" s="328">
        <v>2412</v>
      </c>
      <c r="B127" s="446" t="s">
        <v>540</v>
      </c>
      <c r="C127" s="447"/>
      <c r="D127" s="330">
        <v>0.25</v>
      </c>
      <c r="E127" s="330">
        <f t="shared" si="7"/>
        <v>0</v>
      </c>
      <c r="F127" s="330"/>
      <c r="G127" s="330">
        <f t="shared" si="4"/>
        <v>0</v>
      </c>
      <c r="H127" s="333">
        <v>21923766</v>
      </c>
      <c r="I127" s="332">
        <v>10600380878017</v>
      </c>
      <c r="J127" s="333" t="s">
        <v>50</v>
      </c>
      <c r="K127" s="333"/>
      <c r="L127" s="328">
        <v>91976544</v>
      </c>
      <c r="M127" s="466"/>
    </row>
    <row r="128" spans="1:13" s="448" customFormat="1" x14ac:dyDescent="0.25">
      <c r="A128" s="328">
        <v>2413</v>
      </c>
      <c r="B128" s="446" t="s">
        <v>539</v>
      </c>
      <c r="C128" s="447"/>
      <c r="D128" s="330">
        <v>0.25</v>
      </c>
      <c r="E128" s="330">
        <f t="shared" si="7"/>
        <v>0</v>
      </c>
      <c r="F128" s="330"/>
      <c r="G128" s="330">
        <f t="shared" si="4"/>
        <v>0</v>
      </c>
      <c r="H128" s="333">
        <v>4747784</v>
      </c>
      <c r="I128" s="332" t="s">
        <v>538</v>
      </c>
      <c r="J128" s="333" t="s">
        <v>18</v>
      </c>
      <c r="K128" s="333"/>
      <c r="L128" s="328">
        <v>99111159</v>
      </c>
      <c r="M128" s="466"/>
    </row>
    <row r="129" spans="1:13" s="312" customFormat="1" x14ac:dyDescent="0.25">
      <c r="A129" s="341">
        <v>2414</v>
      </c>
      <c r="B129" s="350" t="s">
        <v>537</v>
      </c>
      <c r="C129" s="424">
        <v>183.2</v>
      </c>
      <c r="D129" s="309">
        <v>0.25</v>
      </c>
      <c r="E129" s="309">
        <f t="shared" si="7"/>
        <v>45.8</v>
      </c>
      <c r="F129" s="309">
        <v>41.5</v>
      </c>
      <c r="G129" s="309">
        <f t="shared" si="4"/>
        <v>4.2999999999999972</v>
      </c>
      <c r="H129" s="342">
        <v>21386722</v>
      </c>
      <c r="I129" s="343" t="s">
        <v>536</v>
      </c>
      <c r="J129" s="342" t="s">
        <v>18</v>
      </c>
      <c r="K129" s="342"/>
      <c r="L129" s="341">
        <v>98165777</v>
      </c>
      <c r="M129" s="386" t="s">
        <v>616</v>
      </c>
    </row>
    <row r="130" spans="1:13" s="448" customFormat="1" x14ac:dyDescent="0.25">
      <c r="A130" s="328">
        <v>2415</v>
      </c>
      <c r="B130" s="446" t="s">
        <v>535</v>
      </c>
      <c r="C130" s="447"/>
      <c r="D130" s="330">
        <v>0.25</v>
      </c>
      <c r="E130" s="330">
        <f t="shared" si="7"/>
        <v>0</v>
      </c>
      <c r="F130" s="330"/>
      <c r="G130" s="330">
        <f t="shared" si="4"/>
        <v>0</v>
      </c>
      <c r="H130" s="333">
        <v>10606683</v>
      </c>
      <c r="I130" s="332">
        <v>10060323147001</v>
      </c>
      <c r="J130" s="333" t="s">
        <v>50</v>
      </c>
      <c r="K130" s="333"/>
      <c r="L130" s="328">
        <v>92391517</v>
      </c>
      <c r="M130" s="466"/>
    </row>
    <row r="131" spans="1:13" x14ac:dyDescent="0.25">
      <c r="A131" s="281">
        <v>2416</v>
      </c>
      <c r="B131" s="413" t="s">
        <v>534</v>
      </c>
      <c r="C131" s="412">
        <v>470.6</v>
      </c>
      <c r="D131" s="324">
        <v>0.25</v>
      </c>
      <c r="E131" s="324">
        <f t="shared" si="7"/>
        <v>117.65</v>
      </c>
      <c r="F131" s="324"/>
      <c r="G131" s="324">
        <f t="shared" si="4"/>
        <v>117.65</v>
      </c>
      <c r="H131" s="288">
        <v>20001264</v>
      </c>
      <c r="I131" s="325" t="s">
        <v>533</v>
      </c>
      <c r="J131" s="288" t="s">
        <v>18</v>
      </c>
      <c r="K131" s="288"/>
      <c r="L131" s="281">
        <v>90194995</v>
      </c>
    </row>
    <row r="132" spans="1:13" x14ac:dyDescent="0.25">
      <c r="A132" s="281">
        <v>2417</v>
      </c>
      <c r="B132" s="413" t="s">
        <v>532</v>
      </c>
      <c r="C132" s="412">
        <v>140.1</v>
      </c>
      <c r="D132" s="324">
        <v>0.25</v>
      </c>
      <c r="E132" s="324">
        <f t="shared" ref="E132:E163" si="8">C132*D132</f>
        <v>35.024999999999999</v>
      </c>
      <c r="F132" s="324"/>
      <c r="G132" s="324">
        <f t="shared" si="4"/>
        <v>35.024999999999999</v>
      </c>
      <c r="H132" s="288">
        <v>20133681</v>
      </c>
      <c r="I132" s="325" t="s">
        <v>531</v>
      </c>
      <c r="J132" s="288" t="s">
        <v>18</v>
      </c>
      <c r="K132" s="288"/>
      <c r="L132" s="281">
        <v>99832113</v>
      </c>
    </row>
    <row r="133" spans="1:13" x14ac:dyDescent="0.25">
      <c r="A133" s="281">
        <v>2418</v>
      </c>
      <c r="B133" s="413" t="s">
        <v>530</v>
      </c>
      <c r="C133" s="412">
        <v>427.2</v>
      </c>
      <c r="D133" s="324">
        <v>0.25</v>
      </c>
      <c r="E133" s="324">
        <f t="shared" si="8"/>
        <v>106.8</v>
      </c>
      <c r="F133" s="324"/>
      <c r="G133" s="324">
        <f t="shared" ref="G133:G196" si="9">E133-F133</f>
        <v>106.8</v>
      </c>
      <c r="H133" s="288">
        <v>21230564</v>
      </c>
      <c r="I133" s="325" t="s">
        <v>529</v>
      </c>
      <c r="J133" s="288" t="s">
        <v>18</v>
      </c>
      <c r="K133" s="288"/>
      <c r="L133" s="281">
        <v>92763233</v>
      </c>
    </row>
    <row r="134" spans="1:13" x14ac:dyDescent="0.25">
      <c r="A134" s="281">
        <v>2419</v>
      </c>
      <c r="B134" s="413" t="s">
        <v>528</v>
      </c>
      <c r="C134" s="412">
        <v>456.2</v>
      </c>
      <c r="D134" s="324">
        <v>0.25</v>
      </c>
      <c r="E134" s="324">
        <f t="shared" si="8"/>
        <v>114.05</v>
      </c>
      <c r="F134" s="324"/>
      <c r="G134" s="324">
        <f t="shared" si="9"/>
        <v>114.05</v>
      </c>
      <c r="H134" s="288">
        <v>21970257</v>
      </c>
      <c r="I134" s="325" t="s">
        <v>527</v>
      </c>
      <c r="J134" s="288" t="s">
        <v>18</v>
      </c>
      <c r="K134" s="288"/>
      <c r="L134" s="281">
        <v>99112407</v>
      </c>
    </row>
    <row r="135" spans="1:13" s="448" customFormat="1" x14ac:dyDescent="0.25">
      <c r="A135" s="328">
        <v>2420</v>
      </c>
      <c r="B135" s="446" t="s">
        <v>526</v>
      </c>
      <c r="C135" s="447"/>
      <c r="D135" s="330">
        <v>0.25</v>
      </c>
      <c r="E135" s="330">
        <f t="shared" si="8"/>
        <v>0</v>
      </c>
      <c r="F135" s="330"/>
      <c r="G135" s="330">
        <f t="shared" si="9"/>
        <v>0</v>
      </c>
      <c r="H135" s="333">
        <v>21915674</v>
      </c>
      <c r="I135" s="332" t="s">
        <v>525</v>
      </c>
      <c r="J135" s="333" t="s">
        <v>18</v>
      </c>
      <c r="K135" s="333"/>
      <c r="L135" s="328">
        <v>92477050</v>
      </c>
      <c r="M135" s="466"/>
    </row>
    <row r="136" spans="1:13" x14ac:dyDescent="0.25">
      <c r="A136" s="281">
        <v>2421</v>
      </c>
      <c r="B136" s="413" t="s">
        <v>524</v>
      </c>
      <c r="C136" s="412">
        <v>601.70000000000005</v>
      </c>
      <c r="D136" s="324">
        <v>0.25</v>
      </c>
      <c r="E136" s="324">
        <f t="shared" si="8"/>
        <v>150.42500000000001</v>
      </c>
      <c r="F136" s="324"/>
      <c r="G136" s="324">
        <f t="shared" si="9"/>
        <v>150.42500000000001</v>
      </c>
      <c r="H136" s="288">
        <v>12449617</v>
      </c>
      <c r="I136" s="325" t="s">
        <v>523</v>
      </c>
      <c r="J136" s="288" t="s">
        <v>18</v>
      </c>
      <c r="K136" s="288"/>
      <c r="L136" s="281">
        <v>93639790</v>
      </c>
    </row>
    <row r="137" spans="1:13" x14ac:dyDescent="0.25">
      <c r="A137" s="281">
        <v>2422</v>
      </c>
      <c r="B137" s="413" t="s">
        <v>522</v>
      </c>
      <c r="C137" s="412">
        <v>536.4</v>
      </c>
      <c r="D137" s="324">
        <v>0.25</v>
      </c>
      <c r="E137" s="324">
        <f t="shared" si="8"/>
        <v>134.1</v>
      </c>
      <c r="F137" s="324"/>
      <c r="G137" s="324">
        <f t="shared" si="9"/>
        <v>134.1</v>
      </c>
      <c r="H137" s="288">
        <v>3457326</v>
      </c>
      <c r="I137" s="325" t="s">
        <v>521</v>
      </c>
      <c r="J137" s="288" t="s">
        <v>18</v>
      </c>
      <c r="K137" s="288"/>
      <c r="L137" s="281">
        <v>91290077</v>
      </c>
    </row>
    <row r="138" spans="1:13" s="312" customFormat="1" x14ac:dyDescent="0.25">
      <c r="A138" s="341">
        <v>2423</v>
      </c>
      <c r="B138" s="350" t="s">
        <v>520</v>
      </c>
      <c r="C138" s="424">
        <v>130.19999999999999</v>
      </c>
      <c r="D138" s="309">
        <v>0.25</v>
      </c>
      <c r="E138" s="309">
        <f t="shared" si="8"/>
        <v>32.549999999999997</v>
      </c>
      <c r="F138" s="309">
        <v>29.274999999999999</v>
      </c>
      <c r="G138" s="309">
        <f t="shared" si="9"/>
        <v>3.2749999999999986</v>
      </c>
      <c r="H138" s="342">
        <v>19952186</v>
      </c>
      <c r="I138" s="343" t="s">
        <v>519</v>
      </c>
      <c r="J138" s="342" t="s">
        <v>18</v>
      </c>
      <c r="K138" s="342"/>
      <c r="L138" s="341">
        <v>92960031</v>
      </c>
      <c r="M138" s="386" t="s">
        <v>616</v>
      </c>
    </row>
    <row r="139" spans="1:13" s="312" customFormat="1" x14ac:dyDescent="0.25">
      <c r="A139" s="341">
        <v>2424</v>
      </c>
      <c r="B139" s="350" t="s">
        <v>518</v>
      </c>
      <c r="C139" s="424">
        <v>349.1</v>
      </c>
      <c r="D139" s="309">
        <v>0.25</v>
      </c>
      <c r="E139" s="309">
        <f t="shared" si="8"/>
        <v>87.275000000000006</v>
      </c>
      <c r="F139" s="309">
        <v>84.750000000000014</v>
      </c>
      <c r="G139" s="309">
        <f t="shared" si="9"/>
        <v>2.5249999999999915</v>
      </c>
      <c r="H139" s="342">
        <v>24187573</v>
      </c>
      <c r="I139" s="343" t="s">
        <v>517</v>
      </c>
      <c r="J139" s="342" t="s">
        <v>18</v>
      </c>
      <c r="K139" s="342"/>
      <c r="L139" s="341">
        <v>98585956</v>
      </c>
      <c r="M139" s="386" t="s">
        <v>616</v>
      </c>
    </row>
    <row r="140" spans="1:13" s="448" customFormat="1" x14ac:dyDescent="0.25">
      <c r="A140" s="328">
        <v>2425</v>
      </c>
      <c r="B140" s="446" t="s">
        <v>516</v>
      </c>
      <c r="C140" s="447"/>
      <c r="D140" s="330">
        <v>0.25</v>
      </c>
      <c r="E140" s="330">
        <f t="shared" si="8"/>
        <v>0</v>
      </c>
      <c r="F140" s="330"/>
      <c r="G140" s="330">
        <f t="shared" si="9"/>
        <v>0</v>
      </c>
      <c r="H140" s="333">
        <v>6460241</v>
      </c>
      <c r="I140" s="332">
        <v>10830442149001</v>
      </c>
      <c r="J140" s="333" t="s">
        <v>14</v>
      </c>
      <c r="K140" s="333"/>
      <c r="L140" s="328">
        <v>92550479</v>
      </c>
      <c r="M140" s="466"/>
    </row>
    <row r="141" spans="1:13" x14ac:dyDescent="0.25">
      <c r="A141" s="281">
        <v>2426</v>
      </c>
      <c r="B141" s="413" t="s">
        <v>515</v>
      </c>
      <c r="C141" s="412">
        <v>635.79999999999995</v>
      </c>
      <c r="D141" s="324">
        <v>0.25</v>
      </c>
      <c r="E141" s="324">
        <f t="shared" si="8"/>
        <v>158.94999999999999</v>
      </c>
      <c r="F141" s="324"/>
      <c r="G141" s="324">
        <f t="shared" si="9"/>
        <v>158.94999999999999</v>
      </c>
      <c r="H141" s="288">
        <v>8186</v>
      </c>
      <c r="I141" s="325">
        <v>3129202361500</v>
      </c>
      <c r="J141" s="288" t="s">
        <v>81</v>
      </c>
      <c r="K141" s="288"/>
      <c r="L141" s="281"/>
    </row>
    <row r="142" spans="1:13" x14ac:dyDescent="0.25">
      <c r="A142" s="281">
        <v>2427</v>
      </c>
      <c r="B142" s="413" t="s">
        <v>514</v>
      </c>
      <c r="C142" s="412">
        <v>359.6</v>
      </c>
      <c r="D142" s="324">
        <v>0.25</v>
      </c>
      <c r="E142" s="324">
        <f t="shared" si="8"/>
        <v>89.9</v>
      </c>
      <c r="F142" s="324"/>
      <c r="G142" s="324">
        <f t="shared" si="9"/>
        <v>89.9</v>
      </c>
      <c r="H142" s="288">
        <v>24992905</v>
      </c>
      <c r="I142" s="325" t="s">
        <v>513</v>
      </c>
      <c r="J142" s="288" t="s">
        <v>11</v>
      </c>
      <c r="K142" s="288"/>
      <c r="L142" s="281">
        <v>91222276</v>
      </c>
    </row>
    <row r="143" spans="1:13" s="312" customFormat="1" x14ac:dyDescent="0.25">
      <c r="A143" s="341">
        <v>2428</v>
      </c>
      <c r="B143" s="350" t="s">
        <v>512</v>
      </c>
      <c r="C143" s="424">
        <v>360.1</v>
      </c>
      <c r="D143" s="309">
        <v>0.25</v>
      </c>
      <c r="E143" s="309">
        <f t="shared" si="8"/>
        <v>90.025000000000006</v>
      </c>
      <c r="F143" s="309">
        <f>85.625</f>
        <v>85.625</v>
      </c>
      <c r="G143" s="309">
        <f t="shared" si="9"/>
        <v>4.4000000000000057</v>
      </c>
      <c r="H143" s="342">
        <v>1254982</v>
      </c>
      <c r="I143" s="343" t="s">
        <v>412</v>
      </c>
      <c r="J143" s="342" t="s">
        <v>11</v>
      </c>
      <c r="K143" s="342"/>
      <c r="L143" s="341">
        <v>92566993</v>
      </c>
      <c r="M143" s="386" t="s">
        <v>619</v>
      </c>
    </row>
    <row r="144" spans="1:13" x14ac:dyDescent="0.25">
      <c r="A144" s="281">
        <v>2429</v>
      </c>
      <c r="B144" s="413" t="s">
        <v>511</v>
      </c>
      <c r="C144" s="412">
        <v>427.3</v>
      </c>
      <c r="D144" s="324">
        <v>0.25</v>
      </c>
      <c r="E144" s="324">
        <f t="shared" si="8"/>
        <v>106.825</v>
      </c>
      <c r="F144" s="324"/>
      <c r="G144" s="324">
        <f t="shared" si="9"/>
        <v>106.825</v>
      </c>
      <c r="H144" s="288">
        <v>21219395</v>
      </c>
      <c r="I144" s="325" t="s">
        <v>510</v>
      </c>
      <c r="J144" s="288" t="s">
        <v>11</v>
      </c>
      <c r="K144" s="288"/>
      <c r="L144" s="281">
        <v>92983191</v>
      </c>
    </row>
    <row r="145" spans="1:14" s="312" customFormat="1" x14ac:dyDescent="0.25">
      <c r="A145" s="341">
        <v>2430</v>
      </c>
      <c r="B145" s="350" t="s">
        <v>509</v>
      </c>
      <c r="C145" s="424">
        <v>624.79999999999995</v>
      </c>
      <c r="D145" s="309">
        <v>0.25</v>
      </c>
      <c r="E145" s="309">
        <f t="shared" si="8"/>
        <v>156.19999999999999</v>
      </c>
      <c r="F145" s="309">
        <f>1.35+153.45</f>
        <v>154.79999999999998</v>
      </c>
      <c r="G145" s="309">
        <f t="shared" si="9"/>
        <v>1.4000000000000057</v>
      </c>
      <c r="H145" s="342">
        <v>5961982</v>
      </c>
      <c r="I145" s="343" t="s">
        <v>508</v>
      </c>
      <c r="J145" s="342" t="s">
        <v>50</v>
      </c>
      <c r="K145" s="342"/>
      <c r="L145" s="341">
        <v>99787037</v>
      </c>
      <c r="M145" s="386" t="s">
        <v>606</v>
      </c>
      <c r="N145" s="312" t="s">
        <v>616</v>
      </c>
    </row>
    <row r="146" spans="1:14" x14ac:dyDescent="0.25">
      <c r="A146" s="281">
        <v>2431</v>
      </c>
      <c r="B146" s="413" t="s">
        <v>507</v>
      </c>
      <c r="C146" s="412">
        <v>402.9</v>
      </c>
      <c r="D146" s="324">
        <v>0.25</v>
      </c>
      <c r="E146" s="324">
        <f t="shared" si="8"/>
        <v>100.72499999999999</v>
      </c>
      <c r="F146" s="324"/>
      <c r="G146" s="324">
        <f t="shared" si="9"/>
        <v>100.72499999999999</v>
      </c>
      <c r="H146" s="288">
        <v>7534764</v>
      </c>
      <c r="I146" s="325" t="s">
        <v>506</v>
      </c>
      <c r="J146" s="288" t="s">
        <v>14</v>
      </c>
      <c r="K146" s="288"/>
      <c r="L146" s="281">
        <v>91222276</v>
      </c>
    </row>
    <row r="147" spans="1:14" x14ac:dyDescent="0.25">
      <c r="A147" s="281">
        <v>2432</v>
      </c>
      <c r="B147" s="413" t="s">
        <v>505</v>
      </c>
      <c r="C147" s="412">
        <v>395.4</v>
      </c>
      <c r="D147" s="324">
        <v>0.25</v>
      </c>
      <c r="E147" s="324">
        <f t="shared" si="8"/>
        <v>98.85</v>
      </c>
      <c r="F147" s="324"/>
      <c r="G147" s="324">
        <f t="shared" si="9"/>
        <v>98.85</v>
      </c>
      <c r="H147" s="288">
        <v>7534801</v>
      </c>
      <c r="I147" s="325" t="s">
        <v>504</v>
      </c>
      <c r="J147" s="288" t="s">
        <v>14</v>
      </c>
      <c r="K147" s="288"/>
      <c r="L147" s="281">
        <v>91222276</v>
      </c>
    </row>
    <row r="148" spans="1:14" s="312" customFormat="1" x14ac:dyDescent="0.25">
      <c r="A148" s="341">
        <v>2433</v>
      </c>
      <c r="B148" s="350" t="s">
        <v>503</v>
      </c>
      <c r="C148" s="424">
        <v>544.20000000000005</v>
      </c>
      <c r="D148" s="309">
        <v>0.25</v>
      </c>
      <c r="E148" s="309">
        <f t="shared" si="8"/>
        <v>136.05000000000001</v>
      </c>
      <c r="F148" s="309">
        <f>135.125</f>
        <v>135.125</v>
      </c>
      <c r="G148" s="309">
        <f t="shared" si="9"/>
        <v>0.92500000000001137</v>
      </c>
      <c r="H148" s="342">
        <v>5911959</v>
      </c>
      <c r="I148" s="343" t="s">
        <v>502</v>
      </c>
      <c r="J148" s="342" t="s">
        <v>14</v>
      </c>
      <c r="K148" s="342"/>
      <c r="L148" s="341">
        <v>99195434</v>
      </c>
      <c r="M148" s="386" t="s">
        <v>621</v>
      </c>
    </row>
    <row r="149" spans="1:14" s="312" customFormat="1" x14ac:dyDescent="0.25">
      <c r="A149" s="341">
        <v>2434</v>
      </c>
      <c r="B149" s="350" t="s">
        <v>501</v>
      </c>
      <c r="C149" s="424">
        <v>405.9</v>
      </c>
      <c r="D149" s="309">
        <v>0.25</v>
      </c>
      <c r="E149" s="309">
        <f t="shared" si="8"/>
        <v>101.47499999999999</v>
      </c>
      <c r="F149" s="309">
        <v>97.924999999999997</v>
      </c>
      <c r="G149" s="309">
        <f t="shared" si="9"/>
        <v>3.5499999999999972</v>
      </c>
      <c r="H149" s="342">
        <v>5725461</v>
      </c>
      <c r="I149" s="343" t="s">
        <v>500</v>
      </c>
      <c r="J149" s="342" t="s">
        <v>11</v>
      </c>
      <c r="K149" s="342"/>
      <c r="L149" s="341">
        <v>91337496</v>
      </c>
      <c r="M149" s="386" t="s">
        <v>620</v>
      </c>
    </row>
    <row r="150" spans="1:14" s="312" customFormat="1" x14ac:dyDescent="0.25">
      <c r="A150" s="341">
        <v>2435</v>
      </c>
      <c r="B150" s="350" t="s">
        <v>499</v>
      </c>
      <c r="C150" s="424">
        <v>549.70000000000005</v>
      </c>
      <c r="D150" s="309">
        <v>0.25</v>
      </c>
      <c r="E150" s="309">
        <f t="shared" si="8"/>
        <v>137.42500000000001</v>
      </c>
      <c r="F150" s="309">
        <v>137.17500000000001</v>
      </c>
      <c r="G150" s="309">
        <f t="shared" si="9"/>
        <v>0.25</v>
      </c>
      <c r="H150" s="342">
        <v>1253923</v>
      </c>
      <c r="I150" s="343">
        <v>1006261375017</v>
      </c>
      <c r="J150" s="342" t="s">
        <v>50</v>
      </c>
      <c r="K150" s="342"/>
      <c r="L150" s="341">
        <v>93638182</v>
      </c>
      <c r="M150" s="386" t="s">
        <v>620</v>
      </c>
    </row>
    <row r="151" spans="1:14" s="448" customFormat="1" x14ac:dyDescent="0.25">
      <c r="A151" s="328">
        <v>2436</v>
      </c>
      <c r="B151" s="446" t="s">
        <v>498</v>
      </c>
      <c r="C151" s="447"/>
      <c r="D151" s="330">
        <v>0.25</v>
      </c>
      <c r="E151" s="330">
        <f t="shared" si="8"/>
        <v>0</v>
      </c>
      <c r="F151" s="330"/>
      <c r="G151" s="330">
        <f t="shared" si="9"/>
        <v>0</v>
      </c>
      <c r="H151" s="333">
        <v>675043</v>
      </c>
      <c r="I151" s="332" t="s">
        <v>496</v>
      </c>
      <c r="J151" s="333" t="s">
        <v>11</v>
      </c>
      <c r="K151" s="333"/>
      <c r="L151" s="328">
        <v>92411044</v>
      </c>
      <c r="M151" s="466"/>
    </row>
    <row r="152" spans="1:14" s="448" customFormat="1" x14ac:dyDescent="0.25">
      <c r="A152" s="328">
        <v>2437</v>
      </c>
      <c r="B152" s="446" t="s">
        <v>497</v>
      </c>
      <c r="C152" s="447"/>
      <c r="D152" s="330">
        <v>0.25</v>
      </c>
      <c r="E152" s="330">
        <f t="shared" si="8"/>
        <v>0</v>
      </c>
      <c r="F152" s="330"/>
      <c r="G152" s="330">
        <f t="shared" si="9"/>
        <v>0</v>
      </c>
      <c r="H152" s="333">
        <v>22984194</v>
      </c>
      <c r="I152" s="332" t="s">
        <v>496</v>
      </c>
      <c r="J152" s="333" t="s">
        <v>11</v>
      </c>
      <c r="K152" s="333"/>
      <c r="L152" s="328">
        <v>98152202</v>
      </c>
      <c r="M152" s="466"/>
    </row>
    <row r="153" spans="1:14" s="448" customFormat="1" x14ac:dyDescent="0.25">
      <c r="A153" s="328">
        <v>2438</v>
      </c>
      <c r="B153" s="446" t="s">
        <v>495</v>
      </c>
      <c r="C153" s="447"/>
      <c r="D153" s="330">
        <v>0.25</v>
      </c>
      <c r="E153" s="330">
        <f t="shared" si="8"/>
        <v>0</v>
      </c>
      <c r="F153" s="330"/>
      <c r="G153" s="330">
        <f t="shared" si="9"/>
        <v>0</v>
      </c>
      <c r="H153" s="333">
        <v>7813752</v>
      </c>
      <c r="I153" s="332">
        <v>3109611932700</v>
      </c>
      <c r="J153" s="333" t="s">
        <v>81</v>
      </c>
      <c r="K153" s="333"/>
      <c r="L153" s="328">
        <v>92746334</v>
      </c>
      <c r="M153" s="466"/>
    </row>
    <row r="154" spans="1:14" s="312" customFormat="1" x14ac:dyDescent="0.25">
      <c r="A154" s="341">
        <v>2439</v>
      </c>
      <c r="B154" s="350" t="s">
        <v>494</v>
      </c>
      <c r="C154" s="424">
        <v>521.79999999999995</v>
      </c>
      <c r="D154" s="309">
        <v>0.25</v>
      </c>
      <c r="E154" s="309">
        <f t="shared" si="8"/>
        <v>130.44999999999999</v>
      </c>
      <c r="F154" s="309">
        <v>128.6</v>
      </c>
      <c r="G154" s="309">
        <f t="shared" si="9"/>
        <v>1.8499999999999943</v>
      </c>
      <c r="H154" s="342">
        <v>5207939</v>
      </c>
      <c r="I154" s="343" t="s">
        <v>481</v>
      </c>
      <c r="J154" s="342" t="s">
        <v>11</v>
      </c>
      <c r="K154" s="342"/>
      <c r="L154" s="341">
        <v>92850044</v>
      </c>
      <c r="M154" s="386" t="s">
        <v>618</v>
      </c>
    </row>
    <row r="155" spans="1:14" s="312" customFormat="1" x14ac:dyDescent="0.25">
      <c r="A155" s="341">
        <v>2440</v>
      </c>
      <c r="B155" s="350" t="s">
        <v>493</v>
      </c>
      <c r="C155" s="424">
        <v>525.9</v>
      </c>
      <c r="D155" s="309">
        <v>0.25</v>
      </c>
      <c r="E155" s="309">
        <f t="shared" si="8"/>
        <v>131.47499999999999</v>
      </c>
      <c r="F155" s="309">
        <v>128.44999999999999</v>
      </c>
      <c r="G155" s="309">
        <f t="shared" si="9"/>
        <v>3.0250000000000057</v>
      </c>
      <c r="H155" s="342">
        <v>5208008</v>
      </c>
      <c r="I155" s="343" t="s">
        <v>481</v>
      </c>
      <c r="J155" s="342" t="s">
        <v>11</v>
      </c>
      <c r="K155" s="342"/>
      <c r="L155" s="341">
        <v>95242286</v>
      </c>
      <c r="M155" s="386" t="s">
        <v>618</v>
      </c>
    </row>
    <row r="156" spans="1:14" s="312" customFormat="1" x14ac:dyDescent="0.25">
      <c r="A156" s="341">
        <v>2441</v>
      </c>
      <c r="B156" s="350" t="s">
        <v>492</v>
      </c>
      <c r="C156" s="424">
        <v>149.69999999999999</v>
      </c>
      <c r="D156" s="309">
        <v>0.25</v>
      </c>
      <c r="E156" s="309">
        <f t="shared" si="8"/>
        <v>37.424999999999997</v>
      </c>
      <c r="F156" s="309">
        <v>36.799999999999997</v>
      </c>
      <c r="G156" s="309">
        <f t="shared" si="9"/>
        <v>0.625</v>
      </c>
      <c r="H156" s="342">
        <v>25029513</v>
      </c>
      <c r="I156" s="343" t="s">
        <v>491</v>
      </c>
      <c r="J156" s="342" t="s">
        <v>11</v>
      </c>
      <c r="K156" s="342"/>
      <c r="L156" s="341">
        <v>91133515</v>
      </c>
      <c r="M156" s="386" t="s">
        <v>616</v>
      </c>
    </row>
    <row r="157" spans="1:14" x14ac:dyDescent="0.25">
      <c r="A157" s="281">
        <v>2442</v>
      </c>
      <c r="B157" s="413" t="s">
        <v>490</v>
      </c>
      <c r="C157" s="412">
        <v>58.2</v>
      </c>
      <c r="D157" s="324">
        <v>0.25</v>
      </c>
      <c r="E157" s="324">
        <f t="shared" si="8"/>
        <v>14.55</v>
      </c>
      <c r="F157" s="324"/>
      <c r="G157" s="324">
        <f t="shared" si="9"/>
        <v>14.55</v>
      </c>
      <c r="H157" s="288">
        <v>4741692</v>
      </c>
      <c r="I157" s="325" t="s">
        <v>489</v>
      </c>
      <c r="J157" s="288" t="s">
        <v>11</v>
      </c>
      <c r="K157" s="288"/>
      <c r="L157" s="281">
        <v>99832113</v>
      </c>
    </row>
    <row r="158" spans="1:14" x14ac:dyDescent="0.25">
      <c r="A158" s="281">
        <v>2443</v>
      </c>
      <c r="B158" s="413" t="s">
        <v>488</v>
      </c>
      <c r="C158" s="412">
        <v>158.4</v>
      </c>
      <c r="D158" s="324">
        <v>0.25</v>
      </c>
      <c r="E158" s="324">
        <f t="shared" si="8"/>
        <v>39.6</v>
      </c>
      <c r="F158" s="324"/>
      <c r="G158" s="324">
        <f t="shared" si="9"/>
        <v>39.6</v>
      </c>
      <c r="H158" s="288">
        <v>18184709</v>
      </c>
      <c r="I158" s="325" t="s">
        <v>487</v>
      </c>
      <c r="J158" s="288" t="s">
        <v>11</v>
      </c>
      <c r="K158" s="288"/>
      <c r="L158" s="281">
        <v>92953353</v>
      </c>
    </row>
    <row r="159" spans="1:14" x14ac:dyDescent="0.25">
      <c r="A159" s="281">
        <v>2444</v>
      </c>
      <c r="B159" s="413" t="s">
        <v>486</v>
      </c>
      <c r="C159" s="412">
        <v>593.1</v>
      </c>
      <c r="D159" s="324">
        <v>0.25</v>
      </c>
      <c r="E159" s="324">
        <f t="shared" si="8"/>
        <v>148.27500000000001</v>
      </c>
      <c r="F159" s="324"/>
      <c r="G159" s="324">
        <f t="shared" si="9"/>
        <v>148.27500000000001</v>
      </c>
      <c r="H159" s="288">
        <v>24568402</v>
      </c>
      <c r="I159" s="325" t="s">
        <v>485</v>
      </c>
      <c r="J159" s="288" t="s">
        <v>11</v>
      </c>
      <c r="K159" s="288"/>
      <c r="L159" s="281">
        <v>91199565</v>
      </c>
    </row>
    <row r="160" spans="1:14" x14ac:dyDescent="0.25">
      <c r="A160" s="281">
        <v>2445</v>
      </c>
      <c r="B160" s="413" t="s">
        <v>484</v>
      </c>
      <c r="C160" s="412">
        <v>442.8</v>
      </c>
      <c r="D160" s="324">
        <v>0.25</v>
      </c>
      <c r="E160" s="324">
        <f t="shared" si="8"/>
        <v>110.7</v>
      </c>
      <c r="F160" s="324"/>
      <c r="G160" s="324">
        <f t="shared" si="9"/>
        <v>110.7</v>
      </c>
      <c r="H160" s="288">
        <v>4710747</v>
      </c>
      <c r="I160" s="325" t="s">
        <v>483</v>
      </c>
      <c r="J160" s="288" t="s">
        <v>11</v>
      </c>
      <c r="K160" s="288"/>
      <c r="L160" s="281">
        <v>99272177</v>
      </c>
    </row>
    <row r="161" spans="1:13" s="312" customFormat="1" x14ac:dyDescent="0.25">
      <c r="A161" s="341">
        <v>2446</v>
      </c>
      <c r="B161" s="350" t="s">
        <v>482</v>
      </c>
      <c r="C161" s="424">
        <v>519.92999999999995</v>
      </c>
      <c r="D161" s="309">
        <v>0.25</v>
      </c>
      <c r="E161" s="309">
        <f t="shared" si="8"/>
        <v>129.98249999999999</v>
      </c>
      <c r="F161" s="309">
        <v>129.625</v>
      </c>
      <c r="G161" s="309">
        <f t="shared" si="9"/>
        <v>0.35749999999998749</v>
      </c>
      <c r="H161" s="342">
        <v>24608881</v>
      </c>
      <c r="I161" s="343" t="s">
        <v>481</v>
      </c>
      <c r="J161" s="342" t="s">
        <v>11</v>
      </c>
      <c r="K161" s="342"/>
      <c r="L161" s="341">
        <v>99488331</v>
      </c>
      <c r="M161" s="386" t="s">
        <v>618</v>
      </c>
    </row>
    <row r="162" spans="1:13" x14ac:dyDescent="0.25">
      <c r="A162" s="281">
        <v>2447</v>
      </c>
      <c r="B162" s="413" t="s">
        <v>480</v>
      </c>
      <c r="C162" s="412">
        <v>579.79999999999995</v>
      </c>
      <c r="D162" s="324">
        <v>0.25</v>
      </c>
      <c r="E162" s="324">
        <f t="shared" si="8"/>
        <v>144.94999999999999</v>
      </c>
      <c r="F162" s="324"/>
      <c r="G162" s="324">
        <f t="shared" si="9"/>
        <v>144.94999999999999</v>
      </c>
      <c r="H162" s="288">
        <v>4815215</v>
      </c>
      <c r="I162" s="325" t="s">
        <v>479</v>
      </c>
      <c r="J162" s="288" t="s">
        <v>11</v>
      </c>
      <c r="K162" s="288"/>
      <c r="L162" s="281">
        <v>99697227</v>
      </c>
    </row>
    <row r="163" spans="1:13" x14ac:dyDescent="0.25">
      <c r="A163" s="281">
        <v>2448</v>
      </c>
      <c r="B163" s="413" t="s">
        <v>478</v>
      </c>
      <c r="C163" s="412">
        <v>579.79999999999995</v>
      </c>
      <c r="D163" s="324">
        <v>0.25</v>
      </c>
      <c r="E163" s="324">
        <f t="shared" si="8"/>
        <v>144.94999999999999</v>
      </c>
      <c r="F163" s="324"/>
      <c r="G163" s="324">
        <f t="shared" si="9"/>
        <v>144.94999999999999</v>
      </c>
      <c r="H163" s="288">
        <v>4815197</v>
      </c>
      <c r="I163" s="325" t="s">
        <v>477</v>
      </c>
      <c r="J163" s="288" t="s">
        <v>11</v>
      </c>
      <c r="K163" s="288"/>
      <c r="L163" s="281">
        <v>99697227</v>
      </c>
    </row>
    <row r="164" spans="1:13" s="448" customFormat="1" x14ac:dyDescent="0.25">
      <c r="A164" s="328">
        <v>2449</v>
      </c>
      <c r="B164" s="446" t="s">
        <v>476</v>
      </c>
      <c r="C164" s="447"/>
      <c r="D164" s="330">
        <v>0.25</v>
      </c>
      <c r="E164" s="330">
        <f t="shared" ref="E164:E173" si="10">C164*D164</f>
        <v>0</v>
      </c>
      <c r="F164" s="330"/>
      <c r="G164" s="330">
        <f t="shared" si="9"/>
        <v>0</v>
      </c>
      <c r="H164" s="333">
        <v>24912693</v>
      </c>
      <c r="I164" s="332" t="s">
        <v>475</v>
      </c>
      <c r="J164" s="333" t="s">
        <v>11</v>
      </c>
      <c r="K164" s="333"/>
      <c r="L164" s="328">
        <v>98061810</v>
      </c>
      <c r="M164" s="466"/>
    </row>
    <row r="165" spans="1:13" s="448" customFormat="1" x14ac:dyDescent="0.25">
      <c r="A165" s="328">
        <v>2450</v>
      </c>
      <c r="B165" s="446" t="s">
        <v>474</v>
      </c>
      <c r="C165" s="447"/>
      <c r="D165" s="330">
        <v>0.25</v>
      </c>
      <c r="E165" s="330">
        <f t="shared" si="10"/>
        <v>0</v>
      </c>
      <c r="F165" s="330"/>
      <c r="G165" s="330">
        <f t="shared" si="9"/>
        <v>0</v>
      </c>
      <c r="H165" s="333">
        <v>27754827</v>
      </c>
      <c r="I165" s="332">
        <v>10600543787017</v>
      </c>
      <c r="J165" s="333" t="s">
        <v>50</v>
      </c>
      <c r="K165" s="333"/>
      <c r="L165" s="328">
        <v>98061810</v>
      </c>
      <c r="M165" s="466"/>
    </row>
    <row r="166" spans="1:13" s="312" customFormat="1" x14ac:dyDescent="0.25">
      <c r="A166" s="341">
        <v>2451</v>
      </c>
      <c r="B166" s="350" t="s">
        <v>473</v>
      </c>
      <c r="C166" s="424">
        <v>501.3</v>
      </c>
      <c r="D166" s="309">
        <v>0.25</v>
      </c>
      <c r="E166" s="309">
        <f t="shared" si="10"/>
        <v>125.325</v>
      </c>
      <c r="F166" s="309">
        <v>124.97499999999999</v>
      </c>
      <c r="G166" s="309">
        <f t="shared" si="9"/>
        <v>0.35000000000000853</v>
      </c>
      <c r="H166" s="342">
        <v>5679738</v>
      </c>
      <c r="I166" s="343" t="s">
        <v>356</v>
      </c>
      <c r="J166" s="342" t="s">
        <v>11</v>
      </c>
      <c r="K166" s="342"/>
      <c r="L166" s="341">
        <v>95606291</v>
      </c>
      <c r="M166" s="386" t="s">
        <v>618</v>
      </c>
    </row>
    <row r="167" spans="1:13" s="448" customFormat="1" x14ac:dyDescent="0.25">
      <c r="A167" s="328">
        <v>2452</v>
      </c>
      <c r="B167" s="446" t="s">
        <v>472</v>
      </c>
      <c r="C167" s="447"/>
      <c r="D167" s="330">
        <v>0.25</v>
      </c>
      <c r="E167" s="330">
        <f t="shared" si="10"/>
        <v>0</v>
      </c>
      <c r="F167" s="330"/>
      <c r="G167" s="330">
        <f t="shared" si="9"/>
        <v>0</v>
      </c>
      <c r="H167" s="333">
        <v>23192109</v>
      </c>
      <c r="I167" s="332" t="s">
        <v>471</v>
      </c>
      <c r="J167" s="333" t="s">
        <v>11</v>
      </c>
      <c r="K167" s="333"/>
      <c r="L167" s="328">
        <v>98550071</v>
      </c>
      <c r="M167" s="466"/>
    </row>
    <row r="168" spans="1:13" x14ac:dyDescent="0.25">
      <c r="A168" s="281">
        <v>2453</v>
      </c>
      <c r="B168" s="413" t="s">
        <v>470</v>
      </c>
      <c r="C168" s="412">
        <v>447.9</v>
      </c>
      <c r="D168" s="324">
        <v>0.25</v>
      </c>
      <c r="E168" s="324">
        <f t="shared" si="10"/>
        <v>111.97499999999999</v>
      </c>
      <c r="F168" s="324"/>
      <c r="G168" s="324">
        <f t="shared" si="9"/>
        <v>111.97499999999999</v>
      </c>
      <c r="H168" s="288">
        <v>27461</v>
      </c>
      <c r="I168" s="325" t="s">
        <v>469</v>
      </c>
      <c r="J168" s="288" t="s">
        <v>11</v>
      </c>
      <c r="K168" s="288"/>
      <c r="L168" s="281">
        <v>99287760</v>
      </c>
    </row>
    <row r="169" spans="1:13" s="312" customFormat="1" x14ac:dyDescent="0.25">
      <c r="A169" s="341">
        <v>2454</v>
      </c>
      <c r="B169" s="350" t="s">
        <v>468</v>
      </c>
      <c r="C169" s="424">
        <v>235.2</v>
      </c>
      <c r="D169" s="309">
        <v>0.25</v>
      </c>
      <c r="E169" s="309">
        <f t="shared" si="10"/>
        <v>58.8</v>
      </c>
      <c r="F169" s="309">
        <f>57</f>
        <v>57</v>
      </c>
      <c r="G169" s="309">
        <f t="shared" si="9"/>
        <v>1.7999999999999972</v>
      </c>
      <c r="H169" s="342">
        <v>6225617</v>
      </c>
      <c r="I169" s="343" t="s">
        <v>467</v>
      </c>
      <c r="J169" s="342" t="s">
        <v>11</v>
      </c>
      <c r="K169" s="342"/>
      <c r="L169" s="341">
        <v>99549846</v>
      </c>
      <c r="M169" s="386" t="s">
        <v>617</v>
      </c>
    </row>
    <row r="170" spans="1:13" s="312" customFormat="1" x14ac:dyDescent="0.25">
      <c r="A170" s="341">
        <v>2455</v>
      </c>
      <c r="B170" s="350" t="s">
        <v>466</v>
      </c>
      <c r="C170" s="424">
        <v>605.29999999999995</v>
      </c>
      <c r="D170" s="309">
        <v>0.25</v>
      </c>
      <c r="E170" s="309">
        <f t="shared" si="10"/>
        <v>151.32499999999999</v>
      </c>
      <c r="F170" s="309">
        <v>149.35</v>
      </c>
      <c r="G170" s="309">
        <f t="shared" si="9"/>
        <v>1.9749999999999943</v>
      </c>
      <c r="H170" s="342">
        <v>18834778</v>
      </c>
      <c r="I170" s="343">
        <v>10600275516017</v>
      </c>
      <c r="J170" s="342" t="s">
        <v>50</v>
      </c>
      <c r="K170" s="342"/>
      <c r="L170" s="341">
        <v>99151242</v>
      </c>
      <c r="M170" s="386" t="s">
        <v>619</v>
      </c>
    </row>
    <row r="171" spans="1:13" x14ac:dyDescent="0.25">
      <c r="A171" s="281">
        <v>2456</v>
      </c>
      <c r="B171" s="413" t="s">
        <v>596</v>
      </c>
      <c r="C171" s="412">
        <v>56.9</v>
      </c>
      <c r="D171" s="324">
        <v>0.25</v>
      </c>
      <c r="E171" s="324">
        <f t="shared" si="10"/>
        <v>14.225</v>
      </c>
      <c r="F171" s="324"/>
      <c r="G171" s="324">
        <f t="shared" si="9"/>
        <v>14.225</v>
      </c>
      <c r="H171" s="288">
        <v>5525907</v>
      </c>
      <c r="I171" s="325" t="s">
        <v>595</v>
      </c>
      <c r="J171" s="288" t="s">
        <v>11</v>
      </c>
      <c r="K171" s="288"/>
      <c r="L171" s="281">
        <v>99085551</v>
      </c>
    </row>
    <row r="172" spans="1:13" s="448" customFormat="1" x14ac:dyDescent="0.25">
      <c r="A172" s="328">
        <v>2457</v>
      </c>
      <c r="B172" s="446" t="s">
        <v>594</v>
      </c>
      <c r="C172" s="447">
        <v>46.9</v>
      </c>
      <c r="D172" s="324">
        <v>0.25</v>
      </c>
      <c r="E172" s="324">
        <f t="shared" si="10"/>
        <v>11.725</v>
      </c>
      <c r="F172" s="330"/>
      <c r="G172" s="330">
        <f t="shared" si="9"/>
        <v>11.725</v>
      </c>
      <c r="H172" s="333">
        <v>21899078</v>
      </c>
      <c r="I172" s="332">
        <v>500087235002001</v>
      </c>
      <c r="J172" s="333" t="s">
        <v>154</v>
      </c>
      <c r="K172" s="333"/>
      <c r="L172" s="328">
        <v>99085551</v>
      </c>
      <c r="M172" s="466"/>
    </row>
    <row r="173" spans="1:13" s="448" customFormat="1" x14ac:dyDescent="0.25">
      <c r="A173" s="328">
        <v>2458</v>
      </c>
      <c r="B173" s="446" t="s">
        <v>594</v>
      </c>
      <c r="C173" s="447">
        <v>58.4</v>
      </c>
      <c r="D173" s="324">
        <v>0.25</v>
      </c>
      <c r="E173" s="324">
        <f t="shared" si="10"/>
        <v>14.6</v>
      </c>
      <c r="F173" s="330"/>
      <c r="G173" s="330">
        <f t="shared" si="9"/>
        <v>14.6</v>
      </c>
      <c r="H173" s="333">
        <v>21899078</v>
      </c>
      <c r="I173" s="332">
        <v>500087235002001</v>
      </c>
      <c r="J173" s="333" t="s">
        <v>154</v>
      </c>
      <c r="K173" s="333"/>
      <c r="L173" s="328">
        <v>99085552</v>
      </c>
      <c r="M173" s="466"/>
    </row>
    <row r="174" spans="1:13" s="448" customFormat="1" x14ac:dyDescent="0.25">
      <c r="A174" s="328">
        <v>2459</v>
      </c>
      <c r="B174" s="446"/>
      <c r="C174" s="447"/>
      <c r="D174" s="330"/>
      <c r="E174" s="330"/>
      <c r="F174" s="330"/>
      <c r="G174" s="330">
        <f t="shared" si="9"/>
        <v>0</v>
      </c>
      <c r="H174" s="333"/>
      <c r="I174" s="332"/>
      <c r="J174" s="333"/>
      <c r="K174" s="333"/>
      <c r="L174" s="328"/>
      <c r="M174" s="466"/>
    </row>
    <row r="175" spans="1:13" s="448" customFormat="1" x14ac:dyDescent="0.25">
      <c r="A175" s="328">
        <v>2460</v>
      </c>
      <c r="B175" s="446"/>
      <c r="C175" s="447"/>
      <c r="D175" s="330"/>
      <c r="E175" s="330"/>
      <c r="F175" s="330"/>
      <c r="G175" s="330">
        <f t="shared" si="9"/>
        <v>0</v>
      </c>
      <c r="H175" s="333"/>
      <c r="I175" s="332"/>
      <c r="J175" s="333"/>
      <c r="K175" s="333"/>
      <c r="L175" s="328"/>
      <c r="M175" s="466"/>
    </row>
    <row r="176" spans="1:13" s="448" customFormat="1" x14ac:dyDescent="0.25">
      <c r="A176" s="328">
        <v>2461</v>
      </c>
      <c r="B176" s="446"/>
      <c r="C176" s="447"/>
      <c r="D176" s="330"/>
      <c r="E176" s="330"/>
      <c r="F176" s="330"/>
      <c r="G176" s="330">
        <f t="shared" si="9"/>
        <v>0</v>
      </c>
      <c r="H176" s="333"/>
      <c r="I176" s="332"/>
      <c r="J176" s="333"/>
      <c r="K176" s="333"/>
      <c r="L176" s="328"/>
      <c r="M176" s="466"/>
    </row>
    <row r="177" spans="1:13" x14ac:dyDescent="0.25">
      <c r="A177" s="157">
        <v>2500</v>
      </c>
      <c r="B177" s="416" t="s">
        <v>242</v>
      </c>
      <c r="C177" s="412">
        <v>2458.6999999999998</v>
      </c>
      <c r="D177" s="324">
        <v>0.25</v>
      </c>
      <c r="E177" s="324">
        <f t="shared" ref="E177:E203" si="11">C177*D177</f>
        <v>614.67499999999995</v>
      </c>
      <c r="F177" s="324"/>
      <c r="G177" s="324">
        <f t="shared" si="9"/>
        <v>614.67499999999995</v>
      </c>
      <c r="H177" s="292">
        <v>19597106</v>
      </c>
      <c r="I177" s="327" t="s">
        <v>243</v>
      </c>
      <c r="J177" s="296" t="s">
        <v>11</v>
      </c>
      <c r="K177" s="296" t="s">
        <v>47</v>
      </c>
      <c r="L177" s="317">
        <v>95499996</v>
      </c>
    </row>
    <row r="178" spans="1:13" s="312" customFormat="1" x14ac:dyDescent="0.25">
      <c r="A178" s="305">
        <v>2501</v>
      </c>
      <c r="B178" s="306" t="s">
        <v>244</v>
      </c>
      <c r="C178" s="424">
        <v>1338.5</v>
      </c>
      <c r="D178" s="309">
        <v>0.25</v>
      </c>
      <c r="E178" s="309">
        <f t="shared" si="11"/>
        <v>334.625</v>
      </c>
      <c r="F178" s="309">
        <v>333.22499999999997</v>
      </c>
      <c r="G178" s="309">
        <f t="shared" si="9"/>
        <v>1.4000000000000341</v>
      </c>
      <c r="H178" s="310">
        <v>15593565</v>
      </c>
      <c r="I178" s="345" t="s">
        <v>245</v>
      </c>
      <c r="J178" s="344" t="s">
        <v>11</v>
      </c>
      <c r="K178" s="344" t="s">
        <v>47</v>
      </c>
      <c r="L178" s="346">
        <v>92757472</v>
      </c>
      <c r="M178" s="386"/>
    </row>
    <row r="179" spans="1:13" x14ac:dyDescent="0.25">
      <c r="A179" s="157">
        <v>2502</v>
      </c>
      <c r="B179" s="416" t="s">
        <v>27</v>
      </c>
      <c r="C179" s="412">
        <v>1276.4000000000001</v>
      </c>
      <c r="D179" s="324">
        <v>0.25</v>
      </c>
      <c r="E179" s="324">
        <f t="shared" si="11"/>
        <v>319.10000000000002</v>
      </c>
      <c r="F179" s="324"/>
      <c r="G179" s="324">
        <f t="shared" si="9"/>
        <v>319.10000000000002</v>
      </c>
      <c r="H179" s="292">
        <v>6231138</v>
      </c>
      <c r="I179" s="327" t="s">
        <v>246</v>
      </c>
      <c r="J179" s="296" t="s">
        <v>11</v>
      </c>
      <c r="K179" s="296" t="s">
        <v>47</v>
      </c>
      <c r="L179" s="317">
        <v>96940393</v>
      </c>
    </row>
    <row r="180" spans="1:13" s="312" customFormat="1" x14ac:dyDescent="0.25">
      <c r="A180" s="305">
        <v>2503</v>
      </c>
      <c r="B180" s="306" t="s">
        <v>247</v>
      </c>
      <c r="C180" s="424">
        <v>1045</v>
      </c>
      <c r="D180" s="309">
        <v>0.25</v>
      </c>
      <c r="E180" s="309">
        <f t="shared" si="11"/>
        <v>261.25</v>
      </c>
      <c r="F180" s="309">
        <v>156.94999999999999</v>
      </c>
      <c r="G180" s="309">
        <f t="shared" si="9"/>
        <v>104.30000000000001</v>
      </c>
      <c r="H180" s="310">
        <v>568083</v>
      </c>
      <c r="I180" s="345" t="s">
        <v>248</v>
      </c>
      <c r="J180" s="344" t="s">
        <v>249</v>
      </c>
      <c r="K180" s="344" t="s">
        <v>250</v>
      </c>
      <c r="L180" s="346">
        <v>98146666</v>
      </c>
      <c r="M180" s="386" t="s">
        <v>619</v>
      </c>
    </row>
    <row r="181" spans="1:13" x14ac:dyDescent="0.25">
      <c r="A181" s="157">
        <v>2504</v>
      </c>
      <c r="B181" s="416" t="s">
        <v>323</v>
      </c>
      <c r="C181" s="412">
        <v>362.4</v>
      </c>
      <c r="D181" s="324">
        <v>0.25</v>
      </c>
      <c r="E181" s="324">
        <f t="shared" si="11"/>
        <v>90.6</v>
      </c>
      <c r="F181" s="324"/>
      <c r="G181" s="324">
        <f t="shared" si="9"/>
        <v>90.6</v>
      </c>
      <c r="H181" s="156">
        <v>6296825</v>
      </c>
      <c r="I181" s="327">
        <v>1011059043002</v>
      </c>
      <c r="J181" s="292" t="s">
        <v>14</v>
      </c>
      <c r="K181" s="317" t="s">
        <v>55</v>
      </c>
      <c r="L181" s="317">
        <v>96768800</v>
      </c>
    </row>
    <row r="182" spans="1:13" x14ac:dyDescent="0.25">
      <c r="A182" s="157">
        <v>2505</v>
      </c>
      <c r="B182" s="416" t="s">
        <v>251</v>
      </c>
      <c r="C182" s="412">
        <v>1123.0999999999999</v>
      </c>
      <c r="D182" s="324">
        <v>0.25</v>
      </c>
      <c r="E182" s="324">
        <f t="shared" si="11"/>
        <v>280.77499999999998</v>
      </c>
      <c r="F182" s="324"/>
      <c r="G182" s="324">
        <f t="shared" si="9"/>
        <v>280.77499999999998</v>
      </c>
      <c r="H182" s="292">
        <v>257889</v>
      </c>
      <c r="I182" s="327" t="s">
        <v>252</v>
      </c>
      <c r="J182" s="296" t="s">
        <v>11</v>
      </c>
      <c r="K182" s="296" t="s">
        <v>47</v>
      </c>
      <c r="L182" s="317">
        <v>99492623</v>
      </c>
    </row>
    <row r="183" spans="1:13" x14ac:dyDescent="0.25">
      <c r="A183" s="157">
        <v>2506</v>
      </c>
      <c r="B183" s="416" t="s">
        <v>253</v>
      </c>
      <c r="C183" s="412">
        <v>1190.5999999999999</v>
      </c>
      <c r="D183" s="324">
        <v>0.25</v>
      </c>
      <c r="E183" s="324">
        <f t="shared" si="11"/>
        <v>297.64999999999998</v>
      </c>
      <c r="F183" s="324"/>
      <c r="G183" s="324">
        <f t="shared" si="9"/>
        <v>297.64999999999998</v>
      </c>
      <c r="H183" s="292">
        <v>11082822</v>
      </c>
      <c r="I183" s="327" t="s">
        <v>254</v>
      </c>
      <c r="J183" s="296" t="s">
        <v>18</v>
      </c>
      <c r="K183" s="296" t="s">
        <v>47</v>
      </c>
      <c r="L183" s="317">
        <v>99583618</v>
      </c>
    </row>
    <row r="184" spans="1:13" x14ac:dyDescent="0.25">
      <c r="A184" s="157">
        <v>2507</v>
      </c>
      <c r="B184" s="416" t="s">
        <v>255</v>
      </c>
      <c r="C184" s="412">
        <v>1843.7</v>
      </c>
      <c r="D184" s="324">
        <v>0.25</v>
      </c>
      <c r="E184" s="324">
        <f t="shared" si="11"/>
        <v>460.92500000000001</v>
      </c>
      <c r="F184" s="324"/>
      <c r="G184" s="324">
        <f t="shared" si="9"/>
        <v>460.92500000000001</v>
      </c>
      <c r="H184" s="292">
        <v>21947545</v>
      </c>
      <c r="I184" s="327" t="s">
        <v>256</v>
      </c>
      <c r="J184" s="296" t="s">
        <v>11</v>
      </c>
      <c r="K184" s="296" t="s">
        <v>47</v>
      </c>
      <c r="L184" s="317">
        <v>77183344</v>
      </c>
    </row>
    <row r="185" spans="1:13" x14ac:dyDescent="0.25">
      <c r="A185" s="157">
        <v>2509</v>
      </c>
      <c r="B185" s="416" t="s">
        <v>257</v>
      </c>
      <c r="C185" s="412">
        <v>1080</v>
      </c>
      <c r="D185" s="324">
        <v>0.25</v>
      </c>
      <c r="E185" s="324">
        <f t="shared" si="11"/>
        <v>270</v>
      </c>
      <c r="F185" s="324"/>
      <c r="G185" s="324">
        <f t="shared" si="9"/>
        <v>270</v>
      </c>
      <c r="H185" s="292">
        <v>5739429</v>
      </c>
      <c r="I185" s="327" t="s">
        <v>258</v>
      </c>
      <c r="J185" s="296" t="s">
        <v>16</v>
      </c>
      <c r="K185" s="296" t="s">
        <v>47</v>
      </c>
      <c r="L185" s="317">
        <v>92733224</v>
      </c>
    </row>
    <row r="186" spans="1:13" x14ac:dyDescent="0.25">
      <c r="A186" s="157">
        <v>2510</v>
      </c>
      <c r="B186" s="416" t="s">
        <v>259</v>
      </c>
      <c r="C186" s="412">
        <v>587.20000000000005</v>
      </c>
      <c r="D186" s="324">
        <v>0.25</v>
      </c>
      <c r="E186" s="324">
        <f t="shared" si="11"/>
        <v>146.80000000000001</v>
      </c>
      <c r="F186" s="324"/>
      <c r="G186" s="324">
        <f t="shared" si="9"/>
        <v>146.80000000000001</v>
      </c>
      <c r="H186" s="292">
        <v>5542574</v>
      </c>
      <c r="I186" s="327" t="s">
        <v>260</v>
      </c>
      <c r="J186" s="296" t="s">
        <v>11</v>
      </c>
      <c r="K186" s="296" t="s">
        <v>47</v>
      </c>
      <c r="L186" s="317">
        <v>98173841</v>
      </c>
    </row>
    <row r="187" spans="1:13" x14ac:dyDescent="0.25">
      <c r="A187" s="157">
        <v>2511</v>
      </c>
      <c r="B187" s="416" t="s">
        <v>261</v>
      </c>
      <c r="C187" s="412">
        <v>409</v>
      </c>
      <c r="D187" s="324">
        <v>0.25</v>
      </c>
      <c r="E187" s="324">
        <f t="shared" si="11"/>
        <v>102.25</v>
      </c>
      <c r="F187" s="324"/>
      <c r="G187" s="324">
        <f t="shared" si="9"/>
        <v>102.25</v>
      </c>
      <c r="H187" s="292">
        <v>1109954</v>
      </c>
      <c r="I187" s="327" t="s">
        <v>262</v>
      </c>
      <c r="J187" s="296" t="s">
        <v>132</v>
      </c>
      <c r="K187" s="296" t="s">
        <v>133</v>
      </c>
      <c r="L187" s="317">
        <v>92251158</v>
      </c>
    </row>
    <row r="188" spans="1:13" x14ac:dyDescent="0.25">
      <c r="A188" s="157">
        <v>2512</v>
      </c>
      <c r="B188" s="416" t="s">
        <v>263</v>
      </c>
      <c r="C188" s="412">
        <v>1597.7</v>
      </c>
      <c r="D188" s="324">
        <v>0.25</v>
      </c>
      <c r="E188" s="324">
        <f t="shared" si="11"/>
        <v>399.42500000000001</v>
      </c>
      <c r="F188" s="324"/>
      <c r="G188" s="324">
        <f t="shared" si="9"/>
        <v>399.42500000000001</v>
      </c>
      <c r="H188" s="292">
        <v>990628</v>
      </c>
      <c r="I188" s="327" t="s">
        <v>264</v>
      </c>
      <c r="J188" s="296" t="s">
        <v>146</v>
      </c>
      <c r="K188" s="296" t="s">
        <v>47</v>
      </c>
      <c r="L188" s="317">
        <v>91232518</v>
      </c>
    </row>
    <row r="189" spans="1:13" x14ac:dyDescent="0.25">
      <c r="A189" s="157">
        <v>2513</v>
      </c>
      <c r="B189" s="416" t="s">
        <v>28</v>
      </c>
      <c r="C189" s="412">
        <v>1801.9</v>
      </c>
      <c r="D189" s="324">
        <v>0.25</v>
      </c>
      <c r="E189" s="324">
        <f t="shared" si="11"/>
        <v>450.47500000000002</v>
      </c>
      <c r="F189" s="324"/>
      <c r="G189" s="324">
        <f t="shared" si="9"/>
        <v>450.47500000000002</v>
      </c>
      <c r="H189" s="292">
        <v>6332123</v>
      </c>
      <c r="I189" s="327" t="s">
        <v>265</v>
      </c>
      <c r="J189" s="296" t="s">
        <v>146</v>
      </c>
      <c r="K189" s="296" t="s">
        <v>47</v>
      </c>
      <c r="L189" s="317">
        <v>98777808</v>
      </c>
    </row>
    <row r="190" spans="1:13" x14ac:dyDescent="0.25">
      <c r="A190" s="157">
        <v>2514</v>
      </c>
      <c r="B190" s="416" t="s">
        <v>266</v>
      </c>
      <c r="C190" s="412">
        <v>510.9</v>
      </c>
      <c r="D190" s="324">
        <v>0.25</v>
      </c>
      <c r="E190" s="324">
        <f t="shared" si="11"/>
        <v>127.72499999999999</v>
      </c>
      <c r="F190" s="324"/>
      <c r="G190" s="324">
        <f t="shared" si="9"/>
        <v>127.72499999999999</v>
      </c>
      <c r="H190" s="292">
        <v>10795387</v>
      </c>
      <c r="I190" s="327" t="s">
        <v>267</v>
      </c>
      <c r="J190" s="296" t="s">
        <v>146</v>
      </c>
      <c r="K190" s="296" t="s">
        <v>47</v>
      </c>
      <c r="L190" s="317">
        <v>96744447</v>
      </c>
    </row>
    <row r="191" spans="1:13" x14ac:dyDescent="0.25">
      <c r="A191" s="157">
        <v>2515</v>
      </c>
      <c r="B191" s="416" t="s">
        <v>268</v>
      </c>
      <c r="C191" s="412">
        <v>1642.7</v>
      </c>
      <c r="D191" s="324">
        <v>0.25</v>
      </c>
      <c r="E191" s="324">
        <f t="shared" si="11"/>
        <v>410.67500000000001</v>
      </c>
      <c r="F191" s="324"/>
      <c r="G191" s="324">
        <f t="shared" si="9"/>
        <v>410.67500000000001</v>
      </c>
      <c r="H191" s="292">
        <v>5638084</v>
      </c>
      <c r="I191" s="327" t="s">
        <v>269</v>
      </c>
      <c r="J191" s="296" t="s">
        <v>11</v>
      </c>
      <c r="K191" s="296" t="s">
        <v>47</v>
      </c>
      <c r="L191" s="317">
        <v>92597738</v>
      </c>
    </row>
    <row r="192" spans="1:13" x14ac:dyDescent="0.25">
      <c r="A192" s="157">
        <v>2516</v>
      </c>
      <c r="B192" s="416" t="s">
        <v>270</v>
      </c>
      <c r="C192" s="412">
        <v>630.20000000000005</v>
      </c>
      <c r="D192" s="324">
        <v>0.25</v>
      </c>
      <c r="E192" s="324">
        <f t="shared" si="11"/>
        <v>157.55000000000001</v>
      </c>
      <c r="F192" s="324"/>
      <c r="G192" s="324">
        <f t="shared" si="9"/>
        <v>157.55000000000001</v>
      </c>
      <c r="H192" s="292">
        <v>21934588</v>
      </c>
      <c r="I192" s="327" t="s">
        <v>271</v>
      </c>
      <c r="J192" s="296" t="s">
        <v>11</v>
      </c>
      <c r="K192" s="296" t="s">
        <v>47</v>
      </c>
      <c r="L192" s="317">
        <v>98094444</v>
      </c>
    </row>
    <row r="193" spans="1:14" x14ac:dyDescent="0.25">
      <c r="A193" s="157">
        <v>2517</v>
      </c>
      <c r="B193" s="416" t="s">
        <v>29</v>
      </c>
      <c r="C193" s="412">
        <v>3583.5</v>
      </c>
      <c r="D193" s="324">
        <v>0.25</v>
      </c>
      <c r="E193" s="324">
        <f t="shared" si="11"/>
        <v>895.875</v>
      </c>
      <c r="F193" s="324"/>
      <c r="G193" s="324">
        <f t="shared" si="9"/>
        <v>895.875</v>
      </c>
      <c r="H193" s="296">
        <v>6231419</v>
      </c>
      <c r="I193" s="327" t="s">
        <v>272</v>
      </c>
      <c r="J193" s="296" t="s">
        <v>18</v>
      </c>
      <c r="K193" s="296" t="s">
        <v>47</v>
      </c>
      <c r="L193" s="157">
        <v>99053198</v>
      </c>
    </row>
    <row r="194" spans="1:14" s="312" customFormat="1" x14ac:dyDescent="0.25">
      <c r="A194" s="305">
        <v>2518</v>
      </c>
      <c r="B194" s="346" t="s">
        <v>273</v>
      </c>
      <c r="C194" s="424">
        <v>1145.8</v>
      </c>
      <c r="D194" s="309">
        <v>0.25</v>
      </c>
      <c r="E194" s="309">
        <f t="shared" si="11"/>
        <v>286.45</v>
      </c>
      <c r="F194" s="309">
        <v>284.625</v>
      </c>
      <c r="G194" s="309">
        <f t="shared" si="9"/>
        <v>1.8249999999999886</v>
      </c>
      <c r="H194" s="310">
        <v>27683344</v>
      </c>
      <c r="I194" s="345" t="s">
        <v>274</v>
      </c>
      <c r="J194" s="344" t="s">
        <v>14</v>
      </c>
      <c r="K194" s="344" t="s">
        <v>55</v>
      </c>
      <c r="L194" s="346">
        <v>98011308</v>
      </c>
      <c r="M194" s="386" t="s">
        <v>615</v>
      </c>
    </row>
    <row r="195" spans="1:14" s="312" customFormat="1" x14ac:dyDescent="0.25">
      <c r="A195" s="305">
        <v>2519</v>
      </c>
      <c r="B195" s="322" t="s">
        <v>275</v>
      </c>
      <c r="C195" s="424">
        <v>1024.8</v>
      </c>
      <c r="D195" s="309">
        <v>0.25</v>
      </c>
      <c r="E195" s="309">
        <f t="shared" si="11"/>
        <v>256.2</v>
      </c>
      <c r="F195" s="309">
        <v>252.47500000000002</v>
      </c>
      <c r="G195" s="309">
        <f t="shared" si="9"/>
        <v>3.7249999999999659</v>
      </c>
      <c r="H195" s="344">
        <v>19923785</v>
      </c>
      <c r="I195" s="345" t="s">
        <v>276</v>
      </c>
      <c r="J195" s="344" t="s">
        <v>18</v>
      </c>
      <c r="K195" s="344" t="s">
        <v>47</v>
      </c>
      <c r="L195" s="305">
        <v>91115870</v>
      </c>
      <c r="M195" s="386" t="s">
        <v>618</v>
      </c>
    </row>
    <row r="196" spans="1:14" s="312" customFormat="1" ht="15" x14ac:dyDescent="0.25">
      <c r="A196" s="341">
        <v>2520</v>
      </c>
      <c r="B196" s="322" t="s">
        <v>277</v>
      </c>
      <c r="C196" s="424">
        <v>1367</v>
      </c>
      <c r="D196" s="309">
        <v>0.25</v>
      </c>
      <c r="E196" s="309">
        <f t="shared" si="11"/>
        <v>341.75</v>
      </c>
      <c r="F196" s="309">
        <f>E196</f>
        <v>341.75</v>
      </c>
      <c r="G196" s="309">
        <f t="shared" si="9"/>
        <v>0</v>
      </c>
      <c r="H196" s="342">
        <v>1297459</v>
      </c>
      <c r="I196" s="343" t="s">
        <v>278</v>
      </c>
      <c r="J196" s="342" t="s">
        <v>50</v>
      </c>
      <c r="K196" s="342" t="s">
        <v>51</v>
      </c>
      <c r="L196" s="341">
        <v>92532520</v>
      </c>
      <c r="M196" s="381" t="s">
        <v>601</v>
      </c>
      <c r="N196" s="430" t="s">
        <v>602</v>
      </c>
    </row>
    <row r="197" spans="1:14" s="312" customFormat="1" x14ac:dyDescent="0.25">
      <c r="A197" s="341">
        <v>2521</v>
      </c>
      <c r="B197" s="322" t="s">
        <v>279</v>
      </c>
      <c r="C197" s="424">
        <v>1475.4</v>
      </c>
      <c r="D197" s="309">
        <v>0.25</v>
      </c>
      <c r="E197" s="309">
        <f t="shared" si="11"/>
        <v>368.85</v>
      </c>
      <c r="F197" s="309">
        <v>368.61400000000003</v>
      </c>
      <c r="G197" s="309">
        <f t="shared" ref="G197:G260" si="12">E197-F197</f>
        <v>0.23599999999999</v>
      </c>
      <c r="H197" s="342">
        <v>5146927</v>
      </c>
      <c r="I197" s="343" t="s">
        <v>280</v>
      </c>
      <c r="J197" s="342" t="s">
        <v>50</v>
      </c>
      <c r="K197" s="342" t="s">
        <v>51</v>
      </c>
      <c r="L197" s="341">
        <v>96399028</v>
      </c>
      <c r="M197" s="386" t="s">
        <v>618</v>
      </c>
    </row>
    <row r="198" spans="1:14" x14ac:dyDescent="0.25">
      <c r="A198" s="281">
        <v>2522</v>
      </c>
      <c r="B198" s="282" t="s">
        <v>244</v>
      </c>
      <c r="C198" s="412">
        <v>614.4</v>
      </c>
      <c r="D198" s="324">
        <v>0.25</v>
      </c>
      <c r="E198" s="324">
        <f t="shared" si="11"/>
        <v>153.6</v>
      </c>
      <c r="F198" s="324"/>
      <c r="G198" s="324">
        <f t="shared" si="12"/>
        <v>153.6</v>
      </c>
      <c r="H198" s="288">
        <v>4530913</v>
      </c>
      <c r="I198" s="325" t="s">
        <v>281</v>
      </c>
      <c r="J198" s="288" t="s">
        <v>81</v>
      </c>
      <c r="K198" s="288" t="s">
        <v>82</v>
      </c>
      <c r="L198" s="281"/>
    </row>
    <row r="199" spans="1:14" s="312" customFormat="1" x14ac:dyDescent="0.25">
      <c r="A199" s="341">
        <v>2523</v>
      </c>
      <c r="B199" s="322" t="s">
        <v>44</v>
      </c>
      <c r="C199" s="424">
        <v>633</v>
      </c>
      <c r="D199" s="309">
        <v>0.25</v>
      </c>
      <c r="E199" s="309">
        <f t="shared" si="11"/>
        <v>158.25</v>
      </c>
      <c r="F199" s="309">
        <v>154.17500000000001</v>
      </c>
      <c r="G199" s="309">
        <f t="shared" si="12"/>
        <v>4.0749999999999886</v>
      </c>
      <c r="H199" s="342">
        <v>4909387</v>
      </c>
      <c r="I199" s="343" t="s">
        <v>282</v>
      </c>
      <c r="J199" s="342" t="s">
        <v>18</v>
      </c>
      <c r="K199" s="342" t="s">
        <v>47</v>
      </c>
      <c r="L199" s="341">
        <v>92524184</v>
      </c>
      <c r="M199" s="386" t="s">
        <v>619</v>
      </c>
    </row>
    <row r="200" spans="1:14" x14ac:dyDescent="0.25">
      <c r="A200" s="281">
        <v>2524</v>
      </c>
      <c r="B200" s="282" t="s">
        <v>283</v>
      </c>
      <c r="C200" s="412">
        <v>630.5</v>
      </c>
      <c r="D200" s="324">
        <v>0.25</v>
      </c>
      <c r="E200" s="324">
        <f t="shared" si="11"/>
        <v>157.625</v>
      </c>
      <c r="F200" s="324"/>
      <c r="G200" s="324">
        <f t="shared" si="12"/>
        <v>157.625</v>
      </c>
      <c r="H200" s="285">
        <v>5827884</v>
      </c>
      <c r="I200" s="325" t="s">
        <v>284</v>
      </c>
      <c r="J200" s="288" t="s">
        <v>11</v>
      </c>
      <c r="K200" s="288" t="s">
        <v>47</v>
      </c>
      <c r="L200" s="282"/>
    </row>
    <row r="201" spans="1:14" x14ac:dyDescent="0.25">
      <c r="A201" s="281">
        <v>2525</v>
      </c>
      <c r="B201" s="282" t="s">
        <v>361</v>
      </c>
      <c r="C201" s="412">
        <v>20.100000000000001</v>
      </c>
      <c r="D201" s="324">
        <v>0.25</v>
      </c>
      <c r="E201" s="324">
        <f t="shared" si="11"/>
        <v>5.0250000000000004</v>
      </c>
      <c r="F201" s="324"/>
      <c r="G201" s="324">
        <f t="shared" si="12"/>
        <v>5.0250000000000004</v>
      </c>
      <c r="H201" s="285"/>
      <c r="I201" s="325"/>
      <c r="J201" s="288"/>
      <c r="K201" s="288"/>
      <c r="L201" s="282"/>
    </row>
    <row r="202" spans="1:14" x14ac:dyDescent="0.25">
      <c r="A202" s="281">
        <v>2526</v>
      </c>
      <c r="B202" s="282" t="s">
        <v>285</v>
      </c>
      <c r="C202" s="412">
        <v>387.9</v>
      </c>
      <c r="D202" s="324">
        <v>0.25</v>
      </c>
      <c r="E202" s="324">
        <f t="shared" si="11"/>
        <v>96.974999999999994</v>
      </c>
      <c r="F202" s="324"/>
      <c r="G202" s="324">
        <f t="shared" si="12"/>
        <v>96.974999999999994</v>
      </c>
      <c r="H202" s="288">
        <v>5827579</v>
      </c>
      <c r="I202" s="325" t="s">
        <v>286</v>
      </c>
      <c r="J202" s="288" t="s">
        <v>50</v>
      </c>
      <c r="K202" s="288" t="s">
        <v>51</v>
      </c>
      <c r="L202" s="281">
        <v>99294007</v>
      </c>
    </row>
    <row r="203" spans="1:14" s="312" customFormat="1" ht="15" x14ac:dyDescent="0.25">
      <c r="A203" s="341">
        <v>2528</v>
      </c>
      <c r="B203" s="322" t="s">
        <v>614</v>
      </c>
      <c r="C203" s="424">
        <v>582.79999999999995</v>
      </c>
      <c r="D203" s="309">
        <v>0.25</v>
      </c>
      <c r="E203" s="309">
        <f t="shared" si="11"/>
        <v>145.69999999999999</v>
      </c>
      <c r="F203" s="309">
        <f>2</f>
        <v>2</v>
      </c>
      <c r="G203" s="309">
        <f t="shared" si="12"/>
        <v>143.69999999999999</v>
      </c>
      <c r="H203" s="106">
        <v>5911997</v>
      </c>
      <c r="I203" s="343"/>
      <c r="J203" s="342"/>
      <c r="K203" s="342"/>
      <c r="L203" s="341"/>
      <c r="M203" s="69" t="s">
        <v>624</v>
      </c>
    </row>
    <row r="204" spans="1:14" s="448" customFormat="1" x14ac:dyDescent="0.25">
      <c r="A204" s="328">
        <v>2529</v>
      </c>
      <c r="B204" s="329" t="s">
        <v>287</v>
      </c>
      <c r="C204" s="447"/>
      <c r="D204" s="330">
        <v>0.25</v>
      </c>
      <c r="E204" s="330">
        <f t="shared" ref="E204:E235" si="13">C204*D204</f>
        <v>0</v>
      </c>
      <c r="F204" s="330"/>
      <c r="G204" s="330">
        <f t="shared" si="12"/>
        <v>0</v>
      </c>
      <c r="H204" s="331">
        <v>6375262</v>
      </c>
      <c r="I204" s="458" t="s">
        <v>288</v>
      </c>
      <c r="J204" s="333" t="s">
        <v>18</v>
      </c>
      <c r="K204" s="333" t="s">
        <v>47</v>
      </c>
      <c r="L204" s="329">
        <v>95144359</v>
      </c>
      <c r="M204" s="466"/>
    </row>
    <row r="205" spans="1:14" x14ac:dyDescent="0.25">
      <c r="A205" s="281">
        <v>2530</v>
      </c>
      <c r="B205" s="282" t="s">
        <v>289</v>
      </c>
      <c r="C205" s="412">
        <v>169.2</v>
      </c>
      <c r="D205" s="324">
        <v>0.25</v>
      </c>
      <c r="E205" s="324">
        <f t="shared" si="13"/>
        <v>42.3</v>
      </c>
      <c r="F205" s="324"/>
      <c r="G205" s="324">
        <f t="shared" si="12"/>
        <v>42.3</v>
      </c>
      <c r="H205" s="285">
        <v>7506751</v>
      </c>
      <c r="I205" s="419" t="s">
        <v>290</v>
      </c>
      <c r="J205" s="288" t="s">
        <v>18</v>
      </c>
      <c r="K205" s="288" t="s">
        <v>47</v>
      </c>
      <c r="L205" s="282">
        <v>92269060</v>
      </c>
    </row>
    <row r="206" spans="1:14" x14ac:dyDescent="0.25">
      <c r="A206" s="281">
        <v>2533</v>
      </c>
      <c r="B206" s="282" t="s">
        <v>349</v>
      </c>
      <c r="C206" s="412">
        <v>934.7</v>
      </c>
      <c r="D206" s="324">
        <v>0.25</v>
      </c>
      <c r="E206" s="324">
        <f t="shared" si="13"/>
        <v>233.67500000000001</v>
      </c>
      <c r="F206" s="324"/>
      <c r="G206" s="324">
        <f t="shared" si="12"/>
        <v>233.67500000000001</v>
      </c>
      <c r="H206" s="285">
        <v>1275604</v>
      </c>
      <c r="I206" s="419">
        <v>250010082881</v>
      </c>
      <c r="J206" s="288" t="s">
        <v>15</v>
      </c>
      <c r="K206" s="288"/>
      <c r="L206" s="282">
        <v>92920012</v>
      </c>
    </row>
    <row r="207" spans="1:14" x14ac:dyDescent="0.25">
      <c r="A207" s="281">
        <v>2534</v>
      </c>
      <c r="B207" s="413" t="s">
        <v>464</v>
      </c>
      <c r="C207" s="412">
        <v>531.1</v>
      </c>
      <c r="D207" s="324">
        <v>0.25</v>
      </c>
      <c r="E207" s="324">
        <f t="shared" si="13"/>
        <v>132.77500000000001</v>
      </c>
      <c r="F207" s="324"/>
      <c r="G207" s="324">
        <f t="shared" si="12"/>
        <v>132.77500000000001</v>
      </c>
      <c r="H207" s="288">
        <v>2124138</v>
      </c>
      <c r="I207" s="325" t="s">
        <v>463</v>
      </c>
      <c r="J207" s="288" t="s">
        <v>11</v>
      </c>
      <c r="K207" s="288"/>
      <c r="L207" s="281">
        <v>99497234</v>
      </c>
    </row>
    <row r="208" spans="1:14" x14ac:dyDescent="0.25">
      <c r="A208" s="281">
        <v>2535</v>
      </c>
      <c r="B208" s="413" t="s">
        <v>462</v>
      </c>
      <c r="C208" s="412">
        <v>372.7</v>
      </c>
      <c r="D208" s="324">
        <v>0.25</v>
      </c>
      <c r="E208" s="324">
        <f t="shared" si="13"/>
        <v>93.174999999999997</v>
      </c>
      <c r="F208" s="324"/>
      <c r="G208" s="324">
        <f t="shared" si="12"/>
        <v>93.174999999999997</v>
      </c>
      <c r="H208" s="288">
        <v>6332118</v>
      </c>
      <c r="I208" s="325">
        <v>10600335276017</v>
      </c>
      <c r="J208" s="288" t="s">
        <v>50</v>
      </c>
      <c r="K208" s="288"/>
      <c r="L208" s="281">
        <v>98572335</v>
      </c>
    </row>
    <row r="209" spans="1:13" s="448" customFormat="1" x14ac:dyDescent="0.25">
      <c r="A209" s="328">
        <v>2536</v>
      </c>
      <c r="B209" s="446" t="s">
        <v>461</v>
      </c>
      <c r="C209" s="447"/>
      <c r="D209" s="330">
        <v>0.25</v>
      </c>
      <c r="E209" s="330">
        <f t="shared" si="13"/>
        <v>0</v>
      </c>
      <c r="F209" s="330"/>
      <c r="G209" s="330">
        <f t="shared" si="12"/>
        <v>0</v>
      </c>
      <c r="H209" s="333">
        <v>22734098</v>
      </c>
      <c r="I209" s="332">
        <v>1502164255300</v>
      </c>
      <c r="J209" s="333" t="s">
        <v>234</v>
      </c>
      <c r="K209" s="333"/>
      <c r="L209" s="328">
        <v>90277231</v>
      </c>
      <c r="M209" s="466"/>
    </row>
    <row r="210" spans="1:13" s="312" customFormat="1" x14ac:dyDescent="0.25">
      <c r="A210" s="341">
        <v>2537</v>
      </c>
      <c r="B210" s="350" t="s">
        <v>460</v>
      </c>
      <c r="C210" s="424">
        <v>134.5</v>
      </c>
      <c r="D210" s="309">
        <v>0.25</v>
      </c>
      <c r="E210" s="309">
        <f t="shared" si="13"/>
        <v>33.625</v>
      </c>
      <c r="F210" s="309">
        <v>33.174999999999997</v>
      </c>
      <c r="G210" s="309">
        <f t="shared" si="12"/>
        <v>0.45000000000000284</v>
      </c>
      <c r="H210" s="342">
        <v>5157262</v>
      </c>
      <c r="I210" s="343" t="s">
        <v>459</v>
      </c>
      <c r="J210" s="342" t="s">
        <v>11</v>
      </c>
      <c r="K210" s="342"/>
      <c r="L210" s="341">
        <v>99542444</v>
      </c>
      <c r="M210" s="387">
        <v>46001</v>
      </c>
    </row>
    <row r="211" spans="1:13" s="448" customFormat="1" x14ac:dyDescent="0.25">
      <c r="A211" s="328">
        <v>2538</v>
      </c>
      <c r="B211" s="446" t="s">
        <v>458</v>
      </c>
      <c r="C211" s="447"/>
      <c r="D211" s="330">
        <v>0.25</v>
      </c>
      <c r="E211" s="330">
        <f t="shared" si="13"/>
        <v>0</v>
      </c>
      <c r="F211" s="330"/>
      <c r="G211" s="330">
        <f t="shared" si="12"/>
        <v>0</v>
      </c>
      <c r="H211" s="333">
        <v>5574815</v>
      </c>
      <c r="I211" s="332" t="s">
        <v>457</v>
      </c>
      <c r="J211" s="333" t="s">
        <v>11</v>
      </c>
      <c r="K211" s="333"/>
      <c r="L211" s="328">
        <v>92808864</v>
      </c>
      <c r="M211" s="466"/>
    </row>
    <row r="212" spans="1:13" x14ac:dyDescent="0.25">
      <c r="A212" s="281">
        <v>2539</v>
      </c>
      <c r="B212" s="413" t="s">
        <v>456</v>
      </c>
      <c r="C212" s="412">
        <v>599.4</v>
      </c>
      <c r="D212" s="324">
        <v>0.25</v>
      </c>
      <c r="E212" s="324">
        <f t="shared" si="13"/>
        <v>149.85</v>
      </c>
      <c r="F212" s="324"/>
      <c r="G212" s="324">
        <f t="shared" si="12"/>
        <v>149.85</v>
      </c>
      <c r="H212" s="288">
        <v>23587841</v>
      </c>
      <c r="I212" s="325" t="s">
        <v>455</v>
      </c>
      <c r="J212" s="288" t="s">
        <v>11</v>
      </c>
      <c r="K212" s="288"/>
      <c r="L212" s="281">
        <v>92413336</v>
      </c>
    </row>
    <row r="213" spans="1:13" x14ac:dyDescent="0.25">
      <c r="A213" s="281">
        <v>2540</v>
      </c>
      <c r="B213" s="413" t="s">
        <v>454</v>
      </c>
      <c r="C213" s="412">
        <v>585.6</v>
      </c>
      <c r="D213" s="324">
        <v>0.25</v>
      </c>
      <c r="E213" s="324">
        <f t="shared" si="13"/>
        <v>146.4</v>
      </c>
      <c r="F213" s="324"/>
      <c r="G213" s="324">
        <f t="shared" si="12"/>
        <v>146.4</v>
      </c>
      <c r="H213" s="288">
        <v>1960532</v>
      </c>
      <c r="I213" s="325">
        <v>3109080738500</v>
      </c>
      <c r="J213" s="288" t="s">
        <v>81</v>
      </c>
      <c r="K213" s="288"/>
      <c r="L213" s="281">
        <v>99491378</v>
      </c>
    </row>
    <row r="214" spans="1:13" x14ac:dyDescent="0.25">
      <c r="A214" s="281">
        <v>2541</v>
      </c>
      <c r="B214" s="413" t="s">
        <v>453</v>
      </c>
      <c r="C214" s="412">
        <v>6.4</v>
      </c>
      <c r="D214" s="324">
        <v>0.25</v>
      </c>
      <c r="E214" s="324">
        <f t="shared" si="13"/>
        <v>1.6</v>
      </c>
      <c r="F214" s="324"/>
      <c r="G214" s="324">
        <f t="shared" si="12"/>
        <v>1.6</v>
      </c>
      <c r="H214" s="288">
        <v>2406494</v>
      </c>
      <c r="I214" s="325">
        <v>15020343300</v>
      </c>
      <c r="J214" s="288" t="s">
        <v>234</v>
      </c>
      <c r="K214" s="288"/>
      <c r="L214" s="281">
        <v>99497110</v>
      </c>
    </row>
    <row r="215" spans="1:13" x14ac:dyDescent="0.25">
      <c r="A215" s="281">
        <v>2542</v>
      </c>
      <c r="B215" s="413" t="s">
        <v>452</v>
      </c>
      <c r="C215" s="412">
        <v>570.5</v>
      </c>
      <c r="D215" s="324">
        <v>0.25</v>
      </c>
      <c r="E215" s="324">
        <f t="shared" si="13"/>
        <v>142.625</v>
      </c>
      <c r="F215" s="324"/>
      <c r="G215" s="324">
        <f t="shared" si="12"/>
        <v>142.625</v>
      </c>
      <c r="H215" s="288">
        <v>12402682</v>
      </c>
      <c r="I215" s="325" t="s">
        <v>451</v>
      </c>
      <c r="J215" s="288" t="s">
        <v>450</v>
      </c>
      <c r="K215" s="288"/>
      <c r="L215" s="281">
        <v>94404401</v>
      </c>
    </row>
    <row r="216" spans="1:13" s="448" customFormat="1" x14ac:dyDescent="0.25">
      <c r="A216" s="328">
        <v>2543</v>
      </c>
      <c r="B216" s="446" t="s">
        <v>449</v>
      </c>
      <c r="C216" s="447"/>
      <c r="D216" s="330">
        <v>0.25</v>
      </c>
      <c r="E216" s="330">
        <f t="shared" si="13"/>
        <v>0</v>
      </c>
      <c r="F216" s="330"/>
      <c r="G216" s="330">
        <f t="shared" si="12"/>
        <v>0</v>
      </c>
      <c r="H216" s="333">
        <v>23195196</v>
      </c>
      <c r="I216" s="332">
        <v>250010019151</v>
      </c>
      <c r="J216" s="333" t="s">
        <v>249</v>
      </c>
      <c r="K216" s="333"/>
      <c r="L216" s="328">
        <v>91216415</v>
      </c>
      <c r="M216" s="466"/>
    </row>
    <row r="217" spans="1:13" x14ac:dyDescent="0.25">
      <c r="A217" s="281">
        <v>2544</v>
      </c>
      <c r="B217" s="413" t="s">
        <v>448</v>
      </c>
      <c r="C217" s="412">
        <v>595.29999999999995</v>
      </c>
      <c r="D217" s="324">
        <v>0.25</v>
      </c>
      <c r="E217" s="324">
        <f t="shared" si="13"/>
        <v>148.82499999999999</v>
      </c>
      <c r="F217" s="324"/>
      <c r="G217" s="324">
        <f t="shared" si="12"/>
        <v>148.82499999999999</v>
      </c>
      <c r="H217" s="288">
        <v>670459</v>
      </c>
      <c r="I217" s="325" t="s">
        <v>447</v>
      </c>
      <c r="J217" s="288" t="s">
        <v>11</v>
      </c>
      <c r="K217" s="288"/>
      <c r="L217" s="281">
        <v>93228850</v>
      </c>
    </row>
    <row r="218" spans="1:13" x14ac:dyDescent="0.25">
      <c r="A218" s="281">
        <v>2545</v>
      </c>
      <c r="B218" s="413" t="s">
        <v>446</v>
      </c>
      <c r="C218" s="412">
        <v>594</v>
      </c>
      <c r="D218" s="324">
        <v>0.25</v>
      </c>
      <c r="E218" s="324">
        <f t="shared" si="13"/>
        <v>148.5</v>
      </c>
      <c r="F218" s="324"/>
      <c r="G218" s="324">
        <f t="shared" si="12"/>
        <v>148.5</v>
      </c>
      <c r="H218" s="288">
        <v>6709882</v>
      </c>
      <c r="I218" s="325" t="s">
        <v>445</v>
      </c>
      <c r="J218" s="288" t="s">
        <v>11</v>
      </c>
      <c r="K218" s="288"/>
      <c r="L218" s="281">
        <v>95659540</v>
      </c>
    </row>
    <row r="219" spans="1:13" x14ac:dyDescent="0.25">
      <c r="A219" s="281">
        <v>2546</v>
      </c>
      <c r="B219" s="413" t="s">
        <v>444</v>
      </c>
      <c r="C219" s="412">
        <v>625.9</v>
      </c>
      <c r="D219" s="324">
        <v>0.25</v>
      </c>
      <c r="E219" s="324">
        <f t="shared" si="13"/>
        <v>156.47499999999999</v>
      </c>
      <c r="F219" s="324"/>
      <c r="G219" s="324">
        <f t="shared" si="12"/>
        <v>156.47499999999999</v>
      </c>
      <c r="H219" s="288">
        <v>7401537</v>
      </c>
      <c r="I219" s="325" t="s">
        <v>443</v>
      </c>
      <c r="J219" s="288" t="s">
        <v>11</v>
      </c>
      <c r="K219" s="288"/>
      <c r="L219" s="281">
        <v>92554883</v>
      </c>
    </row>
    <row r="220" spans="1:13" x14ac:dyDescent="0.25">
      <c r="A220" s="281">
        <v>2547</v>
      </c>
      <c r="B220" s="413" t="s">
        <v>442</v>
      </c>
      <c r="C220" s="412">
        <v>340.1</v>
      </c>
      <c r="D220" s="324">
        <v>0.25</v>
      </c>
      <c r="E220" s="324">
        <f t="shared" si="13"/>
        <v>85.025000000000006</v>
      </c>
      <c r="F220" s="324"/>
      <c r="G220" s="324">
        <f t="shared" si="12"/>
        <v>85.025000000000006</v>
      </c>
      <c r="H220" s="288">
        <v>5293842</v>
      </c>
      <c r="I220" s="325" t="s">
        <v>441</v>
      </c>
      <c r="J220" s="288" t="s">
        <v>11</v>
      </c>
      <c r="K220" s="288"/>
      <c r="L220" s="281">
        <v>96442949</v>
      </c>
    </row>
    <row r="221" spans="1:13" s="312" customFormat="1" x14ac:dyDescent="0.25">
      <c r="A221" s="341">
        <v>2548</v>
      </c>
      <c r="B221" s="350" t="s">
        <v>440</v>
      </c>
      <c r="C221" s="424">
        <v>597.1</v>
      </c>
      <c r="D221" s="309">
        <v>0.25</v>
      </c>
      <c r="E221" s="309">
        <f t="shared" si="13"/>
        <v>149.27500000000001</v>
      </c>
      <c r="F221" s="309">
        <v>145.77500000000001</v>
      </c>
      <c r="G221" s="309">
        <f t="shared" si="12"/>
        <v>3.5</v>
      </c>
      <c r="H221" s="342">
        <v>1064386</v>
      </c>
      <c r="I221" s="343">
        <v>3129040044700</v>
      </c>
      <c r="J221" s="342" t="s">
        <v>81</v>
      </c>
      <c r="K221" s="342"/>
      <c r="L221" s="341">
        <v>99492191</v>
      </c>
      <c r="M221" s="386" t="s">
        <v>616</v>
      </c>
    </row>
    <row r="222" spans="1:13" x14ac:dyDescent="0.25">
      <c r="A222" s="281">
        <v>2549</v>
      </c>
      <c r="B222" s="413" t="s">
        <v>439</v>
      </c>
      <c r="C222" s="412">
        <v>544.5</v>
      </c>
      <c r="D222" s="324">
        <v>0.25</v>
      </c>
      <c r="E222" s="324">
        <f t="shared" si="13"/>
        <v>136.125</v>
      </c>
      <c r="F222" s="324"/>
      <c r="G222" s="324">
        <f t="shared" si="12"/>
        <v>136.125</v>
      </c>
      <c r="H222" s="288">
        <v>8400297</v>
      </c>
      <c r="I222" s="325" t="s">
        <v>438</v>
      </c>
      <c r="J222" s="288" t="s">
        <v>11</v>
      </c>
      <c r="K222" s="288"/>
      <c r="L222" s="281">
        <v>92804884</v>
      </c>
    </row>
    <row r="223" spans="1:13" s="312" customFormat="1" x14ac:dyDescent="0.25">
      <c r="A223" s="341">
        <v>2550</v>
      </c>
      <c r="B223" s="350" t="s">
        <v>437</v>
      </c>
      <c r="C223" s="424">
        <v>616.70000000000005</v>
      </c>
      <c r="D223" s="309">
        <v>0.25</v>
      </c>
      <c r="E223" s="309">
        <f t="shared" si="13"/>
        <v>154.17500000000001</v>
      </c>
      <c r="F223" s="309">
        <v>150.375</v>
      </c>
      <c r="G223" s="309">
        <f t="shared" si="12"/>
        <v>3.8000000000000114</v>
      </c>
      <c r="H223" s="342">
        <v>848673</v>
      </c>
      <c r="I223" s="343" t="s">
        <v>436</v>
      </c>
      <c r="J223" s="342" t="s">
        <v>132</v>
      </c>
      <c r="K223" s="342"/>
      <c r="L223" s="341">
        <v>99498772</v>
      </c>
      <c r="M223" s="386" t="s">
        <v>616</v>
      </c>
    </row>
    <row r="224" spans="1:13" s="448" customFormat="1" x14ac:dyDescent="0.25">
      <c r="A224" s="328">
        <v>2551</v>
      </c>
      <c r="B224" s="446" t="s">
        <v>435</v>
      </c>
      <c r="C224" s="447"/>
      <c r="D224" s="330">
        <v>0.25</v>
      </c>
      <c r="E224" s="330">
        <f t="shared" si="13"/>
        <v>0</v>
      </c>
      <c r="F224" s="330"/>
      <c r="G224" s="330">
        <f t="shared" si="12"/>
        <v>0</v>
      </c>
      <c r="H224" s="333">
        <v>81253</v>
      </c>
      <c r="I224" s="332" t="s">
        <v>434</v>
      </c>
      <c r="J224" s="333" t="s">
        <v>11</v>
      </c>
      <c r="K224" s="333"/>
      <c r="L224" s="328">
        <v>99496155</v>
      </c>
      <c r="M224" s="466"/>
    </row>
    <row r="225" spans="1:13" x14ac:dyDescent="0.25">
      <c r="A225" s="281">
        <v>2552</v>
      </c>
      <c r="B225" s="413" t="s">
        <v>433</v>
      </c>
      <c r="C225" s="412">
        <v>606.1</v>
      </c>
      <c r="D225" s="324">
        <v>0.25</v>
      </c>
      <c r="E225" s="324">
        <f t="shared" si="13"/>
        <v>151.52500000000001</v>
      </c>
      <c r="F225" s="324"/>
      <c r="G225" s="324">
        <f t="shared" si="12"/>
        <v>151.52500000000001</v>
      </c>
      <c r="H225" s="288">
        <v>7401542</v>
      </c>
      <c r="I225" s="325" t="s">
        <v>432</v>
      </c>
      <c r="J225" s="288" t="s">
        <v>11</v>
      </c>
      <c r="K225" s="288"/>
      <c r="L225" s="281">
        <v>92341518</v>
      </c>
    </row>
    <row r="226" spans="1:13" x14ac:dyDescent="0.25">
      <c r="A226" s="281">
        <v>2553</v>
      </c>
      <c r="B226" s="413" t="s">
        <v>431</v>
      </c>
      <c r="C226" s="412">
        <v>552.20000000000005</v>
      </c>
      <c r="D226" s="324">
        <v>0.25</v>
      </c>
      <c r="E226" s="324">
        <f t="shared" si="13"/>
        <v>138.05000000000001</v>
      </c>
      <c r="F226" s="324"/>
      <c r="G226" s="324">
        <f t="shared" si="12"/>
        <v>138.05000000000001</v>
      </c>
      <c r="H226" s="288">
        <v>5127962</v>
      </c>
      <c r="I226" s="325" t="s">
        <v>430</v>
      </c>
      <c r="J226" s="288" t="s">
        <v>11</v>
      </c>
      <c r="K226" s="288"/>
      <c r="L226" s="281">
        <v>92974929</v>
      </c>
    </row>
    <row r="227" spans="1:13" s="448" customFormat="1" x14ac:dyDescent="0.25">
      <c r="A227" s="328">
        <v>2554</v>
      </c>
      <c r="B227" s="446" t="s">
        <v>429</v>
      </c>
      <c r="C227" s="447"/>
      <c r="D227" s="330">
        <v>0.25</v>
      </c>
      <c r="E227" s="330">
        <f t="shared" si="13"/>
        <v>0</v>
      </c>
      <c r="F227" s="330"/>
      <c r="G227" s="330">
        <f t="shared" si="12"/>
        <v>0</v>
      </c>
      <c r="H227" s="333">
        <v>5177797</v>
      </c>
      <c r="I227" s="332" t="s">
        <v>428</v>
      </c>
      <c r="J227" s="333" t="s">
        <v>11</v>
      </c>
      <c r="K227" s="333"/>
      <c r="L227" s="328">
        <v>92912400</v>
      </c>
      <c r="M227" s="466"/>
    </row>
    <row r="228" spans="1:13" x14ac:dyDescent="0.25">
      <c r="A228" s="281">
        <v>2555</v>
      </c>
      <c r="B228" s="413" t="s">
        <v>427</v>
      </c>
      <c r="C228" s="412">
        <v>653.1</v>
      </c>
      <c r="D228" s="324">
        <v>0.25</v>
      </c>
      <c r="E228" s="324">
        <f t="shared" si="13"/>
        <v>163.27500000000001</v>
      </c>
      <c r="F228" s="324">
        <v>159.82500000000002</v>
      </c>
      <c r="G228" s="324">
        <f t="shared" si="12"/>
        <v>3.4499999999999886</v>
      </c>
      <c r="H228" s="288">
        <v>921289</v>
      </c>
      <c r="I228" s="325" t="s">
        <v>426</v>
      </c>
      <c r="J228" s="288" t="s">
        <v>11</v>
      </c>
      <c r="K228" s="288"/>
      <c r="L228" s="281">
        <v>99492037</v>
      </c>
      <c r="M228" s="386" t="s">
        <v>616</v>
      </c>
    </row>
    <row r="229" spans="1:13" x14ac:dyDescent="0.25">
      <c r="A229" s="281">
        <v>2556</v>
      </c>
      <c r="B229" s="413" t="s">
        <v>425</v>
      </c>
      <c r="C229" s="412">
        <v>574.79999999999995</v>
      </c>
      <c r="D229" s="324">
        <v>0.25</v>
      </c>
      <c r="E229" s="324">
        <f t="shared" si="13"/>
        <v>143.69999999999999</v>
      </c>
      <c r="F229" s="324">
        <v>141.07499999999999</v>
      </c>
      <c r="G229" s="324">
        <f t="shared" si="12"/>
        <v>2.625</v>
      </c>
      <c r="H229" s="288">
        <v>9242965</v>
      </c>
      <c r="I229" s="325">
        <v>1060582704001</v>
      </c>
      <c r="J229" s="288" t="s">
        <v>50</v>
      </c>
      <c r="K229" s="288"/>
      <c r="L229" s="281">
        <v>92540021</v>
      </c>
      <c r="M229" s="386" t="s">
        <v>616</v>
      </c>
    </row>
    <row r="230" spans="1:13" s="448" customFormat="1" x14ac:dyDescent="0.25">
      <c r="A230" s="328">
        <v>2557</v>
      </c>
      <c r="B230" s="446" t="s">
        <v>424</v>
      </c>
      <c r="C230" s="447"/>
      <c r="D230" s="330">
        <v>0.25</v>
      </c>
      <c r="E230" s="330">
        <f t="shared" si="13"/>
        <v>0</v>
      </c>
      <c r="F230" s="330"/>
      <c r="G230" s="330">
        <f t="shared" si="12"/>
        <v>0</v>
      </c>
      <c r="H230" s="333">
        <v>23718186</v>
      </c>
      <c r="I230" s="332" t="s">
        <v>423</v>
      </c>
      <c r="J230" s="333" t="s">
        <v>14</v>
      </c>
      <c r="K230" s="333"/>
      <c r="L230" s="328">
        <v>93242020</v>
      </c>
      <c r="M230" s="466"/>
    </row>
    <row r="231" spans="1:13" x14ac:dyDescent="0.25">
      <c r="A231" s="281">
        <v>2558</v>
      </c>
      <c r="B231" s="413" t="s">
        <v>422</v>
      </c>
      <c r="C231" s="412">
        <v>594.1</v>
      </c>
      <c r="D231" s="324">
        <v>0.25</v>
      </c>
      <c r="E231" s="324">
        <f t="shared" si="13"/>
        <v>148.52500000000001</v>
      </c>
      <c r="F231" s="324"/>
      <c r="G231" s="324">
        <f t="shared" si="12"/>
        <v>148.52500000000001</v>
      </c>
      <c r="H231" s="288">
        <v>1105496</v>
      </c>
      <c r="I231" s="325">
        <v>250020014491</v>
      </c>
      <c r="J231" s="288" t="s">
        <v>14</v>
      </c>
      <c r="K231" s="288"/>
      <c r="L231" s="281">
        <v>99480919</v>
      </c>
    </row>
    <row r="232" spans="1:13" x14ac:dyDescent="0.25">
      <c r="A232" s="281">
        <v>2559</v>
      </c>
      <c r="B232" s="413" t="s">
        <v>421</v>
      </c>
      <c r="C232" s="412">
        <v>596.1</v>
      </c>
      <c r="D232" s="324">
        <v>0.25</v>
      </c>
      <c r="E232" s="324">
        <f t="shared" si="13"/>
        <v>149.02500000000001</v>
      </c>
      <c r="F232" s="324"/>
      <c r="G232" s="324">
        <f t="shared" si="12"/>
        <v>149.02500000000001</v>
      </c>
      <c r="H232" s="288">
        <v>5128715</v>
      </c>
      <c r="I232" s="325" t="s">
        <v>420</v>
      </c>
      <c r="J232" s="288" t="s">
        <v>11</v>
      </c>
      <c r="K232" s="288"/>
      <c r="L232" s="281">
        <v>95257749</v>
      </c>
    </row>
    <row r="233" spans="1:13" s="312" customFormat="1" x14ac:dyDescent="0.25">
      <c r="A233" s="341">
        <v>2560</v>
      </c>
      <c r="B233" s="350" t="s">
        <v>419</v>
      </c>
      <c r="C233" s="424">
        <v>601.29999999999995</v>
      </c>
      <c r="D233" s="309">
        <v>0.25</v>
      </c>
      <c r="E233" s="309">
        <f t="shared" si="13"/>
        <v>150.32499999999999</v>
      </c>
      <c r="F233" s="309">
        <v>148.72499999999999</v>
      </c>
      <c r="G233" s="309">
        <f t="shared" si="12"/>
        <v>1.5999999999999943</v>
      </c>
      <c r="H233" s="342">
        <v>14436155</v>
      </c>
      <c r="I233" s="343" t="s">
        <v>418</v>
      </c>
      <c r="J233" s="342" t="s">
        <v>11</v>
      </c>
      <c r="K233" s="342"/>
      <c r="L233" s="341">
        <v>99557773</v>
      </c>
      <c r="M233" s="386" t="s">
        <v>616</v>
      </c>
    </row>
    <row r="234" spans="1:13" x14ac:dyDescent="0.25">
      <c r="A234" s="281">
        <v>2561</v>
      </c>
      <c r="B234" s="413" t="s">
        <v>417</v>
      </c>
      <c r="C234" s="412">
        <v>571.20000000000005</v>
      </c>
      <c r="D234" s="324">
        <v>0.25</v>
      </c>
      <c r="E234" s="324">
        <f t="shared" si="13"/>
        <v>142.80000000000001</v>
      </c>
      <c r="F234" s="324"/>
      <c r="G234" s="324">
        <f t="shared" si="12"/>
        <v>142.80000000000001</v>
      </c>
      <c r="H234" s="288">
        <v>18975018</v>
      </c>
      <c r="I234" s="325" t="s">
        <v>416</v>
      </c>
      <c r="J234" s="288" t="s">
        <v>11</v>
      </c>
      <c r="K234" s="288"/>
      <c r="L234" s="281">
        <v>99486864</v>
      </c>
    </row>
    <row r="235" spans="1:13" s="312" customFormat="1" x14ac:dyDescent="0.25">
      <c r="A235" s="341">
        <v>2562</v>
      </c>
      <c r="B235" s="350" t="s">
        <v>415</v>
      </c>
      <c r="C235" s="424">
        <v>503.7</v>
      </c>
      <c r="D235" s="309">
        <v>0.25</v>
      </c>
      <c r="E235" s="309">
        <f t="shared" si="13"/>
        <v>125.925</v>
      </c>
      <c r="F235" s="309">
        <v>125.45</v>
      </c>
      <c r="G235" s="309">
        <f t="shared" si="12"/>
        <v>0.47499999999999432</v>
      </c>
      <c r="H235" s="342">
        <v>7790465</v>
      </c>
      <c r="I235" s="343" t="s">
        <v>414</v>
      </c>
      <c r="J235" s="342" t="s">
        <v>11</v>
      </c>
      <c r="K235" s="342"/>
      <c r="L235" s="341">
        <v>98026664</v>
      </c>
      <c r="M235" s="386" t="s">
        <v>616</v>
      </c>
    </row>
    <row r="236" spans="1:13" s="312" customFormat="1" x14ac:dyDescent="0.25">
      <c r="A236" s="341">
        <v>2563</v>
      </c>
      <c r="B236" s="350" t="s">
        <v>413</v>
      </c>
      <c r="C236" s="424">
        <v>370.1</v>
      </c>
      <c r="D236" s="309">
        <v>0.25</v>
      </c>
      <c r="E236" s="309">
        <f t="shared" ref="E236:E267" si="14">C236*D236</f>
        <v>92.525000000000006</v>
      </c>
      <c r="F236" s="309">
        <v>88.4</v>
      </c>
      <c r="G236" s="309">
        <f t="shared" si="12"/>
        <v>4.125</v>
      </c>
      <c r="H236" s="342">
        <v>5744412</v>
      </c>
      <c r="I236" s="343" t="s">
        <v>412</v>
      </c>
      <c r="J236" s="342" t="s">
        <v>11</v>
      </c>
      <c r="K236" s="342"/>
      <c r="L236" s="341">
        <v>92566993</v>
      </c>
      <c r="M236" s="386" t="s">
        <v>619</v>
      </c>
    </row>
    <row r="237" spans="1:13" s="312" customFormat="1" x14ac:dyDescent="0.25">
      <c r="A237" s="341">
        <v>2564</v>
      </c>
      <c r="B237" s="350" t="s">
        <v>411</v>
      </c>
      <c r="C237" s="424">
        <v>501</v>
      </c>
      <c r="D237" s="309">
        <v>0.25</v>
      </c>
      <c r="E237" s="309">
        <f t="shared" si="14"/>
        <v>125.25</v>
      </c>
      <c r="F237" s="309">
        <v>123.75</v>
      </c>
      <c r="G237" s="309">
        <f t="shared" si="12"/>
        <v>1.5</v>
      </c>
      <c r="H237" s="342">
        <v>27272455</v>
      </c>
      <c r="I237" s="343" t="s">
        <v>410</v>
      </c>
      <c r="J237" s="342" t="s">
        <v>11</v>
      </c>
      <c r="K237" s="342"/>
      <c r="L237" s="341">
        <v>92315109</v>
      </c>
      <c r="M237" s="386" t="s">
        <v>621</v>
      </c>
    </row>
    <row r="238" spans="1:13" s="448" customFormat="1" x14ac:dyDescent="0.25">
      <c r="A238" s="328">
        <v>2565</v>
      </c>
      <c r="B238" s="446" t="s">
        <v>409</v>
      </c>
      <c r="C238" s="447"/>
      <c r="D238" s="330">
        <v>0.25</v>
      </c>
      <c r="E238" s="330">
        <f t="shared" si="14"/>
        <v>0</v>
      </c>
      <c r="F238" s="330"/>
      <c r="G238" s="330">
        <f t="shared" si="12"/>
        <v>0</v>
      </c>
      <c r="H238" s="333">
        <v>24900494</v>
      </c>
      <c r="I238" s="332" t="s">
        <v>408</v>
      </c>
      <c r="J238" s="333" t="s">
        <v>11</v>
      </c>
      <c r="K238" s="333"/>
      <c r="L238" s="328">
        <v>92219137</v>
      </c>
      <c r="M238" s="466"/>
    </row>
    <row r="239" spans="1:13" s="448" customFormat="1" x14ac:dyDescent="0.25">
      <c r="A239" s="328">
        <v>2566</v>
      </c>
      <c r="B239" s="446" t="s">
        <v>407</v>
      </c>
      <c r="C239" s="447"/>
      <c r="D239" s="330">
        <v>0.25</v>
      </c>
      <c r="E239" s="330">
        <f t="shared" si="14"/>
        <v>0</v>
      </c>
      <c r="F239" s="330"/>
      <c r="G239" s="330">
        <f t="shared" si="12"/>
        <v>0</v>
      </c>
      <c r="H239" s="333">
        <v>11652477</v>
      </c>
      <c r="I239" s="332" t="s">
        <v>406</v>
      </c>
      <c r="J239" s="333" t="s">
        <v>11</v>
      </c>
      <c r="K239" s="333"/>
      <c r="L239" s="328">
        <v>95606419</v>
      </c>
      <c r="M239" s="466"/>
    </row>
    <row r="240" spans="1:13" s="448" customFormat="1" x14ac:dyDescent="0.25">
      <c r="A240" s="328">
        <v>2567</v>
      </c>
      <c r="B240" s="446" t="s">
        <v>405</v>
      </c>
      <c r="C240" s="447"/>
      <c r="D240" s="330">
        <v>0.25</v>
      </c>
      <c r="E240" s="330">
        <f t="shared" si="14"/>
        <v>0</v>
      </c>
      <c r="F240" s="330"/>
      <c r="G240" s="330">
        <f t="shared" si="12"/>
        <v>0</v>
      </c>
      <c r="H240" s="333">
        <v>23716828</v>
      </c>
      <c r="I240" s="332" t="s">
        <v>404</v>
      </c>
      <c r="J240" s="333" t="s">
        <v>11</v>
      </c>
      <c r="K240" s="333"/>
      <c r="L240" s="328">
        <v>96117533</v>
      </c>
      <c r="M240" s="466"/>
    </row>
    <row r="241" spans="1:13" x14ac:dyDescent="0.25">
      <c r="A241" s="281">
        <v>2568</v>
      </c>
      <c r="B241" s="413" t="s">
        <v>403</v>
      </c>
      <c r="C241" s="412">
        <v>564.5</v>
      </c>
      <c r="D241" s="324">
        <v>0.25</v>
      </c>
      <c r="E241" s="324">
        <f t="shared" si="14"/>
        <v>141.125</v>
      </c>
      <c r="F241" s="324"/>
      <c r="G241" s="324">
        <f t="shared" si="12"/>
        <v>141.125</v>
      </c>
      <c r="H241" s="288">
        <v>817274</v>
      </c>
      <c r="I241" s="325" t="s">
        <v>402</v>
      </c>
      <c r="J241" s="288" t="s">
        <v>11</v>
      </c>
      <c r="K241" s="288"/>
      <c r="L241" s="281">
        <v>99495145</v>
      </c>
    </row>
    <row r="242" spans="1:13" x14ac:dyDescent="0.25">
      <c r="A242" s="281">
        <v>2569</v>
      </c>
      <c r="B242" s="413" t="s">
        <v>401</v>
      </c>
      <c r="C242" s="412">
        <v>602.5</v>
      </c>
      <c r="D242" s="324">
        <v>0.25</v>
      </c>
      <c r="E242" s="324">
        <f t="shared" si="14"/>
        <v>150.625</v>
      </c>
      <c r="F242" s="324"/>
      <c r="G242" s="324">
        <f t="shared" si="12"/>
        <v>150.625</v>
      </c>
      <c r="H242" s="288">
        <v>6079331</v>
      </c>
      <c r="I242" s="325" t="s">
        <v>400</v>
      </c>
      <c r="J242" s="288" t="s">
        <v>11</v>
      </c>
      <c r="K242" s="288"/>
      <c r="L242" s="281">
        <v>93337750</v>
      </c>
    </row>
    <row r="243" spans="1:13" s="312" customFormat="1" x14ac:dyDescent="0.25">
      <c r="A243" s="341">
        <v>2570</v>
      </c>
      <c r="B243" s="350" t="s">
        <v>399</v>
      </c>
      <c r="C243" s="424">
        <v>580.70000000000005</v>
      </c>
      <c r="D243" s="309">
        <v>0.25</v>
      </c>
      <c r="E243" s="309">
        <f t="shared" si="14"/>
        <v>145.17500000000001</v>
      </c>
      <c r="F243" s="309">
        <v>140.92500000000001</v>
      </c>
      <c r="G243" s="309">
        <f t="shared" si="12"/>
        <v>4.25</v>
      </c>
      <c r="H243" s="342">
        <v>5032113</v>
      </c>
      <c r="I243" s="343" t="s">
        <v>398</v>
      </c>
      <c r="J243" s="342" t="s">
        <v>11</v>
      </c>
      <c r="K243" s="342"/>
      <c r="L243" s="341">
        <v>93675225</v>
      </c>
      <c r="M243" s="386" t="s">
        <v>616</v>
      </c>
    </row>
    <row r="244" spans="1:13" x14ac:dyDescent="0.25">
      <c r="A244" s="281">
        <v>2571</v>
      </c>
      <c r="B244" s="413" t="s">
        <v>397</v>
      </c>
      <c r="C244" s="412">
        <v>592.20000000000005</v>
      </c>
      <c r="D244" s="324">
        <v>0.25</v>
      </c>
      <c r="E244" s="324">
        <f t="shared" si="14"/>
        <v>148.05000000000001</v>
      </c>
      <c r="F244" s="324"/>
      <c r="G244" s="324">
        <f t="shared" si="12"/>
        <v>148.05000000000001</v>
      </c>
      <c r="H244" s="288">
        <v>670478</v>
      </c>
      <c r="I244" s="325" t="s">
        <v>396</v>
      </c>
      <c r="J244" s="288" t="s">
        <v>11</v>
      </c>
      <c r="K244" s="288"/>
      <c r="L244" s="281">
        <v>92989511</v>
      </c>
    </row>
    <row r="245" spans="1:13" x14ac:dyDescent="0.25">
      <c r="A245" s="281">
        <v>2572</v>
      </c>
      <c r="B245" s="413" t="s">
        <v>395</v>
      </c>
      <c r="C245" s="412">
        <v>534.29999999999995</v>
      </c>
      <c r="D245" s="324">
        <v>0.25</v>
      </c>
      <c r="E245" s="324">
        <f t="shared" si="14"/>
        <v>133.57499999999999</v>
      </c>
      <c r="F245" s="324"/>
      <c r="G245" s="324">
        <f t="shared" si="12"/>
        <v>133.57499999999999</v>
      </c>
      <c r="H245" s="288">
        <v>660288</v>
      </c>
      <c r="I245" s="325" t="s">
        <v>394</v>
      </c>
      <c r="J245" s="288" t="s">
        <v>11</v>
      </c>
      <c r="K245" s="288"/>
      <c r="L245" s="281">
        <v>99494647</v>
      </c>
    </row>
    <row r="246" spans="1:13" x14ac:dyDescent="0.25">
      <c r="A246" s="281">
        <v>2573</v>
      </c>
      <c r="B246" s="413" t="s">
        <v>393</v>
      </c>
      <c r="C246" s="412">
        <v>565</v>
      </c>
      <c r="D246" s="324">
        <v>0.25</v>
      </c>
      <c r="E246" s="324">
        <f t="shared" si="14"/>
        <v>141.25</v>
      </c>
      <c r="F246" s="324"/>
      <c r="G246" s="324">
        <f t="shared" si="12"/>
        <v>141.25</v>
      </c>
      <c r="H246" s="288">
        <v>7885146</v>
      </c>
      <c r="I246" s="325" t="s">
        <v>392</v>
      </c>
      <c r="J246" s="288" t="s">
        <v>11</v>
      </c>
      <c r="K246" s="288"/>
      <c r="L246" s="281">
        <v>95103701</v>
      </c>
    </row>
    <row r="247" spans="1:13" x14ac:dyDescent="0.25">
      <c r="A247" s="281">
        <v>2574</v>
      </c>
      <c r="B247" s="413" t="s">
        <v>391</v>
      </c>
      <c r="C247" s="412">
        <v>593</v>
      </c>
      <c r="D247" s="324">
        <v>0.25</v>
      </c>
      <c r="E247" s="324">
        <f t="shared" si="14"/>
        <v>148.25</v>
      </c>
      <c r="F247" s="324"/>
      <c r="G247" s="324">
        <f t="shared" si="12"/>
        <v>148.25</v>
      </c>
      <c r="H247" s="288">
        <v>5586433</v>
      </c>
      <c r="I247" s="325" t="s">
        <v>390</v>
      </c>
      <c r="J247" s="288" t="s">
        <v>11</v>
      </c>
      <c r="K247" s="288"/>
      <c r="L247" s="281">
        <v>91199514</v>
      </c>
    </row>
    <row r="248" spans="1:13" s="448" customFormat="1" x14ac:dyDescent="0.25">
      <c r="A248" s="328">
        <v>2575</v>
      </c>
      <c r="B248" s="446" t="s">
        <v>389</v>
      </c>
      <c r="C248" s="447"/>
      <c r="D248" s="330">
        <v>0.25</v>
      </c>
      <c r="E248" s="330">
        <f t="shared" si="14"/>
        <v>0</v>
      </c>
      <c r="F248" s="330"/>
      <c r="G248" s="330">
        <f t="shared" si="12"/>
        <v>0</v>
      </c>
      <c r="H248" s="333">
        <v>7321541</v>
      </c>
      <c r="I248" s="332" t="s">
        <v>388</v>
      </c>
      <c r="J248" s="333" t="s">
        <v>11</v>
      </c>
      <c r="K248" s="333"/>
      <c r="L248" s="328">
        <v>99774726</v>
      </c>
      <c r="M248" s="466"/>
    </row>
    <row r="249" spans="1:13" s="448" customFormat="1" x14ac:dyDescent="0.25">
      <c r="A249" s="328">
        <v>2576</v>
      </c>
      <c r="B249" s="446" t="s">
        <v>387</v>
      </c>
      <c r="C249" s="447"/>
      <c r="D249" s="330">
        <v>0.25</v>
      </c>
      <c r="E249" s="330">
        <f t="shared" si="14"/>
        <v>0</v>
      </c>
      <c r="F249" s="330"/>
      <c r="G249" s="330">
        <f t="shared" si="12"/>
        <v>0</v>
      </c>
      <c r="H249" s="333">
        <v>13307977</v>
      </c>
      <c r="I249" s="332" t="s">
        <v>386</v>
      </c>
      <c r="J249" s="333" t="s">
        <v>11</v>
      </c>
      <c r="K249" s="333"/>
      <c r="L249" s="328">
        <v>99774726</v>
      </c>
      <c r="M249" s="466"/>
    </row>
    <row r="250" spans="1:13" s="312" customFormat="1" x14ac:dyDescent="0.25">
      <c r="A250" s="341">
        <v>2577</v>
      </c>
      <c r="B250" s="350" t="s">
        <v>385</v>
      </c>
      <c r="C250" s="424">
        <v>508.1</v>
      </c>
      <c r="D250" s="309">
        <v>0.25</v>
      </c>
      <c r="E250" s="309">
        <f t="shared" si="14"/>
        <v>127.02500000000001</v>
      </c>
      <c r="F250" s="309">
        <v>123.30000000000001</v>
      </c>
      <c r="G250" s="309">
        <f t="shared" si="12"/>
        <v>3.7249999999999943</v>
      </c>
      <c r="H250" s="342">
        <v>7756767</v>
      </c>
      <c r="I250" s="343" t="s">
        <v>384</v>
      </c>
      <c r="J250" s="342" t="s">
        <v>11</v>
      </c>
      <c r="K250" s="342"/>
      <c r="L250" s="341">
        <v>98895532</v>
      </c>
      <c r="M250" s="386" t="s">
        <v>616</v>
      </c>
    </row>
    <row r="251" spans="1:13" x14ac:dyDescent="0.25">
      <c r="A251" s="281">
        <v>2578</v>
      </c>
      <c r="B251" s="413" t="s">
        <v>383</v>
      </c>
      <c r="C251" s="412">
        <v>222.8</v>
      </c>
      <c r="D251" s="324">
        <v>0.25</v>
      </c>
      <c r="E251" s="324">
        <f t="shared" si="14"/>
        <v>55.7</v>
      </c>
      <c r="F251" s="324"/>
      <c r="G251" s="324">
        <f t="shared" si="12"/>
        <v>55.7</v>
      </c>
      <c r="H251" s="288">
        <v>1006702</v>
      </c>
      <c r="I251" s="325">
        <v>2500200115581</v>
      </c>
      <c r="J251" s="288" t="s">
        <v>15</v>
      </c>
      <c r="K251" s="288"/>
      <c r="L251" s="281">
        <v>96442944</v>
      </c>
    </row>
    <row r="252" spans="1:13" s="312" customFormat="1" x14ac:dyDescent="0.25">
      <c r="A252" s="341">
        <v>2579</v>
      </c>
      <c r="B252" s="350" t="s">
        <v>382</v>
      </c>
      <c r="C252" s="424">
        <v>422.6</v>
      </c>
      <c r="D252" s="309">
        <v>0.25</v>
      </c>
      <c r="E252" s="309">
        <f t="shared" si="14"/>
        <v>105.65</v>
      </c>
      <c r="F252" s="309">
        <v>105.4</v>
      </c>
      <c r="G252" s="309">
        <f t="shared" si="12"/>
        <v>0.25</v>
      </c>
      <c r="H252" s="342">
        <v>373386</v>
      </c>
      <c r="I252" s="343">
        <v>3109086634500</v>
      </c>
      <c r="J252" s="342" t="s">
        <v>81</v>
      </c>
      <c r="K252" s="342"/>
      <c r="L252" s="341">
        <v>92834411</v>
      </c>
      <c r="M252" s="386" t="s">
        <v>618</v>
      </c>
    </row>
    <row r="253" spans="1:13" s="312" customFormat="1" x14ac:dyDescent="0.25">
      <c r="A253" s="341">
        <v>2580</v>
      </c>
      <c r="B253" s="350" t="s">
        <v>381</v>
      </c>
      <c r="C253" s="424">
        <v>485</v>
      </c>
      <c r="D253" s="309">
        <v>0.25</v>
      </c>
      <c r="E253" s="309">
        <f t="shared" si="14"/>
        <v>121.25</v>
      </c>
      <c r="F253" s="309">
        <v>116.675</v>
      </c>
      <c r="G253" s="309">
        <f t="shared" si="12"/>
        <v>4.5750000000000028</v>
      </c>
      <c r="H253" s="342">
        <v>4345131</v>
      </c>
      <c r="I253" s="343" t="s">
        <v>380</v>
      </c>
      <c r="J253" s="342" t="s">
        <v>11</v>
      </c>
      <c r="K253" s="342"/>
      <c r="L253" s="341">
        <v>98895532</v>
      </c>
      <c r="M253" s="386" t="s">
        <v>616</v>
      </c>
    </row>
    <row r="254" spans="1:13" x14ac:dyDescent="0.25">
      <c r="A254" s="281">
        <f t="shared" ref="A254:A268" si="15">A253+1</f>
        <v>2581</v>
      </c>
      <c r="B254" s="413" t="s">
        <v>379</v>
      </c>
      <c r="C254" s="412">
        <v>577.1</v>
      </c>
      <c r="D254" s="324">
        <v>0.25</v>
      </c>
      <c r="E254" s="324">
        <f t="shared" si="14"/>
        <v>144.27500000000001</v>
      </c>
      <c r="F254" s="324"/>
      <c r="G254" s="324">
        <f t="shared" si="12"/>
        <v>144.27500000000001</v>
      </c>
      <c r="H254" s="288">
        <v>18827936</v>
      </c>
      <c r="I254" s="325" t="s">
        <v>378</v>
      </c>
      <c r="J254" s="288" t="s">
        <v>14</v>
      </c>
      <c r="K254" s="288"/>
      <c r="L254" s="281">
        <v>99693456</v>
      </c>
    </row>
    <row r="255" spans="1:13" s="448" customFormat="1" x14ac:dyDescent="0.25">
      <c r="A255" s="328">
        <f t="shared" si="15"/>
        <v>2582</v>
      </c>
      <c r="B255" s="446" t="s">
        <v>377</v>
      </c>
      <c r="C255" s="447"/>
      <c r="D255" s="330">
        <v>0.25</v>
      </c>
      <c r="E255" s="330">
        <f t="shared" si="14"/>
        <v>0</v>
      </c>
      <c r="F255" s="330"/>
      <c r="G255" s="330">
        <f t="shared" si="12"/>
        <v>0</v>
      </c>
      <c r="H255" s="333">
        <v>5827813</v>
      </c>
      <c r="I255" s="332" t="s">
        <v>376</v>
      </c>
      <c r="J255" s="333" t="s">
        <v>14</v>
      </c>
      <c r="K255" s="333"/>
      <c r="L255" s="328">
        <v>99180888</v>
      </c>
      <c r="M255" s="466"/>
    </row>
    <row r="256" spans="1:13" x14ac:dyDescent="0.25">
      <c r="A256" s="281">
        <f t="shared" si="15"/>
        <v>2583</v>
      </c>
      <c r="B256" s="413" t="s">
        <v>375</v>
      </c>
      <c r="C256" s="412">
        <v>600.20000000000005</v>
      </c>
      <c r="D256" s="324">
        <v>0.25</v>
      </c>
      <c r="E256" s="324">
        <f t="shared" si="14"/>
        <v>150.05000000000001</v>
      </c>
      <c r="F256" s="324"/>
      <c r="G256" s="324">
        <f t="shared" si="12"/>
        <v>150.05000000000001</v>
      </c>
      <c r="H256" s="288">
        <v>8344529</v>
      </c>
      <c r="I256" s="325" t="s">
        <v>374</v>
      </c>
      <c r="J256" s="288" t="s">
        <v>11</v>
      </c>
      <c r="K256" s="288"/>
      <c r="L256" s="281">
        <v>98977703</v>
      </c>
    </row>
    <row r="257" spans="1:13" x14ac:dyDescent="0.25">
      <c r="A257" s="281">
        <f t="shared" si="15"/>
        <v>2584</v>
      </c>
      <c r="B257" s="413" t="s">
        <v>373</v>
      </c>
      <c r="C257" s="412">
        <v>583.20000000000005</v>
      </c>
      <c r="D257" s="324">
        <v>0.25</v>
      </c>
      <c r="E257" s="324">
        <f t="shared" si="14"/>
        <v>145.80000000000001</v>
      </c>
      <c r="F257" s="324"/>
      <c r="G257" s="324">
        <f t="shared" si="12"/>
        <v>145.80000000000001</v>
      </c>
      <c r="H257" s="288">
        <v>21365246</v>
      </c>
      <c r="I257" s="325" t="s">
        <v>372</v>
      </c>
      <c r="J257" s="288" t="s">
        <v>11</v>
      </c>
      <c r="K257" s="288"/>
      <c r="L257" s="281">
        <v>92396040</v>
      </c>
    </row>
    <row r="258" spans="1:13" x14ac:dyDescent="0.25">
      <c r="A258" s="281">
        <f t="shared" si="15"/>
        <v>2585</v>
      </c>
      <c r="B258" s="413" t="s">
        <v>371</v>
      </c>
      <c r="C258" s="412">
        <v>619.5</v>
      </c>
      <c r="D258" s="324">
        <v>0.25</v>
      </c>
      <c r="E258" s="324">
        <f t="shared" si="14"/>
        <v>154.875</v>
      </c>
      <c r="F258" s="324"/>
      <c r="G258" s="324">
        <f t="shared" si="12"/>
        <v>154.875</v>
      </c>
      <c r="H258" s="288">
        <v>1361572</v>
      </c>
      <c r="I258" s="325" t="s">
        <v>370</v>
      </c>
      <c r="J258" s="288" t="s">
        <v>11</v>
      </c>
      <c r="K258" s="288"/>
      <c r="L258" s="281">
        <v>96143385</v>
      </c>
    </row>
    <row r="259" spans="1:13" s="312" customFormat="1" x14ac:dyDescent="0.25">
      <c r="A259" s="341">
        <f t="shared" si="15"/>
        <v>2586</v>
      </c>
      <c r="B259" s="350" t="s">
        <v>369</v>
      </c>
      <c r="C259" s="424">
        <v>621.20000000000005</v>
      </c>
      <c r="D259" s="309">
        <v>0.25</v>
      </c>
      <c r="E259" s="309">
        <f t="shared" si="14"/>
        <v>155.30000000000001</v>
      </c>
      <c r="F259" s="309">
        <v>152.59999999999997</v>
      </c>
      <c r="G259" s="309">
        <f t="shared" si="12"/>
        <v>2.7000000000000455</v>
      </c>
      <c r="H259" s="342">
        <v>12587499</v>
      </c>
      <c r="I259" s="343">
        <v>1060716020017</v>
      </c>
      <c r="J259" s="342" t="s">
        <v>50</v>
      </c>
      <c r="K259" s="342"/>
      <c r="L259" s="341">
        <v>92194564</v>
      </c>
      <c r="M259" s="386" t="s">
        <v>616</v>
      </c>
    </row>
    <row r="260" spans="1:13" x14ac:dyDescent="0.25">
      <c r="A260" s="281">
        <f t="shared" si="15"/>
        <v>2587</v>
      </c>
      <c r="B260" s="413" t="s">
        <v>368</v>
      </c>
      <c r="C260" s="412">
        <v>591.1</v>
      </c>
      <c r="D260" s="324">
        <v>0.25</v>
      </c>
      <c r="E260" s="324">
        <f t="shared" si="14"/>
        <v>147.77500000000001</v>
      </c>
      <c r="F260" s="324"/>
      <c r="G260" s="324">
        <f t="shared" si="12"/>
        <v>147.77500000000001</v>
      </c>
      <c r="H260" s="288">
        <v>27667399</v>
      </c>
      <c r="I260" s="325" t="s">
        <v>367</v>
      </c>
      <c r="J260" s="288" t="s">
        <v>11</v>
      </c>
      <c r="K260" s="288"/>
      <c r="L260" s="281">
        <v>93327116</v>
      </c>
    </row>
    <row r="261" spans="1:13" s="312" customFormat="1" x14ac:dyDescent="0.25">
      <c r="A261" s="341">
        <f t="shared" si="15"/>
        <v>2588</v>
      </c>
      <c r="B261" s="350" t="s">
        <v>366</v>
      </c>
      <c r="C261" s="424">
        <v>402.9</v>
      </c>
      <c r="D261" s="309">
        <v>0.25</v>
      </c>
      <c r="E261" s="309">
        <f t="shared" si="14"/>
        <v>100.72499999999999</v>
      </c>
      <c r="F261" s="309">
        <v>96.275000000000006</v>
      </c>
      <c r="G261" s="309">
        <f t="shared" ref="G261:G271" si="16">E261-F261</f>
        <v>4.4499999999999886</v>
      </c>
      <c r="H261" s="342">
        <v>5022012</v>
      </c>
      <c r="I261" s="343">
        <v>31292006511700</v>
      </c>
      <c r="J261" s="342" t="s">
        <v>50</v>
      </c>
      <c r="K261" s="342"/>
      <c r="L261" s="341">
        <v>93273434</v>
      </c>
      <c r="M261" s="386" t="s">
        <v>616</v>
      </c>
    </row>
    <row r="262" spans="1:13" x14ac:dyDescent="0.25">
      <c r="A262" s="281">
        <f t="shared" si="15"/>
        <v>2589</v>
      </c>
      <c r="B262" s="413" t="s">
        <v>218</v>
      </c>
      <c r="C262" s="412">
        <v>575.70000000000005</v>
      </c>
      <c r="D262" s="324">
        <v>0.25</v>
      </c>
      <c r="E262" s="324">
        <f t="shared" si="14"/>
        <v>143.92500000000001</v>
      </c>
      <c r="F262" s="324"/>
      <c r="G262" s="324">
        <f t="shared" si="16"/>
        <v>143.92500000000001</v>
      </c>
      <c r="H262" s="288">
        <v>24512658</v>
      </c>
      <c r="I262" s="325" t="s">
        <v>365</v>
      </c>
      <c r="J262" s="288" t="s">
        <v>14</v>
      </c>
      <c r="K262" s="288"/>
      <c r="L262" s="281">
        <v>93967172</v>
      </c>
    </row>
    <row r="263" spans="1:13" x14ac:dyDescent="0.25">
      <c r="A263" s="281">
        <f t="shared" si="15"/>
        <v>2590</v>
      </c>
      <c r="B263" s="413" t="s">
        <v>364</v>
      </c>
      <c r="C263" s="412">
        <v>565.5</v>
      </c>
      <c r="D263" s="324">
        <v>0.25</v>
      </c>
      <c r="E263" s="324">
        <f t="shared" si="14"/>
        <v>141.375</v>
      </c>
      <c r="F263" s="324"/>
      <c r="G263" s="324">
        <f t="shared" si="16"/>
        <v>141.375</v>
      </c>
      <c r="H263" s="288">
        <v>10613224</v>
      </c>
      <c r="I263" s="325">
        <v>70402005917501</v>
      </c>
      <c r="J263" s="288" t="s">
        <v>11</v>
      </c>
      <c r="K263" s="288"/>
      <c r="L263" s="281">
        <v>92528593</v>
      </c>
    </row>
    <row r="264" spans="1:13" x14ac:dyDescent="0.25">
      <c r="A264" s="281">
        <f t="shared" si="15"/>
        <v>2591</v>
      </c>
      <c r="B264" s="413" t="s">
        <v>363</v>
      </c>
      <c r="C264" s="412">
        <v>604.79999999999995</v>
      </c>
      <c r="D264" s="324">
        <v>0.25</v>
      </c>
      <c r="E264" s="324">
        <f t="shared" si="14"/>
        <v>151.19999999999999</v>
      </c>
      <c r="F264" s="324"/>
      <c r="G264" s="324">
        <f t="shared" si="16"/>
        <v>151.19999999999999</v>
      </c>
      <c r="H264" s="288">
        <v>13842333</v>
      </c>
      <c r="I264" s="325" t="s">
        <v>362</v>
      </c>
      <c r="J264" s="288" t="s">
        <v>11</v>
      </c>
      <c r="K264" s="288"/>
      <c r="L264" s="281">
        <v>92366628</v>
      </c>
    </row>
    <row r="265" spans="1:13" x14ac:dyDescent="0.25">
      <c r="A265" s="281">
        <f t="shared" si="15"/>
        <v>2592</v>
      </c>
      <c r="B265" s="413" t="s">
        <v>361</v>
      </c>
      <c r="C265" s="412">
        <v>577.70000000000005</v>
      </c>
      <c r="D265" s="324">
        <v>0.25</v>
      </c>
      <c r="E265" s="324">
        <f t="shared" si="14"/>
        <v>144.42500000000001</v>
      </c>
      <c r="F265" s="324"/>
      <c r="G265" s="324">
        <f t="shared" si="16"/>
        <v>144.42500000000001</v>
      </c>
      <c r="H265" s="288">
        <v>977263</v>
      </c>
      <c r="I265" s="325" t="s">
        <v>360</v>
      </c>
      <c r="J265" s="288" t="s">
        <v>11</v>
      </c>
      <c r="K265" s="288"/>
      <c r="L265" s="281">
        <v>99162100</v>
      </c>
    </row>
    <row r="266" spans="1:13" x14ac:dyDescent="0.25">
      <c r="A266" s="281">
        <f t="shared" si="15"/>
        <v>2593</v>
      </c>
      <c r="B266" s="413" t="s">
        <v>359</v>
      </c>
      <c r="C266" s="412">
        <v>512.4</v>
      </c>
      <c r="D266" s="324">
        <v>0.25</v>
      </c>
      <c r="E266" s="324">
        <f t="shared" si="14"/>
        <v>128.1</v>
      </c>
      <c r="F266" s="324"/>
      <c r="G266" s="324">
        <f t="shared" si="16"/>
        <v>128.1</v>
      </c>
      <c r="H266" s="288">
        <v>22642816</v>
      </c>
      <c r="I266" s="325" t="s">
        <v>358</v>
      </c>
      <c r="J266" s="288" t="s">
        <v>11</v>
      </c>
      <c r="K266" s="288"/>
      <c r="L266" s="281">
        <v>92626230</v>
      </c>
    </row>
    <row r="267" spans="1:13" s="312" customFormat="1" x14ac:dyDescent="0.25">
      <c r="A267" s="341">
        <f t="shared" si="15"/>
        <v>2594</v>
      </c>
      <c r="B267" s="350" t="s">
        <v>357</v>
      </c>
      <c r="C267" s="424">
        <v>549.1</v>
      </c>
      <c r="D267" s="309">
        <v>0.25</v>
      </c>
      <c r="E267" s="309">
        <f t="shared" si="14"/>
        <v>137.27500000000001</v>
      </c>
      <c r="F267" s="309">
        <v>119.49999999999999</v>
      </c>
      <c r="G267" s="309">
        <f t="shared" si="16"/>
        <v>17.77500000000002</v>
      </c>
      <c r="H267" s="342">
        <v>5679673</v>
      </c>
      <c r="I267" s="343" t="s">
        <v>356</v>
      </c>
      <c r="J267" s="342" t="s">
        <v>11</v>
      </c>
      <c r="K267" s="342"/>
      <c r="L267" s="341">
        <v>95606291</v>
      </c>
      <c r="M267" s="386" t="s">
        <v>616</v>
      </c>
    </row>
    <row r="268" spans="1:13" x14ac:dyDescent="0.25">
      <c r="A268" s="281">
        <f t="shared" si="15"/>
        <v>2595</v>
      </c>
      <c r="B268" s="413" t="s">
        <v>355</v>
      </c>
      <c r="C268" s="412">
        <v>570.70000000000005</v>
      </c>
      <c r="D268" s="324">
        <v>0.25</v>
      </c>
      <c r="E268" s="324">
        <f t="shared" ref="E268" si="17">C268*D268</f>
        <v>142.67500000000001</v>
      </c>
      <c r="F268" s="324"/>
      <c r="G268" s="324">
        <f t="shared" si="16"/>
        <v>142.67500000000001</v>
      </c>
      <c r="H268" s="288">
        <v>5128697</v>
      </c>
      <c r="I268" s="325" t="s">
        <v>354</v>
      </c>
      <c r="J268" s="288" t="s">
        <v>11</v>
      </c>
      <c r="K268" s="288"/>
      <c r="L268" s="281">
        <v>99695076</v>
      </c>
    </row>
    <row r="269" spans="1:13" s="448" customFormat="1" x14ac:dyDescent="0.25">
      <c r="A269" s="328">
        <v>2596</v>
      </c>
      <c r="B269" s="446" t="s">
        <v>593</v>
      </c>
      <c r="C269" s="447"/>
      <c r="D269" s="330">
        <v>0.25</v>
      </c>
      <c r="E269" s="330"/>
      <c r="F269" s="330"/>
      <c r="G269" s="330">
        <f t="shared" si="16"/>
        <v>0</v>
      </c>
      <c r="H269" s="333">
        <v>5750852</v>
      </c>
      <c r="I269" s="332" t="s">
        <v>592</v>
      </c>
      <c r="J269" s="333" t="s">
        <v>11</v>
      </c>
      <c r="K269" s="333"/>
      <c r="L269" s="328">
        <v>92559696</v>
      </c>
      <c r="M269" s="466"/>
    </row>
    <row r="270" spans="1:13" s="448" customFormat="1" x14ac:dyDescent="0.25">
      <c r="A270" s="328">
        <v>2597</v>
      </c>
      <c r="B270" s="446" t="s">
        <v>591</v>
      </c>
      <c r="C270" s="447"/>
      <c r="D270" s="330">
        <v>0.25</v>
      </c>
      <c r="E270" s="330"/>
      <c r="F270" s="330"/>
      <c r="G270" s="330">
        <f t="shared" si="16"/>
        <v>0</v>
      </c>
      <c r="H270" s="333">
        <v>6187926</v>
      </c>
      <c r="I270" s="332" t="s">
        <v>590</v>
      </c>
      <c r="J270" s="333" t="s">
        <v>11</v>
      </c>
      <c r="K270" s="333"/>
      <c r="L270" s="328">
        <v>99693494</v>
      </c>
      <c r="M270" s="466"/>
    </row>
    <row r="271" spans="1:13" x14ac:dyDescent="0.25">
      <c r="A271" s="281">
        <v>3166</v>
      </c>
      <c r="B271" s="413" t="s">
        <v>17</v>
      </c>
      <c r="C271" s="412">
        <v>3050.1</v>
      </c>
      <c r="D271" s="324">
        <v>0.25</v>
      </c>
      <c r="E271" s="324">
        <f>C271*D271</f>
        <v>762.52499999999998</v>
      </c>
      <c r="F271" s="324"/>
      <c r="G271" s="324">
        <f t="shared" si="16"/>
        <v>762.52499999999998</v>
      </c>
      <c r="H271" s="288">
        <v>6381786</v>
      </c>
      <c r="I271" s="325" t="s">
        <v>291</v>
      </c>
      <c r="J271" s="288" t="s">
        <v>18</v>
      </c>
      <c r="K271" s="288" t="s">
        <v>47</v>
      </c>
      <c r="L271" s="281">
        <v>92224863</v>
      </c>
    </row>
    <row r="272" spans="1:13" x14ac:dyDescent="0.25">
      <c r="A272" s="157"/>
      <c r="B272" s="158" t="s">
        <v>302</v>
      </c>
      <c r="C272" s="420">
        <f>SUM(C5:C271)</f>
        <v>245443.03000000017</v>
      </c>
      <c r="D272" s="320" t="s">
        <v>303</v>
      </c>
      <c r="E272" s="421">
        <f>SUM(E5:E271)</f>
        <v>61360.757500000043</v>
      </c>
      <c r="F272" s="421">
        <f t="shared" ref="F272:G272" si="18">SUM(F5:F271)</f>
        <v>22588.993999999999</v>
      </c>
      <c r="G272" s="421">
        <f t="shared" si="18"/>
        <v>38771.763499999994</v>
      </c>
      <c r="H272" s="156"/>
      <c r="I272" s="422"/>
      <c r="J272" s="157"/>
      <c r="K272" s="157"/>
      <c r="L272" s="317"/>
    </row>
    <row r="277" spans="3:3" x14ac:dyDescent="0.25">
      <c r="C277" s="423">
        <f>C272*0.25</f>
        <v>61360.757500000043</v>
      </c>
    </row>
  </sheetData>
  <phoneticPr fontId="17" type="noConversion"/>
  <conditionalFormatting sqref="I9">
    <cfRule type="duplicateValues" dxfId="41" priority="3"/>
  </conditionalFormatting>
  <conditionalFormatting sqref="I21">
    <cfRule type="duplicateValues" dxfId="40" priority="9"/>
  </conditionalFormatting>
  <conditionalFormatting sqref="I61">
    <cfRule type="duplicateValues" dxfId="39" priority="2"/>
  </conditionalFormatting>
  <conditionalFormatting sqref="I71">
    <cfRule type="duplicateValues" dxfId="38" priority="11"/>
  </conditionalFormatting>
  <conditionalFormatting sqref="I93">
    <cfRule type="duplicateValues" dxfId="37" priority="12"/>
  </conditionalFormatting>
  <conditionalFormatting sqref="I105">
    <cfRule type="duplicateValues" dxfId="36" priority="8"/>
  </conditionalFormatting>
  <conditionalFormatting sqref="I106">
    <cfRule type="duplicateValues" dxfId="35" priority="10"/>
  </conditionalFormatting>
  <conditionalFormatting sqref="I109:I116 I94:I104 I107 I72:I92 I65:I70 I4 I22:I60 I124 I10:I20 I62:I63 I118:I122 I6:I8 I133:I272">
    <cfRule type="duplicateValues" dxfId="34" priority="14"/>
  </conditionalFormatting>
  <conditionalFormatting sqref="I117">
    <cfRule type="duplicateValues" dxfId="33" priority="1"/>
  </conditionalFormatting>
  <conditionalFormatting sqref="I123">
    <cfRule type="duplicateValues" dxfId="32" priority="7"/>
  </conditionalFormatting>
  <conditionalFormatting sqref="I126">
    <cfRule type="duplicateValues" dxfId="31" priority="6"/>
  </conditionalFormatting>
  <conditionalFormatting sqref="I127:I130 I132">
    <cfRule type="duplicateValues" dxfId="30" priority="5"/>
  </conditionalFormatting>
  <conditionalFormatting sqref="I131">
    <cfRule type="duplicateValues" dxfId="29" priority="4"/>
  </conditionalFormatting>
  <conditionalFormatting sqref="J5">
    <cfRule type="duplicateValues" dxfId="28" priority="13"/>
  </conditionalFormatting>
  <pageMargins left="0.7" right="0.7" top="0.75" bottom="0.75" header="0.3" footer="0.3"/>
  <pageSetup paperSize="9"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953E-ADF8-45AC-AA6E-714FEF2C6212}">
  <dimension ref="A2:DG279"/>
  <sheetViews>
    <sheetView view="pageBreakPreview" topLeftCell="A138" zoomScale="93" zoomScaleNormal="100" zoomScaleSheetLayoutView="93" workbookViewId="0">
      <selection activeCell="G4" sqref="G4"/>
    </sheetView>
  </sheetViews>
  <sheetFormatPr defaultColWidth="9.140625" defaultRowHeight="15" x14ac:dyDescent="0.25"/>
  <cols>
    <col min="1" max="1" width="141.5703125" style="1" bestFit="1" customWidth="1"/>
    <col min="2" max="2" width="45.5703125" style="1" bestFit="1" customWidth="1"/>
    <col min="3" max="3" width="18.7109375" style="150" bestFit="1" customWidth="1"/>
    <col min="4" max="4" width="7" style="1" bestFit="1" customWidth="1"/>
    <col min="5" max="5" width="22.5703125" style="1" bestFit="1" customWidth="1"/>
    <col min="6" max="7" width="22.5703125" style="1" customWidth="1"/>
    <col min="8" max="8" width="14.28515625" style="1" bestFit="1" customWidth="1"/>
    <col min="9" max="9" width="18.7109375" style="1" customWidth="1"/>
    <col min="10" max="10" width="17" style="1" customWidth="1"/>
    <col min="11" max="11" width="14.85546875" style="1" customWidth="1"/>
    <col min="12" max="12" width="10" style="1" customWidth="1"/>
    <col min="13" max="13" width="12.140625" style="1" customWidth="1"/>
    <col min="14" max="16384" width="9.140625" style="1"/>
  </cols>
  <sheetData>
    <row r="2" spans="1:111" ht="28.5" x14ac:dyDescent="0.25">
      <c r="A2" s="478" t="s">
        <v>612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11" x14ac:dyDescent="0.25">
      <c r="A3" s="39"/>
      <c r="B3" s="39"/>
      <c r="C3" s="436"/>
      <c r="D3" s="39"/>
      <c r="E3" s="39"/>
      <c r="F3" s="39"/>
      <c r="G3" s="39"/>
      <c r="H3" s="39"/>
      <c r="I3" s="39"/>
      <c r="J3" s="39"/>
      <c r="K3" s="39"/>
      <c r="L3" s="39"/>
    </row>
    <row r="4" spans="1:111" x14ac:dyDescent="0.25">
      <c r="A4" s="373" t="s">
        <v>2</v>
      </c>
      <c r="B4" s="373" t="s">
        <v>3</v>
      </c>
      <c r="C4" s="437" t="s">
        <v>4</v>
      </c>
      <c r="D4" s="370" t="s">
        <v>5</v>
      </c>
      <c r="E4" s="372" t="s">
        <v>6</v>
      </c>
      <c r="F4" s="372"/>
      <c r="G4" s="372" t="s">
        <v>346</v>
      </c>
      <c r="H4" s="370" t="s">
        <v>7</v>
      </c>
      <c r="I4" s="371" t="s">
        <v>8</v>
      </c>
      <c r="J4" s="370" t="s">
        <v>9</v>
      </c>
      <c r="K4" s="370"/>
      <c r="L4" s="370" t="s">
        <v>322</v>
      </c>
    </row>
    <row r="5" spans="1:111" s="69" customFormat="1" ht="14.45" customHeight="1" x14ac:dyDescent="0.25">
      <c r="A5" s="67">
        <v>2015</v>
      </c>
      <c r="B5" s="361" t="s">
        <v>573</v>
      </c>
      <c r="C5" s="403">
        <v>208</v>
      </c>
      <c r="D5" s="210">
        <v>0.25</v>
      </c>
      <c r="E5" s="210">
        <f t="shared" ref="E5:E69" si="0">C5*D5</f>
        <v>52</v>
      </c>
      <c r="F5" s="210">
        <f>0.75</f>
        <v>0.75</v>
      </c>
      <c r="G5" s="210">
        <f>E5-F5</f>
        <v>51.25</v>
      </c>
      <c r="H5" s="106">
        <v>2027246</v>
      </c>
      <c r="I5" s="66" t="s">
        <v>572</v>
      </c>
      <c r="J5" s="107" t="s">
        <v>154</v>
      </c>
      <c r="K5" s="67"/>
      <c r="L5" s="66">
        <v>99292240</v>
      </c>
      <c r="M5" s="472">
        <v>45942</v>
      </c>
      <c r="N5" s="47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</row>
    <row r="6" spans="1:111" x14ac:dyDescent="0.25">
      <c r="A6" s="13">
        <v>2022</v>
      </c>
      <c r="B6" s="46" t="s">
        <v>45</v>
      </c>
      <c r="C6" s="393">
        <v>432.5</v>
      </c>
      <c r="D6" s="187">
        <v>0.25</v>
      </c>
      <c r="E6" s="187">
        <f t="shared" si="0"/>
        <v>108.125</v>
      </c>
      <c r="F6" s="187"/>
      <c r="G6" s="187">
        <f t="shared" ref="G6:G69" si="1">E6-F6</f>
        <v>108.125</v>
      </c>
      <c r="H6" s="88">
        <v>8542496</v>
      </c>
      <c r="I6" s="89" t="s">
        <v>46</v>
      </c>
      <c r="J6" s="90" t="s">
        <v>11</v>
      </c>
      <c r="K6" s="90" t="s">
        <v>47</v>
      </c>
      <c r="L6" s="14">
        <v>99198330</v>
      </c>
    </row>
    <row r="7" spans="1:111" x14ac:dyDescent="0.25">
      <c r="A7" s="13">
        <v>2023</v>
      </c>
      <c r="B7" s="438" t="s">
        <v>571</v>
      </c>
      <c r="C7" s="393">
        <v>496</v>
      </c>
      <c r="D7" s="187">
        <v>0.25</v>
      </c>
      <c r="E7" s="187">
        <f t="shared" si="0"/>
        <v>124</v>
      </c>
      <c r="F7" s="187"/>
      <c r="G7" s="187">
        <f t="shared" si="1"/>
        <v>124</v>
      </c>
      <c r="H7" s="90">
        <v>5586433</v>
      </c>
      <c r="I7" s="89" t="s">
        <v>390</v>
      </c>
      <c r="J7" s="90" t="s">
        <v>11</v>
      </c>
      <c r="K7" s="90"/>
      <c r="L7" s="13">
        <v>91199514</v>
      </c>
    </row>
    <row r="8" spans="1:111" x14ac:dyDescent="0.25">
      <c r="A8" s="13">
        <v>2026</v>
      </c>
      <c r="B8" s="18" t="s">
        <v>48</v>
      </c>
      <c r="C8" s="393">
        <v>520.9</v>
      </c>
      <c r="D8" s="187">
        <v>0.25</v>
      </c>
      <c r="E8" s="187">
        <f t="shared" si="0"/>
        <v>130.22499999999999</v>
      </c>
      <c r="F8" s="187"/>
      <c r="G8" s="187">
        <f t="shared" si="1"/>
        <v>130.22499999999999</v>
      </c>
      <c r="H8" s="88">
        <v>5352667</v>
      </c>
      <c r="I8" s="89" t="s">
        <v>49</v>
      </c>
      <c r="J8" s="90" t="s">
        <v>50</v>
      </c>
      <c r="K8" s="90" t="s">
        <v>51</v>
      </c>
      <c r="L8" s="14">
        <v>96669695</v>
      </c>
    </row>
    <row r="9" spans="1:111" x14ac:dyDescent="0.25">
      <c r="A9" s="13">
        <v>2027</v>
      </c>
      <c r="B9" s="18" t="s">
        <v>52</v>
      </c>
      <c r="C9" s="393">
        <v>297.60000000000002</v>
      </c>
      <c r="D9" s="187">
        <v>0.25</v>
      </c>
      <c r="E9" s="187">
        <f t="shared" si="0"/>
        <v>74.400000000000006</v>
      </c>
      <c r="F9" s="187"/>
      <c r="G9" s="187">
        <f t="shared" si="1"/>
        <v>74.400000000000006</v>
      </c>
      <c r="H9" s="88">
        <v>19187402</v>
      </c>
      <c r="I9" s="89" t="s">
        <v>53</v>
      </c>
      <c r="J9" s="90" t="s">
        <v>11</v>
      </c>
      <c r="K9" s="90" t="s">
        <v>47</v>
      </c>
      <c r="L9" s="14">
        <v>99198330</v>
      </c>
    </row>
    <row r="10" spans="1:111" x14ac:dyDescent="0.25">
      <c r="A10" s="13">
        <v>2033</v>
      </c>
      <c r="B10" s="18" t="s">
        <v>19</v>
      </c>
      <c r="C10" s="393">
        <v>1016.4</v>
      </c>
      <c r="D10" s="187">
        <v>0.25</v>
      </c>
      <c r="E10" s="187">
        <f t="shared" si="0"/>
        <v>254.1</v>
      </c>
      <c r="F10" s="187"/>
      <c r="G10" s="187">
        <f t="shared" si="1"/>
        <v>254.1</v>
      </c>
      <c r="H10" s="88">
        <v>1290824</v>
      </c>
      <c r="I10" s="89" t="s">
        <v>54</v>
      </c>
      <c r="J10" s="90" t="s">
        <v>14</v>
      </c>
      <c r="K10" s="90" t="s">
        <v>55</v>
      </c>
      <c r="L10" s="14">
        <v>97064018</v>
      </c>
    </row>
    <row r="11" spans="1:111" x14ac:dyDescent="0.25">
      <c r="A11" s="13">
        <v>2036</v>
      </c>
      <c r="B11" s="18" t="s">
        <v>56</v>
      </c>
      <c r="C11" s="393">
        <v>355.2</v>
      </c>
      <c r="D11" s="187">
        <v>0.25</v>
      </c>
      <c r="E11" s="187">
        <f t="shared" si="0"/>
        <v>88.8</v>
      </c>
      <c r="F11" s="187"/>
      <c r="G11" s="187">
        <f t="shared" si="1"/>
        <v>88.8</v>
      </c>
      <c r="H11" s="88">
        <v>8201282</v>
      </c>
      <c r="I11" s="89" t="s">
        <v>57</v>
      </c>
      <c r="J11" s="90" t="s">
        <v>14</v>
      </c>
      <c r="K11" s="90" t="s">
        <v>55</v>
      </c>
      <c r="L11" s="14">
        <v>91425474</v>
      </c>
    </row>
    <row r="12" spans="1:111" x14ac:dyDescent="0.25">
      <c r="A12" s="13">
        <v>2051</v>
      </c>
      <c r="B12" s="18" t="s">
        <v>58</v>
      </c>
      <c r="C12" s="393">
        <v>959.7</v>
      </c>
      <c r="D12" s="187">
        <v>0.25</v>
      </c>
      <c r="E12" s="187">
        <f t="shared" si="0"/>
        <v>239.92500000000001</v>
      </c>
      <c r="F12" s="187"/>
      <c r="G12" s="187">
        <f t="shared" si="1"/>
        <v>239.92500000000001</v>
      </c>
      <c r="H12" s="88">
        <v>575519</v>
      </c>
      <c r="I12" s="89" t="s">
        <v>59</v>
      </c>
      <c r="J12" s="90" t="s">
        <v>14</v>
      </c>
      <c r="K12" s="90" t="s">
        <v>55</v>
      </c>
      <c r="L12" s="13">
        <v>99486262</v>
      </c>
    </row>
    <row r="13" spans="1:111" x14ac:dyDescent="0.25">
      <c r="A13" s="13">
        <v>2058</v>
      </c>
      <c r="B13" s="18" t="s">
        <v>597</v>
      </c>
      <c r="C13" s="393">
        <v>452.4</v>
      </c>
      <c r="D13" s="187">
        <v>0.25</v>
      </c>
      <c r="E13" s="187">
        <f t="shared" si="0"/>
        <v>113.1</v>
      </c>
      <c r="F13" s="187"/>
      <c r="G13" s="187">
        <f t="shared" si="1"/>
        <v>113.1</v>
      </c>
      <c r="H13" s="88"/>
      <c r="I13" s="89"/>
      <c r="J13" s="90"/>
      <c r="K13" s="90"/>
      <c r="L13" s="13"/>
    </row>
    <row r="14" spans="1:111" x14ac:dyDescent="0.25">
      <c r="A14" s="13">
        <v>2095</v>
      </c>
      <c r="B14" s="18" t="s">
        <v>20</v>
      </c>
      <c r="C14" s="393">
        <v>1414.7</v>
      </c>
      <c r="D14" s="187">
        <v>0.25</v>
      </c>
      <c r="E14" s="187">
        <f t="shared" si="0"/>
        <v>353.67500000000001</v>
      </c>
      <c r="F14" s="187"/>
      <c r="G14" s="187">
        <f t="shared" si="1"/>
        <v>353.67500000000001</v>
      </c>
      <c r="H14" s="88">
        <v>26224</v>
      </c>
      <c r="I14" s="89" t="s">
        <v>60</v>
      </c>
      <c r="J14" s="90" t="s">
        <v>14</v>
      </c>
      <c r="K14" s="90" t="s">
        <v>55</v>
      </c>
      <c r="L14" s="14">
        <v>96177155</v>
      </c>
    </row>
    <row r="15" spans="1:111" x14ac:dyDescent="0.25">
      <c r="A15" s="13">
        <v>2097</v>
      </c>
      <c r="B15" s="18" t="s">
        <v>61</v>
      </c>
      <c r="C15" s="393">
        <v>521.9</v>
      </c>
      <c r="D15" s="187">
        <v>0.25</v>
      </c>
      <c r="E15" s="187">
        <f t="shared" si="0"/>
        <v>130.47499999999999</v>
      </c>
      <c r="F15" s="187"/>
      <c r="G15" s="187">
        <f t="shared" si="1"/>
        <v>130.47499999999999</v>
      </c>
      <c r="H15" s="88">
        <v>677206</v>
      </c>
      <c r="I15" s="89" t="s">
        <v>62</v>
      </c>
      <c r="J15" s="90" t="s">
        <v>50</v>
      </c>
      <c r="K15" s="90" t="s">
        <v>51</v>
      </c>
      <c r="L15" s="14">
        <v>99083310</v>
      </c>
    </row>
    <row r="16" spans="1:111" x14ac:dyDescent="0.25">
      <c r="A16" s="449">
        <v>2098</v>
      </c>
      <c r="B16" s="456" t="s">
        <v>63</v>
      </c>
      <c r="C16" s="451"/>
      <c r="D16" s="452">
        <v>0.25</v>
      </c>
      <c r="E16" s="452">
        <f t="shared" si="0"/>
        <v>0</v>
      </c>
      <c r="F16" s="452"/>
      <c r="G16" s="452">
        <f t="shared" si="1"/>
        <v>0</v>
      </c>
      <c r="H16" s="457">
        <v>1065899</v>
      </c>
      <c r="I16" s="89" t="s">
        <v>64</v>
      </c>
      <c r="J16" s="90" t="s">
        <v>11</v>
      </c>
      <c r="K16" s="90" t="s">
        <v>47</v>
      </c>
      <c r="L16" s="18"/>
    </row>
    <row r="17" spans="1:12" x14ac:dyDescent="0.25">
      <c r="A17" s="13">
        <v>2100</v>
      </c>
      <c r="B17" s="18" t="s">
        <v>65</v>
      </c>
      <c r="C17" s="393">
        <v>1084</v>
      </c>
      <c r="D17" s="187">
        <v>0.25</v>
      </c>
      <c r="E17" s="187">
        <f t="shared" si="0"/>
        <v>271</v>
      </c>
      <c r="F17" s="187"/>
      <c r="G17" s="187">
        <f t="shared" si="1"/>
        <v>271</v>
      </c>
      <c r="H17" s="88">
        <v>5550806</v>
      </c>
      <c r="I17" s="89" t="s">
        <v>66</v>
      </c>
      <c r="J17" s="90" t="s">
        <v>15</v>
      </c>
      <c r="K17" s="90" t="s">
        <v>67</v>
      </c>
      <c r="L17" s="14">
        <v>95614480</v>
      </c>
    </row>
    <row r="18" spans="1:12" x14ac:dyDescent="0.25">
      <c r="A18" s="13">
        <v>2101</v>
      </c>
      <c r="B18" s="18" t="s">
        <v>68</v>
      </c>
      <c r="C18" s="393">
        <v>542</v>
      </c>
      <c r="D18" s="187">
        <v>0.25</v>
      </c>
      <c r="E18" s="187">
        <f t="shared" si="0"/>
        <v>135.5</v>
      </c>
      <c r="F18" s="187"/>
      <c r="G18" s="187">
        <f t="shared" si="1"/>
        <v>135.5</v>
      </c>
      <c r="H18" s="90">
        <v>1145267</v>
      </c>
      <c r="I18" s="89" t="s">
        <v>69</v>
      </c>
      <c r="J18" s="90" t="s">
        <v>18</v>
      </c>
      <c r="K18" s="90" t="s">
        <v>47</v>
      </c>
      <c r="L18" s="13">
        <v>99287071</v>
      </c>
    </row>
    <row r="19" spans="1:12" x14ac:dyDescent="0.25">
      <c r="A19" s="13">
        <v>2112</v>
      </c>
      <c r="B19" s="18" t="s">
        <v>71</v>
      </c>
      <c r="C19" s="393">
        <v>1136.3</v>
      </c>
      <c r="D19" s="187">
        <v>0.25</v>
      </c>
      <c r="E19" s="187">
        <f t="shared" si="0"/>
        <v>284.07499999999999</v>
      </c>
      <c r="F19" s="187"/>
      <c r="G19" s="187">
        <f t="shared" si="1"/>
        <v>284.07499999999999</v>
      </c>
      <c r="H19" s="88">
        <v>11412524</v>
      </c>
      <c r="I19" s="89" t="s">
        <v>72</v>
      </c>
      <c r="J19" s="90" t="s">
        <v>11</v>
      </c>
      <c r="K19" s="90" t="s">
        <v>47</v>
      </c>
      <c r="L19" s="14">
        <v>93337934</v>
      </c>
    </row>
    <row r="20" spans="1:12" x14ac:dyDescent="0.25">
      <c r="A20" s="13">
        <v>2120</v>
      </c>
      <c r="B20" s="18" t="s">
        <v>73</v>
      </c>
      <c r="C20" s="393">
        <v>526.29999999999995</v>
      </c>
      <c r="D20" s="187">
        <v>0.25</v>
      </c>
      <c r="E20" s="187">
        <f t="shared" si="0"/>
        <v>131.57499999999999</v>
      </c>
      <c r="F20" s="187"/>
      <c r="G20" s="187">
        <f t="shared" si="1"/>
        <v>131.57499999999999</v>
      </c>
      <c r="H20" s="88">
        <v>1298606</v>
      </c>
      <c r="I20" s="89" t="s">
        <v>74</v>
      </c>
      <c r="J20" s="90" t="s">
        <v>11</v>
      </c>
      <c r="K20" s="90" t="s">
        <v>47</v>
      </c>
      <c r="L20" s="14">
        <v>97064018</v>
      </c>
    </row>
    <row r="21" spans="1:12" x14ac:dyDescent="0.25">
      <c r="A21" s="13">
        <v>2125</v>
      </c>
      <c r="B21" s="439" t="s">
        <v>75</v>
      </c>
      <c r="C21" s="393">
        <v>793</v>
      </c>
      <c r="D21" s="187">
        <v>0.25</v>
      </c>
      <c r="E21" s="187">
        <f t="shared" si="0"/>
        <v>198.25</v>
      </c>
      <c r="F21" s="187"/>
      <c r="G21" s="187">
        <f t="shared" si="1"/>
        <v>198.25</v>
      </c>
      <c r="H21" s="90">
        <v>6539352</v>
      </c>
      <c r="I21" s="89" t="s">
        <v>76</v>
      </c>
      <c r="J21" s="90" t="s">
        <v>18</v>
      </c>
      <c r="K21" s="90" t="s">
        <v>47</v>
      </c>
      <c r="L21" s="13">
        <v>91307575</v>
      </c>
    </row>
    <row r="22" spans="1:12" x14ac:dyDescent="0.25">
      <c r="A22" s="13">
        <v>2128</v>
      </c>
      <c r="B22" s="18" t="s">
        <v>77</v>
      </c>
      <c r="C22" s="393">
        <v>939.3</v>
      </c>
      <c r="D22" s="187">
        <v>0.25</v>
      </c>
      <c r="E22" s="187">
        <f t="shared" si="0"/>
        <v>234.82499999999999</v>
      </c>
      <c r="F22" s="187"/>
      <c r="G22" s="187">
        <f t="shared" si="1"/>
        <v>234.82499999999999</v>
      </c>
      <c r="H22" s="88">
        <v>4648259</v>
      </c>
      <c r="I22" s="89" t="s">
        <v>78</v>
      </c>
      <c r="J22" s="90" t="s">
        <v>11</v>
      </c>
      <c r="K22" s="90" t="s">
        <v>47</v>
      </c>
      <c r="L22" s="14">
        <v>99492747</v>
      </c>
    </row>
    <row r="23" spans="1:12" x14ac:dyDescent="0.25">
      <c r="A23" s="13">
        <v>2137</v>
      </c>
      <c r="B23" s="18" t="s">
        <v>79</v>
      </c>
      <c r="C23" s="393">
        <v>505.4</v>
      </c>
      <c r="D23" s="187">
        <v>0.25</v>
      </c>
      <c r="E23" s="187">
        <f t="shared" si="0"/>
        <v>126.35</v>
      </c>
      <c r="F23" s="187"/>
      <c r="G23" s="187">
        <f t="shared" si="1"/>
        <v>126.35</v>
      </c>
      <c r="H23" s="88">
        <v>10285189</v>
      </c>
      <c r="I23" s="89" t="s">
        <v>80</v>
      </c>
      <c r="J23" s="90" t="s">
        <v>81</v>
      </c>
      <c r="K23" s="90" t="s">
        <v>82</v>
      </c>
      <c r="L23" s="14">
        <v>91160451</v>
      </c>
    </row>
    <row r="24" spans="1:12" x14ac:dyDescent="0.25">
      <c r="A24" s="13">
        <v>2144</v>
      </c>
      <c r="B24" s="18" t="s">
        <v>83</v>
      </c>
      <c r="C24" s="393">
        <v>2199.1999999999998</v>
      </c>
      <c r="D24" s="187">
        <v>0.25</v>
      </c>
      <c r="E24" s="187">
        <f t="shared" si="0"/>
        <v>549.79999999999995</v>
      </c>
      <c r="F24" s="187"/>
      <c r="G24" s="187">
        <f t="shared" si="1"/>
        <v>549.79999999999995</v>
      </c>
      <c r="H24" s="88">
        <v>532494</v>
      </c>
      <c r="I24" s="89" t="s">
        <v>84</v>
      </c>
      <c r="J24" s="90" t="s">
        <v>11</v>
      </c>
      <c r="K24" s="90" t="s">
        <v>47</v>
      </c>
      <c r="L24" s="14">
        <v>92251158</v>
      </c>
    </row>
    <row r="25" spans="1:12" x14ac:dyDescent="0.25">
      <c r="A25" s="13">
        <v>2148</v>
      </c>
      <c r="B25" s="18" t="s">
        <v>85</v>
      </c>
      <c r="C25" s="393">
        <v>2467.3000000000002</v>
      </c>
      <c r="D25" s="187">
        <v>0.25</v>
      </c>
      <c r="E25" s="187">
        <f t="shared" si="0"/>
        <v>616.82500000000005</v>
      </c>
      <c r="F25" s="187"/>
      <c r="G25" s="187">
        <f t="shared" si="1"/>
        <v>616.82500000000005</v>
      </c>
      <c r="H25" s="88">
        <v>6466788</v>
      </c>
      <c r="I25" s="89" t="s">
        <v>86</v>
      </c>
      <c r="J25" s="90" t="s">
        <v>50</v>
      </c>
      <c r="K25" s="90" t="s">
        <v>51</v>
      </c>
      <c r="L25" s="14">
        <v>99011887</v>
      </c>
    </row>
    <row r="26" spans="1:12" x14ac:dyDescent="0.25">
      <c r="A26" s="13">
        <v>2150</v>
      </c>
      <c r="B26" s="18" t="s">
        <v>30</v>
      </c>
      <c r="C26" s="393">
        <v>5157.7</v>
      </c>
      <c r="D26" s="187">
        <v>0.25</v>
      </c>
      <c r="E26" s="187">
        <f t="shared" si="0"/>
        <v>1289.425</v>
      </c>
      <c r="F26" s="187"/>
      <c r="G26" s="187">
        <f t="shared" si="1"/>
        <v>1289.425</v>
      </c>
      <c r="H26" s="88">
        <v>6657734</v>
      </c>
      <c r="I26" s="89" t="s">
        <v>87</v>
      </c>
      <c r="J26" s="90" t="s">
        <v>11</v>
      </c>
      <c r="K26" s="90" t="s">
        <v>47</v>
      </c>
      <c r="L26" s="14">
        <v>99319163</v>
      </c>
    </row>
    <row r="27" spans="1:12" x14ac:dyDescent="0.25">
      <c r="A27" s="13">
        <v>2151</v>
      </c>
      <c r="B27" s="18" t="s">
        <v>88</v>
      </c>
      <c r="C27" s="393">
        <v>615.4</v>
      </c>
      <c r="D27" s="187">
        <v>0.25</v>
      </c>
      <c r="E27" s="187">
        <f t="shared" si="0"/>
        <v>153.85</v>
      </c>
      <c r="F27" s="187"/>
      <c r="G27" s="187">
        <f t="shared" si="1"/>
        <v>153.85</v>
      </c>
      <c r="H27" s="88">
        <v>2190491</v>
      </c>
      <c r="I27" s="89" t="s">
        <v>89</v>
      </c>
      <c r="J27" s="90" t="s">
        <v>11</v>
      </c>
      <c r="K27" s="90" t="s">
        <v>47</v>
      </c>
      <c r="L27" s="14">
        <v>92591034</v>
      </c>
    </row>
    <row r="28" spans="1:12" x14ac:dyDescent="0.25">
      <c r="A28" s="13">
        <v>2155</v>
      </c>
      <c r="B28" s="18" t="s">
        <v>90</v>
      </c>
      <c r="C28" s="393">
        <v>349.8</v>
      </c>
      <c r="D28" s="187">
        <v>0.25</v>
      </c>
      <c r="E28" s="187">
        <f t="shared" si="0"/>
        <v>87.45</v>
      </c>
      <c r="F28" s="187"/>
      <c r="G28" s="187">
        <f t="shared" si="1"/>
        <v>87.45</v>
      </c>
      <c r="H28" s="88">
        <v>21145036</v>
      </c>
      <c r="I28" s="89" t="s">
        <v>91</v>
      </c>
      <c r="J28" s="90" t="s">
        <v>50</v>
      </c>
      <c r="K28" s="90" t="s">
        <v>51</v>
      </c>
      <c r="L28" s="14">
        <v>92847990</v>
      </c>
    </row>
    <row r="29" spans="1:12" x14ac:dyDescent="0.25">
      <c r="A29" s="13">
        <v>2168</v>
      </c>
      <c r="B29" s="18" t="s">
        <v>10</v>
      </c>
      <c r="C29" s="393">
        <v>1971.3</v>
      </c>
      <c r="D29" s="187">
        <v>0.25</v>
      </c>
      <c r="E29" s="187">
        <f t="shared" si="0"/>
        <v>492.82499999999999</v>
      </c>
      <c r="F29" s="187"/>
      <c r="G29" s="187">
        <f t="shared" si="1"/>
        <v>492.82499999999999</v>
      </c>
      <c r="H29" s="88">
        <v>941022</v>
      </c>
      <c r="I29" s="89" t="s">
        <v>92</v>
      </c>
      <c r="J29" s="90" t="s">
        <v>11</v>
      </c>
      <c r="K29" s="90" t="s">
        <v>47</v>
      </c>
      <c r="L29" s="14">
        <v>99542444</v>
      </c>
    </row>
    <row r="30" spans="1:12" x14ac:dyDescent="0.25">
      <c r="A30" s="13">
        <v>2198</v>
      </c>
      <c r="B30" s="18" t="s">
        <v>93</v>
      </c>
      <c r="C30" s="393">
        <v>996.2</v>
      </c>
      <c r="D30" s="187">
        <v>0.25</v>
      </c>
      <c r="E30" s="187">
        <f t="shared" si="0"/>
        <v>249.05</v>
      </c>
      <c r="F30" s="187"/>
      <c r="G30" s="187">
        <f t="shared" si="1"/>
        <v>249.05</v>
      </c>
      <c r="H30" s="88">
        <v>10331933</v>
      </c>
      <c r="I30" s="89" t="s">
        <v>94</v>
      </c>
      <c r="J30" s="90" t="s">
        <v>11</v>
      </c>
      <c r="K30" s="90" t="s">
        <v>47</v>
      </c>
      <c r="L30" s="14">
        <v>99490105</v>
      </c>
    </row>
    <row r="31" spans="1:12" x14ac:dyDescent="0.25">
      <c r="A31" s="13">
        <v>2205</v>
      </c>
      <c r="B31" s="18" t="s">
        <v>95</v>
      </c>
      <c r="C31" s="393">
        <v>838.1</v>
      </c>
      <c r="D31" s="187">
        <v>0.25</v>
      </c>
      <c r="E31" s="187">
        <f t="shared" si="0"/>
        <v>209.52500000000001</v>
      </c>
      <c r="F31" s="187"/>
      <c r="G31" s="187">
        <f t="shared" si="1"/>
        <v>209.52500000000001</v>
      </c>
      <c r="H31" s="88">
        <v>26733843</v>
      </c>
      <c r="I31" s="89" t="s">
        <v>96</v>
      </c>
      <c r="J31" s="90" t="s">
        <v>11</v>
      </c>
      <c r="K31" s="90" t="s">
        <v>47</v>
      </c>
      <c r="L31" s="14">
        <v>98966301</v>
      </c>
    </row>
    <row r="32" spans="1:12" ht="14.25" customHeight="1" x14ac:dyDescent="0.25">
      <c r="A32" s="13">
        <v>2207</v>
      </c>
      <c r="B32" s="18" t="s">
        <v>31</v>
      </c>
      <c r="C32" s="393">
        <v>1470.4</v>
      </c>
      <c r="D32" s="187">
        <v>0.25</v>
      </c>
      <c r="E32" s="187">
        <f t="shared" si="0"/>
        <v>367.6</v>
      </c>
      <c r="F32" s="187"/>
      <c r="G32" s="187">
        <f t="shared" si="1"/>
        <v>367.6</v>
      </c>
      <c r="H32" s="88">
        <v>1386691</v>
      </c>
      <c r="I32" s="89" t="s">
        <v>97</v>
      </c>
      <c r="J32" s="90" t="s">
        <v>81</v>
      </c>
      <c r="K32" s="90" t="s">
        <v>82</v>
      </c>
      <c r="L32" s="14">
        <v>91337606</v>
      </c>
    </row>
    <row r="33" spans="1:12" x14ac:dyDescent="0.25">
      <c r="A33" s="17">
        <v>2209</v>
      </c>
      <c r="B33" s="18" t="s">
        <v>98</v>
      </c>
      <c r="C33" s="394">
        <v>500</v>
      </c>
      <c r="D33" s="187">
        <v>0.25</v>
      </c>
      <c r="E33" s="187">
        <f t="shared" si="0"/>
        <v>125</v>
      </c>
      <c r="F33" s="187"/>
      <c r="G33" s="187">
        <f t="shared" si="1"/>
        <v>125</v>
      </c>
      <c r="H33" s="93">
        <v>821878</v>
      </c>
      <c r="I33" s="89" t="s">
        <v>99</v>
      </c>
      <c r="J33" s="94" t="s">
        <v>11</v>
      </c>
      <c r="K33" s="94" t="s">
        <v>47</v>
      </c>
      <c r="L33" s="38">
        <v>92927906</v>
      </c>
    </row>
    <row r="34" spans="1:12" x14ac:dyDescent="0.25">
      <c r="A34" s="17">
        <v>2213</v>
      </c>
      <c r="B34" s="18" t="s">
        <v>100</v>
      </c>
      <c r="C34" s="394">
        <v>1946.6</v>
      </c>
      <c r="D34" s="187">
        <v>0.25</v>
      </c>
      <c r="E34" s="187">
        <f t="shared" si="0"/>
        <v>486.65</v>
      </c>
      <c r="F34" s="187"/>
      <c r="G34" s="187">
        <f t="shared" si="1"/>
        <v>486.65</v>
      </c>
      <c r="H34" s="93">
        <v>594176</v>
      </c>
      <c r="I34" s="95" t="s">
        <v>101</v>
      </c>
      <c r="J34" s="94" t="s">
        <v>11</v>
      </c>
      <c r="K34" s="94" t="s">
        <v>47</v>
      </c>
      <c r="L34" s="38">
        <v>92971719</v>
      </c>
    </row>
    <row r="35" spans="1:12" x14ac:dyDescent="0.25">
      <c r="A35" s="17">
        <v>2223</v>
      </c>
      <c r="B35" s="18" t="s">
        <v>32</v>
      </c>
      <c r="C35" s="394">
        <v>2274.6</v>
      </c>
      <c r="D35" s="187">
        <v>0.25</v>
      </c>
      <c r="E35" s="187">
        <f t="shared" si="0"/>
        <v>568.65</v>
      </c>
      <c r="F35" s="187"/>
      <c r="G35" s="187">
        <f t="shared" si="1"/>
        <v>568.65</v>
      </c>
      <c r="H35" s="88">
        <v>2297206</v>
      </c>
      <c r="I35" s="89" t="s">
        <v>102</v>
      </c>
      <c r="J35" s="90" t="s">
        <v>14</v>
      </c>
      <c r="K35" s="90" t="s">
        <v>55</v>
      </c>
      <c r="L35" s="14">
        <v>99489917</v>
      </c>
    </row>
    <row r="36" spans="1:12" x14ac:dyDescent="0.25">
      <c r="A36" s="17">
        <v>2229</v>
      </c>
      <c r="B36" s="18" t="s">
        <v>103</v>
      </c>
      <c r="C36" s="394">
        <v>2834.7</v>
      </c>
      <c r="D36" s="187">
        <v>0.25</v>
      </c>
      <c r="E36" s="187">
        <f t="shared" si="0"/>
        <v>708.67499999999995</v>
      </c>
      <c r="F36" s="187"/>
      <c r="G36" s="187">
        <f t="shared" si="1"/>
        <v>708.67499999999995</v>
      </c>
      <c r="H36" s="88">
        <v>1031091</v>
      </c>
      <c r="I36" s="89" t="s">
        <v>104</v>
      </c>
      <c r="J36" s="90" t="s">
        <v>14</v>
      </c>
      <c r="K36" s="90" t="s">
        <v>55</v>
      </c>
      <c r="L36" s="14">
        <v>92727567</v>
      </c>
    </row>
    <row r="37" spans="1:12" x14ac:dyDescent="0.25">
      <c r="A37" s="17">
        <v>2230</v>
      </c>
      <c r="B37" s="18" t="s">
        <v>21</v>
      </c>
      <c r="C37" s="393">
        <v>958.4</v>
      </c>
      <c r="D37" s="187">
        <v>0.25</v>
      </c>
      <c r="E37" s="187">
        <f t="shared" si="0"/>
        <v>239.6</v>
      </c>
      <c r="F37" s="187"/>
      <c r="G37" s="187">
        <f t="shared" si="1"/>
        <v>239.6</v>
      </c>
      <c r="H37" s="88">
        <v>18633243</v>
      </c>
      <c r="I37" s="89" t="s">
        <v>105</v>
      </c>
      <c r="J37" s="90" t="s">
        <v>11</v>
      </c>
      <c r="K37" s="90" t="s">
        <v>47</v>
      </c>
      <c r="L37" s="14">
        <v>92201223</v>
      </c>
    </row>
    <row r="38" spans="1:12" x14ac:dyDescent="0.25">
      <c r="A38" s="17">
        <v>2232</v>
      </c>
      <c r="B38" s="42" t="s">
        <v>22</v>
      </c>
      <c r="C38" s="394">
        <v>1572.2</v>
      </c>
      <c r="D38" s="187">
        <v>0.25</v>
      </c>
      <c r="E38" s="187">
        <f t="shared" si="0"/>
        <v>393.05</v>
      </c>
      <c r="F38" s="187"/>
      <c r="G38" s="187">
        <f t="shared" si="1"/>
        <v>393.05</v>
      </c>
      <c r="H38" s="88">
        <v>1994004</v>
      </c>
      <c r="I38" s="89" t="s">
        <v>106</v>
      </c>
      <c r="J38" s="90" t="s">
        <v>11</v>
      </c>
      <c r="K38" s="90" t="s">
        <v>47</v>
      </c>
      <c r="L38" s="14">
        <v>92535442</v>
      </c>
    </row>
    <row r="39" spans="1:12" x14ac:dyDescent="0.25">
      <c r="A39" s="17">
        <v>2234</v>
      </c>
      <c r="B39" s="18" t="s">
        <v>107</v>
      </c>
      <c r="C39" s="393">
        <v>2111.6</v>
      </c>
      <c r="D39" s="187">
        <v>0.25</v>
      </c>
      <c r="E39" s="187">
        <f t="shared" si="0"/>
        <v>527.9</v>
      </c>
      <c r="F39" s="187"/>
      <c r="G39" s="187">
        <f t="shared" si="1"/>
        <v>527.9</v>
      </c>
      <c r="H39" s="90">
        <v>1235299</v>
      </c>
      <c r="I39" s="89" t="s">
        <v>108</v>
      </c>
      <c r="J39" s="90" t="s">
        <v>50</v>
      </c>
      <c r="K39" s="90" t="s">
        <v>51</v>
      </c>
      <c r="L39" s="13">
        <v>92656157</v>
      </c>
    </row>
    <row r="40" spans="1:12" x14ac:dyDescent="0.25">
      <c r="A40" s="17">
        <v>2238</v>
      </c>
      <c r="B40" s="18" t="s">
        <v>23</v>
      </c>
      <c r="C40" s="393">
        <v>536.9</v>
      </c>
      <c r="D40" s="187">
        <v>0.25</v>
      </c>
      <c r="E40" s="187">
        <f t="shared" si="0"/>
        <v>134.22499999999999</v>
      </c>
      <c r="F40" s="187"/>
      <c r="G40" s="187">
        <f t="shared" si="1"/>
        <v>134.22499999999999</v>
      </c>
      <c r="H40" s="90">
        <v>1322446</v>
      </c>
      <c r="I40" s="89" t="s">
        <v>109</v>
      </c>
      <c r="J40" s="90" t="s">
        <v>11</v>
      </c>
      <c r="K40" s="90" t="s">
        <v>47</v>
      </c>
      <c r="L40" s="13">
        <v>98882280</v>
      </c>
    </row>
    <row r="41" spans="1:12" x14ac:dyDescent="0.25">
      <c r="A41" s="17">
        <v>2244</v>
      </c>
      <c r="B41" s="18" t="s">
        <v>110</v>
      </c>
      <c r="C41" s="393">
        <v>5077.8</v>
      </c>
      <c r="D41" s="187">
        <v>0.25</v>
      </c>
      <c r="E41" s="187">
        <f t="shared" si="0"/>
        <v>1269.45</v>
      </c>
      <c r="F41" s="187"/>
      <c r="G41" s="187">
        <f t="shared" si="1"/>
        <v>1269.45</v>
      </c>
      <c r="H41" s="88">
        <v>5474148</v>
      </c>
      <c r="I41" s="89" t="s">
        <v>111</v>
      </c>
      <c r="J41" s="90" t="s">
        <v>11</v>
      </c>
      <c r="K41" s="90" t="s">
        <v>47</v>
      </c>
      <c r="L41" s="14">
        <v>99092789</v>
      </c>
    </row>
    <row r="42" spans="1:12" x14ac:dyDescent="0.25">
      <c r="A42" s="17">
        <v>2245</v>
      </c>
      <c r="B42" s="18" t="s">
        <v>112</v>
      </c>
      <c r="C42" s="393">
        <v>1598.4</v>
      </c>
      <c r="D42" s="187">
        <v>0.25</v>
      </c>
      <c r="E42" s="187">
        <f t="shared" si="0"/>
        <v>399.6</v>
      </c>
      <c r="F42" s="187"/>
      <c r="G42" s="187">
        <f t="shared" si="1"/>
        <v>399.6</v>
      </c>
      <c r="H42" s="88">
        <v>925058</v>
      </c>
      <c r="I42" s="89" t="s">
        <v>113</v>
      </c>
      <c r="J42" s="90" t="s">
        <v>14</v>
      </c>
      <c r="K42" s="90" t="s">
        <v>55</v>
      </c>
      <c r="L42" s="14">
        <v>95048614</v>
      </c>
    </row>
    <row r="43" spans="1:12" x14ac:dyDescent="0.25">
      <c r="A43" s="17">
        <v>2250</v>
      </c>
      <c r="B43" s="18" t="s">
        <v>114</v>
      </c>
      <c r="C43" s="393">
        <v>1024.5999999999999</v>
      </c>
      <c r="D43" s="187">
        <v>0.25</v>
      </c>
      <c r="E43" s="187">
        <f t="shared" si="0"/>
        <v>256.14999999999998</v>
      </c>
      <c r="F43" s="187"/>
      <c r="G43" s="187">
        <f t="shared" si="1"/>
        <v>256.14999999999998</v>
      </c>
      <c r="H43" s="88">
        <v>10206245</v>
      </c>
      <c r="I43" s="89" t="s">
        <v>115</v>
      </c>
      <c r="J43" s="90" t="s">
        <v>11</v>
      </c>
      <c r="K43" s="90" t="s">
        <v>47</v>
      </c>
      <c r="L43" s="14">
        <v>90666623</v>
      </c>
    </row>
    <row r="44" spans="1:12" x14ac:dyDescent="0.25">
      <c r="A44" s="17">
        <v>2252</v>
      </c>
      <c r="B44" s="18" t="s">
        <v>33</v>
      </c>
      <c r="C44" s="393">
        <v>2237.4</v>
      </c>
      <c r="D44" s="187">
        <v>0.25</v>
      </c>
      <c r="E44" s="187">
        <f t="shared" si="0"/>
        <v>559.35</v>
      </c>
      <c r="F44" s="187"/>
      <c r="G44" s="187">
        <f t="shared" si="1"/>
        <v>559.35</v>
      </c>
      <c r="H44" s="88">
        <v>1133208</v>
      </c>
      <c r="I44" s="89" t="s">
        <v>116</v>
      </c>
      <c r="J44" s="90" t="s">
        <v>81</v>
      </c>
      <c r="K44" s="90" t="s">
        <v>82</v>
      </c>
      <c r="L44" s="14">
        <v>92817678</v>
      </c>
    </row>
    <row r="45" spans="1:12" x14ac:dyDescent="0.25">
      <c r="A45" s="17">
        <v>2267</v>
      </c>
      <c r="B45" s="42" t="s">
        <v>117</v>
      </c>
      <c r="C45" s="393">
        <v>2336</v>
      </c>
      <c r="D45" s="187">
        <v>0.25</v>
      </c>
      <c r="E45" s="187">
        <f t="shared" si="0"/>
        <v>584</v>
      </c>
      <c r="F45" s="187"/>
      <c r="G45" s="187">
        <f t="shared" si="1"/>
        <v>584</v>
      </c>
      <c r="H45" s="88">
        <v>18700662</v>
      </c>
      <c r="I45" s="89" t="s">
        <v>118</v>
      </c>
      <c r="J45" s="90" t="s">
        <v>11</v>
      </c>
      <c r="K45" s="90" t="s">
        <v>47</v>
      </c>
      <c r="L45" s="14">
        <v>91106550</v>
      </c>
    </row>
    <row r="46" spans="1:12" x14ac:dyDescent="0.25">
      <c r="A46" s="17">
        <v>2281</v>
      </c>
      <c r="B46" s="18" t="s">
        <v>119</v>
      </c>
      <c r="C46" s="393">
        <v>740</v>
      </c>
      <c r="D46" s="187">
        <v>0.25</v>
      </c>
      <c r="E46" s="187">
        <f t="shared" si="0"/>
        <v>185</v>
      </c>
      <c r="F46" s="187"/>
      <c r="G46" s="187">
        <f t="shared" si="1"/>
        <v>185</v>
      </c>
      <c r="H46" s="90">
        <v>2166167</v>
      </c>
      <c r="I46" s="89" t="s">
        <v>120</v>
      </c>
      <c r="J46" s="90" t="s">
        <v>11</v>
      </c>
      <c r="K46" s="90" t="s">
        <v>47</v>
      </c>
      <c r="L46" s="13">
        <v>99090486</v>
      </c>
    </row>
    <row r="47" spans="1:12" x14ac:dyDescent="0.25">
      <c r="A47" s="17">
        <v>2285</v>
      </c>
      <c r="B47" s="18" t="s">
        <v>12</v>
      </c>
      <c r="C47" s="393">
        <v>2183.5</v>
      </c>
      <c r="D47" s="187">
        <v>0.25</v>
      </c>
      <c r="E47" s="187">
        <f t="shared" si="0"/>
        <v>545.875</v>
      </c>
      <c r="F47" s="187"/>
      <c r="G47" s="187">
        <f t="shared" si="1"/>
        <v>545.875</v>
      </c>
      <c r="H47" s="90">
        <v>21077904</v>
      </c>
      <c r="I47" s="89" t="s">
        <v>121</v>
      </c>
      <c r="J47" s="90" t="s">
        <v>14</v>
      </c>
      <c r="K47" s="90" t="s">
        <v>55</v>
      </c>
      <c r="L47" s="13">
        <v>92930610</v>
      </c>
    </row>
    <row r="48" spans="1:12" x14ac:dyDescent="0.25">
      <c r="A48" s="17">
        <v>2294</v>
      </c>
      <c r="B48" s="18" t="s">
        <v>122</v>
      </c>
      <c r="C48" s="393">
        <v>5542.7</v>
      </c>
      <c r="D48" s="187">
        <v>0.25</v>
      </c>
      <c r="E48" s="187">
        <f t="shared" si="0"/>
        <v>1385.675</v>
      </c>
      <c r="F48" s="187"/>
      <c r="G48" s="187">
        <f t="shared" si="1"/>
        <v>1385.675</v>
      </c>
      <c r="H48" s="88">
        <v>1917308</v>
      </c>
      <c r="I48" s="89" t="s">
        <v>123</v>
      </c>
      <c r="J48" s="90" t="s">
        <v>14</v>
      </c>
      <c r="K48" s="90" t="s">
        <v>55</v>
      </c>
      <c r="L48" s="14">
        <v>95878499</v>
      </c>
    </row>
    <row r="49" spans="1:12" x14ac:dyDescent="0.25">
      <c r="A49" s="17">
        <v>2297</v>
      </c>
      <c r="B49" s="18" t="s">
        <v>124</v>
      </c>
      <c r="C49" s="393">
        <v>2216.1999999999998</v>
      </c>
      <c r="D49" s="187">
        <v>0.25</v>
      </c>
      <c r="E49" s="187">
        <f t="shared" si="0"/>
        <v>554.04999999999995</v>
      </c>
      <c r="F49" s="187"/>
      <c r="G49" s="187">
        <f t="shared" si="1"/>
        <v>554.04999999999995</v>
      </c>
      <c r="H49" s="88">
        <v>18689189</v>
      </c>
      <c r="I49" s="89" t="s">
        <v>125</v>
      </c>
      <c r="J49" s="90" t="s">
        <v>11</v>
      </c>
      <c r="K49" s="90" t="s">
        <v>47</v>
      </c>
      <c r="L49" s="14">
        <v>90911901</v>
      </c>
    </row>
    <row r="50" spans="1:12" x14ac:dyDescent="0.25">
      <c r="A50" s="17">
        <v>2298</v>
      </c>
      <c r="B50" s="18" t="s">
        <v>126</v>
      </c>
      <c r="C50" s="393">
        <v>3545.5</v>
      </c>
      <c r="D50" s="187">
        <v>0.25</v>
      </c>
      <c r="E50" s="187">
        <f t="shared" si="0"/>
        <v>886.375</v>
      </c>
      <c r="F50" s="187"/>
      <c r="G50" s="187">
        <f t="shared" si="1"/>
        <v>886.375</v>
      </c>
      <c r="H50" s="88">
        <v>6681518</v>
      </c>
      <c r="I50" s="89" t="s">
        <v>127</v>
      </c>
      <c r="J50" s="90" t="s">
        <v>14</v>
      </c>
      <c r="K50" s="90" t="s">
        <v>55</v>
      </c>
      <c r="L50" s="14">
        <v>99125223</v>
      </c>
    </row>
    <row r="51" spans="1:12" x14ac:dyDescent="0.25">
      <c r="A51" s="17">
        <v>2300</v>
      </c>
      <c r="B51" s="18" t="s">
        <v>128</v>
      </c>
      <c r="C51" s="393">
        <v>978.6</v>
      </c>
      <c r="D51" s="187">
        <v>0.25</v>
      </c>
      <c r="E51" s="187">
        <f t="shared" si="0"/>
        <v>244.65</v>
      </c>
      <c r="F51" s="187"/>
      <c r="G51" s="187">
        <f t="shared" si="1"/>
        <v>244.65</v>
      </c>
      <c r="H51" s="88">
        <v>447833</v>
      </c>
      <c r="I51" s="89" t="s">
        <v>129</v>
      </c>
      <c r="J51" s="90" t="s">
        <v>81</v>
      </c>
      <c r="K51" s="90" t="s">
        <v>82</v>
      </c>
      <c r="L51" s="14">
        <v>92005673</v>
      </c>
    </row>
    <row r="52" spans="1:12" x14ac:dyDescent="0.25">
      <c r="A52" s="17">
        <v>2301</v>
      </c>
      <c r="B52" s="18" t="s">
        <v>130</v>
      </c>
      <c r="C52" s="393">
        <v>1873.9</v>
      </c>
      <c r="D52" s="187">
        <v>0.25</v>
      </c>
      <c r="E52" s="187">
        <f t="shared" si="0"/>
        <v>468.47500000000002</v>
      </c>
      <c r="F52" s="187"/>
      <c r="G52" s="187">
        <f t="shared" si="1"/>
        <v>468.47500000000002</v>
      </c>
      <c r="H52" s="88">
        <v>23600713</v>
      </c>
      <c r="I52" s="89" t="s">
        <v>131</v>
      </c>
      <c r="J52" s="90" t="s">
        <v>132</v>
      </c>
      <c r="K52" s="90" t="s">
        <v>133</v>
      </c>
      <c r="L52" s="14">
        <v>92930610</v>
      </c>
    </row>
    <row r="53" spans="1:12" x14ac:dyDescent="0.25">
      <c r="A53" s="17">
        <v>2302</v>
      </c>
      <c r="B53" s="18" t="s">
        <v>134</v>
      </c>
      <c r="C53" s="393">
        <v>452.9</v>
      </c>
      <c r="D53" s="187">
        <v>0.25</v>
      </c>
      <c r="E53" s="187">
        <f t="shared" si="0"/>
        <v>113.22499999999999</v>
      </c>
      <c r="F53" s="187"/>
      <c r="G53" s="187">
        <f t="shared" si="1"/>
        <v>113.22499999999999</v>
      </c>
      <c r="H53" s="88">
        <v>20260365</v>
      </c>
      <c r="I53" s="95" t="s">
        <v>135</v>
      </c>
      <c r="J53" s="90" t="s">
        <v>81</v>
      </c>
      <c r="K53" s="90" t="s">
        <v>82</v>
      </c>
      <c r="L53" s="14">
        <v>99125223</v>
      </c>
    </row>
    <row r="54" spans="1:12" x14ac:dyDescent="0.25">
      <c r="A54" s="17">
        <v>2303</v>
      </c>
      <c r="B54" s="18" t="s">
        <v>13</v>
      </c>
      <c r="C54" s="393">
        <v>1437.6</v>
      </c>
      <c r="D54" s="187">
        <v>0.25</v>
      </c>
      <c r="E54" s="187">
        <f t="shared" si="0"/>
        <v>359.4</v>
      </c>
      <c r="F54" s="187"/>
      <c r="G54" s="187">
        <f t="shared" si="1"/>
        <v>359.4</v>
      </c>
      <c r="H54" s="88">
        <v>18636198</v>
      </c>
      <c r="I54" s="89" t="s">
        <v>136</v>
      </c>
      <c r="J54" s="90" t="s">
        <v>14</v>
      </c>
      <c r="K54" s="90" t="s">
        <v>47</v>
      </c>
      <c r="L54" s="14">
        <v>92726444</v>
      </c>
    </row>
    <row r="55" spans="1:12" x14ac:dyDescent="0.25">
      <c r="A55" s="17">
        <v>2304</v>
      </c>
      <c r="B55" s="18" t="s">
        <v>348</v>
      </c>
      <c r="C55" s="393">
        <v>402.6</v>
      </c>
      <c r="D55" s="187">
        <v>0.25</v>
      </c>
      <c r="E55" s="187">
        <f t="shared" si="0"/>
        <v>100.65</v>
      </c>
      <c r="F55" s="187"/>
      <c r="G55" s="187">
        <f t="shared" si="1"/>
        <v>100.65</v>
      </c>
      <c r="H55" s="88">
        <v>7290532</v>
      </c>
      <c r="I55" s="89" t="s">
        <v>137</v>
      </c>
      <c r="J55" s="90" t="s">
        <v>11</v>
      </c>
      <c r="K55" s="90" t="s">
        <v>47</v>
      </c>
      <c r="L55" s="14">
        <v>95117299</v>
      </c>
    </row>
    <row r="56" spans="1:12" x14ac:dyDescent="0.25">
      <c r="A56" s="17">
        <v>2306</v>
      </c>
      <c r="B56" s="18" t="s">
        <v>34</v>
      </c>
      <c r="C56" s="393">
        <v>875.4</v>
      </c>
      <c r="D56" s="187">
        <v>0.25</v>
      </c>
      <c r="E56" s="187">
        <f t="shared" si="0"/>
        <v>218.85</v>
      </c>
      <c r="F56" s="187"/>
      <c r="G56" s="187">
        <f t="shared" si="1"/>
        <v>218.85</v>
      </c>
      <c r="H56" s="90">
        <v>26425746</v>
      </c>
      <c r="I56" s="89" t="s">
        <v>138</v>
      </c>
      <c r="J56" s="90" t="s">
        <v>14</v>
      </c>
      <c r="K56" s="90" t="s">
        <v>55</v>
      </c>
      <c r="L56" s="13">
        <v>99587923</v>
      </c>
    </row>
    <row r="57" spans="1:12" x14ac:dyDescent="0.25">
      <c r="A57" s="17">
        <v>2307</v>
      </c>
      <c r="B57" s="18" t="s">
        <v>139</v>
      </c>
      <c r="C57" s="393">
        <v>4017.6</v>
      </c>
      <c r="D57" s="187">
        <v>0.25</v>
      </c>
      <c r="E57" s="187">
        <f t="shared" si="0"/>
        <v>1004.4</v>
      </c>
      <c r="F57" s="187"/>
      <c r="G57" s="187">
        <f t="shared" si="1"/>
        <v>1004.4</v>
      </c>
      <c r="H57" s="88">
        <v>1485446</v>
      </c>
      <c r="I57" s="89" t="s">
        <v>140</v>
      </c>
      <c r="J57" s="90" t="s">
        <v>50</v>
      </c>
      <c r="K57" s="90" t="s">
        <v>51</v>
      </c>
      <c r="L57" s="14">
        <v>96405050</v>
      </c>
    </row>
    <row r="58" spans="1:12" x14ac:dyDescent="0.25">
      <c r="A58" s="17">
        <v>2309</v>
      </c>
      <c r="B58" s="18" t="s">
        <v>35</v>
      </c>
      <c r="C58" s="393">
        <v>1076</v>
      </c>
      <c r="D58" s="187">
        <v>0.25</v>
      </c>
      <c r="E58" s="187">
        <f t="shared" si="0"/>
        <v>269</v>
      </c>
      <c r="F58" s="187"/>
      <c r="G58" s="187">
        <f t="shared" si="1"/>
        <v>269</v>
      </c>
      <c r="H58" s="90">
        <v>2733875</v>
      </c>
      <c r="I58" s="89" t="s">
        <v>141</v>
      </c>
      <c r="J58" s="90" t="s">
        <v>11</v>
      </c>
      <c r="K58" s="90" t="s">
        <v>47</v>
      </c>
      <c r="L58" s="13">
        <v>99580134</v>
      </c>
    </row>
    <row r="59" spans="1:12" x14ac:dyDescent="0.25">
      <c r="A59" s="17">
        <v>2310</v>
      </c>
      <c r="B59" s="18" t="s">
        <v>142</v>
      </c>
      <c r="C59" s="393">
        <v>3634</v>
      </c>
      <c r="D59" s="187">
        <v>0.25</v>
      </c>
      <c r="E59" s="187">
        <f t="shared" si="0"/>
        <v>908.5</v>
      </c>
      <c r="F59" s="187"/>
      <c r="G59" s="187">
        <f t="shared" si="1"/>
        <v>908.5</v>
      </c>
      <c r="H59" s="88">
        <v>10612452</v>
      </c>
      <c r="I59" s="89" t="s">
        <v>143</v>
      </c>
      <c r="J59" s="90" t="s">
        <v>11</v>
      </c>
      <c r="K59" s="90" t="s">
        <v>47</v>
      </c>
      <c r="L59" s="14">
        <v>98882353</v>
      </c>
    </row>
    <row r="60" spans="1:12" x14ac:dyDescent="0.25">
      <c r="A60" s="17">
        <v>2311</v>
      </c>
      <c r="B60" s="18" t="s">
        <v>144</v>
      </c>
      <c r="C60" s="393">
        <v>811.2</v>
      </c>
      <c r="D60" s="187">
        <v>0.25</v>
      </c>
      <c r="E60" s="187">
        <f t="shared" si="0"/>
        <v>202.8</v>
      </c>
      <c r="F60" s="187"/>
      <c r="G60" s="187">
        <f t="shared" si="1"/>
        <v>202.8</v>
      </c>
      <c r="H60" s="88">
        <v>14874655</v>
      </c>
      <c r="I60" s="89" t="s">
        <v>145</v>
      </c>
      <c r="J60" s="90" t="s">
        <v>146</v>
      </c>
      <c r="K60" s="90" t="s">
        <v>47</v>
      </c>
      <c r="L60" s="14">
        <v>99580134</v>
      </c>
    </row>
    <row r="61" spans="1:12" x14ac:dyDescent="0.25">
      <c r="A61" s="17">
        <v>2312</v>
      </c>
      <c r="B61" s="18" t="s">
        <v>36</v>
      </c>
      <c r="C61" s="393">
        <v>2101.5</v>
      </c>
      <c r="D61" s="187">
        <v>0.25</v>
      </c>
      <c r="E61" s="187">
        <f t="shared" si="0"/>
        <v>525.375</v>
      </c>
      <c r="F61" s="187"/>
      <c r="G61" s="187">
        <f t="shared" si="1"/>
        <v>525.375</v>
      </c>
      <c r="H61" s="90">
        <v>876418</v>
      </c>
      <c r="I61" s="89" t="s">
        <v>148</v>
      </c>
      <c r="J61" s="90" t="s">
        <v>15</v>
      </c>
      <c r="K61" s="90" t="s">
        <v>67</v>
      </c>
      <c r="L61" s="13">
        <v>93340442</v>
      </c>
    </row>
    <row r="62" spans="1:12" x14ac:dyDescent="0.25">
      <c r="A62" s="17">
        <v>2314</v>
      </c>
      <c r="B62" s="18" t="s">
        <v>149</v>
      </c>
      <c r="C62" s="393">
        <v>863.2</v>
      </c>
      <c r="D62" s="187">
        <v>0.25</v>
      </c>
      <c r="E62" s="187">
        <f t="shared" si="0"/>
        <v>215.8</v>
      </c>
      <c r="F62" s="187"/>
      <c r="G62" s="187">
        <f t="shared" si="1"/>
        <v>215.8</v>
      </c>
      <c r="H62" s="90">
        <v>7032433</v>
      </c>
      <c r="I62" s="89" t="s">
        <v>150</v>
      </c>
      <c r="J62" s="90" t="s">
        <v>11</v>
      </c>
      <c r="K62" s="90" t="s">
        <v>47</v>
      </c>
      <c r="L62" s="13">
        <v>96264331</v>
      </c>
    </row>
    <row r="63" spans="1:12" x14ac:dyDescent="0.25">
      <c r="A63" s="17">
        <v>2316</v>
      </c>
      <c r="B63" s="18" t="s">
        <v>25</v>
      </c>
      <c r="C63" s="393">
        <v>1449.2</v>
      </c>
      <c r="D63" s="187">
        <v>0.25</v>
      </c>
      <c r="E63" s="187">
        <f t="shared" si="0"/>
        <v>362.3</v>
      </c>
      <c r="F63" s="187"/>
      <c r="G63" s="187">
        <f t="shared" si="1"/>
        <v>362.3</v>
      </c>
      <c r="H63" s="88">
        <v>18635847</v>
      </c>
      <c r="I63" s="89" t="s">
        <v>151</v>
      </c>
      <c r="J63" s="90" t="s">
        <v>11</v>
      </c>
      <c r="K63" s="90" t="s">
        <v>47</v>
      </c>
      <c r="L63" s="14">
        <v>92117746</v>
      </c>
    </row>
    <row r="64" spans="1:12" x14ac:dyDescent="0.25">
      <c r="A64" s="17">
        <v>2317</v>
      </c>
      <c r="B64" s="18" t="s">
        <v>152</v>
      </c>
      <c r="C64" s="393">
        <v>1662.9</v>
      </c>
      <c r="D64" s="187">
        <v>0.25</v>
      </c>
      <c r="E64" s="187">
        <f t="shared" si="0"/>
        <v>415.72500000000002</v>
      </c>
      <c r="F64" s="187"/>
      <c r="G64" s="187">
        <f t="shared" si="1"/>
        <v>415.72500000000002</v>
      </c>
      <c r="H64" s="90">
        <v>18362174</v>
      </c>
      <c r="I64" s="89" t="s">
        <v>153</v>
      </c>
      <c r="J64" s="90" t="s">
        <v>154</v>
      </c>
      <c r="K64" s="90" t="s">
        <v>155</v>
      </c>
      <c r="L64" s="13">
        <v>97503992</v>
      </c>
    </row>
    <row r="65" spans="1:12" x14ac:dyDescent="0.25">
      <c r="A65" s="17">
        <v>2318</v>
      </c>
      <c r="B65" s="18" t="s">
        <v>156</v>
      </c>
      <c r="C65" s="393">
        <v>1026.5999999999999</v>
      </c>
      <c r="D65" s="187">
        <v>0.25</v>
      </c>
      <c r="E65" s="187">
        <f t="shared" si="0"/>
        <v>256.64999999999998</v>
      </c>
      <c r="F65" s="187"/>
      <c r="G65" s="187">
        <f t="shared" si="1"/>
        <v>256.64999999999998</v>
      </c>
      <c r="H65" s="88">
        <v>218881</v>
      </c>
      <c r="I65" s="89" t="s">
        <v>157</v>
      </c>
      <c r="J65" s="90" t="s">
        <v>11</v>
      </c>
      <c r="K65" s="90" t="s">
        <v>47</v>
      </c>
      <c r="L65" s="14"/>
    </row>
    <row r="66" spans="1:12" x14ac:dyDescent="0.25">
      <c r="A66" s="17">
        <v>2319</v>
      </c>
      <c r="B66" s="18" t="s">
        <v>37</v>
      </c>
      <c r="C66" s="393">
        <v>521.6</v>
      </c>
      <c r="D66" s="187">
        <v>0.25</v>
      </c>
      <c r="E66" s="187">
        <f t="shared" si="0"/>
        <v>130.4</v>
      </c>
      <c r="F66" s="187"/>
      <c r="G66" s="187">
        <f t="shared" si="1"/>
        <v>130.4</v>
      </c>
      <c r="H66" s="90">
        <v>5006545</v>
      </c>
      <c r="I66" s="89" t="s">
        <v>158</v>
      </c>
      <c r="J66" s="90" t="s">
        <v>11</v>
      </c>
      <c r="K66" s="90" t="s">
        <v>47</v>
      </c>
      <c r="L66" s="14">
        <v>99619074</v>
      </c>
    </row>
    <row r="67" spans="1:12" x14ac:dyDescent="0.25">
      <c r="A67" s="17">
        <v>2320</v>
      </c>
      <c r="B67" s="18" t="s">
        <v>159</v>
      </c>
      <c r="C67" s="393">
        <v>1373.7</v>
      </c>
      <c r="D67" s="187">
        <v>0.25</v>
      </c>
      <c r="E67" s="187">
        <f t="shared" si="0"/>
        <v>343.42500000000001</v>
      </c>
      <c r="F67" s="187"/>
      <c r="G67" s="187">
        <f t="shared" si="1"/>
        <v>343.42500000000001</v>
      </c>
      <c r="H67" s="90">
        <v>21957384</v>
      </c>
      <c r="I67" s="89" t="s">
        <v>160</v>
      </c>
      <c r="J67" s="90" t="s">
        <v>11</v>
      </c>
      <c r="K67" s="90" t="s">
        <v>47</v>
      </c>
      <c r="L67" s="13">
        <v>94079727</v>
      </c>
    </row>
    <row r="68" spans="1:12" x14ac:dyDescent="0.25">
      <c r="A68" s="17">
        <v>2322</v>
      </c>
      <c r="B68" s="18" t="s">
        <v>161</v>
      </c>
      <c r="C68" s="393">
        <v>914.3</v>
      </c>
      <c r="D68" s="187">
        <v>0.25</v>
      </c>
      <c r="E68" s="187">
        <f t="shared" si="0"/>
        <v>228.57499999999999</v>
      </c>
      <c r="F68" s="187"/>
      <c r="G68" s="187">
        <f t="shared" si="1"/>
        <v>228.57499999999999</v>
      </c>
      <c r="H68" s="90">
        <v>102559</v>
      </c>
      <c r="I68" s="89" t="s">
        <v>162</v>
      </c>
      <c r="J68" s="90" t="s">
        <v>11</v>
      </c>
      <c r="K68" s="90" t="s">
        <v>47</v>
      </c>
      <c r="L68" s="13">
        <v>99486744</v>
      </c>
    </row>
    <row r="69" spans="1:12" x14ac:dyDescent="0.25">
      <c r="A69" s="17">
        <v>2323</v>
      </c>
      <c r="B69" s="18" t="s">
        <v>163</v>
      </c>
      <c r="C69" s="393">
        <v>1003.7</v>
      </c>
      <c r="D69" s="187">
        <v>0.25</v>
      </c>
      <c r="E69" s="187">
        <f t="shared" si="0"/>
        <v>250.92500000000001</v>
      </c>
      <c r="F69" s="187"/>
      <c r="G69" s="187">
        <f t="shared" si="1"/>
        <v>250.92500000000001</v>
      </c>
      <c r="H69" s="90">
        <v>1235899</v>
      </c>
      <c r="I69" s="89" t="s">
        <v>164</v>
      </c>
      <c r="J69" s="90" t="s">
        <v>14</v>
      </c>
      <c r="K69" s="90" t="s">
        <v>55</v>
      </c>
      <c r="L69" s="13">
        <v>96170087</v>
      </c>
    </row>
    <row r="70" spans="1:12" x14ac:dyDescent="0.25">
      <c r="A70" s="17">
        <v>2324</v>
      </c>
      <c r="B70" s="18" t="s">
        <v>165</v>
      </c>
      <c r="C70" s="393">
        <v>1593.3</v>
      </c>
      <c r="D70" s="187">
        <v>0.25</v>
      </c>
      <c r="E70" s="187">
        <f t="shared" ref="E70:E134" si="2">C70*D70</f>
        <v>398.32499999999999</v>
      </c>
      <c r="F70" s="187"/>
      <c r="G70" s="187">
        <f t="shared" ref="G70:G133" si="3">E70-F70</f>
        <v>398.32499999999999</v>
      </c>
      <c r="H70" s="88">
        <v>12239373</v>
      </c>
      <c r="I70" s="89" t="s">
        <v>166</v>
      </c>
      <c r="J70" s="90" t="s">
        <v>11</v>
      </c>
      <c r="K70" s="90" t="s">
        <v>47</v>
      </c>
      <c r="L70" s="14">
        <v>99589535</v>
      </c>
    </row>
    <row r="71" spans="1:12" x14ac:dyDescent="0.25">
      <c r="A71" s="17">
        <v>2325</v>
      </c>
      <c r="B71" s="18" t="s">
        <v>167</v>
      </c>
      <c r="C71" s="393">
        <v>1342.2</v>
      </c>
      <c r="D71" s="187">
        <v>0.25</v>
      </c>
      <c r="E71" s="187">
        <f t="shared" si="2"/>
        <v>335.55</v>
      </c>
      <c r="F71" s="187"/>
      <c r="G71" s="187">
        <f t="shared" si="3"/>
        <v>335.55</v>
      </c>
      <c r="H71" s="88">
        <v>3802037</v>
      </c>
      <c r="I71" s="89" t="s">
        <v>168</v>
      </c>
      <c r="J71" s="90" t="s">
        <v>11</v>
      </c>
      <c r="K71" s="90" t="s">
        <v>47</v>
      </c>
      <c r="L71" s="14">
        <v>99481404</v>
      </c>
    </row>
    <row r="72" spans="1:12" x14ac:dyDescent="0.25">
      <c r="A72" s="17">
        <v>2327</v>
      </c>
      <c r="B72" s="18" t="s">
        <v>169</v>
      </c>
      <c r="C72" s="393">
        <v>542</v>
      </c>
      <c r="D72" s="187">
        <v>0.25</v>
      </c>
      <c r="E72" s="187">
        <f t="shared" si="2"/>
        <v>135.5</v>
      </c>
      <c r="F72" s="187"/>
      <c r="G72" s="187">
        <f t="shared" si="3"/>
        <v>135.5</v>
      </c>
      <c r="H72" s="90">
        <v>7568982</v>
      </c>
      <c r="I72" s="89" t="s">
        <v>170</v>
      </c>
      <c r="J72" s="90" t="s">
        <v>11</v>
      </c>
      <c r="K72" s="90" t="s">
        <v>47</v>
      </c>
      <c r="L72" s="13">
        <v>99496653</v>
      </c>
    </row>
    <row r="73" spans="1:12" x14ac:dyDescent="0.25">
      <c r="A73" s="17">
        <v>2329</v>
      </c>
      <c r="B73" s="18" t="s">
        <v>171</v>
      </c>
      <c r="C73" s="393">
        <v>822.9</v>
      </c>
      <c r="D73" s="187">
        <v>0.25</v>
      </c>
      <c r="E73" s="187">
        <f t="shared" si="2"/>
        <v>205.72499999999999</v>
      </c>
      <c r="F73" s="187"/>
      <c r="G73" s="187">
        <f t="shared" si="3"/>
        <v>205.72499999999999</v>
      </c>
      <c r="H73" s="88">
        <v>500599</v>
      </c>
      <c r="I73" s="89" t="s">
        <v>172</v>
      </c>
      <c r="J73" s="90" t="s">
        <v>11</v>
      </c>
      <c r="K73" s="90" t="s">
        <v>47</v>
      </c>
      <c r="L73" s="14">
        <v>99435565</v>
      </c>
    </row>
    <row r="74" spans="1:12" x14ac:dyDescent="0.25">
      <c r="A74" s="17">
        <v>2331</v>
      </c>
      <c r="B74" s="18" t="s">
        <v>173</v>
      </c>
      <c r="C74" s="393">
        <v>1094.3</v>
      </c>
      <c r="D74" s="187">
        <v>0.25</v>
      </c>
      <c r="E74" s="187">
        <f t="shared" si="2"/>
        <v>273.57499999999999</v>
      </c>
      <c r="F74" s="187"/>
      <c r="G74" s="187">
        <f t="shared" si="3"/>
        <v>273.57499999999999</v>
      </c>
      <c r="H74" s="88">
        <v>574696</v>
      </c>
      <c r="I74" s="89" t="s">
        <v>174</v>
      </c>
      <c r="J74" s="90" t="s">
        <v>14</v>
      </c>
      <c r="K74" s="90" t="s">
        <v>55</v>
      </c>
      <c r="L74" s="14">
        <v>92556868</v>
      </c>
    </row>
    <row r="75" spans="1:12" x14ac:dyDescent="0.25">
      <c r="A75" s="17">
        <v>2332</v>
      </c>
      <c r="B75" s="18" t="s">
        <v>175</v>
      </c>
      <c r="C75" s="393">
        <v>2236</v>
      </c>
      <c r="D75" s="187">
        <v>0.25</v>
      </c>
      <c r="E75" s="187">
        <f t="shared" si="2"/>
        <v>559</v>
      </c>
      <c r="F75" s="187"/>
      <c r="G75" s="187">
        <f t="shared" si="3"/>
        <v>559</v>
      </c>
      <c r="H75" s="88">
        <v>1409668</v>
      </c>
      <c r="I75" s="89" t="s">
        <v>176</v>
      </c>
      <c r="J75" s="90" t="s">
        <v>11</v>
      </c>
      <c r="K75" s="90" t="s">
        <v>47</v>
      </c>
      <c r="L75" s="14">
        <v>99493202</v>
      </c>
    </row>
    <row r="76" spans="1:12" x14ac:dyDescent="0.25">
      <c r="A76" s="17">
        <v>2333</v>
      </c>
      <c r="B76" s="18" t="s">
        <v>177</v>
      </c>
      <c r="C76" s="393">
        <v>1070.5</v>
      </c>
      <c r="D76" s="187">
        <v>0.25</v>
      </c>
      <c r="E76" s="187">
        <f t="shared" si="2"/>
        <v>267.625</v>
      </c>
      <c r="F76" s="187"/>
      <c r="G76" s="187">
        <f t="shared" si="3"/>
        <v>267.625</v>
      </c>
      <c r="H76" s="93">
        <v>732042</v>
      </c>
      <c r="I76" s="95" t="s">
        <v>178</v>
      </c>
      <c r="J76" s="94" t="s">
        <v>11</v>
      </c>
      <c r="K76" s="94" t="s">
        <v>47</v>
      </c>
      <c r="L76" s="38">
        <v>92551330</v>
      </c>
    </row>
    <row r="77" spans="1:12" x14ac:dyDescent="0.25">
      <c r="A77" s="17">
        <v>2334</v>
      </c>
      <c r="B77" s="18" t="s">
        <v>38</v>
      </c>
      <c r="C77" s="393">
        <v>1602.4</v>
      </c>
      <c r="D77" s="187">
        <v>0.25</v>
      </c>
      <c r="E77" s="187">
        <f t="shared" si="2"/>
        <v>400.6</v>
      </c>
      <c r="F77" s="187"/>
      <c r="G77" s="187">
        <f t="shared" si="3"/>
        <v>400.6</v>
      </c>
      <c r="H77" s="93">
        <v>390755</v>
      </c>
      <c r="I77" s="89" t="s">
        <v>179</v>
      </c>
      <c r="J77" s="90" t="s">
        <v>11</v>
      </c>
      <c r="K77" s="90" t="s">
        <v>47</v>
      </c>
      <c r="L77" s="38">
        <v>99488361</v>
      </c>
    </row>
    <row r="78" spans="1:12" x14ac:dyDescent="0.25">
      <c r="A78" s="17">
        <v>2335</v>
      </c>
      <c r="B78" s="18" t="s">
        <v>180</v>
      </c>
      <c r="C78" s="393">
        <v>1072.5999999999999</v>
      </c>
      <c r="D78" s="187">
        <v>0.25</v>
      </c>
      <c r="E78" s="187">
        <f t="shared" si="2"/>
        <v>268.14999999999998</v>
      </c>
      <c r="F78" s="187"/>
      <c r="G78" s="187">
        <f t="shared" si="3"/>
        <v>268.14999999999998</v>
      </c>
      <c r="H78" s="93">
        <v>6221853</v>
      </c>
      <c r="I78" s="95" t="s">
        <v>181</v>
      </c>
      <c r="J78" s="94" t="s">
        <v>11</v>
      </c>
      <c r="K78" s="94" t="s">
        <v>47</v>
      </c>
      <c r="L78" s="38">
        <v>99807670</v>
      </c>
    </row>
    <row r="79" spans="1:12" x14ac:dyDescent="0.25">
      <c r="A79" s="17">
        <v>2336</v>
      </c>
      <c r="B79" s="18" t="s">
        <v>39</v>
      </c>
      <c r="C79" s="393">
        <v>1021.9</v>
      </c>
      <c r="D79" s="187">
        <v>0.25</v>
      </c>
      <c r="E79" s="187">
        <f t="shared" si="2"/>
        <v>255.47499999999999</v>
      </c>
      <c r="F79" s="187"/>
      <c r="G79" s="187">
        <f t="shared" si="3"/>
        <v>255.47499999999999</v>
      </c>
      <c r="H79" s="93">
        <v>380513</v>
      </c>
      <c r="I79" s="95" t="s">
        <v>182</v>
      </c>
      <c r="J79" s="94" t="s">
        <v>11</v>
      </c>
      <c r="K79" s="94" t="s">
        <v>47</v>
      </c>
      <c r="L79" s="38">
        <v>99490146</v>
      </c>
    </row>
    <row r="80" spans="1:12" x14ac:dyDescent="0.25">
      <c r="A80" s="17">
        <v>2337</v>
      </c>
      <c r="B80" s="18" t="s">
        <v>183</v>
      </c>
      <c r="C80" s="393">
        <v>506</v>
      </c>
      <c r="D80" s="187">
        <v>0.25</v>
      </c>
      <c r="E80" s="187">
        <f t="shared" si="2"/>
        <v>126.5</v>
      </c>
      <c r="F80" s="187"/>
      <c r="G80" s="187">
        <f t="shared" si="3"/>
        <v>126.5</v>
      </c>
      <c r="H80" s="94">
        <v>813786</v>
      </c>
      <c r="I80" s="95" t="s">
        <v>184</v>
      </c>
      <c r="J80" s="94" t="s">
        <v>11</v>
      </c>
      <c r="K80" s="94" t="s">
        <v>47</v>
      </c>
      <c r="L80" s="17">
        <v>99293129</v>
      </c>
    </row>
    <row r="81" spans="1:12" x14ac:dyDescent="0.25">
      <c r="A81" s="17">
        <v>2338</v>
      </c>
      <c r="B81" s="18" t="s">
        <v>185</v>
      </c>
      <c r="C81" s="393">
        <v>62</v>
      </c>
      <c r="D81" s="187">
        <v>0.25</v>
      </c>
      <c r="E81" s="187">
        <f t="shared" si="2"/>
        <v>15.5</v>
      </c>
      <c r="F81" s="187"/>
      <c r="G81" s="187">
        <f t="shared" si="3"/>
        <v>15.5</v>
      </c>
      <c r="H81" s="93">
        <v>902553</v>
      </c>
      <c r="I81" s="95" t="s">
        <v>186</v>
      </c>
      <c r="J81" s="94" t="s">
        <v>11</v>
      </c>
      <c r="K81" s="94" t="s">
        <v>47</v>
      </c>
      <c r="L81" s="38">
        <v>90837777</v>
      </c>
    </row>
    <row r="82" spans="1:12" x14ac:dyDescent="0.25">
      <c r="A82" s="17">
        <v>2342</v>
      </c>
      <c r="B82" s="18" t="s">
        <v>40</v>
      </c>
      <c r="C82" s="393">
        <v>422.4</v>
      </c>
      <c r="D82" s="187">
        <v>0.25</v>
      </c>
      <c r="E82" s="187">
        <f t="shared" si="2"/>
        <v>105.6</v>
      </c>
      <c r="F82" s="187"/>
      <c r="G82" s="187">
        <f t="shared" si="3"/>
        <v>105.6</v>
      </c>
      <c r="H82" s="93">
        <v>6107751</v>
      </c>
      <c r="I82" s="95" t="s">
        <v>187</v>
      </c>
      <c r="J82" s="94" t="s">
        <v>16</v>
      </c>
      <c r="K82" s="94" t="s">
        <v>47</v>
      </c>
      <c r="L82" s="38">
        <v>97191244</v>
      </c>
    </row>
    <row r="83" spans="1:12" x14ac:dyDescent="0.25">
      <c r="A83" s="469">
        <v>2343</v>
      </c>
      <c r="B83" s="456" t="s">
        <v>570</v>
      </c>
      <c r="C83" s="451"/>
      <c r="D83" s="452">
        <v>0.25</v>
      </c>
      <c r="E83" s="452">
        <f t="shared" si="2"/>
        <v>0</v>
      </c>
      <c r="F83" s="452"/>
      <c r="G83" s="452">
        <f t="shared" si="3"/>
        <v>0</v>
      </c>
      <c r="H83" s="470"/>
      <c r="I83" s="95"/>
      <c r="J83" s="94"/>
      <c r="K83" s="94"/>
      <c r="L83" s="38"/>
    </row>
    <row r="84" spans="1:12" x14ac:dyDescent="0.25">
      <c r="A84" s="17">
        <v>2344</v>
      </c>
      <c r="B84" s="18" t="s">
        <v>188</v>
      </c>
      <c r="C84" s="393">
        <v>2741.3</v>
      </c>
      <c r="D84" s="187">
        <v>0.25</v>
      </c>
      <c r="E84" s="187">
        <f t="shared" si="2"/>
        <v>685.32500000000005</v>
      </c>
      <c r="F84" s="187"/>
      <c r="G84" s="187">
        <f t="shared" si="3"/>
        <v>685.32500000000005</v>
      </c>
      <c r="H84" s="93">
        <v>1071884</v>
      </c>
      <c r="I84" s="95" t="s">
        <v>189</v>
      </c>
      <c r="J84" s="94" t="s">
        <v>14</v>
      </c>
      <c r="K84" s="94" t="s">
        <v>55</v>
      </c>
      <c r="L84" s="38">
        <v>99480379</v>
      </c>
    </row>
    <row r="85" spans="1:12" x14ac:dyDescent="0.25">
      <c r="A85" s="17">
        <v>2345</v>
      </c>
      <c r="B85" s="18" t="s">
        <v>41</v>
      </c>
      <c r="C85" s="393">
        <v>1597.7</v>
      </c>
      <c r="D85" s="187">
        <v>0.25</v>
      </c>
      <c r="E85" s="187">
        <f t="shared" si="2"/>
        <v>399.42500000000001</v>
      </c>
      <c r="F85" s="187"/>
      <c r="G85" s="187">
        <f t="shared" si="3"/>
        <v>399.42500000000001</v>
      </c>
      <c r="H85" s="93">
        <v>1298574</v>
      </c>
      <c r="I85" s="95" t="s">
        <v>190</v>
      </c>
      <c r="J85" s="94" t="s">
        <v>14</v>
      </c>
      <c r="K85" s="94" t="s">
        <v>55</v>
      </c>
      <c r="L85" s="38">
        <v>99299199</v>
      </c>
    </row>
    <row r="86" spans="1:12" x14ac:dyDescent="0.25">
      <c r="A86" s="17">
        <v>2346</v>
      </c>
      <c r="B86" s="18" t="s">
        <v>191</v>
      </c>
      <c r="C86" s="393">
        <v>509.6</v>
      </c>
      <c r="D86" s="187">
        <v>0.25</v>
      </c>
      <c r="E86" s="187">
        <f t="shared" si="2"/>
        <v>127.4</v>
      </c>
      <c r="F86" s="187"/>
      <c r="G86" s="187">
        <f t="shared" si="3"/>
        <v>127.4</v>
      </c>
      <c r="H86" s="93">
        <v>26080834</v>
      </c>
      <c r="I86" s="95" t="s">
        <v>192</v>
      </c>
      <c r="J86" s="94" t="s">
        <v>81</v>
      </c>
      <c r="K86" s="94" t="s">
        <v>82</v>
      </c>
      <c r="L86" s="38">
        <v>98951760</v>
      </c>
    </row>
    <row r="87" spans="1:12" x14ac:dyDescent="0.25">
      <c r="A87" s="17">
        <v>2347</v>
      </c>
      <c r="B87" s="18" t="s">
        <v>193</v>
      </c>
      <c r="C87" s="393">
        <v>1404.2</v>
      </c>
      <c r="D87" s="187">
        <v>0.25</v>
      </c>
      <c r="E87" s="187">
        <f t="shared" si="2"/>
        <v>351.05</v>
      </c>
      <c r="F87" s="187"/>
      <c r="G87" s="187">
        <f t="shared" si="3"/>
        <v>351.05</v>
      </c>
      <c r="H87" s="93">
        <v>3036144</v>
      </c>
      <c r="I87" s="95" t="s">
        <v>194</v>
      </c>
      <c r="J87" s="94" t="s">
        <v>14</v>
      </c>
      <c r="K87" s="94" t="s">
        <v>55</v>
      </c>
      <c r="L87" s="38">
        <v>99487229</v>
      </c>
    </row>
    <row r="88" spans="1:12" x14ac:dyDescent="0.25">
      <c r="A88" s="17">
        <v>2348</v>
      </c>
      <c r="B88" s="18" t="s">
        <v>195</v>
      </c>
      <c r="C88" s="393">
        <v>1929.3</v>
      </c>
      <c r="D88" s="187">
        <v>0.25</v>
      </c>
      <c r="E88" s="187">
        <f t="shared" si="2"/>
        <v>482.32499999999999</v>
      </c>
      <c r="F88" s="187"/>
      <c r="G88" s="187">
        <f t="shared" si="3"/>
        <v>482.32499999999999</v>
      </c>
      <c r="H88" s="93">
        <v>25374403</v>
      </c>
      <c r="I88" s="95" t="s">
        <v>196</v>
      </c>
      <c r="J88" s="94" t="s">
        <v>154</v>
      </c>
      <c r="K88" s="94" t="s">
        <v>155</v>
      </c>
      <c r="L88" s="38">
        <v>92474433</v>
      </c>
    </row>
    <row r="89" spans="1:12" x14ac:dyDescent="0.25">
      <c r="A89" s="469">
        <v>2349</v>
      </c>
      <c r="B89" s="456" t="s">
        <v>569</v>
      </c>
      <c r="C89" s="451"/>
      <c r="D89" s="452">
        <v>0.25</v>
      </c>
      <c r="E89" s="452">
        <f t="shared" si="2"/>
        <v>0</v>
      </c>
      <c r="F89" s="452"/>
      <c r="G89" s="452">
        <f t="shared" si="3"/>
        <v>0</v>
      </c>
      <c r="H89" s="470"/>
      <c r="I89" s="95"/>
      <c r="J89" s="94"/>
      <c r="K89" s="94"/>
      <c r="L89" s="38"/>
    </row>
    <row r="90" spans="1:12" x14ac:dyDescent="0.25">
      <c r="A90" s="17">
        <v>2350</v>
      </c>
      <c r="B90" s="18" t="s">
        <v>197</v>
      </c>
      <c r="C90" s="393">
        <v>1000.9</v>
      </c>
      <c r="D90" s="187">
        <v>0.25</v>
      </c>
      <c r="E90" s="187">
        <f t="shared" si="2"/>
        <v>250.22499999999999</v>
      </c>
      <c r="F90" s="187"/>
      <c r="G90" s="187">
        <f t="shared" si="3"/>
        <v>250.22499999999999</v>
      </c>
      <c r="H90" s="93">
        <v>734135</v>
      </c>
      <c r="I90" s="95" t="s">
        <v>198</v>
      </c>
      <c r="J90" s="94" t="s">
        <v>11</v>
      </c>
      <c r="K90" s="94" t="s">
        <v>47</v>
      </c>
      <c r="L90" s="38">
        <v>99327078</v>
      </c>
    </row>
    <row r="91" spans="1:12" x14ac:dyDescent="0.25">
      <c r="A91" s="17">
        <v>2351</v>
      </c>
      <c r="B91" s="18" t="s">
        <v>199</v>
      </c>
      <c r="C91" s="393">
        <v>547.6</v>
      </c>
      <c r="D91" s="187">
        <v>0.25</v>
      </c>
      <c r="E91" s="187">
        <f t="shared" si="2"/>
        <v>136.9</v>
      </c>
      <c r="F91" s="187"/>
      <c r="G91" s="187">
        <f t="shared" si="3"/>
        <v>136.9</v>
      </c>
      <c r="H91" s="93">
        <v>19521995</v>
      </c>
      <c r="I91" s="95" t="s">
        <v>200</v>
      </c>
      <c r="J91" s="94" t="s">
        <v>50</v>
      </c>
      <c r="K91" s="94" t="s">
        <v>51</v>
      </c>
      <c r="L91" s="38">
        <v>92709981</v>
      </c>
    </row>
    <row r="92" spans="1:12" x14ac:dyDescent="0.25">
      <c r="A92" s="17">
        <v>2353</v>
      </c>
      <c r="B92" s="18" t="s">
        <v>42</v>
      </c>
      <c r="C92" s="393">
        <v>511.8</v>
      </c>
      <c r="D92" s="187">
        <v>0.25</v>
      </c>
      <c r="E92" s="187">
        <f t="shared" si="2"/>
        <v>127.95</v>
      </c>
      <c r="F92" s="187"/>
      <c r="G92" s="187">
        <f t="shared" si="3"/>
        <v>127.95</v>
      </c>
      <c r="H92" s="93">
        <v>2088123</v>
      </c>
      <c r="I92" s="95" t="s">
        <v>201</v>
      </c>
      <c r="J92" s="94" t="s">
        <v>11</v>
      </c>
      <c r="K92" s="94" t="s">
        <v>47</v>
      </c>
      <c r="L92" s="39">
        <v>92133374</v>
      </c>
    </row>
    <row r="93" spans="1:12" x14ac:dyDescent="0.25">
      <c r="A93" s="17">
        <v>2355</v>
      </c>
      <c r="B93" s="18" t="s">
        <v>202</v>
      </c>
      <c r="C93" s="393">
        <v>1249.3</v>
      </c>
      <c r="D93" s="187">
        <v>0.25</v>
      </c>
      <c r="E93" s="187">
        <f t="shared" si="2"/>
        <v>312.32499999999999</v>
      </c>
      <c r="F93" s="187"/>
      <c r="G93" s="187">
        <f t="shared" si="3"/>
        <v>312.32499999999999</v>
      </c>
      <c r="H93" s="93">
        <v>1129734</v>
      </c>
      <c r="I93" s="95" t="s">
        <v>203</v>
      </c>
      <c r="J93" s="94" t="s">
        <v>11</v>
      </c>
      <c r="K93" s="94" t="s">
        <v>47</v>
      </c>
      <c r="L93" s="17">
        <v>99481921</v>
      </c>
    </row>
    <row r="94" spans="1:12" x14ac:dyDescent="0.25">
      <c r="A94" s="17">
        <v>2356</v>
      </c>
      <c r="B94" s="18" t="s">
        <v>568</v>
      </c>
      <c r="C94" s="393">
        <v>482.8</v>
      </c>
      <c r="D94" s="187">
        <v>0.25</v>
      </c>
      <c r="E94" s="187">
        <f t="shared" si="2"/>
        <v>120.7</v>
      </c>
      <c r="F94" s="187"/>
      <c r="G94" s="187">
        <f t="shared" si="3"/>
        <v>120.7</v>
      </c>
      <c r="H94" s="93">
        <v>6085799</v>
      </c>
      <c r="I94" s="95">
        <v>401003560930037</v>
      </c>
      <c r="J94" s="94" t="s">
        <v>11</v>
      </c>
      <c r="K94" s="94" t="s">
        <v>47</v>
      </c>
      <c r="L94" s="38">
        <v>95122922</v>
      </c>
    </row>
    <row r="95" spans="1:12" x14ac:dyDescent="0.25">
      <c r="A95" s="17">
        <v>2358</v>
      </c>
      <c r="B95" s="18" t="s">
        <v>206</v>
      </c>
      <c r="C95" s="393">
        <v>1082.5999999999999</v>
      </c>
      <c r="D95" s="187">
        <v>0.25</v>
      </c>
      <c r="E95" s="187">
        <f t="shared" si="2"/>
        <v>270.64999999999998</v>
      </c>
      <c r="F95" s="187"/>
      <c r="G95" s="187">
        <f t="shared" si="3"/>
        <v>270.64999999999998</v>
      </c>
      <c r="H95" s="93">
        <v>812235</v>
      </c>
      <c r="I95" s="95" t="s">
        <v>207</v>
      </c>
      <c r="J95" s="94" t="s">
        <v>81</v>
      </c>
      <c r="K95" s="94" t="s">
        <v>82</v>
      </c>
      <c r="L95" s="38">
        <v>99496608</v>
      </c>
    </row>
    <row r="96" spans="1:12" x14ac:dyDescent="0.25">
      <c r="A96" s="17">
        <v>2360</v>
      </c>
      <c r="B96" s="18" t="s">
        <v>208</v>
      </c>
      <c r="C96" s="394">
        <v>512.79999999999995</v>
      </c>
      <c r="D96" s="187">
        <v>0.25</v>
      </c>
      <c r="E96" s="187">
        <f t="shared" si="2"/>
        <v>128.19999999999999</v>
      </c>
      <c r="F96" s="187"/>
      <c r="G96" s="187">
        <f t="shared" si="3"/>
        <v>128.19999999999999</v>
      </c>
      <c r="H96" s="93">
        <v>6791757</v>
      </c>
      <c r="I96" s="95" t="s">
        <v>209</v>
      </c>
      <c r="J96" s="94" t="s">
        <v>14</v>
      </c>
      <c r="K96" s="94" t="s">
        <v>55</v>
      </c>
      <c r="L96" s="17">
        <v>98960002</v>
      </c>
    </row>
    <row r="97" spans="1:12" x14ac:dyDescent="0.25">
      <c r="A97" s="17">
        <v>2361</v>
      </c>
      <c r="B97" s="18" t="s">
        <v>210</v>
      </c>
      <c r="C97" s="394">
        <v>2612.8000000000002</v>
      </c>
      <c r="D97" s="187">
        <v>0.25</v>
      </c>
      <c r="E97" s="187">
        <f t="shared" si="2"/>
        <v>653.20000000000005</v>
      </c>
      <c r="F97" s="187"/>
      <c r="G97" s="187">
        <f t="shared" si="3"/>
        <v>653.20000000000005</v>
      </c>
      <c r="H97" s="93">
        <v>3083395</v>
      </c>
      <c r="I97" s="95" t="s">
        <v>211</v>
      </c>
      <c r="J97" s="94" t="s">
        <v>11</v>
      </c>
      <c r="K97" s="94" t="s">
        <v>47</v>
      </c>
      <c r="L97" s="38">
        <v>99287760</v>
      </c>
    </row>
    <row r="98" spans="1:12" x14ac:dyDescent="0.25">
      <c r="A98" s="17">
        <v>2362</v>
      </c>
      <c r="B98" s="18" t="s">
        <v>212</v>
      </c>
      <c r="C98" s="394">
        <v>2819.5</v>
      </c>
      <c r="D98" s="187">
        <v>0.25</v>
      </c>
      <c r="E98" s="187">
        <f t="shared" si="2"/>
        <v>704.875</v>
      </c>
      <c r="F98" s="187"/>
      <c r="G98" s="187">
        <f t="shared" si="3"/>
        <v>704.875</v>
      </c>
      <c r="H98" s="93">
        <v>614569</v>
      </c>
      <c r="I98" s="95" t="s">
        <v>213</v>
      </c>
      <c r="J98" s="94" t="s">
        <v>11</v>
      </c>
      <c r="K98" s="94" t="s">
        <v>47</v>
      </c>
      <c r="L98" s="38">
        <v>98243557</v>
      </c>
    </row>
    <row r="99" spans="1:12" x14ac:dyDescent="0.25">
      <c r="A99" s="17">
        <v>2363</v>
      </c>
      <c r="B99" s="18" t="s">
        <v>567</v>
      </c>
      <c r="C99" s="394">
        <v>527.9</v>
      </c>
      <c r="D99" s="187">
        <v>0.25</v>
      </c>
      <c r="E99" s="187">
        <f t="shared" si="2"/>
        <v>131.97499999999999</v>
      </c>
      <c r="F99" s="187"/>
      <c r="G99" s="187">
        <f t="shared" si="3"/>
        <v>131.97499999999999</v>
      </c>
      <c r="H99" s="93"/>
      <c r="I99" s="95"/>
      <c r="J99" s="94"/>
      <c r="K99" s="94"/>
      <c r="L99" s="38"/>
    </row>
    <row r="100" spans="1:12" x14ac:dyDescent="0.25">
      <c r="A100" s="17">
        <v>2365</v>
      </c>
      <c r="B100" s="42" t="s">
        <v>214</v>
      </c>
      <c r="C100" s="393">
        <v>4330.7</v>
      </c>
      <c r="D100" s="187">
        <v>0.25</v>
      </c>
      <c r="E100" s="187">
        <f t="shared" si="2"/>
        <v>1082.675</v>
      </c>
      <c r="F100" s="187"/>
      <c r="G100" s="187">
        <f t="shared" si="3"/>
        <v>1082.675</v>
      </c>
      <c r="H100" s="93">
        <v>18164859</v>
      </c>
      <c r="I100" s="95" t="s">
        <v>215</v>
      </c>
      <c r="J100" s="94" t="s">
        <v>14</v>
      </c>
      <c r="K100" s="94" t="s">
        <v>55</v>
      </c>
      <c r="L100" s="39">
        <v>98872820</v>
      </c>
    </row>
    <row r="101" spans="1:12" x14ac:dyDescent="0.25">
      <c r="A101" s="17">
        <v>2366</v>
      </c>
      <c r="B101" s="440" t="s">
        <v>43</v>
      </c>
      <c r="C101" s="394">
        <v>2128</v>
      </c>
      <c r="D101" s="187">
        <v>0.25</v>
      </c>
      <c r="E101" s="187">
        <f t="shared" si="2"/>
        <v>532</v>
      </c>
      <c r="F101" s="187"/>
      <c r="G101" s="187">
        <f t="shared" si="3"/>
        <v>532</v>
      </c>
      <c r="H101" s="93">
        <v>5737041</v>
      </c>
      <c r="I101" s="95" t="s">
        <v>216</v>
      </c>
      <c r="J101" s="94" t="s">
        <v>11</v>
      </c>
      <c r="K101" s="94" t="s">
        <v>47</v>
      </c>
      <c r="L101" s="39">
        <v>99298559</v>
      </c>
    </row>
    <row r="102" spans="1:12" x14ac:dyDescent="0.25">
      <c r="A102" s="17">
        <v>2368</v>
      </c>
      <c r="B102" s="441" t="s">
        <v>26</v>
      </c>
      <c r="C102" s="393">
        <v>2645.7</v>
      </c>
      <c r="D102" s="187">
        <v>0.25</v>
      </c>
      <c r="E102" s="187">
        <f t="shared" si="2"/>
        <v>661.42499999999995</v>
      </c>
      <c r="F102" s="187"/>
      <c r="G102" s="187">
        <f t="shared" si="3"/>
        <v>661.42499999999995</v>
      </c>
      <c r="H102" s="93">
        <v>14028352</v>
      </c>
      <c r="I102" s="95" t="s">
        <v>217</v>
      </c>
      <c r="J102" s="94" t="s">
        <v>11</v>
      </c>
      <c r="K102" s="94" t="s">
        <v>47</v>
      </c>
      <c r="L102" s="39">
        <v>77189591</v>
      </c>
    </row>
    <row r="103" spans="1:12" x14ac:dyDescent="0.25">
      <c r="A103" s="17">
        <v>2369</v>
      </c>
      <c r="B103" s="442" t="s">
        <v>218</v>
      </c>
      <c r="C103" s="393">
        <v>500.5</v>
      </c>
      <c r="D103" s="187">
        <v>0.25</v>
      </c>
      <c r="E103" s="187">
        <f t="shared" si="2"/>
        <v>125.125</v>
      </c>
      <c r="F103" s="187"/>
      <c r="G103" s="187">
        <f t="shared" si="3"/>
        <v>125.125</v>
      </c>
      <c r="H103" s="93">
        <v>1305728</v>
      </c>
      <c r="I103" s="95" t="s">
        <v>219</v>
      </c>
      <c r="J103" s="94" t="s">
        <v>81</v>
      </c>
      <c r="K103" s="94" t="s">
        <v>82</v>
      </c>
      <c r="L103" s="39"/>
    </row>
    <row r="104" spans="1:12" x14ac:dyDescent="0.25">
      <c r="A104" s="17">
        <v>2370</v>
      </c>
      <c r="B104" s="442" t="s">
        <v>220</v>
      </c>
      <c r="C104" s="393">
        <v>515.1</v>
      </c>
      <c r="D104" s="187">
        <v>0.25</v>
      </c>
      <c r="E104" s="187">
        <f t="shared" si="2"/>
        <v>128.77500000000001</v>
      </c>
      <c r="F104" s="187"/>
      <c r="G104" s="187">
        <f t="shared" si="3"/>
        <v>128.77500000000001</v>
      </c>
      <c r="H104" s="93">
        <v>15082454</v>
      </c>
      <c r="I104" s="261" t="s">
        <v>221</v>
      </c>
      <c r="J104" s="94" t="s">
        <v>14</v>
      </c>
      <c r="K104" s="94" t="s">
        <v>55</v>
      </c>
      <c r="L104" s="39">
        <v>92600537</v>
      </c>
    </row>
    <row r="105" spans="1:12" x14ac:dyDescent="0.25">
      <c r="A105" s="17">
        <v>2371</v>
      </c>
      <c r="B105" s="442" t="s">
        <v>222</v>
      </c>
      <c r="C105" s="393">
        <v>1382.3</v>
      </c>
      <c r="D105" s="187">
        <v>0.25</v>
      </c>
      <c r="E105" s="187">
        <f t="shared" si="2"/>
        <v>345.57499999999999</v>
      </c>
      <c r="F105" s="187"/>
      <c r="G105" s="187">
        <f t="shared" si="3"/>
        <v>345.57499999999999</v>
      </c>
      <c r="H105" s="93">
        <v>4710817</v>
      </c>
      <c r="I105" s="95" t="s">
        <v>223</v>
      </c>
      <c r="J105" s="94" t="s">
        <v>11</v>
      </c>
      <c r="K105" s="94" t="s">
        <v>47</v>
      </c>
      <c r="L105" s="39">
        <v>95375676</v>
      </c>
    </row>
    <row r="106" spans="1:12" x14ac:dyDescent="0.25">
      <c r="A106" s="17">
        <v>2373</v>
      </c>
      <c r="B106" s="442" t="s">
        <v>224</v>
      </c>
      <c r="C106" s="393">
        <v>1550.3</v>
      </c>
      <c r="D106" s="187">
        <v>0.25</v>
      </c>
      <c r="E106" s="187">
        <f t="shared" si="2"/>
        <v>387.57499999999999</v>
      </c>
      <c r="F106" s="187"/>
      <c r="G106" s="187">
        <f t="shared" si="3"/>
        <v>387.57499999999999</v>
      </c>
      <c r="H106" s="93">
        <v>593009</v>
      </c>
      <c r="I106" s="95" t="s">
        <v>225</v>
      </c>
      <c r="J106" s="94" t="s">
        <v>14</v>
      </c>
      <c r="K106" s="94" t="s">
        <v>55</v>
      </c>
      <c r="L106" s="39">
        <v>99555980</v>
      </c>
    </row>
    <row r="107" spans="1:12" x14ac:dyDescent="0.25">
      <c r="A107" s="17">
        <v>2374</v>
      </c>
      <c r="B107" s="442" t="s">
        <v>226</v>
      </c>
      <c r="C107" s="393">
        <v>501.4</v>
      </c>
      <c r="D107" s="187">
        <v>0.25</v>
      </c>
      <c r="E107" s="187">
        <f t="shared" si="2"/>
        <v>125.35</v>
      </c>
      <c r="F107" s="187"/>
      <c r="G107" s="187">
        <f t="shared" si="3"/>
        <v>125.35</v>
      </c>
      <c r="H107" s="93">
        <v>27683269</v>
      </c>
      <c r="I107" s="95" t="s">
        <v>227</v>
      </c>
      <c r="J107" s="94" t="s">
        <v>50</v>
      </c>
      <c r="K107" s="94" t="s">
        <v>51</v>
      </c>
      <c r="L107" s="39">
        <v>99555980</v>
      </c>
    </row>
    <row r="108" spans="1:12" x14ac:dyDescent="0.25">
      <c r="A108" s="17">
        <v>2380</v>
      </c>
      <c r="B108" s="442" t="s">
        <v>228</v>
      </c>
      <c r="C108" s="393">
        <v>514.1</v>
      </c>
      <c r="D108" s="187">
        <v>0.25</v>
      </c>
      <c r="E108" s="187">
        <f t="shared" si="2"/>
        <v>128.52500000000001</v>
      </c>
      <c r="F108" s="187"/>
      <c r="G108" s="187">
        <f t="shared" si="3"/>
        <v>128.52500000000001</v>
      </c>
      <c r="H108" s="93">
        <v>614536</v>
      </c>
      <c r="I108" s="95" t="s">
        <v>229</v>
      </c>
      <c r="J108" s="94" t="s">
        <v>50</v>
      </c>
      <c r="K108" s="94" t="s">
        <v>51</v>
      </c>
      <c r="L108" s="39">
        <v>93977300</v>
      </c>
    </row>
    <row r="109" spans="1:12" x14ac:dyDescent="0.25">
      <c r="A109" s="17">
        <v>2381</v>
      </c>
      <c r="B109" s="442" t="s">
        <v>230</v>
      </c>
      <c r="C109" s="393">
        <v>1395.5</v>
      </c>
      <c r="D109" s="187">
        <v>0.25</v>
      </c>
      <c r="E109" s="187">
        <f t="shared" si="2"/>
        <v>348.875</v>
      </c>
      <c r="F109" s="187"/>
      <c r="G109" s="187">
        <f t="shared" si="3"/>
        <v>348.875</v>
      </c>
      <c r="H109" s="93">
        <v>830452</v>
      </c>
      <c r="I109" s="95" t="s">
        <v>231</v>
      </c>
      <c r="J109" s="94" t="s">
        <v>11</v>
      </c>
      <c r="K109" s="94" t="s">
        <v>47</v>
      </c>
      <c r="L109" s="39">
        <v>99493365</v>
      </c>
    </row>
    <row r="110" spans="1:12" x14ac:dyDescent="0.25">
      <c r="A110" s="17">
        <v>2383</v>
      </c>
      <c r="B110" s="39" t="s">
        <v>232</v>
      </c>
      <c r="C110" s="393">
        <v>498.6</v>
      </c>
      <c r="D110" s="187">
        <v>0.25</v>
      </c>
      <c r="E110" s="187">
        <f t="shared" si="2"/>
        <v>124.65</v>
      </c>
      <c r="F110" s="187"/>
      <c r="G110" s="187">
        <f t="shared" si="3"/>
        <v>124.65</v>
      </c>
      <c r="H110" s="94">
        <v>11427078</v>
      </c>
      <c r="I110" s="95" t="s">
        <v>233</v>
      </c>
      <c r="J110" s="94" t="s">
        <v>234</v>
      </c>
      <c r="K110" s="94" t="s">
        <v>235</v>
      </c>
      <c r="L110" s="17">
        <v>92192100</v>
      </c>
    </row>
    <row r="111" spans="1:12" x14ac:dyDescent="0.25">
      <c r="A111" s="17">
        <v>2385</v>
      </c>
      <c r="B111" s="88" t="s">
        <v>236</v>
      </c>
      <c r="C111" s="393">
        <v>1611</v>
      </c>
      <c r="D111" s="187">
        <v>0.25</v>
      </c>
      <c r="E111" s="187">
        <f t="shared" si="2"/>
        <v>402.75</v>
      </c>
      <c r="F111" s="187"/>
      <c r="G111" s="187">
        <f t="shared" si="3"/>
        <v>402.75</v>
      </c>
      <c r="H111" s="93">
        <v>3039422</v>
      </c>
      <c r="I111" s="95" t="s">
        <v>237</v>
      </c>
      <c r="J111" s="94" t="s">
        <v>50</v>
      </c>
      <c r="K111" s="94" t="s">
        <v>51</v>
      </c>
      <c r="L111" s="38">
        <v>99589937</v>
      </c>
    </row>
    <row r="112" spans="1:12" x14ac:dyDescent="0.25">
      <c r="A112" s="17">
        <v>2387</v>
      </c>
      <c r="B112" s="457"/>
      <c r="C112" s="393">
        <v>20.2</v>
      </c>
      <c r="D112" s="187">
        <v>0.25</v>
      </c>
      <c r="E112" s="187">
        <f t="shared" ref="E112" si="4">C112*D112</f>
        <v>5.05</v>
      </c>
      <c r="F112" s="187"/>
      <c r="G112" s="187">
        <f t="shared" si="3"/>
        <v>5.05</v>
      </c>
      <c r="H112" s="93"/>
      <c r="I112" s="95"/>
      <c r="J112" s="94"/>
      <c r="K112" s="94"/>
      <c r="L112" s="38"/>
    </row>
    <row r="113" spans="1:12" x14ac:dyDescent="0.25">
      <c r="A113" s="17">
        <v>2390</v>
      </c>
      <c r="B113" s="441" t="s">
        <v>238</v>
      </c>
      <c r="C113" s="393">
        <v>1280.9000000000001</v>
      </c>
      <c r="D113" s="187">
        <v>0.25</v>
      </c>
      <c r="E113" s="187">
        <f t="shared" si="2"/>
        <v>320.22500000000002</v>
      </c>
      <c r="F113" s="187"/>
      <c r="G113" s="187">
        <f t="shared" si="3"/>
        <v>320.22500000000002</v>
      </c>
      <c r="H113" s="93">
        <v>738486</v>
      </c>
      <c r="I113" s="94" t="s">
        <v>239</v>
      </c>
      <c r="J113" s="94" t="s">
        <v>11</v>
      </c>
      <c r="K113" s="94" t="s">
        <v>47</v>
      </c>
      <c r="L113" s="39">
        <v>92960447</v>
      </c>
    </row>
    <row r="114" spans="1:12" x14ac:dyDescent="0.25">
      <c r="A114" s="17">
        <v>2391</v>
      </c>
      <c r="B114" s="441" t="s">
        <v>240</v>
      </c>
      <c r="C114" s="393">
        <v>789.8</v>
      </c>
      <c r="D114" s="187">
        <v>0.25</v>
      </c>
      <c r="E114" s="187">
        <f t="shared" si="2"/>
        <v>197.45</v>
      </c>
      <c r="F114" s="187"/>
      <c r="G114" s="187">
        <f t="shared" si="3"/>
        <v>197.45</v>
      </c>
      <c r="H114" s="93">
        <v>952571</v>
      </c>
      <c r="I114" s="95" t="s">
        <v>241</v>
      </c>
      <c r="J114" s="94" t="s">
        <v>14</v>
      </c>
      <c r="K114" s="94" t="s">
        <v>55</v>
      </c>
      <c r="L114" s="39"/>
    </row>
    <row r="115" spans="1:12" x14ac:dyDescent="0.25">
      <c r="A115" s="13">
        <v>2392</v>
      </c>
      <c r="B115" s="438" t="s">
        <v>566</v>
      </c>
      <c r="C115" s="393">
        <v>325.39999999999998</v>
      </c>
      <c r="D115" s="187">
        <v>0.25</v>
      </c>
      <c r="E115" s="187">
        <f t="shared" si="2"/>
        <v>81.349999999999994</v>
      </c>
      <c r="F115" s="187"/>
      <c r="G115" s="187">
        <f t="shared" si="3"/>
        <v>81.349999999999994</v>
      </c>
      <c r="H115" s="90">
        <v>20054677</v>
      </c>
      <c r="I115" s="89" t="s">
        <v>565</v>
      </c>
      <c r="J115" s="90" t="s">
        <v>11</v>
      </c>
      <c r="K115" s="90"/>
      <c r="L115" s="13">
        <v>98955033</v>
      </c>
    </row>
    <row r="116" spans="1:12" x14ac:dyDescent="0.25">
      <c r="A116" s="13">
        <v>2400</v>
      </c>
      <c r="B116" s="438" t="s">
        <v>564</v>
      </c>
      <c r="C116" s="393">
        <v>514.70000000000005</v>
      </c>
      <c r="D116" s="187">
        <v>0.25</v>
      </c>
      <c r="E116" s="187">
        <f t="shared" si="2"/>
        <v>128.67500000000001</v>
      </c>
      <c r="F116" s="187"/>
      <c r="G116" s="187">
        <f t="shared" si="3"/>
        <v>128.67500000000001</v>
      </c>
      <c r="H116" s="90">
        <v>21522312</v>
      </c>
      <c r="I116" s="89" t="s">
        <v>563</v>
      </c>
      <c r="J116" s="90" t="s">
        <v>18</v>
      </c>
      <c r="K116" s="90"/>
      <c r="L116" s="13">
        <v>96066507</v>
      </c>
    </row>
    <row r="117" spans="1:12" x14ac:dyDescent="0.25">
      <c r="A117" s="13">
        <v>2401</v>
      </c>
      <c r="B117" s="438" t="s">
        <v>562</v>
      </c>
      <c r="C117" s="393">
        <v>515.70000000000005</v>
      </c>
      <c r="D117" s="187">
        <v>0.25</v>
      </c>
      <c r="E117" s="187">
        <f t="shared" si="2"/>
        <v>128.92500000000001</v>
      </c>
      <c r="F117" s="187"/>
      <c r="G117" s="187">
        <f t="shared" si="3"/>
        <v>128.92500000000001</v>
      </c>
      <c r="H117" s="90">
        <v>24154695</v>
      </c>
      <c r="I117" s="89" t="s">
        <v>561</v>
      </c>
      <c r="J117" s="90" t="s">
        <v>16</v>
      </c>
      <c r="K117" s="90" t="s">
        <v>47</v>
      </c>
      <c r="L117" s="13">
        <v>99584708</v>
      </c>
    </row>
    <row r="118" spans="1:12" x14ac:dyDescent="0.25">
      <c r="A118" s="449">
        <v>2402</v>
      </c>
      <c r="B118" s="450" t="s">
        <v>560</v>
      </c>
      <c r="C118" s="451"/>
      <c r="D118" s="452">
        <v>0.25</v>
      </c>
      <c r="E118" s="452">
        <f t="shared" si="2"/>
        <v>0</v>
      </c>
      <c r="F118" s="452"/>
      <c r="G118" s="452">
        <f t="shared" si="3"/>
        <v>0</v>
      </c>
      <c r="H118" s="453">
        <v>805323</v>
      </c>
      <c r="I118" s="89" t="s">
        <v>559</v>
      </c>
      <c r="J118" s="90" t="s">
        <v>14</v>
      </c>
      <c r="K118" s="90"/>
      <c r="L118" s="13">
        <v>92141256</v>
      </c>
    </row>
    <row r="119" spans="1:12" x14ac:dyDescent="0.25">
      <c r="A119" s="13">
        <v>2403</v>
      </c>
      <c r="B119" s="438" t="s">
        <v>558</v>
      </c>
      <c r="C119" s="393">
        <v>498</v>
      </c>
      <c r="D119" s="187">
        <v>0.25</v>
      </c>
      <c r="E119" s="187">
        <f t="shared" si="2"/>
        <v>124.5</v>
      </c>
      <c r="F119" s="187"/>
      <c r="G119" s="187">
        <f t="shared" si="3"/>
        <v>124.5</v>
      </c>
      <c r="H119" s="90">
        <v>7562374</v>
      </c>
      <c r="I119" s="89" t="s">
        <v>557</v>
      </c>
      <c r="J119" s="90" t="s">
        <v>14</v>
      </c>
      <c r="K119" s="90"/>
      <c r="L119" s="13">
        <v>91755668</v>
      </c>
    </row>
    <row r="120" spans="1:12" x14ac:dyDescent="0.25">
      <c r="A120" s="449">
        <v>2404</v>
      </c>
      <c r="B120" s="450" t="s">
        <v>556</v>
      </c>
      <c r="C120" s="451"/>
      <c r="D120" s="452">
        <v>0.25</v>
      </c>
      <c r="E120" s="452">
        <f t="shared" si="2"/>
        <v>0</v>
      </c>
      <c r="F120" s="452"/>
      <c r="G120" s="452">
        <f t="shared" si="3"/>
        <v>0</v>
      </c>
      <c r="H120" s="453">
        <v>5146838</v>
      </c>
      <c r="I120" s="89" t="s">
        <v>555</v>
      </c>
      <c r="J120" s="90" t="s">
        <v>18</v>
      </c>
      <c r="K120" s="90" t="s">
        <v>47</v>
      </c>
      <c r="L120" s="13">
        <v>99111132</v>
      </c>
    </row>
    <row r="121" spans="1:12" x14ac:dyDescent="0.25">
      <c r="A121" s="13">
        <v>2405</v>
      </c>
      <c r="B121" s="438" t="s">
        <v>554</v>
      </c>
      <c r="C121" s="393">
        <v>288.5</v>
      </c>
      <c r="D121" s="187">
        <v>0.25</v>
      </c>
      <c r="E121" s="187">
        <f t="shared" si="2"/>
        <v>72.125</v>
      </c>
      <c r="F121" s="187"/>
      <c r="G121" s="187">
        <f t="shared" si="3"/>
        <v>72.125</v>
      </c>
      <c r="H121" s="90">
        <v>21957473</v>
      </c>
      <c r="I121" s="89" t="s">
        <v>553</v>
      </c>
      <c r="J121" s="90" t="s">
        <v>18</v>
      </c>
      <c r="K121" s="90"/>
      <c r="L121" s="13">
        <v>99492349</v>
      </c>
    </row>
    <row r="122" spans="1:12" x14ac:dyDescent="0.25">
      <c r="A122" s="449">
        <v>2406</v>
      </c>
      <c r="B122" s="450" t="s">
        <v>552</v>
      </c>
      <c r="C122" s="451"/>
      <c r="D122" s="452">
        <v>0.25</v>
      </c>
      <c r="E122" s="452">
        <f t="shared" si="2"/>
        <v>0</v>
      </c>
      <c r="F122" s="452"/>
      <c r="G122" s="452">
        <f t="shared" si="3"/>
        <v>0</v>
      </c>
      <c r="H122" s="453">
        <v>14614758</v>
      </c>
      <c r="I122" s="89" t="s">
        <v>551</v>
      </c>
      <c r="J122" s="90" t="s">
        <v>18</v>
      </c>
      <c r="K122" s="90"/>
      <c r="L122" s="13">
        <v>90422500</v>
      </c>
    </row>
    <row r="123" spans="1:12" x14ac:dyDescent="0.25">
      <c r="A123" s="449">
        <v>2407</v>
      </c>
      <c r="B123" s="450" t="s">
        <v>550</v>
      </c>
      <c r="C123" s="451"/>
      <c r="D123" s="452">
        <v>0.25</v>
      </c>
      <c r="E123" s="452">
        <f t="shared" si="2"/>
        <v>0</v>
      </c>
      <c r="F123" s="452"/>
      <c r="G123" s="452">
        <f t="shared" si="3"/>
        <v>0</v>
      </c>
      <c r="H123" s="453">
        <v>5586325</v>
      </c>
      <c r="I123" s="89" t="s">
        <v>549</v>
      </c>
      <c r="J123" s="90" t="s">
        <v>18</v>
      </c>
      <c r="K123" s="90" t="s">
        <v>47</v>
      </c>
      <c r="L123" s="13">
        <v>91199514</v>
      </c>
    </row>
    <row r="124" spans="1:12" x14ac:dyDescent="0.25">
      <c r="A124" s="13">
        <v>2408</v>
      </c>
      <c r="B124" s="438" t="s">
        <v>548</v>
      </c>
      <c r="C124" s="393">
        <v>52.1</v>
      </c>
      <c r="D124" s="187">
        <v>0.25</v>
      </c>
      <c r="E124" s="187">
        <f t="shared" si="2"/>
        <v>13.025</v>
      </c>
      <c r="F124" s="187"/>
      <c r="G124" s="187">
        <f t="shared" si="3"/>
        <v>13.025</v>
      </c>
      <c r="H124" s="90">
        <v>7790427</v>
      </c>
      <c r="I124" s="89" t="s">
        <v>547</v>
      </c>
      <c r="J124" s="90" t="s">
        <v>18</v>
      </c>
      <c r="K124" s="90"/>
      <c r="L124" s="13">
        <v>96394004</v>
      </c>
    </row>
    <row r="125" spans="1:12" x14ac:dyDescent="0.25">
      <c r="A125" s="449">
        <v>2409</v>
      </c>
      <c r="B125" s="450" t="s">
        <v>546</v>
      </c>
      <c r="C125" s="451"/>
      <c r="D125" s="452">
        <v>0.25</v>
      </c>
      <c r="E125" s="452">
        <f t="shared" si="2"/>
        <v>0</v>
      </c>
      <c r="F125" s="452"/>
      <c r="G125" s="452">
        <f t="shared" si="3"/>
        <v>0</v>
      </c>
      <c r="H125" s="453">
        <v>19573665</v>
      </c>
      <c r="I125" s="89" t="s">
        <v>545</v>
      </c>
      <c r="J125" s="90" t="s">
        <v>18</v>
      </c>
      <c r="K125" s="90"/>
      <c r="L125" s="13">
        <v>98895532</v>
      </c>
    </row>
    <row r="126" spans="1:12" x14ac:dyDescent="0.25">
      <c r="A126" s="449">
        <v>2410</v>
      </c>
      <c r="B126" s="450" t="s">
        <v>544</v>
      </c>
      <c r="C126" s="451"/>
      <c r="D126" s="452">
        <v>0.25</v>
      </c>
      <c r="E126" s="452">
        <f t="shared" si="2"/>
        <v>0</v>
      </c>
      <c r="F126" s="452"/>
      <c r="G126" s="452">
        <f t="shared" si="3"/>
        <v>0</v>
      </c>
      <c r="H126" s="453">
        <v>21277364</v>
      </c>
      <c r="I126" s="89" t="s">
        <v>543</v>
      </c>
      <c r="J126" s="90" t="s">
        <v>18</v>
      </c>
      <c r="K126" s="90"/>
      <c r="L126" s="13">
        <v>98895532</v>
      </c>
    </row>
    <row r="127" spans="1:12" x14ac:dyDescent="0.25">
      <c r="A127" s="13">
        <v>2411</v>
      </c>
      <c r="B127" s="438" t="s">
        <v>542</v>
      </c>
      <c r="C127" s="393">
        <v>356.7</v>
      </c>
      <c r="D127" s="187">
        <v>0.25</v>
      </c>
      <c r="E127" s="187">
        <f t="shared" si="2"/>
        <v>89.174999999999997</v>
      </c>
      <c r="F127" s="187"/>
      <c r="G127" s="187">
        <f t="shared" si="3"/>
        <v>89.174999999999997</v>
      </c>
      <c r="H127" s="90">
        <v>22960574</v>
      </c>
      <c r="I127" s="89" t="s">
        <v>541</v>
      </c>
      <c r="J127" s="90" t="s">
        <v>14</v>
      </c>
      <c r="K127" s="90"/>
      <c r="L127" s="13">
        <v>92139763</v>
      </c>
    </row>
    <row r="128" spans="1:12" x14ac:dyDescent="0.25">
      <c r="A128" s="449">
        <v>2412</v>
      </c>
      <c r="B128" s="450" t="s">
        <v>540</v>
      </c>
      <c r="C128" s="451"/>
      <c r="D128" s="452">
        <v>0.25</v>
      </c>
      <c r="E128" s="452">
        <f t="shared" si="2"/>
        <v>0</v>
      </c>
      <c r="F128" s="452"/>
      <c r="G128" s="452">
        <f t="shared" si="3"/>
        <v>0</v>
      </c>
      <c r="H128" s="453">
        <v>21923766</v>
      </c>
      <c r="I128" s="89">
        <v>10600380878017</v>
      </c>
      <c r="J128" s="90" t="s">
        <v>50</v>
      </c>
      <c r="K128" s="90"/>
      <c r="L128" s="13">
        <v>91976544</v>
      </c>
    </row>
    <row r="129" spans="1:12" x14ac:dyDescent="0.25">
      <c r="A129" s="449">
        <v>2413</v>
      </c>
      <c r="B129" s="450" t="s">
        <v>539</v>
      </c>
      <c r="C129" s="451"/>
      <c r="D129" s="452">
        <v>0.25</v>
      </c>
      <c r="E129" s="452">
        <f t="shared" si="2"/>
        <v>0</v>
      </c>
      <c r="F129" s="452"/>
      <c r="G129" s="452">
        <f t="shared" si="3"/>
        <v>0</v>
      </c>
      <c r="H129" s="453">
        <v>4747784</v>
      </c>
      <c r="I129" s="89" t="s">
        <v>538</v>
      </c>
      <c r="J129" s="90" t="s">
        <v>18</v>
      </c>
      <c r="K129" s="90"/>
      <c r="L129" s="13">
        <v>99111159</v>
      </c>
    </row>
    <row r="130" spans="1:12" x14ac:dyDescent="0.25">
      <c r="A130" s="13">
        <v>2414</v>
      </c>
      <c r="B130" s="438" t="s">
        <v>537</v>
      </c>
      <c r="C130" s="393">
        <v>143.4</v>
      </c>
      <c r="D130" s="187">
        <v>0.25</v>
      </c>
      <c r="E130" s="187">
        <f t="shared" si="2"/>
        <v>35.85</v>
      </c>
      <c r="F130" s="187"/>
      <c r="G130" s="187">
        <f t="shared" si="3"/>
        <v>35.85</v>
      </c>
      <c r="H130" s="90">
        <v>21386722</v>
      </c>
      <c r="I130" s="89" t="s">
        <v>536</v>
      </c>
      <c r="J130" s="90" t="s">
        <v>18</v>
      </c>
      <c r="K130" s="90"/>
      <c r="L130" s="13">
        <v>98165777</v>
      </c>
    </row>
    <row r="131" spans="1:12" x14ac:dyDescent="0.25">
      <c r="A131" s="449">
        <v>2415</v>
      </c>
      <c r="B131" s="450" t="s">
        <v>535</v>
      </c>
      <c r="C131" s="451"/>
      <c r="D131" s="452">
        <v>0.25</v>
      </c>
      <c r="E131" s="452">
        <f t="shared" si="2"/>
        <v>0</v>
      </c>
      <c r="F131" s="452"/>
      <c r="G131" s="452">
        <f t="shared" si="3"/>
        <v>0</v>
      </c>
      <c r="H131" s="453">
        <v>10606683</v>
      </c>
      <c r="I131" s="89">
        <v>10060323147001</v>
      </c>
      <c r="J131" s="90" t="s">
        <v>50</v>
      </c>
      <c r="K131" s="90"/>
      <c r="L131" s="13">
        <v>92391517</v>
      </c>
    </row>
    <row r="132" spans="1:12" x14ac:dyDescent="0.25">
      <c r="A132" s="13">
        <v>2416</v>
      </c>
      <c r="B132" s="438" t="s">
        <v>534</v>
      </c>
      <c r="C132" s="393">
        <v>399.4</v>
      </c>
      <c r="D132" s="187">
        <v>0.25</v>
      </c>
      <c r="E132" s="187">
        <f t="shared" si="2"/>
        <v>99.85</v>
      </c>
      <c r="F132" s="187"/>
      <c r="G132" s="187">
        <f t="shared" si="3"/>
        <v>99.85</v>
      </c>
      <c r="H132" s="90">
        <v>20001264</v>
      </c>
      <c r="I132" s="89" t="s">
        <v>533</v>
      </c>
      <c r="J132" s="90" t="s">
        <v>18</v>
      </c>
      <c r="K132" s="90"/>
      <c r="L132" s="13">
        <v>90194995</v>
      </c>
    </row>
    <row r="133" spans="1:12" x14ac:dyDescent="0.25">
      <c r="A133" s="13">
        <v>2417</v>
      </c>
      <c r="B133" s="438" t="s">
        <v>532</v>
      </c>
      <c r="C133" s="393">
        <v>25.5</v>
      </c>
      <c r="D133" s="187">
        <v>0.25</v>
      </c>
      <c r="E133" s="187">
        <f t="shared" si="2"/>
        <v>6.375</v>
      </c>
      <c r="F133" s="187"/>
      <c r="G133" s="187">
        <f t="shared" si="3"/>
        <v>6.375</v>
      </c>
      <c r="H133" s="90">
        <v>20133681</v>
      </c>
      <c r="I133" s="89" t="s">
        <v>531</v>
      </c>
      <c r="J133" s="90" t="s">
        <v>18</v>
      </c>
      <c r="K133" s="90"/>
      <c r="L133" s="13">
        <v>99832113</v>
      </c>
    </row>
    <row r="134" spans="1:12" x14ac:dyDescent="0.25">
      <c r="A134" s="13">
        <v>2418</v>
      </c>
      <c r="B134" s="438" t="s">
        <v>530</v>
      </c>
      <c r="C134" s="393">
        <v>306.60000000000002</v>
      </c>
      <c r="D134" s="187">
        <v>0.25</v>
      </c>
      <c r="E134" s="187">
        <f t="shared" si="2"/>
        <v>76.650000000000006</v>
      </c>
      <c r="F134" s="187"/>
      <c r="G134" s="187">
        <f t="shared" ref="G134:G197" si="5">E134-F134</f>
        <v>76.650000000000006</v>
      </c>
      <c r="H134" s="90">
        <v>21230564</v>
      </c>
      <c r="I134" s="89" t="s">
        <v>529</v>
      </c>
      <c r="J134" s="90" t="s">
        <v>18</v>
      </c>
      <c r="K134" s="90"/>
      <c r="L134" s="13">
        <v>92763233</v>
      </c>
    </row>
    <row r="135" spans="1:12" x14ac:dyDescent="0.25">
      <c r="A135" s="13">
        <v>2419</v>
      </c>
      <c r="B135" s="438" t="s">
        <v>528</v>
      </c>
      <c r="C135" s="393">
        <v>387.7</v>
      </c>
      <c r="D135" s="187">
        <v>0.25</v>
      </c>
      <c r="E135" s="187">
        <f t="shared" ref="E135:E201" si="6">C135*D135</f>
        <v>96.924999999999997</v>
      </c>
      <c r="F135" s="187"/>
      <c r="G135" s="187">
        <f t="shared" si="5"/>
        <v>96.924999999999997</v>
      </c>
      <c r="H135" s="90">
        <v>21970257</v>
      </c>
      <c r="I135" s="89" t="s">
        <v>527</v>
      </c>
      <c r="J135" s="90" t="s">
        <v>18</v>
      </c>
      <c r="K135" s="90"/>
      <c r="L135" s="13">
        <v>99112407</v>
      </c>
    </row>
    <row r="136" spans="1:12" x14ac:dyDescent="0.25">
      <c r="A136" s="449">
        <v>2420</v>
      </c>
      <c r="B136" s="450" t="s">
        <v>526</v>
      </c>
      <c r="C136" s="451"/>
      <c r="D136" s="452">
        <v>0.25</v>
      </c>
      <c r="E136" s="452">
        <f t="shared" si="6"/>
        <v>0</v>
      </c>
      <c r="F136" s="452"/>
      <c r="G136" s="452">
        <f t="shared" si="5"/>
        <v>0</v>
      </c>
      <c r="H136" s="453">
        <v>21915674</v>
      </c>
      <c r="I136" s="89" t="s">
        <v>525</v>
      </c>
      <c r="J136" s="90" t="s">
        <v>18</v>
      </c>
      <c r="K136" s="90"/>
      <c r="L136" s="13">
        <v>92477050</v>
      </c>
    </row>
    <row r="137" spans="1:12" x14ac:dyDescent="0.25">
      <c r="A137" s="13">
        <v>2421</v>
      </c>
      <c r="B137" s="438" t="s">
        <v>524</v>
      </c>
      <c r="C137" s="393">
        <v>499.1</v>
      </c>
      <c r="D137" s="187">
        <v>0.25</v>
      </c>
      <c r="E137" s="187">
        <f t="shared" si="6"/>
        <v>124.77500000000001</v>
      </c>
      <c r="F137" s="187"/>
      <c r="G137" s="187">
        <f t="shared" si="5"/>
        <v>124.77500000000001</v>
      </c>
      <c r="H137" s="90">
        <v>12449617</v>
      </c>
      <c r="I137" s="89" t="s">
        <v>523</v>
      </c>
      <c r="J137" s="90" t="s">
        <v>18</v>
      </c>
      <c r="K137" s="90"/>
      <c r="L137" s="13">
        <v>93639790</v>
      </c>
    </row>
    <row r="138" spans="1:12" x14ac:dyDescent="0.25">
      <c r="A138" s="13">
        <v>2422</v>
      </c>
      <c r="B138" s="438" t="s">
        <v>522</v>
      </c>
      <c r="C138" s="393">
        <v>545.79999999999995</v>
      </c>
      <c r="D138" s="187">
        <v>0.25</v>
      </c>
      <c r="E138" s="187">
        <f t="shared" si="6"/>
        <v>136.44999999999999</v>
      </c>
      <c r="F138" s="187"/>
      <c r="G138" s="187">
        <f t="shared" si="5"/>
        <v>136.44999999999999</v>
      </c>
      <c r="H138" s="90">
        <v>3457326</v>
      </c>
      <c r="I138" s="89" t="s">
        <v>521</v>
      </c>
      <c r="J138" s="90" t="s">
        <v>18</v>
      </c>
      <c r="K138" s="90"/>
      <c r="L138" s="13">
        <v>91290077</v>
      </c>
    </row>
    <row r="139" spans="1:12" x14ac:dyDescent="0.25">
      <c r="A139" s="13">
        <v>2423</v>
      </c>
      <c r="B139" s="438" t="s">
        <v>520</v>
      </c>
      <c r="C139" s="393">
        <v>165.8</v>
      </c>
      <c r="D139" s="187">
        <v>0.25</v>
      </c>
      <c r="E139" s="187">
        <f t="shared" si="6"/>
        <v>41.45</v>
      </c>
      <c r="F139" s="187"/>
      <c r="G139" s="187">
        <f t="shared" si="5"/>
        <v>41.45</v>
      </c>
      <c r="H139" s="90">
        <v>19952186</v>
      </c>
      <c r="I139" s="89" t="s">
        <v>519</v>
      </c>
      <c r="J139" s="90" t="s">
        <v>18</v>
      </c>
      <c r="K139" s="90"/>
      <c r="L139" s="13">
        <v>92960031</v>
      </c>
    </row>
    <row r="140" spans="1:12" x14ac:dyDescent="0.25">
      <c r="A140" s="13">
        <v>2424</v>
      </c>
      <c r="B140" s="438" t="s">
        <v>518</v>
      </c>
      <c r="C140" s="393">
        <v>189.8</v>
      </c>
      <c r="D140" s="187">
        <v>0.25</v>
      </c>
      <c r="E140" s="187">
        <f t="shared" si="6"/>
        <v>47.45</v>
      </c>
      <c r="F140" s="187"/>
      <c r="G140" s="187">
        <f t="shared" si="5"/>
        <v>47.45</v>
      </c>
      <c r="H140" s="90">
        <v>24187573</v>
      </c>
      <c r="I140" s="89" t="s">
        <v>517</v>
      </c>
      <c r="J140" s="90" t="s">
        <v>18</v>
      </c>
      <c r="K140" s="90"/>
      <c r="L140" s="13">
        <v>98585956</v>
      </c>
    </row>
    <row r="141" spans="1:12" x14ac:dyDescent="0.25">
      <c r="A141" s="449">
        <v>2425</v>
      </c>
      <c r="B141" s="450" t="s">
        <v>516</v>
      </c>
      <c r="C141" s="451"/>
      <c r="D141" s="452">
        <v>0.25</v>
      </c>
      <c r="E141" s="452">
        <f t="shared" si="6"/>
        <v>0</v>
      </c>
      <c r="F141" s="452"/>
      <c r="G141" s="452">
        <f t="shared" si="5"/>
        <v>0</v>
      </c>
      <c r="H141" s="453">
        <v>6460241</v>
      </c>
      <c r="I141" s="89">
        <v>10830442149001</v>
      </c>
      <c r="J141" s="90" t="s">
        <v>14</v>
      </c>
      <c r="K141" s="90"/>
      <c r="L141" s="13">
        <v>92550479</v>
      </c>
    </row>
    <row r="142" spans="1:12" x14ac:dyDescent="0.25">
      <c r="A142" s="13">
        <v>2426</v>
      </c>
      <c r="B142" s="438" t="s">
        <v>515</v>
      </c>
      <c r="C142" s="393">
        <v>544.9</v>
      </c>
      <c r="D142" s="187">
        <v>0.25</v>
      </c>
      <c r="E142" s="187">
        <f t="shared" si="6"/>
        <v>136.22499999999999</v>
      </c>
      <c r="F142" s="187"/>
      <c r="G142" s="187">
        <f t="shared" si="5"/>
        <v>136.22499999999999</v>
      </c>
      <c r="H142" s="90">
        <v>8186</v>
      </c>
      <c r="I142" s="89">
        <v>3129202361500</v>
      </c>
      <c r="J142" s="90" t="s">
        <v>81</v>
      </c>
      <c r="K142" s="90"/>
      <c r="L142" s="13"/>
    </row>
    <row r="143" spans="1:12" x14ac:dyDescent="0.25">
      <c r="A143" s="13">
        <v>2427</v>
      </c>
      <c r="B143" s="438" t="s">
        <v>514</v>
      </c>
      <c r="C143" s="393">
        <v>324.89999999999998</v>
      </c>
      <c r="D143" s="187">
        <v>0.25</v>
      </c>
      <c r="E143" s="187">
        <f t="shared" si="6"/>
        <v>81.224999999999994</v>
      </c>
      <c r="F143" s="187"/>
      <c r="G143" s="187">
        <f t="shared" si="5"/>
        <v>81.224999999999994</v>
      </c>
      <c r="H143" s="90">
        <v>24992905</v>
      </c>
      <c r="I143" s="89" t="s">
        <v>513</v>
      </c>
      <c r="J143" s="90" t="s">
        <v>11</v>
      </c>
      <c r="K143" s="90"/>
      <c r="L143" s="13">
        <v>91222276</v>
      </c>
    </row>
    <row r="144" spans="1:12" x14ac:dyDescent="0.25">
      <c r="A144" s="13">
        <v>2428</v>
      </c>
      <c r="B144" s="438" t="s">
        <v>512</v>
      </c>
      <c r="C144" s="393">
        <v>349.1</v>
      </c>
      <c r="D144" s="187">
        <v>0.25</v>
      </c>
      <c r="E144" s="187">
        <f t="shared" si="6"/>
        <v>87.275000000000006</v>
      </c>
      <c r="F144" s="187"/>
      <c r="G144" s="187">
        <f t="shared" si="5"/>
        <v>87.275000000000006</v>
      </c>
      <c r="H144" s="90">
        <v>1254982</v>
      </c>
      <c r="I144" s="89" t="s">
        <v>412</v>
      </c>
      <c r="J144" s="90" t="s">
        <v>11</v>
      </c>
      <c r="K144" s="90"/>
      <c r="L144" s="13">
        <v>92566993</v>
      </c>
    </row>
    <row r="145" spans="1:12" x14ac:dyDescent="0.25">
      <c r="A145" s="13">
        <v>2429</v>
      </c>
      <c r="B145" s="438" t="s">
        <v>511</v>
      </c>
      <c r="C145" s="393">
        <v>384.3</v>
      </c>
      <c r="D145" s="187">
        <v>0.25</v>
      </c>
      <c r="E145" s="187">
        <f t="shared" si="6"/>
        <v>96.075000000000003</v>
      </c>
      <c r="F145" s="187"/>
      <c r="G145" s="187">
        <f t="shared" si="5"/>
        <v>96.075000000000003</v>
      </c>
      <c r="H145" s="90">
        <v>21219395</v>
      </c>
      <c r="I145" s="89" t="s">
        <v>510</v>
      </c>
      <c r="J145" s="90" t="s">
        <v>11</v>
      </c>
      <c r="K145" s="90"/>
      <c r="L145" s="13">
        <v>92983191</v>
      </c>
    </row>
    <row r="146" spans="1:12" x14ac:dyDescent="0.25">
      <c r="A146" s="13">
        <v>2430</v>
      </c>
      <c r="B146" s="438" t="s">
        <v>509</v>
      </c>
      <c r="C146" s="393">
        <v>534.9</v>
      </c>
      <c r="D146" s="187">
        <v>0.25</v>
      </c>
      <c r="E146" s="187">
        <f t="shared" si="6"/>
        <v>133.72499999999999</v>
      </c>
      <c r="F146" s="187"/>
      <c r="G146" s="187">
        <f t="shared" si="5"/>
        <v>133.72499999999999</v>
      </c>
      <c r="H146" s="90">
        <v>5961982</v>
      </c>
      <c r="I146" s="89" t="s">
        <v>508</v>
      </c>
      <c r="J146" s="90" t="s">
        <v>50</v>
      </c>
      <c r="K146" s="90"/>
      <c r="L146" s="13">
        <v>99787037</v>
      </c>
    </row>
    <row r="147" spans="1:12" x14ac:dyDescent="0.25">
      <c r="A147" s="13">
        <v>2431</v>
      </c>
      <c r="B147" s="438" t="s">
        <v>507</v>
      </c>
      <c r="C147" s="393">
        <v>251.6</v>
      </c>
      <c r="D147" s="187">
        <v>0.25</v>
      </c>
      <c r="E147" s="187">
        <f t="shared" si="6"/>
        <v>62.9</v>
      </c>
      <c r="F147" s="187"/>
      <c r="G147" s="187">
        <f t="shared" si="5"/>
        <v>62.9</v>
      </c>
      <c r="H147" s="90">
        <v>7534764</v>
      </c>
      <c r="I147" s="89" t="s">
        <v>506</v>
      </c>
      <c r="J147" s="90" t="s">
        <v>14</v>
      </c>
      <c r="K147" s="90"/>
      <c r="L147" s="13">
        <v>91222276</v>
      </c>
    </row>
    <row r="148" spans="1:12" x14ac:dyDescent="0.25">
      <c r="A148" s="13">
        <v>2432</v>
      </c>
      <c r="B148" s="438" t="s">
        <v>505</v>
      </c>
      <c r="C148" s="393">
        <v>312.39999999999998</v>
      </c>
      <c r="D148" s="187">
        <v>0.25</v>
      </c>
      <c r="E148" s="187">
        <f t="shared" si="6"/>
        <v>78.099999999999994</v>
      </c>
      <c r="F148" s="187"/>
      <c r="G148" s="187">
        <f t="shared" si="5"/>
        <v>78.099999999999994</v>
      </c>
      <c r="H148" s="90">
        <v>7534801</v>
      </c>
      <c r="I148" s="89" t="s">
        <v>504</v>
      </c>
      <c r="J148" s="90" t="s">
        <v>14</v>
      </c>
      <c r="K148" s="90"/>
      <c r="L148" s="13">
        <v>91222276</v>
      </c>
    </row>
    <row r="149" spans="1:12" x14ac:dyDescent="0.25">
      <c r="A149" s="13">
        <v>2433</v>
      </c>
      <c r="B149" s="438" t="s">
        <v>503</v>
      </c>
      <c r="C149" s="393">
        <v>513.6</v>
      </c>
      <c r="D149" s="187">
        <v>0.25</v>
      </c>
      <c r="E149" s="187">
        <f t="shared" si="6"/>
        <v>128.4</v>
      </c>
      <c r="F149" s="187"/>
      <c r="G149" s="187">
        <f t="shared" si="5"/>
        <v>128.4</v>
      </c>
      <c r="H149" s="90">
        <v>5911959</v>
      </c>
      <c r="I149" s="89" t="s">
        <v>502</v>
      </c>
      <c r="J149" s="90" t="s">
        <v>14</v>
      </c>
      <c r="K149" s="90"/>
      <c r="L149" s="13">
        <v>99195434</v>
      </c>
    </row>
    <row r="150" spans="1:12" x14ac:dyDescent="0.25">
      <c r="A150" s="13">
        <v>2434</v>
      </c>
      <c r="B150" s="438" t="s">
        <v>501</v>
      </c>
      <c r="C150" s="393">
        <v>312.5</v>
      </c>
      <c r="D150" s="187">
        <v>0.25</v>
      </c>
      <c r="E150" s="187">
        <f t="shared" si="6"/>
        <v>78.125</v>
      </c>
      <c r="F150" s="187"/>
      <c r="G150" s="187">
        <f t="shared" si="5"/>
        <v>78.125</v>
      </c>
      <c r="H150" s="90">
        <v>5725461</v>
      </c>
      <c r="I150" s="89" t="s">
        <v>500</v>
      </c>
      <c r="J150" s="90" t="s">
        <v>11</v>
      </c>
      <c r="K150" s="90"/>
      <c r="L150" s="13">
        <v>91337496</v>
      </c>
    </row>
    <row r="151" spans="1:12" x14ac:dyDescent="0.25">
      <c r="A151" s="13">
        <v>2435</v>
      </c>
      <c r="B151" s="438" t="s">
        <v>499</v>
      </c>
      <c r="C151" s="393">
        <v>436.6</v>
      </c>
      <c r="D151" s="187">
        <v>0.25</v>
      </c>
      <c r="E151" s="187">
        <f t="shared" si="6"/>
        <v>109.15</v>
      </c>
      <c r="F151" s="187"/>
      <c r="G151" s="187">
        <f t="shared" si="5"/>
        <v>109.15</v>
      </c>
      <c r="H151" s="90">
        <v>1253923</v>
      </c>
      <c r="I151" s="89">
        <v>1006261375017</v>
      </c>
      <c r="J151" s="90" t="s">
        <v>50</v>
      </c>
      <c r="K151" s="90"/>
      <c r="L151" s="13">
        <v>93638182</v>
      </c>
    </row>
    <row r="152" spans="1:12" x14ac:dyDescent="0.25">
      <c r="A152" s="449">
        <v>2436</v>
      </c>
      <c r="B152" s="450" t="s">
        <v>613</v>
      </c>
      <c r="C152" s="451"/>
      <c r="D152" s="452">
        <v>0.25</v>
      </c>
      <c r="E152" s="452">
        <f t="shared" si="6"/>
        <v>0</v>
      </c>
      <c r="F152" s="452"/>
      <c r="G152" s="452">
        <f t="shared" si="5"/>
        <v>0</v>
      </c>
      <c r="H152" s="453">
        <v>675043</v>
      </c>
      <c r="I152" s="89" t="s">
        <v>496</v>
      </c>
      <c r="J152" s="90" t="s">
        <v>11</v>
      </c>
      <c r="K152" s="90"/>
      <c r="L152" s="13">
        <v>92411044</v>
      </c>
    </row>
    <row r="153" spans="1:12" x14ac:dyDescent="0.25">
      <c r="A153" s="13">
        <v>2437</v>
      </c>
      <c r="B153" s="438" t="s">
        <v>497</v>
      </c>
      <c r="C153" s="393">
        <v>200.2</v>
      </c>
      <c r="D153" s="187">
        <v>0.25</v>
      </c>
      <c r="E153" s="187">
        <f t="shared" si="6"/>
        <v>50.05</v>
      </c>
      <c r="F153" s="187"/>
      <c r="G153" s="187">
        <f t="shared" si="5"/>
        <v>50.05</v>
      </c>
      <c r="H153" s="90">
        <v>22984194</v>
      </c>
      <c r="I153" s="89" t="s">
        <v>496</v>
      </c>
      <c r="J153" s="90" t="s">
        <v>11</v>
      </c>
      <c r="K153" s="90"/>
      <c r="L153" s="13">
        <v>98152202</v>
      </c>
    </row>
    <row r="154" spans="1:12" x14ac:dyDescent="0.25">
      <c r="A154" s="13">
        <v>2438</v>
      </c>
      <c r="B154" s="438" t="s">
        <v>495</v>
      </c>
      <c r="C154" s="393">
        <v>439.1</v>
      </c>
      <c r="D154" s="187">
        <v>0.25</v>
      </c>
      <c r="E154" s="187">
        <f t="shared" si="6"/>
        <v>109.77500000000001</v>
      </c>
      <c r="F154" s="187"/>
      <c r="G154" s="187">
        <f t="shared" si="5"/>
        <v>109.77500000000001</v>
      </c>
      <c r="H154" s="90">
        <v>7813752</v>
      </c>
      <c r="I154" s="89">
        <v>3109611932700</v>
      </c>
      <c r="J154" s="90" t="s">
        <v>81</v>
      </c>
      <c r="K154" s="90"/>
      <c r="L154" s="13">
        <v>92746334</v>
      </c>
    </row>
    <row r="155" spans="1:12" x14ac:dyDescent="0.25">
      <c r="A155" s="13">
        <v>2439</v>
      </c>
      <c r="B155" s="438" t="s">
        <v>494</v>
      </c>
      <c r="C155" s="393">
        <v>416.4</v>
      </c>
      <c r="D155" s="187">
        <v>0.25</v>
      </c>
      <c r="E155" s="187">
        <f t="shared" si="6"/>
        <v>104.1</v>
      </c>
      <c r="F155" s="187"/>
      <c r="G155" s="187">
        <f t="shared" si="5"/>
        <v>104.1</v>
      </c>
      <c r="H155" s="90">
        <v>5207939</v>
      </c>
      <c r="I155" s="89" t="s">
        <v>481</v>
      </c>
      <c r="J155" s="90" t="s">
        <v>11</v>
      </c>
      <c r="K155" s="90"/>
      <c r="L155" s="13">
        <v>92850044</v>
      </c>
    </row>
    <row r="156" spans="1:12" x14ac:dyDescent="0.25">
      <c r="A156" s="13">
        <v>2440</v>
      </c>
      <c r="B156" s="438" t="s">
        <v>493</v>
      </c>
      <c r="C156" s="393">
        <v>421.3</v>
      </c>
      <c r="D156" s="187">
        <v>0.25</v>
      </c>
      <c r="E156" s="187">
        <f t="shared" si="6"/>
        <v>105.325</v>
      </c>
      <c r="F156" s="187"/>
      <c r="G156" s="187">
        <f t="shared" si="5"/>
        <v>105.325</v>
      </c>
      <c r="H156" s="90">
        <v>5208008</v>
      </c>
      <c r="I156" s="89" t="s">
        <v>481</v>
      </c>
      <c r="J156" s="90" t="s">
        <v>11</v>
      </c>
      <c r="K156" s="90"/>
      <c r="L156" s="13">
        <v>95242286</v>
      </c>
    </row>
    <row r="157" spans="1:12" x14ac:dyDescent="0.25">
      <c r="A157" s="13">
        <v>2441</v>
      </c>
      <c r="B157" s="438" t="s">
        <v>492</v>
      </c>
      <c r="C157" s="393">
        <v>334.3</v>
      </c>
      <c r="D157" s="187">
        <v>0.25</v>
      </c>
      <c r="E157" s="187">
        <f t="shared" si="6"/>
        <v>83.575000000000003</v>
      </c>
      <c r="F157" s="187"/>
      <c r="G157" s="187">
        <f t="shared" si="5"/>
        <v>83.575000000000003</v>
      </c>
      <c r="H157" s="90">
        <v>25029513</v>
      </c>
      <c r="I157" s="89" t="s">
        <v>491</v>
      </c>
      <c r="J157" s="90" t="s">
        <v>11</v>
      </c>
      <c r="K157" s="90"/>
      <c r="L157" s="13">
        <v>91133515</v>
      </c>
    </row>
    <row r="158" spans="1:12" x14ac:dyDescent="0.25">
      <c r="A158" s="13">
        <v>2442</v>
      </c>
      <c r="B158" s="438" t="s">
        <v>490</v>
      </c>
      <c r="C158" s="393">
        <v>34.299999999999997</v>
      </c>
      <c r="D158" s="187">
        <v>0.25</v>
      </c>
      <c r="E158" s="187">
        <f t="shared" si="6"/>
        <v>8.5749999999999993</v>
      </c>
      <c r="F158" s="187"/>
      <c r="G158" s="187">
        <f t="shared" si="5"/>
        <v>8.5749999999999993</v>
      </c>
      <c r="H158" s="90">
        <v>4741692</v>
      </c>
      <c r="I158" s="89" t="s">
        <v>489</v>
      </c>
      <c r="J158" s="90" t="s">
        <v>11</v>
      </c>
      <c r="K158" s="90"/>
      <c r="L158" s="13">
        <v>99832113</v>
      </c>
    </row>
    <row r="159" spans="1:12" x14ac:dyDescent="0.25">
      <c r="A159" s="13">
        <v>2443</v>
      </c>
      <c r="B159" s="438" t="s">
        <v>488</v>
      </c>
      <c r="C159" s="393">
        <v>17.2</v>
      </c>
      <c r="D159" s="187">
        <v>0.25</v>
      </c>
      <c r="E159" s="187">
        <f t="shared" si="6"/>
        <v>4.3</v>
      </c>
      <c r="F159" s="187"/>
      <c r="G159" s="187">
        <f t="shared" si="5"/>
        <v>4.3</v>
      </c>
      <c r="H159" s="90">
        <v>18184709</v>
      </c>
      <c r="I159" s="89" t="s">
        <v>487</v>
      </c>
      <c r="J159" s="90" t="s">
        <v>11</v>
      </c>
      <c r="K159" s="90"/>
      <c r="L159" s="13">
        <v>92953353</v>
      </c>
    </row>
    <row r="160" spans="1:12" x14ac:dyDescent="0.25">
      <c r="A160" s="13">
        <v>2444</v>
      </c>
      <c r="B160" s="438" t="s">
        <v>486</v>
      </c>
      <c r="C160" s="393">
        <v>494.8</v>
      </c>
      <c r="D160" s="187">
        <v>0.25</v>
      </c>
      <c r="E160" s="187">
        <f t="shared" si="6"/>
        <v>123.7</v>
      </c>
      <c r="F160" s="187"/>
      <c r="G160" s="187">
        <f t="shared" si="5"/>
        <v>123.7</v>
      </c>
      <c r="H160" s="90">
        <v>24568402</v>
      </c>
      <c r="I160" s="89" t="s">
        <v>485</v>
      </c>
      <c r="J160" s="90" t="s">
        <v>11</v>
      </c>
      <c r="K160" s="90"/>
      <c r="L160" s="13">
        <v>91199565</v>
      </c>
    </row>
    <row r="161" spans="1:12" x14ac:dyDescent="0.25">
      <c r="A161" s="13">
        <v>2445</v>
      </c>
      <c r="B161" s="438" t="s">
        <v>484</v>
      </c>
      <c r="C161" s="393">
        <v>467.8</v>
      </c>
      <c r="D161" s="187">
        <v>0.25</v>
      </c>
      <c r="E161" s="187">
        <f t="shared" si="6"/>
        <v>116.95</v>
      </c>
      <c r="F161" s="187"/>
      <c r="G161" s="187">
        <f t="shared" si="5"/>
        <v>116.95</v>
      </c>
      <c r="H161" s="90">
        <v>4710747</v>
      </c>
      <c r="I161" s="89" t="s">
        <v>483</v>
      </c>
      <c r="J161" s="90" t="s">
        <v>11</v>
      </c>
      <c r="K161" s="90"/>
      <c r="L161" s="13">
        <v>99272177</v>
      </c>
    </row>
    <row r="162" spans="1:12" x14ac:dyDescent="0.25">
      <c r="A162" s="13">
        <v>2446</v>
      </c>
      <c r="B162" s="438" t="s">
        <v>482</v>
      </c>
      <c r="C162" s="393">
        <v>403.3</v>
      </c>
      <c r="D162" s="187">
        <v>0.25</v>
      </c>
      <c r="E162" s="187">
        <f t="shared" si="6"/>
        <v>100.825</v>
      </c>
      <c r="F162" s="187"/>
      <c r="G162" s="187">
        <f t="shared" si="5"/>
        <v>100.825</v>
      </c>
      <c r="H162" s="90">
        <v>24608881</v>
      </c>
      <c r="I162" s="89" t="s">
        <v>481</v>
      </c>
      <c r="J162" s="90" t="s">
        <v>11</v>
      </c>
      <c r="K162" s="90"/>
      <c r="L162" s="13">
        <v>99488331</v>
      </c>
    </row>
    <row r="163" spans="1:12" x14ac:dyDescent="0.25">
      <c r="A163" s="13">
        <v>2447</v>
      </c>
      <c r="B163" s="438" t="s">
        <v>480</v>
      </c>
      <c r="C163" s="393">
        <v>534.79999999999995</v>
      </c>
      <c r="D163" s="187">
        <v>0.25</v>
      </c>
      <c r="E163" s="187">
        <f t="shared" si="6"/>
        <v>133.69999999999999</v>
      </c>
      <c r="F163" s="187"/>
      <c r="G163" s="187">
        <f t="shared" si="5"/>
        <v>133.69999999999999</v>
      </c>
      <c r="H163" s="90">
        <v>4815215</v>
      </c>
      <c r="I163" s="89" t="s">
        <v>479</v>
      </c>
      <c r="J163" s="90" t="s">
        <v>11</v>
      </c>
      <c r="K163" s="90"/>
      <c r="L163" s="13">
        <v>99697227</v>
      </c>
    </row>
    <row r="164" spans="1:12" x14ac:dyDescent="0.25">
      <c r="A164" s="13">
        <v>2448</v>
      </c>
      <c r="B164" s="438" t="s">
        <v>478</v>
      </c>
      <c r="C164" s="393">
        <v>528.20000000000005</v>
      </c>
      <c r="D164" s="187">
        <v>0.25</v>
      </c>
      <c r="E164" s="187">
        <f t="shared" si="6"/>
        <v>132.05000000000001</v>
      </c>
      <c r="F164" s="187"/>
      <c r="G164" s="187">
        <f t="shared" si="5"/>
        <v>132.05000000000001</v>
      </c>
      <c r="H164" s="90">
        <v>4815197</v>
      </c>
      <c r="I164" s="89" t="s">
        <v>477</v>
      </c>
      <c r="J164" s="90" t="s">
        <v>11</v>
      </c>
      <c r="K164" s="90"/>
      <c r="L164" s="13">
        <v>99697227</v>
      </c>
    </row>
    <row r="165" spans="1:12" x14ac:dyDescent="0.25">
      <c r="A165" s="13">
        <v>2449</v>
      </c>
      <c r="B165" s="438" t="s">
        <v>476</v>
      </c>
      <c r="C165" s="393">
        <v>463</v>
      </c>
      <c r="D165" s="187">
        <v>0.25</v>
      </c>
      <c r="E165" s="187">
        <f t="shared" si="6"/>
        <v>115.75</v>
      </c>
      <c r="F165" s="187"/>
      <c r="G165" s="187">
        <f t="shared" si="5"/>
        <v>115.75</v>
      </c>
      <c r="H165" s="90">
        <v>24912693</v>
      </c>
      <c r="I165" s="89" t="s">
        <v>475</v>
      </c>
      <c r="J165" s="90" t="s">
        <v>11</v>
      </c>
      <c r="K165" s="90"/>
      <c r="L165" s="13">
        <v>98061810</v>
      </c>
    </row>
    <row r="166" spans="1:12" x14ac:dyDescent="0.25">
      <c r="A166" s="449">
        <v>2450</v>
      </c>
      <c r="B166" s="450" t="s">
        <v>474</v>
      </c>
      <c r="C166" s="451"/>
      <c r="D166" s="452">
        <v>0.25</v>
      </c>
      <c r="E166" s="452">
        <f t="shared" si="6"/>
        <v>0</v>
      </c>
      <c r="F166" s="452"/>
      <c r="G166" s="452">
        <f t="shared" si="5"/>
        <v>0</v>
      </c>
      <c r="H166" s="453">
        <v>27754827</v>
      </c>
      <c r="I166" s="89">
        <v>10600543787017</v>
      </c>
      <c r="J166" s="90" t="s">
        <v>50</v>
      </c>
      <c r="K166" s="90"/>
      <c r="L166" s="13">
        <v>98061810</v>
      </c>
    </row>
    <row r="167" spans="1:12" x14ac:dyDescent="0.25">
      <c r="A167" s="13">
        <v>2451</v>
      </c>
      <c r="B167" s="438" t="s">
        <v>473</v>
      </c>
      <c r="C167" s="393">
        <v>429.5</v>
      </c>
      <c r="D167" s="187">
        <v>0.25</v>
      </c>
      <c r="E167" s="187">
        <f t="shared" si="6"/>
        <v>107.375</v>
      </c>
      <c r="F167" s="187"/>
      <c r="G167" s="187">
        <f t="shared" si="5"/>
        <v>107.375</v>
      </c>
      <c r="H167" s="90">
        <v>5679738</v>
      </c>
      <c r="I167" s="89" t="s">
        <v>356</v>
      </c>
      <c r="J167" s="90" t="s">
        <v>11</v>
      </c>
      <c r="K167" s="90"/>
      <c r="L167" s="13">
        <v>95606291</v>
      </c>
    </row>
    <row r="168" spans="1:12" x14ac:dyDescent="0.25">
      <c r="A168" s="449">
        <v>2452</v>
      </c>
      <c r="B168" s="450" t="s">
        <v>472</v>
      </c>
      <c r="C168" s="451"/>
      <c r="D168" s="452">
        <v>0.25</v>
      </c>
      <c r="E168" s="452">
        <f t="shared" si="6"/>
        <v>0</v>
      </c>
      <c r="F168" s="452"/>
      <c r="G168" s="452">
        <f t="shared" si="5"/>
        <v>0</v>
      </c>
      <c r="H168" s="453">
        <v>23192109</v>
      </c>
      <c r="I168" s="89" t="s">
        <v>471</v>
      </c>
      <c r="J168" s="90" t="s">
        <v>11</v>
      </c>
      <c r="K168" s="90"/>
      <c r="L168" s="13">
        <v>98550071</v>
      </c>
    </row>
    <row r="169" spans="1:12" x14ac:dyDescent="0.25">
      <c r="A169" s="13">
        <v>2453</v>
      </c>
      <c r="B169" s="438" t="s">
        <v>470</v>
      </c>
      <c r="C169" s="393">
        <v>517.29999999999995</v>
      </c>
      <c r="D169" s="187">
        <v>0.25</v>
      </c>
      <c r="E169" s="187">
        <f t="shared" si="6"/>
        <v>129.32499999999999</v>
      </c>
      <c r="F169" s="187"/>
      <c r="G169" s="187">
        <f t="shared" si="5"/>
        <v>129.32499999999999</v>
      </c>
      <c r="H169" s="90">
        <v>27461</v>
      </c>
      <c r="I169" s="89" t="s">
        <v>469</v>
      </c>
      <c r="J169" s="90" t="s">
        <v>11</v>
      </c>
      <c r="K169" s="90"/>
      <c r="L169" s="13">
        <v>99287760</v>
      </c>
    </row>
    <row r="170" spans="1:12" x14ac:dyDescent="0.25">
      <c r="A170" s="13">
        <v>2454</v>
      </c>
      <c r="B170" s="438" t="s">
        <v>468</v>
      </c>
      <c r="C170" s="393">
        <v>413.8</v>
      </c>
      <c r="D170" s="187">
        <v>0.25</v>
      </c>
      <c r="E170" s="187">
        <f t="shared" si="6"/>
        <v>103.45</v>
      </c>
      <c r="F170" s="187"/>
      <c r="G170" s="187">
        <f t="shared" si="5"/>
        <v>103.45</v>
      </c>
      <c r="H170" s="90">
        <v>6225617</v>
      </c>
      <c r="I170" s="89" t="s">
        <v>467</v>
      </c>
      <c r="J170" s="90" t="s">
        <v>11</v>
      </c>
      <c r="K170" s="90"/>
      <c r="L170" s="13">
        <v>99549846</v>
      </c>
    </row>
    <row r="171" spans="1:12" x14ac:dyDescent="0.25">
      <c r="A171" s="13">
        <v>2455</v>
      </c>
      <c r="B171" s="438" t="s">
        <v>466</v>
      </c>
      <c r="C171" s="393">
        <v>551</v>
      </c>
      <c r="D171" s="187">
        <v>0.25</v>
      </c>
      <c r="E171" s="187">
        <f t="shared" si="6"/>
        <v>137.75</v>
      </c>
      <c r="F171" s="187"/>
      <c r="G171" s="187">
        <f t="shared" si="5"/>
        <v>137.75</v>
      </c>
      <c r="H171" s="90">
        <v>18834778</v>
      </c>
      <c r="I171" s="89">
        <v>10600275516017</v>
      </c>
      <c r="J171" s="90" t="s">
        <v>50</v>
      </c>
      <c r="K171" s="90"/>
      <c r="L171" s="13">
        <v>99151242</v>
      </c>
    </row>
    <row r="172" spans="1:12" x14ac:dyDescent="0.25">
      <c r="A172" s="13">
        <v>2456</v>
      </c>
      <c r="B172" s="438" t="s">
        <v>596</v>
      </c>
      <c r="C172" s="393">
        <v>543.4</v>
      </c>
      <c r="D172" s="187">
        <v>0.25</v>
      </c>
      <c r="E172" s="187">
        <f t="shared" si="6"/>
        <v>135.85</v>
      </c>
      <c r="F172" s="187"/>
      <c r="G172" s="187">
        <f t="shared" si="5"/>
        <v>135.85</v>
      </c>
      <c r="H172" s="90">
        <v>5525907</v>
      </c>
      <c r="I172" s="89" t="s">
        <v>595</v>
      </c>
      <c r="J172" s="90" t="s">
        <v>11</v>
      </c>
      <c r="K172" s="90"/>
      <c r="L172" s="13">
        <v>99085551</v>
      </c>
    </row>
    <row r="173" spans="1:12" x14ac:dyDescent="0.25">
      <c r="A173" s="13">
        <v>2457</v>
      </c>
      <c r="B173" s="438" t="s">
        <v>594</v>
      </c>
      <c r="C173" s="393">
        <v>339</v>
      </c>
      <c r="D173" s="187">
        <v>0.25</v>
      </c>
      <c r="E173" s="187">
        <f t="shared" si="6"/>
        <v>84.75</v>
      </c>
      <c r="F173" s="187"/>
      <c r="G173" s="187">
        <f t="shared" si="5"/>
        <v>84.75</v>
      </c>
      <c r="H173" s="90">
        <v>21899078</v>
      </c>
      <c r="I173" s="89">
        <v>500087235002001</v>
      </c>
      <c r="J173" s="90" t="s">
        <v>154</v>
      </c>
      <c r="K173" s="90"/>
      <c r="L173" s="13">
        <v>99085551</v>
      </c>
    </row>
    <row r="174" spans="1:12" x14ac:dyDescent="0.25">
      <c r="A174" s="13">
        <v>2458</v>
      </c>
      <c r="B174" s="438" t="s">
        <v>594</v>
      </c>
      <c r="C174" s="393">
        <v>541</v>
      </c>
      <c r="D174" s="187">
        <v>0.25</v>
      </c>
      <c r="E174" s="187">
        <f t="shared" si="6"/>
        <v>135.25</v>
      </c>
      <c r="F174" s="187"/>
      <c r="G174" s="187">
        <f t="shared" si="5"/>
        <v>135.25</v>
      </c>
      <c r="H174" s="90">
        <v>21899078</v>
      </c>
      <c r="I174" s="89">
        <v>500087235002001</v>
      </c>
      <c r="J174" s="90" t="s">
        <v>154</v>
      </c>
      <c r="K174" s="90"/>
      <c r="L174" s="13">
        <v>99085552</v>
      </c>
    </row>
    <row r="175" spans="1:12" x14ac:dyDescent="0.25">
      <c r="A175" s="13">
        <v>2459</v>
      </c>
      <c r="B175" s="438"/>
      <c r="C175" s="393">
        <v>251.5</v>
      </c>
      <c r="D175" s="187">
        <v>0.25</v>
      </c>
      <c r="E175" s="187">
        <f t="shared" si="6"/>
        <v>62.875</v>
      </c>
      <c r="F175" s="187"/>
      <c r="G175" s="187">
        <f t="shared" si="5"/>
        <v>62.875</v>
      </c>
      <c r="H175" s="90"/>
      <c r="I175" s="89"/>
      <c r="J175" s="90"/>
      <c r="K175" s="90"/>
      <c r="L175" s="13"/>
    </row>
    <row r="176" spans="1:12" x14ac:dyDescent="0.25">
      <c r="A176" s="449">
        <v>2460</v>
      </c>
      <c r="B176" s="450"/>
      <c r="C176" s="451"/>
      <c r="D176" s="452">
        <v>0.25</v>
      </c>
      <c r="E176" s="452">
        <f t="shared" si="6"/>
        <v>0</v>
      </c>
      <c r="F176" s="452"/>
      <c r="G176" s="452">
        <f t="shared" si="5"/>
        <v>0</v>
      </c>
      <c r="H176" s="453"/>
      <c r="I176" s="89"/>
      <c r="J176" s="90"/>
      <c r="K176" s="90"/>
      <c r="L176" s="13"/>
    </row>
    <row r="177" spans="1:12" x14ac:dyDescent="0.25">
      <c r="A177" s="13">
        <v>2461</v>
      </c>
      <c r="B177" s="438"/>
      <c r="C177" s="393">
        <v>320.10000000000002</v>
      </c>
      <c r="D177" s="187">
        <v>0.25</v>
      </c>
      <c r="E177" s="187">
        <f t="shared" si="6"/>
        <v>80.025000000000006</v>
      </c>
      <c r="F177" s="187"/>
      <c r="G177" s="187">
        <f t="shared" si="5"/>
        <v>80.025000000000006</v>
      </c>
      <c r="H177" s="90"/>
      <c r="I177" s="89"/>
      <c r="J177" s="90"/>
      <c r="K177" s="90"/>
      <c r="L177" s="13"/>
    </row>
    <row r="178" spans="1:12" x14ac:dyDescent="0.25">
      <c r="A178" s="13">
        <v>2462</v>
      </c>
      <c r="B178" s="438"/>
      <c r="C178" s="393">
        <v>299.3</v>
      </c>
      <c r="D178" s="187">
        <v>0.25</v>
      </c>
      <c r="E178" s="187">
        <f t="shared" si="6"/>
        <v>74.825000000000003</v>
      </c>
      <c r="F178" s="187"/>
      <c r="G178" s="187">
        <f t="shared" si="5"/>
        <v>74.825000000000003</v>
      </c>
      <c r="H178" s="90"/>
      <c r="I178" s="89"/>
      <c r="J178" s="90"/>
      <c r="K178" s="90"/>
      <c r="L178" s="13"/>
    </row>
    <row r="179" spans="1:12" x14ac:dyDescent="0.25">
      <c r="A179" s="13">
        <v>2463</v>
      </c>
      <c r="B179" s="438"/>
      <c r="C179" s="393">
        <v>114.6</v>
      </c>
      <c r="D179" s="187">
        <v>0.25</v>
      </c>
      <c r="E179" s="187">
        <f t="shared" si="6"/>
        <v>28.65</v>
      </c>
      <c r="F179" s="187"/>
      <c r="G179" s="187">
        <f t="shared" si="5"/>
        <v>28.65</v>
      </c>
      <c r="H179" s="90"/>
      <c r="I179" s="89"/>
      <c r="J179" s="90"/>
      <c r="K179" s="90"/>
      <c r="L179" s="13"/>
    </row>
    <row r="180" spans="1:12" x14ac:dyDescent="0.25">
      <c r="A180" s="13">
        <v>2465</v>
      </c>
      <c r="B180" s="438"/>
      <c r="C180" s="393">
        <v>156.80000000000001</v>
      </c>
      <c r="D180" s="187">
        <v>0.25</v>
      </c>
      <c r="E180" s="187">
        <f t="shared" si="6"/>
        <v>39.200000000000003</v>
      </c>
      <c r="F180" s="187"/>
      <c r="G180" s="187">
        <f t="shared" si="5"/>
        <v>39.200000000000003</v>
      </c>
      <c r="H180" s="90"/>
      <c r="I180" s="89"/>
      <c r="J180" s="90"/>
      <c r="K180" s="90"/>
      <c r="L180" s="13"/>
    </row>
    <row r="181" spans="1:12" x14ac:dyDescent="0.25">
      <c r="A181" s="17">
        <v>2500</v>
      </c>
      <c r="B181" s="441" t="s">
        <v>242</v>
      </c>
      <c r="C181" s="393">
        <v>1927.9</v>
      </c>
      <c r="D181" s="187">
        <v>0.25</v>
      </c>
      <c r="E181" s="187">
        <f t="shared" si="6"/>
        <v>481.97500000000002</v>
      </c>
      <c r="F181" s="187"/>
      <c r="G181" s="187">
        <f t="shared" si="5"/>
        <v>481.97500000000002</v>
      </c>
      <c r="H181" s="93">
        <v>19597106</v>
      </c>
      <c r="I181" s="95" t="s">
        <v>243</v>
      </c>
      <c r="J181" s="94" t="s">
        <v>11</v>
      </c>
      <c r="K181" s="94" t="s">
        <v>47</v>
      </c>
      <c r="L181" s="39">
        <v>95499996</v>
      </c>
    </row>
    <row r="182" spans="1:12" x14ac:dyDescent="0.25">
      <c r="A182" s="17">
        <v>2501</v>
      </c>
      <c r="B182" s="441" t="s">
        <v>244</v>
      </c>
      <c r="C182" s="393">
        <v>1429.1</v>
      </c>
      <c r="D182" s="187">
        <v>0.25</v>
      </c>
      <c r="E182" s="187">
        <f t="shared" si="6"/>
        <v>357.27499999999998</v>
      </c>
      <c r="F182" s="187"/>
      <c r="G182" s="187">
        <f t="shared" si="5"/>
        <v>357.27499999999998</v>
      </c>
      <c r="H182" s="93">
        <v>15593565</v>
      </c>
      <c r="I182" s="95" t="s">
        <v>245</v>
      </c>
      <c r="J182" s="94" t="s">
        <v>11</v>
      </c>
      <c r="K182" s="94" t="s">
        <v>47</v>
      </c>
      <c r="L182" s="39">
        <v>92757472</v>
      </c>
    </row>
    <row r="183" spans="1:12" x14ac:dyDescent="0.25">
      <c r="A183" s="17">
        <v>2502</v>
      </c>
      <c r="B183" s="441" t="s">
        <v>27</v>
      </c>
      <c r="C183" s="393">
        <v>1046.3</v>
      </c>
      <c r="D183" s="187">
        <v>0.25</v>
      </c>
      <c r="E183" s="187">
        <f t="shared" si="6"/>
        <v>261.57499999999999</v>
      </c>
      <c r="F183" s="187"/>
      <c r="G183" s="187">
        <f t="shared" si="5"/>
        <v>261.57499999999999</v>
      </c>
      <c r="H183" s="93">
        <v>6231138</v>
      </c>
      <c r="I183" s="95" t="s">
        <v>246</v>
      </c>
      <c r="J183" s="94" t="s">
        <v>11</v>
      </c>
      <c r="K183" s="94" t="s">
        <v>47</v>
      </c>
      <c r="L183" s="39">
        <v>96940393</v>
      </c>
    </row>
    <row r="184" spans="1:12" x14ac:dyDescent="0.25">
      <c r="A184" s="17">
        <v>2503</v>
      </c>
      <c r="B184" s="441" t="s">
        <v>247</v>
      </c>
      <c r="C184" s="393">
        <v>851.9</v>
      </c>
      <c r="D184" s="187">
        <v>0.25</v>
      </c>
      <c r="E184" s="187">
        <f t="shared" si="6"/>
        <v>212.97499999999999</v>
      </c>
      <c r="F184" s="187"/>
      <c r="G184" s="187">
        <f t="shared" si="5"/>
        <v>212.97499999999999</v>
      </c>
      <c r="H184" s="93">
        <v>568083</v>
      </c>
      <c r="I184" s="95" t="s">
        <v>248</v>
      </c>
      <c r="J184" s="94" t="s">
        <v>249</v>
      </c>
      <c r="K184" s="94" t="s">
        <v>250</v>
      </c>
      <c r="L184" s="39">
        <v>98146666</v>
      </c>
    </row>
    <row r="185" spans="1:12" x14ac:dyDescent="0.25">
      <c r="A185" s="17">
        <v>2504</v>
      </c>
      <c r="B185" s="441" t="s">
        <v>323</v>
      </c>
      <c r="C185" s="393">
        <v>432.9</v>
      </c>
      <c r="D185" s="187">
        <v>0.25</v>
      </c>
      <c r="E185" s="187">
        <f t="shared" si="6"/>
        <v>108.22499999999999</v>
      </c>
      <c r="F185" s="187"/>
      <c r="G185" s="187">
        <f t="shared" si="5"/>
        <v>108.22499999999999</v>
      </c>
      <c r="H185" s="38">
        <v>6296825</v>
      </c>
      <c r="I185" s="95">
        <v>1011059043002</v>
      </c>
      <c r="J185" s="93" t="s">
        <v>14</v>
      </c>
      <c r="K185" s="39" t="s">
        <v>55</v>
      </c>
      <c r="L185" s="39">
        <v>96768800</v>
      </c>
    </row>
    <row r="186" spans="1:12" x14ac:dyDescent="0.25">
      <c r="A186" s="17">
        <v>2505</v>
      </c>
      <c r="B186" s="441" t="s">
        <v>251</v>
      </c>
      <c r="C186" s="393">
        <v>887.8</v>
      </c>
      <c r="D186" s="187">
        <v>0.25</v>
      </c>
      <c r="E186" s="187">
        <f t="shared" si="6"/>
        <v>221.95</v>
      </c>
      <c r="F186" s="187"/>
      <c r="G186" s="187">
        <f t="shared" si="5"/>
        <v>221.95</v>
      </c>
      <c r="H186" s="93">
        <v>257889</v>
      </c>
      <c r="I186" s="95" t="s">
        <v>252</v>
      </c>
      <c r="J186" s="94" t="s">
        <v>11</v>
      </c>
      <c r="K186" s="94" t="s">
        <v>47</v>
      </c>
      <c r="L186" s="39">
        <v>99492623</v>
      </c>
    </row>
    <row r="187" spans="1:12" x14ac:dyDescent="0.25">
      <c r="A187" s="17">
        <v>2506</v>
      </c>
      <c r="B187" s="441" t="s">
        <v>253</v>
      </c>
      <c r="C187" s="393">
        <v>1179.7</v>
      </c>
      <c r="D187" s="187">
        <v>0.25</v>
      </c>
      <c r="E187" s="187">
        <f t="shared" si="6"/>
        <v>294.92500000000001</v>
      </c>
      <c r="F187" s="187"/>
      <c r="G187" s="187">
        <f t="shared" si="5"/>
        <v>294.92500000000001</v>
      </c>
      <c r="H187" s="93">
        <v>11082822</v>
      </c>
      <c r="I187" s="95" t="s">
        <v>254</v>
      </c>
      <c r="J187" s="94" t="s">
        <v>18</v>
      </c>
      <c r="K187" s="94" t="s">
        <v>47</v>
      </c>
      <c r="L187" s="39">
        <v>99583618</v>
      </c>
    </row>
    <row r="188" spans="1:12" x14ac:dyDescent="0.25">
      <c r="A188" s="17">
        <v>2507</v>
      </c>
      <c r="B188" s="441" t="s">
        <v>255</v>
      </c>
      <c r="C188" s="393">
        <v>1434.6</v>
      </c>
      <c r="D188" s="187">
        <v>0.25</v>
      </c>
      <c r="E188" s="187">
        <f t="shared" si="6"/>
        <v>358.65</v>
      </c>
      <c r="F188" s="187"/>
      <c r="G188" s="187">
        <f t="shared" si="5"/>
        <v>358.65</v>
      </c>
      <c r="H188" s="93">
        <v>21947545</v>
      </c>
      <c r="I188" s="95" t="s">
        <v>256</v>
      </c>
      <c r="J188" s="94" t="s">
        <v>11</v>
      </c>
      <c r="K188" s="94" t="s">
        <v>47</v>
      </c>
      <c r="L188" s="39">
        <v>77183344</v>
      </c>
    </row>
    <row r="189" spans="1:12" x14ac:dyDescent="0.25">
      <c r="A189" s="17">
        <v>2509</v>
      </c>
      <c r="B189" s="441" t="s">
        <v>257</v>
      </c>
      <c r="C189" s="393">
        <v>967.8</v>
      </c>
      <c r="D189" s="187">
        <v>0.25</v>
      </c>
      <c r="E189" s="187">
        <f t="shared" si="6"/>
        <v>241.95</v>
      </c>
      <c r="F189" s="187"/>
      <c r="G189" s="187">
        <f t="shared" si="5"/>
        <v>241.95</v>
      </c>
      <c r="H189" s="93">
        <v>5739429</v>
      </c>
      <c r="I189" s="95" t="s">
        <v>258</v>
      </c>
      <c r="J189" s="94" t="s">
        <v>16</v>
      </c>
      <c r="K189" s="94" t="s">
        <v>47</v>
      </c>
      <c r="L189" s="39">
        <v>92733224</v>
      </c>
    </row>
    <row r="190" spans="1:12" x14ac:dyDescent="0.25">
      <c r="A190" s="17">
        <v>2510</v>
      </c>
      <c r="B190" s="441" t="s">
        <v>259</v>
      </c>
      <c r="C190" s="393">
        <v>696.2</v>
      </c>
      <c r="D190" s="187">
        <v>0.25</v>
      </c>
      <c r="E190" s="187">
        <f t="shared" si="6"/>
        <v>174.05</v>
      </c>
      <c r="F190" s="187"/>
      <c r="G190" s="187">
        <f t="shared" si="5"/>
        <v>174.05</v>
      </c>
      <c r="H190" s="93">
        <v>5542574</v>
      </c>
      <c r="I190" s="95" t="s">
        <v>260</v>
      </c>
      <c r="J190" s="94" t="s">
        <v>11</v>
      </c>
      <c r="K190" s="94" t="s">
        <v>47</v>
      </c>
      <c r="L190" s="39">
        <v>98173841</v>
      </c>
    </row>
    <row r="191" spans="1:12" x14ac:dyDescent="0.25">
      <c r="A191" s="17">
        <v>2511</v>
      </c>
      <c r="B191" s="441" t="s">
        <v>261</v>
      </c>
      <c r="C191" s="393">
        <v>365.8</v>
      </c>
      <c r="D191" s="187">
        <v>0.25</v>
      </c>
      <c r="E191" s="187">
        <f t="shared" si="6"/>
        <v>91.45</v>
      </c>
      <c r="F191" s="187"/>
      <c r="G191" s="187">
        <f t="shared" si="5"/>
        <v>91.45</v>
      </c>
      <c r="H191" s="93">
        <v>1109954</v>
      </c>
      <c r="I191" s="95" t="s">
        <v>262</v>
      </c>
      <c r="J191" s="94" t="s">
        <v>132</v>
      </c>
      <c r="K191" s="94" t="s">
        <v>133</v>
      </c>
      <c r="L191" s="39">
        <v>92251158</v>
      </c>
    </row>
    <row r="192" spans="1:12" x14ac:dyDescent="0.25">
      <c r="A192" s="17">
        <v>2512</v>
      </c>
      <c r="B192" s="441" t="s">
        <v>263</v>
      </c>
      <c r="C192" s="393">
        <v>1488.9</v>
      </c>
      <c r="D192" s="187">
        <v>0.25</v>
      </c>
      <c r="E192" s="187">
        <f t="shared" si="6"/>
        <v>372.22500000000002</v>
      </c>
      <c r="F192" s="187"/>
      <c r="G192" s="187">
        <f t="shared" si="5"/>
        <v>372.22500000000002</v>
      </c>
      <c r="H192" s="93">
        <v>990628</v>
      </c>
      <c r="I192" s="95" t="s">
        <v>264</v>
      </c>
      <c r="J192" s="94" t="s">
        <v>146</v>
      </c>
      <c r="K192" s="94" t="s">
        <v>47</v>
      </c>
      <c r="L192" s="39">
        <v>91232518</v>
      </c>
    </row>
    <row r="193" spans="1:111" x14ac:dyDescent="0.25">
      <c r="A193" s="17">
        <v>2513</v>
      </c>
      <c r="B193" s="441" t="s">
        <v>28</v>
      </c>
      <c r="C193" s="393">
        <v>1633.7</v>
      </c>
      <c r="D193" s="187">
        <v>0.25</v>
      </c>
      <c r="E193" s="187">
        <f t="shared" si="6"/>
        <v>408.42500000000001</v>
      </c>
      <c r="F193" s="187"/>
      <c r="G193" s="187">
        <f t="shared" si="5"/>
        <v>408.42500000000001</v>
      </c>
      <c r="H193" s="93">
        <v>6332123</v>
      </c>
      <c r="I193" s="95" t="s">
        <v>265</v>
      </c>
      <c r="J193" s="94" t="s">
        <v>146</v>
      </c>
      <c r="K193" s="94" t="s">
        <v>47</v>
      </c>
      <c r="L193" s="39">
        <v>98777808</v>
      </c>
    </row>
    <row r="194" spans="1:111" x14ac:dyDescent="0.25">
      <c r="A194" s="17">
        <v>2514</v>
      </c>
      <c r="B194" s="441" t="s">
        <v>266</v>
      </c>
      <c r="C194" s="393">
        <v>337.1</v>
      </c>
      <c r="D194" s="187">
        <v>0.25</v>
      </c>
      <c r="E194" s="187">
        <f t="shared" si="6"/>
        <v>84.275000000000006</v>
      </c>
      <c r="F194" s="187"/>
      <c r="G194" s="187">
        <f t="shared" si="5"/>
        <v>84.275000000000006</v>
      </c>
      <c r="H194" s="93">
        <v>10795387</v>
      </c>
      <c r="I194" s="95" t="s">
        <v>267</v>
      </c>
      <c r="J194" s="94" t="s">
        <v>146</v>
      </c>
      <c r="K194" s="94" t="s">
        <v>47</v>
      </c>
      <c r="L194" s="39">
        <v>96744447</v>
      </c>
    </row>
    <row r="195" spans="1:111" x14ac:dyDescent="0.25">
      <c r="A195" s="17">
        <v>2515</v>
      </c>
      <c r="B195" s="441" t="s">
        <v>268</v>
      </c>
      <c r="C195" s="393">
        <v>1261.8</v>
      </c>
      <c r="D195" s="187">
        <v>0.25</v>
      </c>
      <c r="E195" s="187">
        <f t="shared" si="6"/>
        <v>315.45</v>
      </c>
      <c r="F195" s="187"/>
      <c r="G195" s="187">
        <f t="shared" si="5"/>
        <v>315.45</v>
      </c>
      <c r="H195" s="93">
        <v>5638084</v>
      </c>
      <c r="I195" s="95" t="s">
        <v>269</v>
      </c>
      <c r="J195" s="94" t="s">
        <v>11</v>
      </c>
      <c r="K195" s="94" t="s">
        <v>47</v>
      </c>
      <c r="L195" s="39">
        <v>92597738</v>
      </c>
    </row>
    <row r="196" spans="1:111" x14ac:dyDescent="0.25">
      <c r="A196" s="17">
        <v>2516</v>
      </c>
      <c r="B196" s="441" t="s">
        <v>270</v>
      </c>
      <c r="C196" s="393">
        <v>555.9</v>
      </c>
      <c r="D196" s="187">
        <v>0.25</v>
      </c>
      <c r="E196" s="187">
        <f t="shared" si="6"/>
        <v>138.97499999999999</v>
      </c>
      <c r="F196" s="187"/>
      <c r="G196" s="187">
        <f t="shared" si="5"/>
        <v>138.97499999999999</v>
      </c>
      <c r="H196" s="93">
        <v>21934588</v>
      </c>
      <c r="I196" s="95" t="s">
        <v>271</v>
      </c>
      <c r="J196" s="94" t="s">
        <v>11</v>
      </c>
      <c r="K196" s="94" t="s">
        <v>47</v>
      </c>
      <c r="L196" s="39">
        <v>98094444</v>
      </c>
    </row>
    <row r="197" spans="1:111" x14ac:dyDescent="0.25">
      <c r="A197" s="17">
        <v>2517</v>
      </c>
      <c r="B197" s="441" t="s">
        <v>29</v>
      </c>
      <c r="C197" s="393">
        <v>2814.5</v>
      </c>
      <c r="D197" s="187">
        <v>0.25</v>
      </c>
      <c r="E197" s="187">
        <f t="shared" si="6"/>
        <v>703.625</v>
      </c>
      <c r="F197" s="187"/>
      <c r="G197" s="187">
        <f t="shared" si="5"/>
        <v>703.625</v>
      </c>
      <c r="H197" s="94">
        <v>6231419</v>
      </c>
      <c r="I197" s="95" t="s">
        <v>272</v>
      </c>
      <c r="J197" s="94" t="s">
        <v>18</v>
      </c>
      <c r="K197" s="94" t="s">
        <v>47</v>
      </c>
      <c r="L197" s="17">
        <v>99053198</v>
      </c>
    </row>
    <row r="198" spans="1:111" x14ac:dyDescent="0.25">
      <c r="A198" s="17">
        <v>2518</v>
      </c>
      <c r="B198" s="39" t="s">
        <v>273</v>
      </c>
      <c r="C198" s="393">
        <v>1002.9</v>
      </c>
      <c r="D198" s="187">
        <v>0.25</v>
      </c>
      <c r="E198" s="187">
        <f t="shared" si="6"/>
        <v>250.72499999999999</v>
      </c>
      <c r="F198" s="187"/>
      <c r="G198" s="187">
        <f t="shared" ref="G198:G261" si="7">E198-F198</f>
        <v>250.72499999999999</v>
      </c>
      <c r="H198" s="93">
        <v>27683344</v>
      </c>
      <c r="I198" s="95" t="s">
        <v>274</v>
      </c>
      <c r="J198" s="94" t="s">
        <v>14</v>
      </c>
      <c r="K198" s="94" t="s">
        <v>55</v>
      </c>
      <c r="L198" s="39">
        <v>98011308</v>
      </c>
    </row>
    <row r="199" spans="1:111" x14ac:dyDescent="0.25">
      <c r="A199" s="17">
        <v>2519</v>
      </c>
      <c r="B199" s="18" t="s">
        <v>275</v>
      </c>
      <c r="C199" s="393">
        <v>1013.9</v>
      </c>
      <c r="D199" s="187">
        <v>0.25</v>
      </c>
      <c r="E199" s="187">
        <f t="shared" si="6"/>
        <v>253.47499999999999</v>
      </c>
      <c r="F199" s="187"/>
      <c r="G199" s="187">
        <f t="shared" si="7"/>
        <v>253.47499999999999</v>
      </c>
      <c r="H199" s="94">
        <v>19923785</v>
      </c>
      <c r="I199" s="95" t="s">
        <v>276</v>
      </c>
      <c r="J199" s="94" t="s">
        <v>18</v>
      </c>
      <c r="K199" s="94" t="s">
        <v>47</v>
      </c>
      <c r="L199" s="17">
        <v>91115870</v>
      </c>
    </row>
    <row r="200" spans="1:111" x14ac:dyDescent="0.25">
      <c r="A200" s="13">
        <v>2520</v>
      </c>
      <c r="B200" s="18" t="s">
        <v>277</v>
      </c>
      <c r="C200" s="393">
        <v>1273.8</v>
      </c>
      <c r="D200" s="187">
        <v>0.25</v>
      </c>
      <c r="E200" s="187">
        <f t="shared" si="6"/>
        <v>318.45</v>
      </c>
      <c r="F200" s="187"/>
      <c r="G200" s="187">
        <f t="shared" si="7"/>
        <v>318.45</v>
      </c>
      <c r="H200" s="90">
        <v>1297459</v>
      </c>
      <c r="I200" s="89" t="s">
        <v>278</v>
      </c>
      <c r="J200" s="90" t="s">
        <v>50</v>
      </c>
      <c r="K200" s="90" t="s">
        <v>51</v>
      </c>
      <c r="L200" s="13">
        <v>92532520</v>
      </c>
    </row>
    <row r="201" spans="1:111" x14ac:dyDescent="0.25">
      <c r="A201" s="13">
        <v>2521</v>
      </c>
      <c r="B201" s="18" t="s">
        <v>279</v>
      </c>
      <c r="C201" s="393">
        <v>1452.2</v>
      </c>
      <c r="D201" s="187">
        <v>0.25</v>
      </c>
      <c r="E201" s="187">
        <f t="shared" si="6"/>
        <v>363.05</v>
      </c>
      <c r="F201" s="187"/>
      <c r="G201" s="187">
        <f t="shared" si="7"/>
        <v>363.05</v>
      </c>
      <c r="H201" s="90">
        <v>5146927</v>
      </c>
      <c r="I201" s="89" t="s">
        <v>280</v>
      </c>
      <c r="J201" s="90" t="s">
        <v>50</v>
      </c>
      <c r="K201" s="90" t="s">
        <v>51</v>
      </c>
      <c r="L201" s="13">
        <v>96399028</v>
      </c>
    </row>
    <row r="202" spans="1:111" x14ac:dyDescent="0.25">
      <c r="A202" s="13">
        <v>2522</v>
      </c>
      <c r="B202" s="18" t="s">
        <v>244</v>
      </c>
      <c r="C202" s="393">
        <v>490.3</v>
      </c>
      <c r="D202" s="187">
        <v>0.25</v>
      </c>
      <c r="E202" s="187">
        <f t="shared" ref="E202:E265" si="8">C202*D202</f>
        <v>122.575</v>
      </c>
      <c r="F202" s="187"/>
      <c r="G202" s="187">
        <f t="shared" si="7"/>
        <v>122.575</v>
      </c>
      <c r="H202" s="90">
        <v>4530913</v>
      </c>
      <c r="I202" s="89" t="s">
        <v>281</v>
      </c>
      <c r="J202" s="90" t="s">
        <v>81</v>
      </c>
      <c r="K202" s="90" t="s">
        <v>82</v>
      </c>
      <c r="L202" s="13"/>
    </row>
    <row r="203" spans="1:111" x14ac:dyDescent="0.25">
      <c r="A203" s="13">
        <v>2523</v>
      </c>
      <c r="B203" s="18" t="s">
        <v>44</v>
      </c>
      <c r="C203" s="393">
        <v>508.5</v>
      </c>
      <c r="D203" s="187">
        <v>0.25</v>
      </c>
      <c r="E203" s="187">
        <f t="shared" si="8"/>
        <v>127.125</v>
      </c>
      <c r="F203" s="187"/>
      <c r="G203" s="187">
        <f t="shared" si="7"/>
        <v>127.125</v>
      </c>
      <c r="H203" s="90">
        <v>4909387</v>
      </c>
      <c r="I203" s="89" t="s">
        <v>282</v>
      </c>
      <c r="J203" s="90" t="s">
        <v>18</v>
      </c>
      <c r="K203" s="90" t="s">
        <v>47</v>
      </c>
      <c r="L203" s="13">
        <v>92524184</v>
      </c>
    </row>
    <row r="204" spans="1:111" x14ac:dyDescent="0.25">
      <c r="A204" s="13">
        <v>2524</v>
      </c>
      <c r="B204" s="18" t="s">
        <v>283</v>
      </c>
      <c r="C204" s="393">
        <v>528</v>
      </c>
      <c r="D204" s="187">
        <v>0.25</v>
      </c>
      <c r="E204" s="187">
        <f t="shared" si="8"/>
        <v>132</v>
      </c>
      <c r="F204" s="187"/>
      <c r="G204" s="187">
        <f t="shared" si="7"/>
        <v>132</v>
      </c>
      <c r="H204" s="88">
        <v>5827884</v>
      </c>
      <c r="I204" s="89" t="s">
        <v>284</v>
      </c>
      <c r="J204" s="90" t="s">
        <v>11</v>
      </c>
      <c r="K204" s="90" t="s">
        <v>47</v>
      </c>
      <c r="L204" s="18"/>
    </row>
    <row r="205" spans="1:111" s="177" customFormat="1" x14ac:dyDescent="0.25">
      <c r="A205" s="449">
        <v>2525</v>
      </c>
      <c r="B205" s="456" t="s">
        <v>361</v>
      </c>
      <c r="C205" s="451"/>
      <c r="D205" s="452">
        <v>0.25</v>
      </c>
      <c r="E205" s="452">
        <f t="shared" si="8"/>
        <v>0</v>
      </c>
      <c r="F205" s="452"/>
      <c r="G205" s="452">
        <f t="shared" si="7"/>
        <v>0</v>
      </c>
      <c r="H205" s="457"/>
      <c r="I205" s="454"/>
      <c r="J205" s="453"/>
      <c r="K205" s="453"/>
      <c r="L205" s="45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</row>
    <row r="206" spans="1:111" x14ac:dyDescent="0.25">
      <c r="A206" s="13">
        <v>2526</v>
      </c>
      <c r="B206" s="18" t="s">
        <v>285</v>
      </c>
      <c r="C206" s="393">
        <v>417</v>
      </c>
      <c r="D206" s="187">
        <v>0.25</v>
      </c>
      <c r="E206" s="187">
        <f t="shared" si="8"/>
        <v>104.25</v>
      </c>
      <c r="F206" s="187"/>
      <c r="G206" s="187">
        <f t="shared" si="7"/>
        <v>104.25</v>
      </c>
      <c r="H206" s="90">
        <v>5827579</v>
      </c>
      <c r="I206" s="89" t="s">
        <v>286</v>
      </c>
      <c r="J206" s="90" t="s">
        <v>50</v>
      </c>
      <c r="K206" s="90" t="s">
        <v>51</v>
      </c>
      <c r="L206" s="13">
        <v>99294007</v>
      </c>
    </row>
    <row r="207" spans="1:111" x14ac:dyDescent="0.25">
      <c r="A207" s="13">
        <v>2528</v>
      </c>
      <c r="B207" s="18" t="s">
        <v>614</v>
      </c>
      <c r="C207" s="393">
        <v>505.6</v>
      </c>
      <c r="D207" s="187">
        <v>0.25</v>
      </c>
      <c r="E207" s="187">
        <f t="shared" si="8"/>
        <v>126.4</v>
      </c>
      <c r="F207" s="187"/>
      <c r="G207" s="187">
        <f t="shared" si="7"/>
        <v>126.4</v>
      </c>
      <c r="H207" s="88">
        <v>5911997</v>
      </c>
      <c r="I207" s="89"/>
      <c r="J207" s="90"/>
      <c r="K207" s="90"/>
      <c r="L207" s="13"/>
    </row>
    <row r="208" spans="1:111" s="177" customFormat="1" x14ac:dyDescent="0.25">
      <c r="A208" s="449">
        <v>2529</v>
      </c>
      <c r="B208" s="456" t="s">
        <v>287</v>
      </c>
      <c r="C208" s="451"/>
      <c r="D208" s="452">
        <v>0.25</v>
      </c>
      <c r="E208" s="452">
        <f t="shared" si="8"/>
        <v>0</v>
      </c>
      <c r="F208" s="452"/>
      <c r="G208" s="452">
        <f t="shared" si="7"/>
        <v>0</v>
      </c>
      <c r="H208" s="457">
        <v>6375262</v>
      </c>
      <c r="I208" s="471" t="s">
        <v>288</v>
      </c>
      <c r="J208" s="453" t="s">
        <v>18</v>
      </c>
      <c r="K208" s="453" t="s">
        <v>47</v>
      </c>
      <c r="L208" s="456">
        <v>95144359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</row>
    <row r="209" spans="1:111" x14ac:dyDescent="0.25">
      <c r="A209" s="13">
        <v>2530</v>
      </c>
      <c r="B209" s="18" t="s">
        <v>289</v>
      </c>
      <c r="C209" s="393">
        <v>150.4</v>
      </c>
      <c r="D209" s="187">
        <v>0.25</v>
      </c>
      <c r="E209" s="187">
        <f t="shared" si="8"/>
        <v>37.6</v>
      </c>
      <c r="F209" s="187"/>
      <c r="G209" s="187">
        <f t="shared" si="7"/>
        <v>37.6</v>
      </c>
      <c r="H209" s="88">
        <v>7506751</v>
      </c>
      <c r="I209" s="121" t="s">
        <v>290</v>
      </c>
      <c r="J209" s="90" t="s">
        <v>18</v>
      </c>
      <c r="K209" s="90" t="s">
        <v>47</v>
      </c>
      <c r="L209" s="18">
        <v>92269060</v>
      </c>
    </row>
    <row r="210" spans="1:111" x14ac:dyDescent="0.25">
      <c r="A210" s="13">
        <v>2533</v>
      </c>
      <c r="B210" s="18" t="s">
        <v>349</v>
      </c>
      <c r="C210" s="393">
        <v>609.6</v>
      </c>
      <c r="D210" s="187">
        <v>0.25</v>
      </c>
      <c r="E210" s="187">
        <f t="shared" si="8"/>
        <v>152.4</v>
      </c>
      <c r="F210" s="187"/>
      <c r="G210" s="187">
        <f t="shared" si="7"/>
        <v>152.4</v>
      </c>
      <c r="H210" s="88">
        <v>1275604</v>
      </c>
      <c r="I210" s="121">
        <v>250010082881</v>
      </c>
      <c r="J210" s="90" t="s">
        <v>15</v>
      </c>
      <c r="K210" s="90"/>
      <c r="L210" s="18">
        <v>92920012</v>
      </c>
    </row>
    <row r="211" spans="1:111" x14ac:dyDescent="0.25">
      <c r="A211" s="13">
        <v>2534</v>
      </c>
      <c r="B211" s="438" t="s">
        <v>464</v>
      </c>
      <c r="C211" s="393">
        <v>521.5</v>
      </c>
      <c r="D211" s="187">
        <v>0.25</v>
      </c>
      <c r="E211" s="187">
        <f t="shared" si="8"/>
        <v>130.375</v>
      </c>
      <c r="F211" s="187"/>
      <c r="G211" s="187">
        <f t="shared" si="7"/>
        <v>130.375</v>
      </c>
      <c r="H211" s="90">
        <v>2124138</v>
      </c>
      <c r="I211" s="89" t="s">
        <v>463</v>
      </c>
      <c r="J211" s="90" t="s">
        <v>11</v>
      </c>
      <c r="K211" s="90"/>
      <c r="L211" s="13">
        <v>99497234</v>
      </c>
    </row>
    <row r="212" spans="1:111" x14ac:dyDescent="0.25">
      <c r="A212" s="13">
        <v>2535</v>
      </c>
      <c r="B212" s="438" t="s">
        <v>462</v>
      </c>
      <c r="C212" s="393">
        <v>472</v>
      </c>
      <c r="D212" s="187">
        <v>0.25</v>
      </c>
      <c r="E212" s="187">
        <f t="shared" si="8"/>
        <v>118</v>
      </c>
      <c r="F212" s="187"/>
      <c r="G212" s="187">
        <f t="shared" si="7"/>
        <v>118</v>
      </c>
      <c r="H212" s="90">
        <v>6332118</v>
      </c>
      <c r="I212" s="89">
        <v>10600335276017</v>
      </c>
      <c r="J212" s="90" t="s">
        <v>50</v>
      </c>
      <c r="K212" s="90"/>
      <c r="L212" s="13">
        <v>98572335</v>
      </c>
    </row>
    <row r="213" spans="1:111" s="177" customFormat="1" x14ac:dyDescent="0.25">
      <c r="A213" s="449">
        <v>2536</v>
      </c>
      <c r="B213" s="450" t="s">
        <v>461</v>
      </c>
      <c r="C213" s="451"/>
      <c r="D213" s="452">
        <v>0.25</v>
      </c>
      <c r="E213" s="452">
        <f t="shared" si="8"/>
        <v>0</v>
      </c>
      <c r="F213" s="452"/>
      <c r="G213" s="452">
        <f t="shared" si="7"/>
        <v>0</v>
      </c>
      <c r="H213" s="453">
        <v>22734098</v>
      </c>
      <c r="I213" s="454">
        <v>1502164255300</v>
      </c>
      <c r="J213" s="453" t="s">
        <v>234</v>
      </c>
      <c r="K213" s="453"/>
      <c r="L213" s="449">
        <v>90277231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</row>
    <row r="214" spans="1:111" x14ac:dyDescent="0.25">
      <c r="A214" s="13">
        <v>2537</v>
      </c>
      <c r="B214" s="438" t="s">
        <v>460</v>
      </c>
      <c r="C214" s="393">
        <v>39.5</v>
      </c>
      <c r="D214" s="187">
        <v>0.25</v>
      </c>
      <c r="E214" s="187">
        <f t="shared" si="8"/>
        <v>9.875</v>
      </c>
      <c r="F214" s="187"/>
      <c r="G214" s="187">
        <f t="shared" si="7"/>
        <v>9.875</v>
      </c>
      <c r="H214" s="90">
        <v>5157262</v>
      </c>
      <c r="I214" s="89" t="s">
        <v>459</v>
      </c>
      <c r="J214" s="90" t="s">
        <v>11</v>
      </c>
      <c r="K214" s="90"/>
      <c r="L214" s="13">
        <v>99542444</v>
      </c>
    </row>
    <row r="215" spans="1:111" x14ac:dyDescent="0.25">
      <c r="A215" s="13">
        <v>2538</v>
      </c>
      <c r="B215" s="438" t="s">
        <v>458</v>
      </c>
      <c r="C215" s="393">
        <v>209.6</v>
      </c>
      <c r="D215" s="187">
        <v>0.25</v>
      </c>
      <c r="E215" s="187">
        <f t="shared" si="8"/>
        <v>52.4</v>
      </c>
      <c r="F215" s="187"/>
      <c r="G215" s="187">
        <f t="shared" si="7"/>
        <v>52.4</v>
      </c>
      <c r="H215" s="90">
        <v>5574815</v>
      </c>
      <c r="I215" s="89" t="s">
        <v>457</v>
      </c>
      <c r="J215" s="90" t="s">
        <v>11</v>
      </c>
      <c r="K215" s="90"/>
      <c r="L215" s="13">
        <v>92808864</v>
      </c>
    </row>
    <row r="216" spans="1:111" x14ac:dyDescent="0.25">
      <c r="A216" s="13">
        <v>2539</v>
      </c>
      <c r="B216" s="438" t="s">
        <v>456</v>
      </c>
      <c r="C216" s="393">
        <v>510.4</v>
      </c>
      <c r="D216" s="187">
        <v>0.25</v>
      </c>
      <c r="E216" s="187">
        <f t="shared" si="8"/>
        <v>127.6</v>
      </c>
      <c r="F216" s="187"/>
      <c r="G216" s="187">
        <f t="shared" si="7"/>
        <v>127.6</v>
      </c>
      <c r="H216" s="90">
        <v>23587841</v>
      </c>
      <c r="I216" s="89" t="s">
        <v>455</v>
      </c>
      <c r="J216" s="90" t="s">
        <v>11</v>
      </c>
      <c r="K216" s="90"/>
      <c r="L216" s="13">
        <v>92413336</v>
      </c>
    </row>
    <row r="217" spans="1:111" x14ac:dyDescent="0.25">
      <c r="A217" s="13">
        <v>2540</v>
      </c>
      <c r="B217" s="438" t="s">
        <v>454</v>
      </c>
      <c r="C217" s="393">
        <v>540.5</v>
      </c>
      <c r="D217" s="187">
        <v>0.25</v>
      </c>
      <c r="E217" s="187">
        <f t="shared" si="8"/>
        <v>135.125</v>
      </c>
      <c r="F217" s="187"/>
      <c r="G217" s="187">
        <f t="shared" si="7"/>
        <v>135.125</v>
      </c>
      <c r="H217" s="90">
        <v>1960532</v>
      </c>
      <c r="I217" s="89">
        <v>3109080738500</v>
      </c>
      <c r="J217" s="90" t="s">
        <v>81</v>
      </c>
      <c r="K217" s="90"/>
      <c r="L217" s="13">
        <v>99491378</v>
      </c>
    </row>
    <row r="218" spans="1:111" s="177" customFormat="1" x14ac:dyDescent="0.25">
      <c r="A218" s="449">
        <v>2541</v>
      </c>
      <c r="B218" s="450" t="s">
        <v>453</v>
      </c>
      <c r="C218" s="451"/>
      <c r="D218" s="452">
        <v>0.25</v>
      </c>
      <c r="E218" s="452">
        <f t="shared" si="8"/>
        <v>0</v>
      </c>
      <c r="F218" s="452"/>
      <c r="G218" s="452">
        <f t="shared" si="7"/>
        <v>0</v>
      </c>
      <c r="H218" s="453">
        <v>2406494</v>
      </c>
      <c r="I218" s="454">
        <v>15020343300</v>
      </c>
      <c r="J218" s="453" t="s">
        <v>234</v>
      </c>
      <c r="K218" s="453"/>
      <c r="L218" s="449">
        <v>99497110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</row>
    <row r="219" spans="1:111" x14ac:dyDescent="0.25">
      <c r="A219" s="13">
        <v>2542</v>
      </c>
      <c r="B219" s="438" t="s">
        <v>452</v>
      </c>
      <c r="C219" s="393">
        <v>521.29999999999995</v>
      </c>
      <c r="D219" s="187">
        <v>0.25</v>
      </c>
      <c r="E219" s="187">
        <f t="shared" si="8"/>
        <v>130.32499999999999</v>
      </c>
      <c r="F219" s="187"/>
      <c r="G219" s="187">
        <f t="shared" si="7"/>
        <v>130.32499999999999</v>
      </c>
      <c r="H219" s="90">
        <v>12402682</v>
      </c>
      <c r="I219" s="89" t="s">
        <v>451</v>
      </c>
      <c r="J219" s="90" t="s">
        <v>450</v>
      </c>
      <c r="K219" s="90"/>
      <c r="L219" s="13">
        <v>94404401</v>
      </c>
    </row>
    <row r="220" spans="1:111" s="177" customFormat="1" x14ac:dyDescent="0.25">
      <c r="A220" s="449">
        <v>2543</v>
      </c>
      <c r="B220" s="450" t="s">
        <v>449</v>
      </c>
      <c r="C220" s="451"/>
      <c r="D220" s="452">
        <v>0.25</v>
      </c>
      <c r="E220" s="452">
        <f t="shared" si="8"/>
        <v>0</v>
      </c>
      <c r="F220" s="452"/>
      <c r="G220" s="452">
        <f t="shared" si="7"/>
        <v>0</v>
      </c>
      <c r="H220" s="453">
        <v>23195196</v>
      </c>
      <c r="I220" s="454">
        <v>250010019151</v>
      </c>
      <c r="J220" s="453" t="s">
        <v>249</v>
      </c>
      <c r="K220" s="453"/>
      <c r="L220" s="449">
        <v>91216415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</row>
    <row r="221" spans="1:111" x14ac:dyDescent="0.25">
      <c r="A221" s="13">
        <v>2544</v>
      </c>
      <c r="B221" s="438" t="s">
        <v>448</v>
      </c>
      <c r="C221" s="393">
        <v>511.7</v>
      </c>
      <c r="D221" s="187">
        <v>0.25</v>
      </c>
      <c r="E221" s="187">
        <f t="shared" si="8"/>
        <v>127.925</v>
      </c>
      <c r="F221" s="187"/>
      <c r="G221" s="187">
        <f t="shared" si="7"/>
        <v>127.925</v>
      </c>
      <c r="H221" s="90">
        <v>670459</v>
      </c>
      <c r="I221" s="89" t="s">
        <v>447</v>
      </c>
      <c r="J221" s="90" t="s">
        <v>11</v>
      </c>
      <c r="K221" s="90"/>
      <c r="L221" s="13">
        <v>93228850</v>
      </c>
    </row>
    <row r="222" spans="1:111" x14ac:dyDescent="0.25">
      <c r="A222" s="13">
        <v>2545</v>
      </c>
      <c r="B222" s="438" t="s">
        <v>446</v>
      </c>
      <c r="C222" s="393">
        <v>523.6</v>
      </c>
      <c r="D222" s="187">
        <v>0.25</v>
      </c>
      <c r="E222" s="187">
        <f t="shared" si="8"/>
        <v>130.9</v>
      </c>
      <c r="F222" s="187"/>
      <c r="G222" s="187">
        <f t="shared" si="7"/>
        <v>130.9</v>
      </c>
      <c r="H222" s="90">
        <v>6709882</v>
      </c>
      <c r="I222" s="89" t="s">
        <v>445</v>
      </c>
      <c r="J222" s="90" t="s">
        <v>11</v>
      </c>
      <c r="K222" s="90"/>
      <c r="L222" s="13">
        <v>95659540</v>
      </c>
    </row>
    <row r="223" spans="1:111" x14ac:dyDescent="0.25">
      <c r="A223" s="13">
        <v>2546</v>
      </c>
      <c r="B223" s="438" t="s">
        <v>444</v>
      </c>
      <c r="C223" s="393">
        <v>544</v>
      </c>
      <c r="D223" s="187">
        <v>0.25</v>
      </c>
      <c r="E223" s="187">
        <f t="shared" si="8"/>
        <v>136</v>
      </c>
      <c r="F223" s="187"/>
      <c r="G223" s="187">
        <f t="shared" si="7"/>
        <v>136</v>
      </c>
      <c r="H223" s="90">
        <v>7401537</v>
      </c>
      <c r="I223" s="89" t="s">
        <v>443</v>
      </c>
      <c r="J223" s="90" t="s">
        <v>11</v>
      </c>
      <c r="K223" s="90"/>
      <c r="L223" s="13">
        <v>92554883</v>
      </c>
    </row>
    <row r="224" spans="1:111" x14ac:dyDescent="0.25">
      <c r="A224" s="13">
        <v>2547</v>
      </c>
      <c r="B224" s="438" t="s">
        <v>442</v>
      </c>
      <c r="C224" s="393">
        <v>405.9</v>
      </c>
      <c r="D224" s="187">
        <v>0.25</v>
      </c>
      <c r="E224" s="187">
        <f t="shared" si="8"/>
        <v>101.47499999999999</v>
      </c>
      <c r="F224" s="187"/>
      <c r="G224" s="187">
        <f t="shared" si="7"/>
        <v>101.47499999999999</v>
      </c>
      <c r="H224" s="90">
        <v>5293842</v>
      </c>
      <c r="I224" s="89" t="s">
        <v>441</v>
      </c>
      <c r="J224" s="90" t="s">
        <v>11</v>
      </c>
      <c r="K224" s="90"/>
      <c r="L224" s="13">
        <v>96442949</v>
      </c>
    </row>
    <row r="225" spans="1:111" x14ac:dyDescent="0.25">
      <c r="A225" s="13">
        <v>2548</v>
      </c>
      <c r="B225" s="438" t="s">
        <v>440</v>
      </c>
      <c r="C225" s="393">
        <v>508.8</v>
      </c>
      <c r="D225" s="187">
        <v>0.25</v>
      </c>
      <c r="E225" s="187">
        <f t="shared" si="8"/>
        <v>127.2</v>
      </c>
      <c r="F225" s="187"/>
      <c r="G225" s="187">
        <f t="shared" si="7"/>
        <v>127.2</v>
      </c>
      <c r="H225" s="90">
        <v>1064386</v>
      </c>
      <c r="I225" s="89">
        <v>3129040044700</v>
      </c>
      <c r="J225" s="90" t="s">
        <v>81</v>
      </c>
      <c r="K225" s="90"/>
      <c r="L225" s="13">
        <v>99492191</v>
      </c>
    </row>
    <row r="226" spans="1:111" x14ac:dyDescent="0.25">
      <c r="A226" s="13">
        <v>2549</v>
      </c>
      <c r="B226" s="438" t="s">
        <v>439</v>
      </c>
      <c r="C226" s="393">
        <v>452.7</v>
      </c>
      <c r="D226" s="187">
        <v>0.25</v>
      </c>
      <c r="E226" s="187">
        <f t="shared" si="8"/>
        <v>113.175</v>
      </c>
      <c r="F226" s="187"/>
      <c r="G226" s="187">
        <f t="shared" si="7"/>
        <v>113.175</v>
      </c>
      <c r="H226" s="90">
        <v>8400297</v>
      </c>
      <c r="I226" s="89" t="s">
        <v>438</v>
      </c>
      <c r="J226" s="90" t="s">
        <v>11</v>
      </c>
      <c r="K226" s="90"/>
      <c r="L226" s="13">
        <v>92804884</v>
      </c>
    </row>
    <row r="227" spans="1:111" x14ac:dyDescent="0.25">
      <c r="A227" s="13">
        <v>2550</v>
      </c>
      <c r="B227" s="438" t="s">
        <v>437</v>
      </c>
      <c r="C227" s="393">
        <v>520.4</v>
      </c>
      <c r="D227" s="187">
        <v>0.25</v>
      </c>
      <c r="E227" s="187">
        <f t="shared" si="8"/>
        <v>130.1</v>
      </c>
      <c r="F227" s="187"/>
      <c r="G227" s="187">
        <f t="shared" si="7"/>
        <v>130.1</v>
      </c>
      <c r="H227" s="90">
        <v>848673</v>
      </c>
      <c r="I227" s="89" t="s">
        <v>436</v>
      </c>
      <c r="J227" s="90" t="s">
        <v>132</v>
      </c>
      <c r="K227" s="90"/>
      <c r="L227" s="13">
        <v>99498772</v>
      </c>
    </row>
    <row r="228" spans="1:111" s="177" customFormat="1" x14ac:dyDescent="0.25">
      <c r="A228" s="449">
        <v>2551</v>
      </c>
      <c r="B228" s="450" t="s">
        <v>435</v>
      </c>
      <c r="C228" s="451"/>
      <c r="D228" s="452">
        <v>0.25</v>
      </c>
      <c r="E228" s="452">
        <f t="shared" si="8"/>
        <v>0</v>
      </c>
      <c r="F228" s="452"/>
      <c r="G228" s="452">
        <f t="shared" si="7"/>
        <v>0</v>
      </c>
      <c r="H228" s="453">
        <v>81253</v>
      </c>
      <c r="I228" s="454" t="s">
        <v>434</v>
      </c>
      <c r="J228" s="453" t="s">
        <v>11</v>
      </c>
      <c r="K228" s="453"/>
      <c r="L228" s="449">
        <v>99496155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</row>
    <row r="229" spans="1:111" x14ac:dyDescent="0.25">
      <c r="A229" s="13">
        <v>2552</v>
      </c>
      <c r="B229" s="438" t="s">
        <v>433</v>
      </c>
      <c r="C229" s="393">
        <v>543.70000000000005</v>
      </c>
      <c r="D229" s="187">
        <v>0.25</v>
      </c>
      <c r="E229" s="187">
        <f t="shared" si="8"/>
        <v>135.92500000000001</v>
      </c>
      <c r="F229" s="187"/>
      <c r="G229" s="187">
        <f t="shared" si="7"/>
        <v>135.92500000000001</v>
      </c>
      <c r="H229" s="90">
        <v>7401542</v>
      </c>
      <c r="I229" s="89" t="s">
        <v>432</v>
      </c>
      <c r="J229" s="90" t="s">
        <v>11</v>
      </c>
      <c r="K229" s="90"/>
      <c r="L229" s="13">
        <v>92341518</v>
      </c>
    </row>
    <row r="230" spans="1:111" x14ac:dyDescent="0.25">
      <c r="A230" s="13">
        <v>2553</v>
      </c>
      <c r="B230" s="438" t="s">
        <v>431</v>
      </c>
      <c r="C230" s="393">
        <v>490.6</v>
      </c>
      <c r="D230" s="187">
        <v>0.25</v>
      </c>
      <c r="E230" s="187">
        <f t="shared" si="8"/>
        <v>122.65</v>
      </c>
      <c r="F230" s="187"/>
      <c r="G230" s="187">
        <f t="shared" si="7"/>
        <v>122.65</v>
      </c>
      <c r="H230" s="90">
        <v>5127962</v>
      </c>
      <c r="I230" s="89" t="s">
        <v>430</v>
      </c>
      <c r="J230" s="90" t="s">
        <v>11</v>
      </c>
      <c r="K230" s="90"/>
      <c r="L230" s="13">
        <v>92974929</v>
      </c>
    </row>
    <row r="231" spans="1:111" s="177" customFormat="1" x14ac:dyDescent="0.25">
      <c r="A231" s="449">
        <v>2554</v>
      </c>
      <c r="B231" s="450" t="s">
        <v>429</v>
      </c>
      <c r="C231" s="451"/>
      <c r="D231" s="452">
        <v>0.25</v>
      </c>
      <c r="E231" s="452">
        <f t="shared" si="8"/>
        <v>0</v>
      </c>
      <c r="F231" s="452"/>
      <c r="G231" s="452">
        <f t="shared" si="7"/>
        <v>0</v>
      </c>
      <c r="H231" s="453">
        <v>5177797</v>
      </c>
      <c r="I231" s="454" t="s">
        <v>428</v>
      </c>
      <c r="J231" s="453" t="s">
        <v>11</v>
      </c>
      <c r="K231" s="453"/>
      <c r="L231" s="449">
        <v>92912400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</row>
    <row r="232" spans="1:111" x14ac:dyDescent="0.25">
      <c r="A232" s="13">
        <v>2555</v>
      </c>
      <c r="B232" s="438" t="s">
        <v>427</v>
      </c>
      <c r="C232" s="393">
        <v>528.6</v>
      </c>
      <c r="D232" s="187">
        <v>0.25</v>
      </c>
      <c r="E232" s="187">
        <f t="shared" si="8"/>
        <v>132.15</v>
      </c>
      <c r="F232" s="187"/>
      <c r="G232" s="187">
        <f t="shared" si="7"/>
        <v>132.15</v>
      </c>
      <c r="H232" s="90">
        <v>921289</v>
      </c>
      <c r="I232" s="89" t="s">
        <v>426</v>
      </c>
      <c r="J232" s="90" t="s">
        <v>11</v>
      </c>
      <c r="K232" s="90"/>
      <c r="L232" s="13">
        <v>99492037</v>
      </c>
    </row>
    <row r="233" spans="1:111" x14ac:dyDescent="0.25">
      <c r="A233" s="13">
        <v>2556</v>
      </c>
      <c r="B233" s="438" t="s">
        <v>425</v>
      </c>
      <c r="C233" s="393">
        <v>489.7</v>
      </c>
      <c r="D233" s="187">
        <v>0.25</v>
      </c>
      <c r="E233" s="187">
        <f t="shared" si="8"/>
        <v>122.425</v>
      </c>
      <c r="F233" s="187"/>
      <c r="G233" s="187">
        <f t="shared" si="7"/>
        <v>122.425</v>
      </c>
      <c r="H233" s="90">
        <v>9242965</v>
      </c>
      <c r="I233" s="89">
        <v>1060582704001</v>
      </c>
      <c r="J233" s="90" t="s">
        <v>50</v>
      </c>
      <c r="K233" s="90"/>
      <c r="L233" s="13">
        <v>92540021</v>
      </c>
    </row>
    <row r="234" spans="1:111" x14ac:dyDescent="0.25">
      <c r="A234" s="449">
        <v>2557</v>
      </c>
      <c r="B234" s="450" t="s">
        <v>424</v>
      </c>
      <c r="C234" s="451"/>
      <c r="D234" s="452">
        <v>0.25</v>
      </c>
      <c r="E234" s="452">
        <f t="shared" si="8"/>
        <v>0</v>
      </c>
      <c r="F234" s="452"/>
      <c r="G234" s="452">
        <f t="shared" si="7"/>
        <v>0</v>
      </c>
      <c r="H234" s="453">
        <v>23718186</v>
      </c>
      <c r="I234" s="89" t="s">
        <v>423</v>
      </c>
      <c r="J234" s="90" t="s">
        <v>14</v>
      </c>
      <c r="K234" s="90"/>
      <c r="L234" s="13">
        <v>93242020</v>
      </c>
    </row>
    <row r="235" spans="1:111" x14ac:dyDescent="0.25">
      <c r="A235" s="13">
        <v>2558</v>
      </c>
      <c r="B235" s="438" t="s">
        <v>422</v>
      </c>
      <c r="C235" s="393">
        <v>520.70000000000005</v>
      </c>
      <c r="D235" s="187">
        <v>0.25</v>
      </c>
      <c r="E235" s="187">
        <f t="shared" si="8"/>
        <v>130.17500000000001</v>
      </c>
      <c r="F235" s="187"/>
      <c r="G235" s="187">
        <f t="shared" si="7"/>
        <v>130.17500000000001</v>
      </c>
      <c r="H235" s="90">
        <v>1105496</v>
      </c>
      <c r="I235" s="89">
        <v>250020014491</v>
      </c>
      <c r="J235" s="90" t="s">
        <v>14</v>
      </c>
      <c r="K235" s="90"/>
      <c r="L235" s="13">
        <v>99480919</v>
      </c>
    </row>
    <row r="236" spans="1:111" x14ac:dyDescent="0.25">
      <c r="A236" s="13">
        <v>2559</v>
      </c>
      <c r="B236" s="438" t="s">
        <v>421</v>
      </c>
      <c r="C236" s="393">
        <v>512.20000000000005</v>
      </c>
      <c r="D236" s="187">
        <v>0.25</v>
      </c>
      <c r="E236" s="187">
        <f t="shared" si="8"/>
        <v>128.05000000000001</v>
      </c>
      <c r="F236" s="187"/>
      <c r="G236" s="187">
        <f t="shared" si="7"/>
        <v>128.05000000000001</v>
      </c>
      <c r="H236" s="90">
        <v>5128715</v>
      </c>
      <c r="I236" s="89" t="s">
        <v>420</v>
      </c>
      <c r="J236" s="90" t="s">
        <v>11</v>
      </c>
      <c r="K236" s="90"/>
      <c r="L236" s="13">
        <v>95257749</v>
      </c>
    </row>
    <row r="237" spans="1:111" x14ac:dyDescent="0.25">
      <c r="A237" s="13">
        <v>2560</v>
      </c>
      <c r="B237" s="438" t="s">
        <v>419</v>
      </c>
      <c r="C237" s="393">
        <v>524.4</v>
      </c>
      <c r="D237" s="187">
        <v>0.25</v>
      </c>
      <c r="E237" s="187">
        <f t="shared" si="8"/>
        <v>131.1</v>
      </c>
      <c r="F237" s="187"/>
      <c r="G237" s="187">
        <f t="shared" si="7"/>
        <v>131.1</v>
      </c>
      <c r="H237" s="90">
        <v>14436155</v>
      </c>
      <c r="I237" s="89" t="s">
        <v>418</v>
      </c>
      <c r="J237" s="90" t="s">
        <v>11</v>
      </c>
      <c r="K237" s="90"/>
      <c r="L237" s="13">
        <v>99557773</v>
      </c>
    </row>
    <row r="238" spans="1:111" x14ac:dyDescent="0.25">
      <c r="A238" s="13">
        <v>2561</v>
      </c>
      <c r="B238" s="438" t="s">
        <v>417</v>
      </c>
      <c r="C238" s="393">
        <v>443</v>
      </c>
      <c r="D238" s="187">
        <v>0.25</v>
      </c>
      <c r="E238" s="187">
        <f t="shared" si="8"/>
        <v>110.75</v>
      </c>
      <c r="F238" s="187"/>
      <c r="G238" s="187">
        <f t="shared" si="7"/>
        <v>110.75</v>
      </c>
      <c r="H238" s="90">
        <v>18975018</v>
      </c>
      <c r="I238" s="89" t="s">
        <v>416</v>
      </c>
      <c r="J238" s="90" t="s">
        <v>11</v>
      </c>
      <c r="K238" s="90"/>
      <c r="L238" s="13">
        <v>99486864</v>
      </c>
    </row>
    <row r="239" spans="1:111" x14ac:dyDescent="0.25">
      <c r="A239" s="13">
        <v>2562</v>
      </c>
      <c r="B239" s="438" t="s">
        <v>415</v>
      </c>
      <c r="C239" s="393">
        <v>488.8</v>
      </c>
      <c r="D239" s="187">
        <v>0.25</v>
      </c>
      <c r="E239" s="187">
        <f t="shared" si="8"/>
        <v>122.2</v>
      </c>
      <c r="F239" s="187"/>
      <c r="G239" s="187">
        <f t="shared" si="7"/>
        <v>122.2</v>
      </c>
      <c r="H239" s="90">
        <v>7790465</v>
      </c>
      <c r="I239" s="89" t="s">
        <v>414</v>
      </c>
      <c r="J239" s="90" t="s">
        <v>11</v>
      </c>
      <c r="K239" s="90"/>
      <c r="L239" s="13">
        <v>98026664</v>
      </c>
    </row>
    <row r="240" spans="1:111" x14ac:dyDescent="0.25">
      <c r="A240" s="13">
        <v>2563</v>
      </c>
      <c r="B240" s="438" t="s">
        <v>413</v>
      </c>
      <c r="C240" s="393">
        <v>318.89999999999998</v>
      </c>
      <c r="D240" s="187">
        <v>0.25</v>
      </c>
      <c r="E240" s="187">
        <f t="shared" si="8"/>
        <v>79.724999999999994</v>
      </c>
      <c r="F240" s="187"/>
      <c r="G240" s="187">
        <f t="shared" si="7"/>
        <v>79.724999999999994</v>
      </c>
      <c r="H240" s="90">
        <v>5744412</v>
      </c>
      <c r="I240" s="89" t="s">
        <v>412</v>
      </c>
      <c r="J240" s="90" t="s">
        <v>11</v>
      </c>
      <c r="K240" s="90"/>
      <c r="L240" s="13">
        <v>92566993</v>
      </c>
    </row>
    <row r="241" spans="1:12" x14ac:dyDescent="0.25">
      <c r="A241" s="13">
        <v>2564</v>
      </c>
      <c r="B241" s="438" t="s">
        <v>411</v>
      </c>
      <c r="C241" s="393">
        <v>557.70000000000005</v>
      </c>
      <c r="D241" s="187">
        <v>0.25</v>
      </c>
      <c r="E241" s="187">
        <f t="shared" si="8"/>
        <v>139.42500000000001</v>
      </c>
      <c r="F241" s="187"/>
      <c r="G241" s="187">
        <f t="shared" si="7"/>
        <v>139.42500000000001</v>
      </c>
      <c r="H241" s="90">
        <v>27272455</v>
      </c>
      <c r="I241" s="89" t="s">
        <v>410</v>
      </c>
      <c r="J241" s="90" t="s">
        <v>11</v>
      </c>
      <c r="K241" s="90"/>
      <c r="L241" s="13">
        <v>92315109</v>
      </c>
    </row>
    <row r="242" spans="1:12" x14ac:dyDescent="0.25">
      <c r="A242" s="449">
        <v>2565</v>
      </c>
      <c r="B242" s="450" t="s">
        <v>409</v>
      </c>
      <c r="C242" s="451"/>
      <c r="D242" s="452">
        <v>0.25</v>
      </c>
      <c r="E242" s="452">
        <f t="shared" si="8"/>
        <v>0</v>
      </c>
      <c r="F242" s="452"/>
      <c r="G242" s="452">
        <f t="shared" si="7"/>
        <v>0</v>
      </c>
      <c r="H242" s="453">
        <v>24900494</v>
      </c>
      <c r="I242" s="89" t="s">
        <v>408</v>
      </c>
      <c r="J242" s="90" t="s">
        <v>11</v>
      </c>
      <c r="K242" s="90"/>
      <c r="L242" s="13">
        <v>92219137</v>
      </c>
    </row>
    <row r="243" spans="1:12" x14ac:dyDescent="0.25">
      <c r="A243" s="13">
        <v>2566</v>
      </c>
      <c r="B243" s="438" t="s">
        <v>407</v>
      </c>
      <c r="C243" s="393">
        <v>10</v>
      </c>
      <c r="D243" s="187">
        <v>0.25</v>
      </c>
      <c r="E243" s="187">
        <f t="shared" si="8"/>
        <v>2.5</v>
      </c>
      <c r="F243" s="187"/>
      <c r="G243" s="187">
        <f t="shared" si="7"/>
        <v>2.5</v>
      </c>
      <c r="H243" s="90">
        <v>11652477</v>
      </c>
      <c r="I243" s="89" t="s">
        <v>406</v>
      </c>
      <c r="J243" s="90" t="s">
        <v>11</v>
      </c>
      <c r="K243" s="90"/>
      <c r="L243" s="13">
        <v>95606419</v>
      </c>
    </row>
    <row r="244" spans="1:12" x14ac:dyDescent="0.25">
      <c r="A244" s="13">
        <v>2567</v>
      </c>
      <c r="B244" s="438" t="s">
        <v>405</v>
      </c>
      <c r="C244" s="393">
        <v>42.1</v>
      </c>
      <c r="D244" s="187">
        <v>0.25</v>
      </c>
      <c r="E244" s="187">
        <f t="shared" si="8"/>
        <v>10.525</v>
      </c>
      <c r="F244" s="187"/>
      <c r="G244" s="187">
        <f t="shared" si="7"/>
        <v>10.525</v>
      </c>
      <c r="H244" s="90">
        <v>23716828</v>
      </c>
      <c r="I244" s="89" t="s">
        <v>404</v>
      </c>
      <c r="J244" s="90" t="s">
        <v>11</v>
      </c>
      <c r="K244" s="90"/>
      <c r="L244" s="13">
        <v>96117533</v>
      </c>
    </row>
    <row r="245" spans="1:12" x14ac:dyDescent="0.25">
      <c r="A245" s="13">
        <v>2568</v>
      </c>
      <c r="B245" s="438" t="s">
        <v>403</v>
      </c>
      <c r="C245" s="393">
        <v>461.5</v>
      </c>
      <c r="D245" s="187">
        <v>0.25</v>
      </c>
      <c r="E245" s="187">
        <f t="shared" si="8"/>
        <v>115.375</v>
      </c>
      <c r="F245" s="187"/>
      <c r="G245" s="187">
        <f t="shared" si="7"/>
        <v>115.375</v>
      </c>
      <c r="H245" s="90">
        <v>817274</v>
      </c>
      <c r="I245" s="89" t="s">
        <v>402</v>
      </c>
      <c r="J245" s="90" t="s">
        <v>11</v>
      </c>
      <c r="K245" s="90"/>
      <c r="L245" s="13">
        <v>99495145</v>
      </c>
    </row>
    <row r="246" spans="1:12" x14ac:dyDescent="0.25">
      <c r="A246" s="13">
        <v>2569</v>
      </c>
      <c r="B246" s="438" t="s">
        <v>401</v>
      </c>
      <c r="C246" s="393">
        <v>504</v>
      </c>
      <c r="D246" s="187">
        <v>0.25</v>
      </c>
      <c r="E246" s="187">
        <f t="shared" si="8"/>
        <v>126</v>
      </c>
      <c r="F246" s="187"/>
      <c r="G246" s="187">
        <f t="shared" si="7"/>
        <v>126</v>
      </c>
      <c r="H246" s="90">
        <v>6079331</v>
      </c>
      <c r="I246" s="89" t="s">
        <v>400</v>
      </c>
      <c r="J246" s="90" t="s">
        <v>11</v>
      </c>
      <c r="K246" s="90"/>
      <c r="L246" s="13">
        <v>93337750</v>
      </c>
    </row>
    <row r="247" spans="1:12" x14ac:dyDescent="0.25">
      <c r="A247" s="13">
        <v>2570</v>
      </c>
      <c r="B247" s="438" t="s">
        <v>399</v>
      </c>
      <c r="C247" s="393">
        <v>475.1</v>
      </c>
      <c r="D247" s="187">
        <v>0.25</v>
      </c>
      <c r="E247" s="187">
        <f t="shared" si="8"/>
        <v>118.77500000000001</v>
      </c>
      <c r="F247" s="187"/>
      <c r="G247" s="187">
        <f t="shared" si="7"/>
        <v>118.77500000000001</v>
      </c>
      <c r="H247" s="90">
        <v>5032113</v>
      </c>
      <c r="I247" s="89" t="s">
        <v>398</v>
      </c>
      <c r="J247" s="90" t="s">
        <v>11</v>
      </c>
      <c r="K247" s="90"/>
      <c r="L247" s="13">
        <v>93675225</v>
      </c>
    </row>
    <row r="248" spans="1:12" x14ac:dyDescent="0.25">
      <c r="A248" s="13">
        <v>2571</v>
      </c>
      <c r="B248" s="438" t="s">
        <v>397</v>
      </c>
      <c r="C248" s="393">
        <v>491.2</v>
      </c>
      <c r="D248" s="187">
        <v>0.25</v>
      </c>
      <c r="E248" s="187">
        <f t="shared" si="8"/>
        <v>122.8</v>
      </c>
      <c r="F248" s="187"/>
      <c r="G248" s="187">
        <f t="shared" si="7"/>
        <v>122.8</v>
      </c>
      <c r="H248" s="90">
        <v>670478</v>
      </c>
      <c r="I248" s="89" t="s">
        <v>396</v>
      </c>
      <c r="J248" s="90" t="s">
        <v>11</v>
      </c>
      <c r="K248" s="90"/>
      <c r="L248" s="13">
        <v>92989511</v>
      </c>
    </row>
    <row r="249" spans="1:12" x14ac:dyDescent="0.25">
      <c r="A249" s="13">
        <v>2572</v>
      </c>
      <c r="B249" s="438" t="s">
        <v>395</v>
      </c>
      <c r="C249" s="393">
        <v>471.7</v>
      </c>
      <c r="D249" s="187">
        <v>0.25</v>
      </c>
      <c r="E249" s="187">
        <f t="shared" si="8"/>
        <v>117.925</v>
      </c>
      <c r="F249" s="187"/>
      <c r="G249" s="187">
        <f t="shared" si="7"/>
        <v>117.925</v>
      </c>
      <c r="H249" s="90">
        <v>660288</v>
      </c>
      <c r="I249" s="89" t="s">
        <v>394</v>
      </c>
      <c r="J249" s="90" t="s">
        <v>11</v>
      </c>
      <c r="K249" s="90"/>
      <c r="L249" s="13">
        <v>99494647</v>
      </c>
    </row>
    <row r="250" spans="1:12" x14ac:dyDescent="0.25">
      <c r="A250" s="13">
        <v>2573</v>
      </c>
      <c r="B250" s="438" t="s">
        <v>393</v>
      </c>
      <c r="C250" s="393">
        <v>535.20000000000005</v>
      </c>
      <c r="D250" s="187">
        <v>0.25</v>
      </c>
      <c r="E250" s="187">
        <f t="shared" si="8"/>
        <v>133.80000000000001</v>
      </c>
      <c r="F250" s="187"/>
      <c r="G250" s="187">
        <f t="shared" si="7"/>
        <v>133.80000000000001</v>
      </c>
      <c r="H250" s="90">
        <v>7885146</v>
      </c>
      <c r="I250" s="89" t="s">
        <v>392</v>
      </c>
      <c r="J250" s="90" t="s">
        <v>11</v>
      </c>
      <c r="K250" s="90"/>
      <c r="L250" s="13">
        <v>95103701</v>
      </c>
    </row>
    <row r="251" spans="1:12" x14ac:dyDescent="0.25">
      <c r="A251" s="13">
        <v>2574</v>
      </c>
      <c r="B251" s="438" t="s">
        <v>391</v>
      </c>
      <c r="C251" s="393">
        <v>495.4</v>
      </c>
      <c r="D251" s="187">
        <v>0.25</v>
      </c>
      <c r="E251" s="187">
        <f t="shared" si="8"/>
        <v>123.85</v>
      </c>
      <c r="F251" s="187"/>
      <c r="G251" s="187">
        <f t="shared" si="7"/>
        <v>123.85</v>
      </c>
      <c r="H251" s="90">
        <v>5586433</v>
      </c>
      <c r="I251" s="89" t="s">
        <v>390</v>
      </c>
      <c r="J251" s="90" t="s">
        <v>11</v>
      </c>
      <c r="K251" s="90"/>
      <c r="L251" s="13">
        <v>91199514</v>
      </c>
    </row>
    <row r="252" spans="1:12" x14ac:dyDescent="0.25">
      <c r="A252" s="449">
        <v>2575</v>
      </c>
      <c r="B252" s="450" t="s">
        <v>389</v>
      </c>
      <c r="C252" s="451"/>
      <c r="D252" s="452">
        <v>0.25</v>
      </c>
      <c r="E252" s="452">
        <f t="shared" si="8"/>
        <v>0</v>
      </c>
      <c r="F252" s="452"/>
      <c r="G252" s="452">
        <f t="shared" si="7"/>
        <v>0</v>
      </c>
      <c r="H252" s="453">
        <v>7321541</v>
      </c>
      <c r="I252" s="89" t="s">
        <v>388</v>
      </c>
      <c r="J252" s="90" t="s">
        <v>11</v>
      </c>
      <c r="K252" s="90"/>
      <c r="L252" s="13">
        <v>99774726</v>
      </c>
    </row>
    <row r="253" spans="1:12" x14ac:dyDescent="0.25">
      <c r="A253" s="449">
        <v>2576</v>
      </c>
      <c r="B253" s="450" t="s">
        <v>387</v>
      </c>
      <c r="C253" s="451"/>
      <c r="D253" s="452">
        <v>0.25</v>
      </c>
      <c r="E253" s="452">
        <f t="shared" si="8"/>
        <v>0</v>
      </c>
      <c r="F253" s="452"/>
      <c r="G253" s="452">
        <f t="shared" si="7"/>
        <v>0</v>
      </c>
      <c r="H253" s="453">
        <v>13307977</v>
      </c>
      <c r="I253" s="89" t="s">
        <v>386</v>
      </c>
      <c r="J253" s="90" t="s">
        <v>11</v>
      </c>
      <c r="K253" s="90"/>
      <c r="L253" s="13">
        <v>99774726</v>
      </c>
    </row>
    <row r="254" spans="1:12" x14ac:dyDescent="0.25">
      <c r="A254" s="13">
        <v>2577</v>
      </c>
      <c r="B254" s="438" t="s">
        <v>385</v>
      </c>
      <c r="C254" s="393">
        <v>452.2</v>
      </c>
      <c r="D254" s="187">
        <v>0.25</v>
      </c>
      <c r="E254" s="187">
        <f t="shared" si="8"/>
        <v>113.05</v>
      </c>
      <c r="F254" s="187"/>
      <c r="G254" s="187">
        <f t="shared" si="7"/>
        <v>113.05</v>
      </c>
      <c r="H254" s="90">
        <v>7756767</v>
      </c>
      <c r="I254" s="89" t="s">
        <v>384</v>
      </c>
      <c r="J254" s="90" t="s">
        <v>11</v>
      </c>
      <c r="K254" s="90"/>
      <c r="L254" s="13">
        <v>98895532</v>
      </c>
    </row>
    <row r="255" spans="1:12" x14ac:dyDescent="0.25">
      <c r="A255" s="13">
        <v>2578</v>
      </c>
      <c r="B255" s="438" t="s">
        <v>383</v>
      </c>
      <c r="C255" s="393">
        <v>19.600000000000001</v>
      </c>
      <c r="D255" s="187">
        <v>0.25</v>
      </c>
      <c r="E255" s="187">
        <f t="shared" si="8"/>
        <v>4.9000000000000004</v>
      </c>
      <c r="F255" s="187"/>
      <c r="G255" s="187">
        <f t="shared" si="7"/>
        <v>4.9000000000000004</v>
      </c>
      <c r="H255" s="90">
        <v>1006702</v>
      </c>
      <c r="I255" s="89">
        <v>2500200115581</v>
      </c>
      <c r="J255" s="90" t="s">
        <v>15</v>
      </c>
      <c r="K255" s="90"/>
      <c r="L255" s="13">
        <v>96442944</v>
      </c>
    </row>
    <row r="256" spans="1:12" x14ac:dyDescent="0.25">
      <c r="A256" s="13">
        <v>2579</v>
      </c>
      <c r="B256" s="438" t="s">
        <v>382</v>
      </c>
      <c r="C256" s="393">
        <v>329.1</v>
      </c>
      <c r="D256" s="187">
        <v>0.25</v>
      </c>
      <c r="E256" s="187">
        <f t="shared" si="8"/>
        <v>82.275000000000006</v>
      </c>
      <c r="F256" s="187"/>
      <c r="G256" s="187">
        <f t="shared" si="7"/>
        <v>82.275000000000006</v>
      </c>
      <c r="H256" s="90">
        <v>373386</v>
      </c>
      <c r="I256" s="89">
        <v>3109086634500</v>
      </c>
      <c r="J256" s="90" t="s">
        <v>81</v>
      </c>
      <c r="K256" s="90"/>
      <c r="L256" s="13">
        <v>92834411</v>
      </c>
    </row>
    <row r="257" spans="1:12" x14ac:dyDescent="0.25">
      <c r="A257" s="13">
        <v>2580</v>
      </c>
      <c r="B257" s="438" t="s">
        <v>381</v>
      </c>
      <c r="C257" s="393">
        <v>432.4</v>
      </c>
      <c r="D257" s="187">
        <v>0.25</v>
      </c>
      <c r="E257" s="187">
        <f t="shared" si="8"/>
        <v>108.1</v>
      </c>
      <c r="F257" s="187"/>
      <c r="G257" s="187">
        <f t="shared" si="7"/>
        <v>108.1</v>
      </c>
      <c r="H257" s="90">
        <v>4345131</v>
      </c>
      <c r="I257" s="89" t="s">
        <v>380</v>
      </c>
      <c r="J257" s="90" t="s">
        <v>11</v>
      </c>
      <c r="K257" s="90"/>
      <c r="L257" s="13">
        <v>98895532</v>
      </c>
    </row>
    <row r="258" spans="1:12" x14ac:dyDescent="0.25">
      <c r="A258" s="13">
        <f t="shared" ref="A258:A272" si="9">A257+1</f>
        <v>2581</v>
      </c>
      <c r="B258" s="438" t="s">
        <v>379</v>
      </c>
      <c r="C258" s="393">
        <v>514.29999999999995</v>
      </c>
      <c r="D258" s="187">
        <v>0.25</v>
      </c>
      <c r="E258" s="187">
        <f t="shared" si="8"/>
        <v>128.57499999999999</v>
      </c>
      <c r="F258" s="187"/>
      <c r="G258" s="187">
        <f t="shared" si="7"/>
        <v>128.57499999999999</v>
      </c>
      <c r="H258" s="90">
        <v>18827936</v>
      </c>
      <c r="I258" s="89" t="s">
        <v>378</v>
      </c>
      <c r="J258" s="90" t="s">
        <v>14</v>
      </c>
      <c r="K258" s="90"/>
      <c r="L258" s="13">
        <v>99693456</v>
      </c>
    </row>
    <row r="259" spans="1:12" x14ac:dyDescent="0.25">
      <c r="A259" s="449">
        <f t="shared" si="9"/>
        <v>2582</v>
      </c>
      <c r="B259" s="450" t="s">
        <v>377</v>
      </c>
      <c r="C259" s="451"/>
      <c r="D259" s="452">
        <v>0.25</v>
      </c>
      <c r="E259" s="452">
        <f t="shared" si="8"/>
        <v>0</v>
      </c>
      <c r="F259" s="452"/>
      <c r="G259" s="452">
        <f t="shared" si="7"/>
        <v>0</v>
      </c>
      <c r="H259" s="453">
        <v>5827813</v>
      </c>
      <c r="I259" s="89" t="s">
        <v>376</v>
      </c>
      <c r="J259" s="90" t="s">
        <v>14</v>
      </c>
      <c r="K259" s="90"/>
      <c r="L259" s="13">
        <v>99180888</v>
      </c>
    </row>
    <row r="260" spans="1:12" x14ac:dyDescent="0.25">
      <c r="A260" s="13">
        <f t="shared" si="9"/>
        <v>2583</v>
      </c>
      <c r="B260" s="438" t="s">
        <v>375</v>
      </c>
      <c r="C260" s="393">
        <v>488.6</v>
      </c>
      <c r="D260" s="187">
        <v>0.25</v>
      </c>
      <c r="E260" s="187">
        <f t="shared" si="8"/>
        <v>122.15</v>
      </c>
      <c r="F260" s="187"/>
      <c r="G260" s="187">
        <f t="shared" si="7"/>
        <v>122.15</v>
      </c>
      <c r="H260" s="90">
        <v>8344529</v>
      </c>
      <c r="I260" s="89" t="s">
        <v>374</v>
      </c>
      <c r="J260" s="90" t="s">
        <v>11</v>
      </c>
      <c r="K260" s="90"/>
      <c r="L260" s="13">
        <v>98977703</v>
      </c>
    </row>
    <row r="261" spans="1:12" x14ac:dyDescent="0.25">
      <c r="A261" s="13">
        <f t="shared" si="9"/>
        <v>2584</v>
      </c>
      <c r="B261" s="438" t="s">
        <v>373</v>
      </c>
      <c r="C261" s="393">
        <v>511.5</v>
      </c>
      <c r="D261" s="187">
        <v>0.25</v>
      </c>
      <c r="E261" s="187">
        <f t="shared" si="8"/>
        <v>127.875</v>
      </c>
      <c r="F261" s="187"/>
      <c r="G261" s="187">
        <f t="shared" si="7"/>
        <v>127.875</v>
      </c>
      <c r="H261" s="90">
        <v>21365246</v>
      </c>
      <c r="I261" s="89" t="s">
        <v>372</v>
      </c>
      <c r="J261" s="90" t="s">
        <v>11</v>
      </c>
      <c r="K261" s="90"/>
      <c r="L261" s="13">
        <v>92396040</v>
      </c>
    </row>
    <row r="262" spans="1:12" x14ac:dyDescent="0.25">
      <c r="A262" s="13">
        <f t="shared" si="9"/>
        <v>2585</v>
      </c>
      <c r="B262" s="438" t="s">
        <v>371</v>
      </c>
      <c r="C262" s="393">
        <v>542.1</v>
      </c>
      <c r="D262" s="187">
        <v>0.25</v>
      </c>
      <c r="E262" s="187">
        <f t="shared" si="8"/>
        <v>135.52500000000001</v>
      </c>
      <c r="F262" s="187"/>
      <c r="G262" s="187">
        <f t="shared" ref="G262:G275" si="10">E262-F262</f>
        <v>135.52500000000001</v>
      </c>
      <c r="H262" s="90">
        <v>1361572</v>
      </c>
      <c r="I262" s="89" t="s">
        <v>370</v>
      </c>
      <c r="J262" s="90" t="s">
        <v>11</v>
      </c>
      <c r="K262" s="90"/>
      <c r="L262" s="13">
        <v>96143385</v>
      </c>
    </row>
    <row r="263" spans="1:12" x14ac:dyDescent="0.25">
      <c r="A263" s="13">
        <f t="shared" si="9"/>
        <v>2586</v>
      </c>
      <c r="B263" s="438" t="s">
        <v>369</v>
      </c>
      <c r="C263" s="393">
        <v>548.4</v>
      </c>
      <c r="D263" s="187">
        <v>0.25</v>
      </c>
      <c r="E263" s="187">
        <f t="shared" si="8"/>
        <v>137.1</v>
      </c>
      <c r="F263" s="187"/>
      <c r="G263" s="187">
        <f t="shared" si="10"/>
        <v>137.1</v>
      </c>
      <c r="H263" s="90">
        <v>12587499</v>
      </c>
      <c r="I263" s="89">
        <v>1060716020017</v>
      </c>
      <c r="J263" s="90" t="s">
        <v>50</v>
      </c>
      <c r="K263" s="90"/>
      <c r="L263" s="13">
        <v>92194564</v>
      </c>
    </row>
    <row r="264" spans="1:12" x14ac:dyDescent="0.25">
      <c r="A264" s="13">
        <f t="shared" si="9"/>
        <v>2587</v>
      </c>
      <c r="B264" s="438" t="s">
        <v>368</v>
      </c>
      <c r="C264" s="393">
        <v>498.9</v>
      </c>
      <c r="D264" s="187">
        <v>0.25</v>
      </c>
      <c r="E264" s="187">
        <f t="shared" si="8"/>
        <v>124.72499999999999</v>
      </c>
      <c r="F264" s="187"/>
      <c r="G264" s="187">
        <f t="shared" si="10"/>
        <v>124.72499999999999</v>
      </c>
      <c r="H264" s="90">
        <v>27667399</v>
      </c>
      <c r="I264" s="89" t="s">
        <v>367</v>
      </c>
      <c r="J264" s="90" t="s">
        <v>11</v>
      </c>
      <c r="K264" s="90"/>
      <c r="L264" s="13">
        <v>93327116</v>
      </c>
    </row>
    <row r="265" spans="1:12" x14ac:dyDescent="0.25">
      <c r="A265" s="13">
        <f t="shared" si="9"/>
        <v>2588</v>
      </c>
      <c r="B265" s="438" t="s">
        <v>366</v>
      </c>
      <c r="C265" s="393">
        <v>345.5</v>
      </c>
      <c r="D265" s="187">
        <v>0.25</v>
      </c>
      <c r="E265" s="187">
        <f t="shared" si="8"/>
        <v>86.375</v>
      </c>
      <c r="F265" s="187"/>
      <c r="G265" s="187">
        <f t="shared" si="10"/>
        <v>86.375</v>
      </c>
      <c r="H265" s="90">
        <v>5022012</v>
      </c>
      <c r="I265" s="89">
        <v>31292006511700</v>
      </c>
      <c r="J265" s="90" t="s">
        <v>50</v>
      </c>
      <c r="K265" s="90"/>
      <c r="L265" s="13">
        <v>93273434</v>
      </c>
    </row>
    <row r="266" spans="1:12" x14ac:dyDescent="0.25">
      <c r="A266" s="13">
        <f t="shared" si="9"/>
        <v>2589</v>
      </c>
      <c r="B266" s="438" t="s">
        <v>218</v>
      </c>
      <c r="C266" s="393">
        <v>511.3</v>
      </c>
      <c r="D266" s="187">
        <v>0.25</v>
      </c>
      <c r="E266" s="187">
        <f t="shared" ref="E266:E275" si="11">C266*D266</f>
        <v>127.825</v>
      </c>
      <c r="F266" s="187"/>
      <c r="G266" s="187">
        <f t="shared" si="10"/>
        <v>127.825</v>
      </c>
      <c r="H266" s="90">
        <v>24512658</v>
      </c>
      <c r="I266" s="89" t="s">
        <v>365</v>
      </c>
      <c r="J266" s="90" t="s">
        <v>14</v>
      </c>
      <c r="K266" s="90"/>
      <c r="L266" s="13">
        <v>93967172</v>
      </c>
    </row>
    <row r="267" spans="1:12" x14ac:dyDescent="0.25">
      <c r="A267" s="13">
        <f t="shared" si="9"/>
        <v>2590</v>
      </c>
      <c r="B267" s="438" t="s">
        <v>364</v>
      </c>
      <c r="C267" s="393">
        <v>518.70000000000005</v>
      </c>
      <c r="D267" s="187">
        <v>0.25</v>
      </c>
      <c r="E267" s="187">
        <f t="shared" si="11"/>
        <v>129.67500000000001</v>
      </c>
      <c r="F267" s="187"/>
      <c r="G267" s="187">
        <f t="shared" si="10"/>
        <v>129.67500000000001</v>
      </c>
      <c r="H267" s="90">
        <v>10613224</v>
      </c>
      <c r="I267" s="89">
        <v>70402005917501</v>
      </c>
      <c r="J267" s="90" t="s">
        <v>11</v>
      </c>
      <c r="K267" s="90"/>
      <c r="L267" s="13">
        <v>92528593</v>
      </c>
    </row>
    <row r="268" spans="1:12" x14ac:dyDescent="0.25">
      <c r="A268" s="13">
        <f t="shared" si="9"/>
        <v>2591</v>
      </c>
      <c r="B268" s="438" t="s">
        <v>363</v>
      </c>
      <c r="C268" s="393">
        <v>349.9</v>
      </c>
      <c r="D268" s="187">
        <v>0.25</v>
      </c>
      <c r="E268" s="187">
        <f t="shared" si="11"/>
        <v>87.474999999999994</v>
      </c>
      <c r="F268" s="187"/>
      <c r="G268" s="187">
        <f t="shared" si="10"/>
        <v>87.474999999999994</v>
      </c>
      <c r="H268" s="90">
        <v>13842333</v>
      </c>
      <c r="I268" s="89" t="s">
        <v>362</v>
      </c>
      <c r="J268" s="90" t="s">
        <v>11</v>
      </c>
      <c r="K268" s="90"/>
      <c r="L268" s="13">
        <v>92366628</v>
      </c>
    </row>
    <row r="269" spans="1:12" x14ac:dyDescent="0.25">
      <c r="A269" s="13">
        <f t="shared" si="9"/>
        <v>2592</v>
      </c>
      <c r="B269" s="438" t="s">
        <v>361</v>
      </c>
      <c r="C269" s="393">
        <v>523.5</v>
      </c>
      <c r="D269" s="187">
        <v>0.25</v>
      </c>
      <c r="E269" s="187">
        <f t="shared" si="11"/>
        <v>130.875</v>
      </c>
      <c r="F269" s="187"/>
      <c r="G269" s="187">
        <f t="shared" si="10"/>
        <v>130.875</v>
      </c>
      <c r="H269" s="90">
        <v>977263</v>
      </c>
      <c r="I269" s="89" t="s">
        <v>360</v>
      </c>
      <c r="J269" s="90" t="s">
        <v>11</v>
      </c>
      <c r="K269" s="90"/>
      <c r="L269" s="13">
        <v>99162100</v>
      </c>
    </row>
    <row r="270" spans="1:12" x14ac:dyDescent="0.25">
      <c r="A270" s="13">
        <f t="shared" si="9"/>
        <v>2593</v>
      </c>
      <c r="B270" s="438" t="s">
        <v>359</v>
      </c>
      <c r="C270" s="393">
        <v>522.1</v>
      </c>
      <c r="D270" s="187">
        <v>0.25</v>
      </c>
      <c r="E270" s="187">
        <f t="shared" si="11"/>
        <v>130.52500000000001</v>
      </c>
      <c r="F270" s="187"/>
      <c r="G270" s="187">
        <f t="shared" si="10"/>
        <v>130.52500000000001</v>
      </c>
      <c r="H270" s="90">
        <v>22642816</v>
      </c>
      <c r="I270" s="89" t="s">
        <v>358</v>
      </c>
      <c r="J270" s="90" t="s">
        <v>11</v>
      </c>
      <c r="K270" s="90"/>
      <c r="L270" s="13">
        <v>92626230</v>
      </c>
    </row>
    <row r="271" spans="1:12" x14ac:dyDescent="0.25">
      <c r="A271" s="13">
        <f t="shared" si="9"/>
        <v>2594</v>
      </c>
      <c r="B271" s="438" t="s">
        <v>357</v>
      </c>
      <c r="C271" s="393">
        <v>482.9</v>
      </c>
      <c r="D271" s="187">
        <v>0.25</v>
      </c>
      <c r="E271" s="187">
        <f t="shared" si="11"/>
        <v>120.72499999999999</v>
      </c>
      <c r="F271" s="187"/>
      <c r="G271" s="187">
        <f t="shared" si="10"/>
        <v>120.72499999999999</v>
      </c>
      <c r="H271" s="90">
        <v>5679673</v>
      </c>
      <c r="I271" s="89" t="s">
        <v>356</v>
      </c>
      <c r="J271" s="90" t="s">
        <v>11</v>
      </c>
      <c r="K271" s="90"/>
      <c r="L271" s="13">
        <v>95606291</v>
      </c>
    </row>
    <row r="272" spans="1:12" x14ac:dyDescent="0.25">
      <c r="A272" s="13">
        <f t="shared" si="9"/>
        <v>2595</v>
      </c>
      <c r="B272" s="438" t="s">
        <v>355</v>
      </c>
      <c r="C272" s="393">
        <v>491.3</v>
      </c>
      <c r="D272" s="187">
        <v>0.25</v>
      </c>
      <c r="E272" s="187">
        <f t="shared" si="11"/>
        <v>122.825</v>
      </c>
      <c r="F272" s="187"/>
      <c r="G272" s="187">
        <f t="shared" si="10"/>
        <v>122.825</v>
      </c>
      <c r="H272" s="90">
        <v>5128697</v>
      </c>
      <c r="I272" s="89" t="s">
        <v>354</v>
      </c>
      <c r="J272" s="90" t="s">
        <v>11</v>
      </c>
      <c r="K272" s="90"/>
      <c r="L272" s="13">
        <v>99695076</v>
      </c>
    </row>
    <row r="273" spans="1:12" x14ac:dyDescent="0.25">
      <c r="A273" s="449">
        <v>2596</v>
      </c>
      <c r="B273" s="450" t="s">
        <v>593</v>
      </c>
      <c r="C273" s="451"/>
      <c r="D273" s="452">
        <v>0.25</v>
      </c>
      <c r="E273" s="452">
        <f t="shared" si="11"/>
        <v>0</v>
      </c>
      <c r="F273" s="452"/>
      <c r="G273" s="452">
        <f t="shared" si="10"/>
        <v>0</v>
      </c>
      <c r="H273" s="453">
        <v>5750852</v>
      </c>
      <c r="I273" s="89" t="s">
        <v>592</v>
      </c>
      <c r="J273" s="90" t="s">
        <v>11</v>
      </c>
      <c r="K273" s="90"/>
      <c r="L273" s="13">
        <v>92559696</v>
      </c>
    </row>
    <row r="274" spans="1:12" x14ac:dyDescent="0.25">
      <c r="A274" s="13">
        <v>2597</v>
      </c>
      <c r="B274" s="438" t="s">
        <v>591</v>
      </c>
      <c r="C274" s="393">
        <v>13</v>
      </c>
      <c r="D274" s="187">
        <v>0.25</v>
      </c>
      <c r="E274" s="187">
        <f t="shared" si="11"/>
        <v>3.25</v>
      </c>
      <c r="F274" s="187"/>
      <c r="G274" s="187">
        <f t="shared" si="10"/>
        <v>3.25</v>
      </c>
      <c r="H274" s="90">
        <v>6187926</v>
      </c>
      <c r="I274" s="89" t="s">
        <v>590</v>
      </c>
      <c r="J274" s="90" t="s">
        <v>11</v>
      </c>
      <c r="K274" s="90"/>
      <c r="L274" s="13">
        <v>99693494</v>
      </c>
    </row>
    <row r="275" spans="1:12" x14ac:dyDescent="0.25">
      <c r="A275" s="13">
        <v>3166</v>
      </c>
      <c r="B275" s="438" t="s">
        <v>17</v>
      </c>
      <c r="C275" s="393">
        <v>2671</v>
      </c>
      <c r="D275" s="187">
        <v>0.25</v>
      </c>
      <c r="E275" s="187">
        <f t="shared" si="11"/>
        <v>667.75</v>
      </c>
      <c r="F275" s="187"/>
      <c r="G275" s="187">
        <f t="shared" si="10"/>
        <v>667.75</v>
      </c>
      <c r="H275" s="90">
        <v>6381786</v>
      </c>
      <c r="I275" s="89" t="s">
        <v>291</v>
      </c>
      <c r="J275" s="90" t="s">
        <v>18</v>
      </c>
      <c r="K275" s="90" t="s">
        <v>47</v>
      </c>
      <c r="L275" s="13">
        <v>92224863</v>
      </c>
    </row>
    <row r="276" spans="1:12" ht="24" x14ac:dyDescent="0.4">
      <c r="A276" s="17"/>
      <c r="B276" s="123" t="s">
        <v>302</v>
      </c>
      <c r="C276" s="392">
        <f>SUM(C5:C275)</f>
        <v>218191.09999999992</v>
      </c>
      <c r="D276" s="352" t="s">
        <v>303</v>
      </c>
      <c r="E276" s="351">
        <f>SUM(E5:E275)</f>
        <v>54547.77499999998</v>
      </c>
      <c r="F276" s="351">
        <f>SUM(F5:F275)</f>
        <v>0.75</v>
      </c>
      <c r="G276" s="351">
        <f>SUM(G5:G275)</f>
        <v>54547.02499999998</v>
      </c>
      <c r="H276" s="38"/>
      <c r="I276" s="31"/>
      <c r="J276" s="17"/>
      <c r="K276" s="17"/>
      <c r="L276" s="39"/>
    </row>
    <row r="279" spans="1:12" x14ac:dyDescent="0.25">
      <c r="E279" s="468">
        <f>54558.61-E276</f>
        <v>10.835000000020955</v>
      </c>
    </row>
  </sheetData>
  <conditionalFormatting sqref="I9">
    <cfRule type="duplicateValues" dxfId="27" priority="3"/>
  </conditionalFormatting>
  <conditionalFormatting sqref="I21">
    <cfRule type="duplicateValues" dxfId="26" priority="9"/>
  </conditionalFormatting>
  <conditionalFormatting sqref="I61">
    <cfRule type="duplicateValues" dxfId="25" priority="2"/>
  </conditionalFormatting>
  <conditionalFormatting sqref="I71">
    <cfRule type="duplicateValues" dxfId="24" priority="11"/>
  </conditionalFormatting>
  <conditionalFormatting sqref="I93">
    <cfRule type="duplicateValues" dxfId="23" priority="12"/>
  </conditionalFormatting>
  <conditionalFormatting sqref="I105">
    <cfRule type="duplicateValues" dxfId="22" priority="8"/>
  </conditionalFormatting>
  <conditionalFormatting sqref="I106">
    <cfRule type="duplicateValues" dxfId="21" priority="10"/>
  </conditionalFormatting>
  <conditionalFormatting sqref="I109:I117 I94:I104 I107 I72:I92 I65:I70 I4 I22:I60 I125 I10:I20 I62:I63 I119:I123 I6:I8 I134:I276">
    <cfRule type="duplicateValues" dxfId="20" priority="18"/>
  </conditionalFormatting>
  <conditionalFormatting sqref="I118">
    <cfRule type="duplicateValues" dxfId="19" priority="1"/>
  </conditionalFormatting>
  <conditionalFormatting sqref="I124">
    <cfRule type="duplicateValues" dxfId="18" priority="7"/>
  </conditionalFormatting>
  <conditionalFormatting sqref="I127">
    <cfRule type="duplicateValues" dxfId="17" priority="6"/>
  </conditionalFormatting>
  <conditionalFormatting sqref="I128:I131 I133">
    <cfRule type="duplicateValues" dxfId="16" priority="5"/>
  </conditionalFormatting>
  <conditionalFormatting sqref="I132">
    <cfRule type="duplicateValues" dxfId="15" priority="4"/>
  </conditionalFormatting>
  <conditionalFormatting sqref="J5">
    <cfRule type="duplicateValues" dxfId="14" priority="13"/>
  </conditionalFormatting>
  <pageMargins left="0.7" right="0.7" top="0.75" bottom="0.75" header="0.3" footer="0.3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5A7C-54F1-4ED7-8CE6-16E0348B5FC7}">
  <dimension ref="A2:N280"/>
  <sheetViews>
    <sheetView tabSelected="1" topLeftCell="A189" workbookViewId="0">
      <selection activeCell="A208" sqref="A208"/>
    </sheetView>
  </sheetViews>
  <sheetFormatPr defaultColWidth="9.140625" defaultRowHeight="15" x14ac:dyDescent="0.25"/>
  <cols>
    <col min="1" max="1" width="140" style="1" bestFit="1" customWidth="1"/>
    <col min="2" max="2" width="45.5703125" style="1" customWidth="1"/>
    <col min="3" max="3" width="18.7109375" style="150" bestFit="1" customWidth="1"/>
    <col min="4" max="4" width="7" style="1" bestFit="1" customWidth="1"/>
    <col min="5" max="5" width="22.5703125" style="1" bestFit="1" customWidth="1"/>
    <col min="6" max="7" width="22.5703125" style="1" customWidth="1"/>
    <col min="8" max="8" width="14.28515625" style="1" bestFit="1" customWidth="1"/>
    <col min="9" max="9" width="18.7109375" style="1" customWidth="1"/>
    <col min="10" max="10" width="17" style="1" bestFit="1" customWidth="1"/>
    <col min="11" max="11" width="14.85546875" style="1" bestFit="1" customWidth="1"/>
    <col min="12" max="12" width="10" style="1" bestFit="1" customWidth="1"/>
    <col min="13" max="16384" width="9.140625" style="1"/>
  </cols>
  <sheetData>
    <row r="2" spans="1:14" ht="28.5" x14ac:dyDescent="0.25">
      <c r="A2" s="478" t="s">
        <v>626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4" x14ac:dyDescent="0.25">
      <c r="A3" s="39"/>
      <c r="B3" s="39"/>
      <c r="C3" s="436"/>
      <c r="D3" s="39"/>
      <c r="E3" s="39"/>
      <c r="F3" s="39"/>
      <c r="G3" s="39"/>
      <c r="H3" s="39"/>
      <c r="I3" s="39"/>
      <c r="J3" s="39"/>
      <c r="K3" s="39"/>
      <c r="L3" s="39"/>
    </row>
    <row r="4" spans="1:14" x14ac:dyDescent="0.25">
      <c r="A4" s="373" t="s">
        <v>2</v>
      </c>
      <c r="B4" s="373" t="s">
        <v>3</v>
      </c>
      <c r="C4" s="437" t="s">
        <v>4</v>
      </c>
      <c r="D4" s="370" t="s">
        <v>5</v>
      </c>
      <c r="E4" s="372" t="s">
        <v>6</v>
      </c>
      <c r="F4" s="372"/>
      <c r="G4" s="372" t="s">
        <v>346</v>
      </c>
      <c r="H4" s="370" t="s">
        <v>7</v>
      </c>
      <c r="I4" s="371" t="s">
        <v>8</v>
      </c>
      <c r="J4" s="370" t="s">
        <v>9</v>
      </c>
      <c r="K4" s="370"/>
      <c r="L4" s="370" t="s">
        <v>322</v>
      </c>
    </row>
    <row r="5" spans="1:14" ht="14.45" customHeight="1" x14ac:dyDescent="0.25">
      <c r="A5" s="13">
        <v>2015</v>
      </c>
      <c r="B5" s="46" t="s">
        <v>573</v>
      </c>
      <c r="C5" s="474">
        <v>418.4</v>
      </c>
      <c r="D5" s="187">
        <v>0.25</v>
      </c>
      <c r="E5" s="187">
        <f t="shared" ref="E5:E68" si="0">C5*D5</f>
        <v>104.6</v>
      </c>
      <c r="F5" s="187"/>
      <c r="G5" s="187">
        <f>E5-F5</f>
        <v>104.6</v>
      </c>
      <c r="H5" s="88">
        <v>2027246</v>
      </c>
      <c r="I5" s="14" t="s">
        <v>572</v>
      </c>
      <c r="J5" s="89" t="s">
        <v>154</v>
      </c>
      <c r="K5" s="13"/>
      <c r="L5" s="14">
        <v>99292240</v>
      </c>
      <c r="M5" s="23"/>
      <c r="N5" s="473"/>
    </row>
    <row r="6" spans="1:14" x14ac:dyDescent="0.25">
      <c r="A6" s="13">
        <v>2022</v>
      </c>
      <c r="B6" s="46" t="s">
        <v>45</v>
      </c>
      <c r="C6" s="393">
        <v>487.4</v>
      </c>
      <c r="D6" s="187">
        <v>0.25</v>
      </c>
      <c r="E6" s="187">
        <f t="shared" si="0"/>
        <v>121.85</v>
      </c>
      <c r="F6" s="187"/>
      <c r="G6" s="187">
        <f t="shared" ref="G6:G69" si="1">E6-F6</f>
        <v>121.85</v>
      </c>
      <c r="H6" s="88">
        <v>8542496</v>
      </c>
      <c r="I6" s="89" t="s">
        <v>46</v>
      </c>
      <c r="J6" s="90" t="s">
        <v>11</v>
      </c>
      <c r="K6" s="90" t="s">
        <v>47</v>
      </c>
      <c r="L6" s="14">
        <v>99198330</v>
      </c>
    </row>
    <row r="7" spans="1:14" x14ac:dyDescent="0.25">
      <c r="A7" s="13">
        <v>2023</v>
      </c>
      <c r="B7" s="438" t="s">
        <v>571</v>
      </c>
      <c r="C7" s="393">
        <v>594.5</v>
      </c>
      <c r="D7" s="187">
        <v>0.25</v>
      </c>
      <c r="E7" s="187">
        <f t="shared" si="0"/>
        <v>148.625</v>
      </c>
      <c r="F7" s="187"/>
      <c r="G7" s="187">
        <f t="shared" si="1"/>
        <v>148.625</v>
      </c>
      <c r="H7" s="90">
        <v>5586433</v>
      </c>
      <c r="I7" s="90" t="s">
        <v>390</v>
      </c>
      <c r="J7" s="90" t="s">
        <v>11</v>
      </c>
      <c r="K7" s="90"/>
      <c r="L7" s="13">
        <v>91199514</v>
      </c>
    </row>
    <row r="8" spans="1:14" x14ac:dyDescent="0.25">
      <c r="A8" s="13">
        <v>2026</v>
      </c>
      <c r="B8" s="18" t="s">
        <v>48</v>
      </c>
      <c r="C8" s="393">
        <v>562.9</v>
      </c>
      <c r="D8" s="187">
        <v>0.25</v>
      </c>
      <c r="E8" s="187">
        <f t="shared" si="0"/>
        <v>140.72499999999999</v>
      </c>
      <c r="F8" s="187"/>
      <c r="G8" s="187">
        <f t="shared" si="1"/>
        <v>140.72499999999999</v>
      </c>
      <c r="H8" s="88">
        <v>5352667</v>
      </c>
      <c r="I8" s="89" t="s">
        <v>49</v>
      </c>
      <c r="J8" s="90" t="s">
        <v>50</v>
      </c>
      <c r="K8" s="90" t="s">
        <v>51</v>
      </c>
      <c r="L8" s="14">
        <v>96669695</v>
      </c>
    </row>
    <row r="9" spans="1:14" x14ac:dyDescent="0.25">
      <c r="A9" s="13">
        <v>2027</v>
      </c>
      <c r="B9" s="18" t="s">
        <v>52</v>
      </c>
      <c r="C9" s="393">
        <v>99</v>
      </c>
      <c r="D9" s="187">
        <v>0.25</v>
      </c>
      <c r="E9" s="187">
        <f t="shared" si="0"/>
        <v>24.75</v>
      </c>
      <c r="F9" s="187"/>
      <c r="G9" s="187">
        <f t="shared" si="1"/>
        <v>24.75</v>
      </c>
      <c r="H9" s="88">
        <v>19187402</v>
      </c>
      <c r="I9" s="89" t="s">
        <v>53</v>
      </c>
      <c r="J9" s="90" t="s">
        <v>11</v>
      </c>
      <c r="K9" s="90" t="s">
        <v>47</v>
      </c>
      <c r="L9" s="14">
        <v>99198330</v>
      </c>
    </row>
    <row r="10" spans="1:14" x14ac:dyDescent="0.25">
      <c r="A10" s="13">
        <v>2033</v>
      </c>
      <c r="B10" s="18" t="s">
        <v>19</v>
      </c>
      <c r="C10" s="393">
        <v>1192.3</v>
      </c>
      <c r="D10" s="187">
        <v>0.25</v>
      </c>
      <c r="E10" s="187">
        <f t="shared" si="0"/>
        <v>298.07499999999999</v>
      </c>
      <c r="F10" s="187"/>
      <c r="G10" s="187">
        <f t="shared" si="1"/>
        <v>298.07499999999999</v>
      </c>
      <c r="H10" s="88">
        <v>1290824</v>
      </c>
      <c r="I10" s="89" t="s">
        <v>54</v>
      </c>
      <c r="J10" s="90" t="s">
        <v>14</v>
      </c>
      <c r="K10" s="90" t="s">
        <v>55</v>
      </c>
      <c r="L10" s="14">
        <v>97064018</v>
      </c>
    </row>
    <row r="11" spans="1:14" x14ac:dyDescent="0.25">
      <c r="A11" s="13">
        <v>2036</v>
      </c>
      <c r="B11" s="18" t="s">
        <v>56</v>
      </c>
      <c r="C11" s="393">
        <v>321.8</v>
      </c>
      <c r="D11" s="187">
        <v>0.25</v>
      </c>
      <c r="E11" s="187">
        <f t="shared" si="0"/>
        <v>80.45</v>
      </c>
      <c r="F11" s="187"/>
      <c r="G11" s="187">
        <f t="shared" si="1"/>
        <v>80.45</v>
      </c>
      <c r="H11" s="88">
        <v>8201282</v>
      </c>
      <c r="I11" s="89" t="s">
        <v>57</v>
      </c>
      <c r="J11" s="90" t="s">
        <v>14</v>
      </c>
      <c r="K11" s="90" t="s">
        <v>55</v>
      </c>
      <c r="L11" s="14">
        <v>91425474</v>
      </c>
    </row>
    <row r="12" spans="1:14" x14ac:dyDescent="0.25">
      <c r="A12" s="13">
        <v>2051</v>
      </c>
      <c r="B12" s="18" t="s">
        <v>58</v>
      </c>
      <c r="C12" s="393">
        <v>1143.9000000000001</v>
      </c>
      <c r="D12" s="187">
        <v>0.25</v>
      </c>
      <c r="E12" s="187">
        <f t="shared" si="0"/>
        <v>285.97500000000002</v>
      </c>
      <c r="F12" s="187"/>
      <c r="G12" s="187">
        <f t="shared" si="1"/>
        <v>285.97500000000002</v>
      </c>
      <c r="H12" s="88">
        <v>575519</v>
      </c>
      <c r="I12" s="89" t="s">
        <v>59</v>
      </c>
      <c r="J12" s="90" t="s">
        <v>14</v>
      </c>
      <c r="K12" s="90" t="s">
        <v>55</v>
      </c>
      <c r="L12" s="13">
        <v>99486262</v>
      </c>
    </row>
    <row r="13" spans="1:14" x14ac:dyDescent="0.25">
      <c r="A13" s="13">
        <v>2058</v>
      </c>
      <c r="B13" s="18" t="s">
        <v>597</v>
      </c>
      <c r="C13" s="393">
        <v>574</v>
      </c>
      <c r="D13" s="187">
        <v>0.25</v>
      </c>
      <c r="E13" s="187">
        <f t="shared" si="0"/>
        <v>143.5</v>
      </c>
      <c r="F13" s="187"/>
      <c r="G13" s="187">
        <f t="shared" si="1"/>
        <v>143.5</v>
      </c>
      <c r="H13" s="88"/>
      <c r="I13" s="89"/>
      <c r="J13" s="90"/>
      <c r="K13" s="90"/>
      <c r="L13" s="13"/>
    </row>
    <row r="14" spans="1:14" x14ac:dyDescent="0.25">
      <c r="A14" s="13">
        <v>2095</v>
      </c>
      <c r="B14" s="18" t="s">
        <v>20</v>
      </c>
      <c r="C14" s="393">
        <v>1252.9000000000001</v>
      </c>
      <c r="D14" s="187">
        <v>0.25</v>
      </c>
      <c r="E14" s="187">
        <f t="shared" si="0"/>
        <v>313.22500000000002</v>
      </c>
      <c r="F14" s="187"/>
      <c r="G14" s="187">
        <f t="shared" si="1"/>
        <v>313.22500000000002</v>
      </c>
      <c r="H14" s="88">
        <v>26224</v>
      </c>
      <c r="I14" s="89" t="s">
        <v>60</v>
      </c>
      <c r="J14" s="90" t="s">
        <v>14</v>
      </c>
      <c r="K14" s="90" t="s">
        <v>55</v>
      </c>
      <c r="L14" s="14">
        <v>96177155</v>
      </c>
    </row>
    <row r="15" spans="1:14" x14ac:dyDescent="0.25">
      <c r="A15" s="13">
        <v>2097</v>
      </c>
      <c r="B15" s="18" t="s">
        <v>61</v>
      </c>
      <c r="C15" s="393">
        <v>628.70000000000005</v>
      </c>
      <c r="D15" s="187">
        <v>0.25</v>
      </c>
      <c r="E15" s="187">
        <f t="shared" si="0"/>
        <v>157.17500000000001</v>
      </c>
      <c r="F15" s="187"/>
      <c r="G15" s="187">
        <f t="shared" si="1"/>
        <v>157.17500000000001</v>
      </c>
      <c r="H15" s="88">
        <v>677206</v>
      </c>
      <c r="I15" s="89" t="s">
        <v>62</v>
      </c>
      <c r="J15" s="90" t="s">
        <v>50</v>
      </c>
      <c r="K15" s="90" t="s">
        <v>51</v>
      </c>
      <c r="L15" s="14">
        <v>99083310</v>
      </c>
    </row>
    <row r="16" spans="1:14" hidden="1" x14ac:dyDescent="0.25">
      <c r="A16" s="13">
        <v>2098</v>
      </c>
      <c r="B16" s="18" t="s">
        <v>63</v>
      </c>
      <c r="C16" s="393"/>
      <c r="D16" s="187">
        <v>0.25</v>
      </c>
      <c r="E16" s="187">
        <f t="shared" si="0"/>
        <v>0</v>
      </c>
      <c r="F16" s="187"/>
      <c r="G16" s="187">
        <f t="shared" si="1"/>
        <v>0</v>
      </c>
      <c r="H16" s="88">
        <v>1065899</v>
      </c>
      <c r="I16" s="89" t="s">
        <v>64</v>
      </c>
      <c r="J16" s="90" t="s">
        <v>11</v>
      </c>
      <c r="K16" s="90" t="s">
        <v>47</v>
      </c>
      <c r="L16" s="18"/>
    </row>
    <row r="17" spans="1:12" x14ac:dyDescent="0.25">
      <c r="A17" s="13">
        <v>2100</v>
      </c>
      <c r="B17" s="18" t="s">
        <v>65</v>
      </c>
      <c r="C17" s="393">
        <v>1229.5</v>
      </c>
      <c r="D17" s="187">
        <v>0.25</v>
      </c>
      <c r="E17" s="187">
        <f t="shared" si="0"/>
        <v>307.375</v>
      </c>
      <c r="F17" s="187"/>
      <c r="G17" s="187">
        <f t="shared" si="1"/>
        <v>307.375</v>
      </c>
      <c r="H17" s="88">
        <v>5550806</v>
      </c>
      <c r="I17" s="89" t="s">
        <v>66</v>
      </c>
      <c r="J17" s="90" t="s">
        <v>15</v>
      </c>
      <c r="K17" s="90" t="s">
        <v>67</v>
      </c>
      <c r="L17" s="14">
        <v>95614480</v>
      </c>
    </row>
    <row r="18" spans="1:12" x14ac:dyDescent="0.25">
      <c r="A18" s="13">
        <v>2101</v>
      </c>
      <c r="B18" s="18" t="s">
        <v>68</v>
      </c>
      <c r="C18" s="393">
        <v>631.9</v>
      </c>
      <c r="D18" s="187">
        <v>0.25</v>
      </c>
      <c r="E18" s="187">
        <f t="shared" si="0"/>
        <v>157.97499999999999</v>
      </c>
      <c r="F18" s="187"/>
      <c r="G18" s="187">
        <f t="shared" si="1"/>
        <v>157.97499999999999</v>
      </c>
      <c r="H18" s="90">
        <v>1145267</v>
      </c>
      <c r="I18" s="89" t="s">
        <v>69</v>
      </c>
      <c r="J18" s="90" t="s">
        <v>18</v>
      </c>
      <c r="K18" s="90" t="s">
        <v>47</v>
      </c>
      <c r="L18" s="13">
        <v>99287071</v>
      </c>
    </row>
    <row r="19" spans="1:12" x14ac:dyDescent="0.25">
      <c r="A19" s="13">
        <v>2112</v>
      </c>
      <c r="B19" s="18" t="s">
        <v>71</v>
      </c>
      <c r="C19" s="393">
        <v>1624.8</v>
      </c>
      <c r="D19" s="187">
        <v>0.25</v>
      </c>
      <c r="E19" s="187">
        <f t="shared" si="0"/>
        <v>406.2</v>
      </c>
      <c r="F19" s="187"/>
      <c r="G19" s="187">
        <f t="shared" si="1"/>
        <v>406.2</v>
      </c>
      <c r="H19" s="88">
        <v>11412524</v>
      </c>
      <c r="I19" s="89" t="s">
        <v>72</v>
      </c>
      <c r="J19" s="90" t="s">
        <v>11</v>
      </c>
      <c r="K19" s="90" t="s">
        <v>47</v>
      </c>
      <c r="L19" s="14">
        <v>93337934</v>
      </c>
    </row>
    <row r="20" spans="1:12" x14ac:dyDescent="0.25">
      <c r="A20" s="13">
        <v>2120</v>
      </c>
      <c r="B20" s="18" t="s">
        <v>73</v>
      </c>
      <c r="C20" s="393">
        <v>603.4</v>
      </c>
      <c r="D20" s="187">
        <v>0.25</v>
      </c>
      <c r="E20" s="187">
        <f t="shared" si="0"/>
        <v>150.85</v>
      </c>
      <c r="F20" s="187"/>
      <c r="G20" s="187">
        <f t="shared" si="1"/>
        <v>150.85</v>
      </c>
      <c r="H20" s="88">
        <v>1298606</v>
      </c>
      <c r="I20" s="89" t="s">
        <v>74</v>
      </c>
      <c r="J20" s="90" t="s">
        <v>11</v>
      </c>
      <c r="K20" s="90" t="s">
        <v>47</v>
      </c>
      <c r="L20" s="14">
        <v>97064018</v>
      </c>
    </row>
    <row r="21" spans="1:12" x14ac:dyDescent="0.25">
      <c r="A21" s="13">
        <v>2125</v>
      </c>
      <c r="B21" s="439" t="s">
        <v>75</v>
      </c>
      <c r="C21" s="393">
        <v>746.9</v>
      </c>
      <c r="D21" s="187">
        <v>0.25</v>
      </c>
      <c r="E21" s="187">
        <f t="shared" si="0"/>
        <v>186.72499999999999</v>
      </c>
      <c r="F21" s="187"/>
      <c r="G21" s="187">
        <f t="shared" si="1"/>
        <v>186.72499999999999</v>
      </c>
      <c r="H21" s="90">
        <v>6539352</v>
      </c>
      <c r="I21" s="89" t="s">
        <v>76</v>
      </c>
      <c r="J21" s="90" t="s">
        <v>18</v>
      </c>
      <c r="K21" s="90" t="s">
        <v>47</v>
      </c>
      <c r="L21" s="13">
        <v>91307575</v>
      </c>
    </row>
    <row r="22" spans="1:12" x14ac:dyDescent="0.25">
      <c r="A22" s="13">
        <v>2128</v>
      </c>
      <c r="B22" s="18" t="s">
        <v>77</v>
      </c>
      <c r="C22" s="393">
        <v>1225.2</v>
      </c>
      <c r="D22" s="187">
        <v>0.25</v>
      </c>
      <c r="E22" s="187">
        <f t="shared" si="0"/>
        <v>306.3</v>
      </c>
      <c r="F22" s="187"/>
      <c r="G22" s="187">
        <f t="shared" si="1"/>
        <v>306.3</v>
      </c>
      <c r="H22" s="88">
        <v>4648259</v>
      </c>
      <c r="I22" s="89" t="s">
        <v>78</v>
      </c>
      <c r="J22" s="90" t="s">
        <v>11</v>
      </c>
      <c r="K22" s="90" t="s">
        <v>47</v>
      </c>
      <c r="L22" s="14">
        <v>99492747</v>
      </c>
    </row>
    <row r="23" spans="1:12" x14ac:dyDescent="0.25">
      <c r="A23" s="13">
        <v>2137</v>
      </c>
      <c r="B23" s="18" t="s">
        <v>79</v>
      </c>
      <c r="C23" s="393">
        <v>613.4</v>
      </c>
      <c r="D23" s="187">
        <v>0.25</v>
      </c>
      <c r="E23" s="187">
        <f t="shared" si="0"/>
        <v>153.35</v>
      </c>
      <c r="F23" s="187"/>
      <c r="G23" s="187">
        <f t="shared" si="1"/>
        <v>153.35</v>
      </c>
      <c r="H23" s="88">
        <v>10285189</v>
      </c>
      <c r="I23" s="89" t="s">
        <v>80</v>
      </c>
      <c r="J23" s="90" t="s">
        <v>81</v>
      </c>
      <c r="K23" s="90" t="s">
        <v>82</v>
      </c>
      <c r="L23" s="14">
        <v>91160451</v>
      </c>
    </row>
    <row r="24" spans="1:12" x14ac:dyDescent="0.25">
      <c r="A24" s="13">
        <v>2144</v>
      </c>
      <c r="B24" s="18" t="s">
        <v>83</v>
      </c>
      <c r="C24" s="393">
        <v>2708.6</v>
      </c>
      <c r="D24" s="187">
        <v>0.25</v>
      </c>
      <c r="E24" s="187">
        <f t="shared" si="0"/>
        <v>677.15</v>
      </c>
      <c r="F24" s="187"/>
      <c r="G24" s="187">
        <f t="shared" si="1"/>
        <v>677.15</v>
      </c>
      <c r="H24" s="88">
        <v>532494</v>
      </c>
      <c r="I24" s="89" t="s">
        <v>84</v>
      </c>
      <c r="J24" s="90" t="s">
        <v>11</v>
      </c>
      <c r="K24" s="90" t="s">
        <v>47</v>
      </c>
      <c r="L24" s="14">
        <v>92251158</v>
      </c>
    </row>
    <row r="25" spans="1:12" x14ac:dyDescent="0.25">
      <c r="A25" s="13">
        <v>2148</v>
      </c>
      <c r="B25" s="18" t="s">
        <v>85</v>
      </c>
      <c r="C25" s="393">
        <v>2871.1</v>
      </c>
      <c r="D25" s="187">
        <v>0.25</v>
      </c>
      <c r="E25" s="187">
        <f t="shared" si="0"/>
        <v>717.77499999999998</v>
      </c>
      <c r="F25" s="187"/>
      <c r="G25" s="187">
        <f t="shared" si="1"/>
        <v>717.77499999999998</v>
      </c>
      <c r="H25" s="88">
        <v>6466788</v>
      </c>
      <c r="I25" s="89" t="s">
        <v>86</v>
      </c>
      <c r="J25" s="90" t="s">
        <v>50</v>
      </c>
      <c r="K25" s="90" t="s">
        <v>51</v>
      </c>
      <c r="L25" s="14">
        <v>99011887</v>
      </c>
    </row>
    <row r="26" spans="1:12" x14ac:dyDescent="0.25">
      <c r="A26" s="13">
        <v>2150</v>
      </c>
      <c r="B26" s="18" t="s">
        <v>30</v>
      </c>
      <c r="C26" s="393">
        <v>6078</v>
      </c>
      <c r="D26" s="187">
        <v>0.25</v>
      </c>
      <c r="E26" s="187">
        <f t="shared" si="0"/>
        <v>1519.5</v>
      </c>
      <c r="F26" s="187"/>
      <c r="G26" s="187">
        <f t="shared" si="1"/>
        <v>1519.5</v>
      </c>
      <c r="H26" s="88">
        <v>6657734</v>
      </c>
      <c r="I26" s="89" t="s">
        <v>87</v>
      </c>
      <c r="J26" s="90" t="s">
        <v>11</v>
      </c>
      <c r="K26" s="90" t="s">
        <v>47</v>
      </c>
      <c r="L26" s="14">
        <v>99319163</v>
      </c>
    </row>
    <row r="27" spans="1:12" x14ac:dyDescent="0.25">
      <c r="A27" s="13">
        <v>2151</v>
      </c>
      <c r="B27" s="18" t="s">
        <v>88</v>
      </c>
      <c r="C27" s="393">
        <v>876.8</v>
      </c>
      <c r="D27" s="187">
        <v>0.25</v>
      </c>
      <c r="E27" s="187">
        <f t="shared" si="0"/>
        <v>219.2</v>
      </c>
      <c r="F27" s="187"/>
      <c r="G27" s="187">
        <f t="shared" si="1"/>
        <v>219.2</v>
      </c>
      <c r="H27" s="88">
        <v>2190491</v>
      </c>
      <c r="I27" s="89" t="s">
        <v>89</v>
      </c>
      <c r="J27" s="90" t="s">
        <v>11</v>
      </c>
      <c r="K27" s="90" t="s">
        <v>47</v>
      </c>
      <c r="L27" s="14">
        <v>92591034</v>
      </c>
    </row>
    <row r="28" spans="1:12" x14ac:dyDescent="0.25">
      <c r="A28" s="13">
        <v>2155</v>
      </c>
      <c r="B28" s="18" t="s">
        <v>90</v>
      </c>
      <c r="C28" s="393">
        <v>455.2</v>
      </c>
      <c r="D28" s="187">
        <v>0.25</v>
      </c>
      <c r="E28" s="187">
        <f t="shared" si="0"/>
        <v>113.8</v>
      </c>
      <c r="F28" s="187"/>
      <c r="G28" s="187">
        <f t="shared" si="1"/>
        <v>113.8</v>
      </c>
      <c r="H28" s="88">
        <v>21145036</v>
      </c>
      <c r="I28" s="89" t="s">
        <v>91</v>
      </c>
      <c r="J28" s="90" t="s">
        <v>50</v>
      </c>
      <c r="K28" s="90" t="s">
        <v>51</v>
      </c>
      <c r="L28" s="14">
        <v>92847990</v>
      </c>
    </row>
    <row r="29" spans="1:12" x14ac:dyDescent="0.25">
      <c r="A29" s="13">
        <v>2168</v>
      </c>
      <c r="B29" s="18" t="s">
        <v>10</v>
      </c>
      <c r="C29" s="393">
        <v>2223</v>
      </c>
      <c r="D29" s="187">
        <v>0.25</v>
      </c>
      <c r="E29" s="187">
        <f t="shared" si="0"/>
        <v>555.75</v>
      </c>
      <c r="F29" s="187"/>
      <c r="G29" s="187">
        <f t="shared" si="1"/>
        <v>555.75</v>
      </c>
      <c r="H29" s="88">
        <v>941022</v>
      </c>
      <c r="I29" s="89" t="s">
        <v>92</v>
      </c>
      <c r="J29" s="90" t="s">
        <v>11</v>
      </c>
      <c r="K29" s="90" t="s">
        <v>47</v>
      </c>
      <c r="L29" s="14">
        <v>99542444</v>
      </c>
    </row>
    <row r="30" spans="1:12" x14ac:dyDescent="0.25">
      <c r="A30" s="13">
        <v>2198</v>
      </c>
      <c r="B30" s="18" t="s">
        <v>93</v>
      </c>
      <c r="C30" s="393">
        <v>1190.4000000000001</v>
      </c>
      <c r="D30" s="187">
        <v>0.25</v>
      </c>
      <c r="E30" s="187">
        <f t="shared" si="0"/>
        <v>297.60000000000002</v>
      </c>
      <c r="F30" s="187"/>
      <c r="G30" s="187">
        <f t="shared" si="1"/>
        <v>297.60000000000002</v>
      </c>
      <c r="H30" s="88">
        <v>10331933</v>
      </c>
      <c r="I30" s="89" t="s">
        <v>94</v>
      </c>
      <c r="J30" s="90" t="s">
        <v>11</v>
      </c>
      <c r="K30" s="90" t="s">
        <v>47</v>
      </c>
      <c r="L30" s="14">
        <v>99490105</v>
      </c>
    </row>
    <row r="31" spans="1:12" x14ac:dyDescent="0.25">
      <c r="A31" s="13">
        <v>2205</v>
      </c>
      <c r="B31" s="18" t="s">
        <v>95</v>
      </c>
      <c r="C31" s="393">
        <v>889.4</v>
      </c>
      <c r="D31" s="187">
        <v>0.25</v>
      </c>
      <c r="E31" s="187">
        <f t="shared" si="0"/>
        <v>222.35</v>
      </c>
      <c r="F31" s="187"/>
      <c r="G31" s="187">
        <f t="shared" si="1"/>
        <v>222.35</v>
      </c>
      <c r="H31" s="88">
        <v>26733843</v>
      </c>
      <c r="I31" s="89" t="s">
        <v>96</v>
      </c>
      <c r="J31" s="90" t="s">
        <v>11</v>
      </c>
      <c r="K31" s="90" t="s">
        <v>47</v>
      </c>
      <c r="L31" s="14">
        <v>98966301</v>
      </c>
    </row>
    <row r="32" spans="1:12" ht="14.25" customHeight="1" x14ac:dyDescent="0.25">
      <c r="A32" s="13">
        <v>2207</v>
      </c>
      <c r="B32" s="18" t="s">
        <v>31</v>
      </c>
      <c r="C32" s="393">
        <v>1003.6</v>
      </c>
      <c r="D32" s="187">
        <v>0.25</v>
      </c>
      <c r="E32" s="187">
        <f t="shared" si="0"/>
        <v>250.9</v>
      </c>
      <c r="F32" s="187"/>
      <c r="G32" s="187">
        <f t="shared" si="1"/>
        <v>250.9</v>
      </c>
      <c r="H32" s="88">
        <v>1386691</v>
      </c>
      <c r="I32" s="89" t="s">
        <v>97</v>
      </c>
      <c r="J32" s="90" t="s">
        <v>81</v>
      </c>
      <c r="K32" s="90" t="s">
        <v>82</v>
      </c>
      <c r="L32" s="14">
        <v>91337606</v>
      </c>
    </row>
    <row r="33" spans="1:12" x14ac:dyDescent="0.25">
      <c r="A33" s="17">
        <v>2209</v>
      </c>
      <c r="B33" s="18" t="s">
        <v>98</v>
      </c>
      <c r="C33" s="394">
        <v>598.29999999999995</v>
      </c>
      <c r="D33" s="187">
        <v>0.25</v>
      </c>
      <c r="E33" s="187">
        <f t="shared" si="0"/>
        <v>149.57499999999999</v>
      </c>
      <c r="F33" s="187"/>
      <c r="G33" s="187">
        <f t="shared" si="1"/>
        <v>149.57499999999999</v>
      </c>
      <c r="H33" s="93">
        <v>821878</v>
      </c>
      <c r="I33" s="89" t="s">
        <v>99</v>
      </c>
      <c r="J33" s="94" t="s">
        <v>11</v>
      </c>
      <c r="K33" s="94" t="s">
        <v>47</v>
      </c>
      <c r="L33" s="38">
        <v>92927906</v>
      </c>
    </row>
    <row r="34" spans="1:12" x14ac:dyDescent="0.25">
      <c r="A34" s="17">
        <v>2213</v>
      </c>
      <c r="B34" s="18" t="s">
        <v>100</v>
      </c>
      <c r="C34" s="394">
        <v>2304.6999999999998</v>
      </c>
      <c r="D34" s="187">
        <v>0.25</v>
      </c>
      <c r="E34" s="187">
        <f t="shared" si="0"/>
        <v>576.17499999999995</v>
      </c>
      <c r="F34" s="187"/>
      <c r="G34" s="187">
        <f t="shared" si="1"/>
        <v>576.17499999999995</v>
      </c>
      <c r="H34" s="93">
        <v>594176</v>
      </c>
      <c r="I34" s="95" t="s">
        <v>101</v>
      </c>
      <c r="J34" s="94" t="s">
        <v>11</v>
      </c>
      <c r="K34" s="94" t="s">
        <v>47</v>
      </c>
      <c r="L34" s="38">
        <v>92971719</v>
      </c>
    </row>
    <row r="35" spans="1:12" x14ac:dyDescent="0.25">
      <c r="A35" s="17">
        <v>2223</v>
      </c>
      <c r="B35" s="18" t="s">
        <v>32</v>
      </c>
      <c r="C35" s="394">
        <v>2311.6999999999998</v>
      </c>
      <c r="D35" s="187">
        <v>0.25</v>
      </c>
      <c r="E35" s="187">
        <f t="shared" si="0"/>
        <v>577.92499999999995</v>
      </c>
      <c r="F35" s="187"/>
      <c r="G35" s="187">
        <f t="shared" si="1"/>
        <v>577.92499999999995</v>
      </c>
      <c r="H35" s="88">
        <v>2297206</v>
      </c>
      <c r="I35" s="89" t="s">
        <v>102</v>
      </c>
      <c r="J35" s="90" t="s">
        <v>14</v>
      </c>
      <c r="K35" s="90" t="s">
        <v>55</v>
      </c>
      <c r="L35" s="14">
        <v>99489917</v>
      </c>
    </row>
    <row r="36" spans="1:12" x14ac:dyDescent="0.25">
      <c r="A36" s="17">
        <v>2229</v>
      </c>
      <c r="B36" s="18" t="s">
        <v>103</v>
      </c>
      <c r="C36" s="394">
        <v>3860.8</v>
      </c>
      <c r="D36" s="187">
        <v>0.25</v>
      </c>
      <c r="E36" s="187">
        <f t="shared" si="0"/>
        <v>965.2</v>
      </c>
      <c r="F36" s="187"/>
      <c r="G36" s="187">
        <f t="shared" si="1"/>
        <v>965.2</v>
      </c>
      <c r="H36" s="88">
        <v>1031091</v>
      </c>
      <c r="I36" s="89" t="s">
        <v>104</v>
      </c>
      <c r="J36" s="90" t="s">
        <v>14</v>
      </c>
      <c r="K36" s="90" t="s">
        <v>55</v>
      </c>
      <c r="L36" s="14">
        <v>92727567</v>
      </c>
    </row>
    <row r="37" spans="1:12" x14ac:dyDescent="0.25">
      <c r="A37" s="17">
        <v>2230</v>
      </c>
      <c r="B37" s="18" t="s">
        <v>21</v>
      </c>
      <c r="C37" s="393">
        <v>883.6</v>
      </c>
      <c r="D37" s="187">
        <v>0.25</v>
      </c>
      <c r="E37" s="187">
        <f t="shared" si="0"/>
        <v>220.9</v>
      </c>
      <c r="F37" s="187"/>
      <c r="G37" s="187">
        <f t="shared" si="1"/>
        <v>220.9</v>
      </c>
      <c r="H37" s="88">
        <v>18633243</v>
      </c>
      <c r="I37" s="89" t="s">
        <v>105</v>
      </c>
      <c r="J37" s="90" t="s">
        <v>11</v>
      </c>
      <c r="K37" s="90" t="s">
        <v>47</v>
      </c>
      <c r="L37" s="14">
        <v>92201223</v>
      </c>
    </row>
    <row r="38" spans="1:12" x14ac:dyDescent="0.25">
      <c r="A38" s="17">
        <v>2232</v>
      </c>
      <c r="B38" s="42" t="s">
        <v>22</v>
      </c>
      <c r="C38" s="394">
        <v>1837.4</v>
      </c>
      <c r="D38" s="187">
        <v>0.25</v>
      </c>
      <c r="E38" s="187">
        <f t="shared" si="0"/>
        <v>459.35</v>
      </c>
      <c r="F38" s="187"/>
      <c r="G38" s="187">
        <f t="shared" si="1"/>
        <v>459.35</v>
      </c>
      <c r="H38" s="88">
        <v>1994004</v>
      </c>
      <c r="I38" s="89" t="s">
        <v>106</v>
      </c>
      <c r="J38" s="90" t="s">
        <v>11</v>
      </c>
      <c r="K38" s="90" t="s">
        <v>47</v>
      </c>
      <c r="L38" s="14">
        <v>92535442</v>
      </c>
    </row>
    <row r="39" spans="1:12" x14ac:dyDescent="0.25">
      <c r="A39" s="17">
        <v>2234</v>
      </c>
      <c r="B39" s="18" t="s">
        <v>107</v>
      </c>
      <c r="C39" s="393">
        <v>2423.1999999999998</v>
      </c>
      <c r="D39" s="187">
        <v>0.25</v>
      </c>
      <c r="E39" s="187">
        <f t="shared" si="0"/>
        <v>605.79999999999995</v>
      </c>
      <c r="F39" s="187"/>
      <c r="G39" s="187">
        <f t="shared" si="1"/>
        <v>605.79999999999995</v>
      </c>
      <c r="H39" s="90">
        <v>1235299</v>
      </c>
      <c r="I39" s="89" t="s">
        <v>108</v>
      </c>
      <c r="J39" s="90" t="s">
        <v>50</v>
      </c>
      <c r="K39" s="90" t="s">
        <v>51</v>
      </c>
      <c r="L39" s="13">
        <v>92656157</v>
      </c>
    </row>
    <row r="40" spans="1:12" x14ac:dyDescent="0.25">
      <c r="A40" s="17">
        <v>2238</v>
      </c>
      <c r="B40" s="18" t="s">
        <v>23</v>
      </c>
      <c r="C40" s="393">
        <v>576.6</v>
      </c>
      <c r="D40" s="187">
        <v>0.25</v>
      </c>
      <c r="E40" s="187">
        <f t="shared" si="0"/>
        <v>144.15</v>
      </c>
      <c r="F40" s="187"/>
      <c r="G40" s="187">
        <f t="shared" si="1"/>
        <v>144.15</v>
      </c>
      <c r="H40" s="90">
        <v>1322446</v>
      </c>
      <c r="I40" s="89" t="s">
        <v>109</v>
      </c>
      <c r="J40" s="90" t="s">
        <v>11</v>
      </c>
      <c r="K40" s="90" t="s">
        <v>47</v>
      </c>
      <c r="L40" s="13">
        <v>98882280</v>
      </c>
    </row>
    <row r="41" spans="1:12" x14ac:dyDescent="0.25">
      <c r="A41" s="17">
        <v>2244</v>
      </c>
      <c r="B41" s="18" t="s">
        <v>110</v>
      </c>
      <c r="C41" s="393">
        <v>6174.8</v>
      </c>
      <c r="D41" s="187">
        <v>0.25</v>
      </c>
      <c r="E41" s="187">
        <f t="shared" si="0"/>
        <v>1543.7</v>
      </c>
      <c r="F41" s="187"/>
      <c r="G41" s="187">
        <f t="shared" si="1"/>
        <v>1543.7</v>
      </c>
      <c r="H41" s="88">
        <v>5474148</v>
      </c>
      <c r="I41" s="89" t="s">
        <v>111</v>
      </c>
      <c r="J41" s="90" t="s">
        <v>11</v>
      </c>
      <c r="K41" s="90" t="s">
        <v>47</v>
      </c>
      <c r="L41" s="14">
        <v>99092789</v>
      </c>
    </row>
    <row r="42" spans="1:12" x14ac:dyDescent="0.25">
      <c r="A42" s="17">
        <v>2245</v>
      </c>
      <c r="B42" s="18" t="s">
        <v>112</v>
      </c>
      <c r="C42" s="393">
        <v>1852.1</v>
      </c>
      <c r="D42" s="187">
        <v>0.25</v>
      </c>
      <c r="E42" s="187">
        <f t="shared" si="0"/>
        <v>463.02499999999998</v>
      </c>
      <c r="F42" s="187"/>
      <c r="G42" s="187">
        <f t="shared" si="1"/>
        <v>463.02499999999998</v>
      </c>
      <c r="H42" s="88">
        <v>925058</v>
      </c>
      <c r="I42" s="89" t="s">
        <v>113</v>
      </c>
      <c r="J42" s="90" t="s">
        <v>14</v>
      </c>
      <c r="K42" s="90" t="s">
        <v>55</v>
      </c>
      <c r="L42" s="14">
        <v>95048614</v>
      </c>
    </row>
    <row r="43" spans="1:12" x14ac:dyDescent="0.25">
      <c r="A43" s="17">
        <v>2250</v>
      </c>
      <c r="B43" s="18" t="s">
        <v>114</v>
      </c>
      <c r="C43" s="393">
        <v>1084.9000000000001</v>
      </c>
      <c r="D43" s="187">
        <v>0.25</v>
      </c>
      <c r="E43" s="187">
        <f t="shared" si="0"/>
        <v>271.22500000000002</v>
      </c>
      <c r="F43" s="187"/>
      <c r="G43" s="187">
        <f t="shared" si="1"/>
        <v>271.22500000000002</v>
      </c>
      <c r="H43" s="88">
        <v>10206245</v>
      </c>
      <c r="I43" s="89" t="s">
        <v>115</v>
      </c>
      <c r="J43" s="90" t="s">
        <v>11</v>
      </c>
      <c r="K43" s="90" t="s">
        <v>47</v>
      </c>
      <c r="L43" s="14">
        <v>90666623</v>
      </c>
    </row>
    <row r="44" spans="1:12" x14ac:dyDescent="0.25">
      <c r="A44" s="17">
        <v>2252</v>
      </c>
      <c r="B44" s="18" t="s">
        <v>33</v>
      </c>
      <c r="C44" s="393">
        <v>2575.3000000000002</v>
      </c>
      <c r="D44" s="187">
        <v>0.25</v>
      </c>
      <c r="E44" s="187">
        <f t="shared" si="0"/>
        <v>643.82500000000005</v>
      </c>
      <c r="F44" s="187"/>
      <c r="G44" s="187">
        <f t="shared" si="1"/>
        <v>643.82500000000005</v>
      </c>
      <c r="H44" s="88">
        <v>1133208</v>
      </c>
      <c r="I44" s="89" t="s">
        <v>116</v>
      </c>
      <c r="J44" s="90" t="s">
        <v>81</v>
      </c>
      <c r="K44" s="90" t="s">
        <v>82</v>
      </c>
      <c r="L44" s="14">
        <v>92817678</v>
      </c>
    </row>
    <row r="45" spans="1:12" x14ac:dyDescent="0.25">
      <c r="A45" s="17">
        <v>2267</v>
      </c>
      <c r="B45" s="42" t="s">
        <v>117</v>
      </c>
      <c r="C45" s="393">
        <v>2427.6</v>
      </c>
      <c r="D45" s="187">
        <v>0.25</v>
      </c>
      <c r="E45" s="187">
        <f t="shared" si="0"/>
        <v>606.9</v>
      </c>
      <c r="F45" s="187"/>
      <c r="G45" s="187">
        <f t="shared" si="1"/>
        <v>606.9</v>
      </c>
      <c r="H45" s="88">
        <v>18700662</v>
      </c>
      <c r="I45" s="89" t="s">
        <v>118</v>
      </c>
      <c r="J45" s="90" t="s">
        <v>11</v>
      </c>
      <c r="K45" s="90" t="s">
        <v>47</v>
      </c>
      <c r="L45" s="14">
        <v>91106550</v>
      </c>
    </row>
    <row r="46" spans="1:12" x14ac:dyDescent="0.25">
      <c r="A46" s="17">
        <v>2281</v>
      </c>
      <c r="B46" s="18" t="s">
        <v>119</v>
      </c>
      <c r="C46" s="393">
        <v>1088.3</v>
      </c>
      <c r="D46" s="187">
        <v>0.25</v>
      </c>
      <c r="E46" s="187">
        <f t="shared" si="0"/>
        <v>272.07499999999999</v>
      </c>
      <c r="F46" s="187"/>
      <c r="G46" s="187">
        <f t="shared" si="1"/>
        <v>272.07499999999999</v>
      </c>
      <c r="H46" s="90">
        <v>2166167</v>
      </c>
      <c r="I46" s="89" t="s">
        <v>120</v>
      </c>
      <c r="J46" s="90" t="s">
        <v>11</v>
      </c>
      <c r="K46" s="90" t="s">
        <v>47</v>
      </c>
      <c r="L46" s="13">
        <v>99090486</v>
      </c>
    </row>
    <row r="47" spans="1:12" x14ac:dyDescent="0.25">
      <c r="A47" s="17">
        <v>2285</v>
      </c>
      <c r="B47" s="18" t="s">
        <v>12</v>
      </c>
      <c r="C47" s="393">
        <v>2588.3000000000002</v>
      </c>
      <c r="D47" s="187">
        <v>0.25</v>
      </c>
      <c r="E47" s="187">
        <f t="shared" si="0"/>
        <v>647.07500000000005</v>
      </c>
      <c r="F47" s="187"/>
      <c r="G47" s="187">
        <f t="shared" si="1"/>
        <v>647.07500000000005</v>
      </c>
      <c r="H47" s="90">
        <v>21077904</v>
      </c>
      <c r="I47" s="89" t="s">
        <v>121</v>
      </c>
      <c r="J47" s="90" t="s">
        <v>14</v>
      </c>
      <c r="K47" s="90" t="s">
        <v>55</v>
      </c>
      <c r="L47" s="13">
        <v>92930610</v>
      </c>
    </row>
    <row r="48" spans="1:12" x14ac:dyDescent="0.25">
      <c r="A48" s="17">
        <v>2294</v>
      </c>
      <c r="B48" s="18" t="s">
        <v>122</v>
      </c>
      <c r="C48" s="393">
        <v>6964.6</v>
      </c>
      <c r="D48" s="187">
        <v>0.25</v>
      </c>
      <c r="E48" s="187">
        <f t="shared" si="0"/>
        <v>1741.15</v>
      </c>
      <c r="F48" s="187"/>
      <c r="G48" s="187">
        <f t="shared" si="1"/>
        <v>1741.15</v>
      </c>
      <c r="H48" s="88">
        <v>1917308</v>
      </c>
      <c r="I48" s="89" t="s">
        <v>123</v>
      </c>
      <c r="J48" s="90" t="s">
        <v>14</v>
      </c>
      <c r="K48" s="90" t="s">
        <v>55</v>
      </c>
      <c r="L48" s="14">
        <v>95878499</v>
      </c>
    </row>
    <row r="49" spans="1:12" x14ac:dyDescent="0.25">
      <c r="A49" s="17">
        <v>2297</v>
      </c>
      <c r="B49" s="18" t="s">
        <v>124</v>
      </c>
      <c r="C49" s="393">
        <v>2483.1999999999998</v>
      </c>
      <c r="D49" s="187">
        <v>0.25</v>
      </c>
      <c r="E49" s="187">
        <f t="shared" si="0"/>
        <v>620.79999999999995</v>
      </c>
      <c r="F49" s="187"/>
      <c r="G49" s="187">
        <f t="shared" si="1"/>
        <v>620.79999999999995</v>
      </c>
      <c r="H49" s="88">
        <v>18689189</v>
      </c>
      <c r="I49" s="89" t="s">
        <v>125</v>
      </c>
      <c r="J49" s="90" t="s">
        <v>11</v>
      </c>
      <c r="K49" s="90" t="s">
        <v>47</v>
      </c>
      <c r="L49" s="14">
        <v>90911901</v>
      </c>
    </row>
    <row r="50" spans="1:12" x14ac:dyDescent="0.25">
      <c r="A50" s="17">
        <v>2298</v>
      </c>
      <c r="B50" s="18" t="s">
        <v>126</v>
      </c>
      <c r="C50" s="393">
        <v>3857.9</v>
      </c>
      <c r="D50" s="187">
        <v>0.25</v>
      </c>
      <c r="E50" s="187">
        <f t="shared" si="0"/>
        <v>964.47500000000002</v>
      </c>
      <c r="F50" s="187"/>
      <c r="G50" s="187">
        <f t="shared" si="1"/>
        <v>964.47500000000002</v>
      </c>
      <c r="H50" s="88">
        <v>6681518</v>
      </c>
      <c r="I50" s="89" t="s">
        <v>127</v>
      </c>
      <c r="J50" s="90" t="s">
        <v>14</v>
      </c>
      <c r="K50" s="90" t="s">
        <v>55</v>
      </c>
      <c r="L50" s="14">
        <v>99125223</v>
      </c>
    </row>
    <row r="51" spans="1:12" x14ac:dyDescent="0.25">
      <c r="A51" s="17">
        <v>2300</v>
      </c>
      <c r="B51" s="18" t="s">
        <v>128</v>
      </c>
      <c r="C51" s="393">
        <v>1116.2</v>
      </c>
      <c r="D51" s="187">
        <v>0.25</v>
      </c>
      <c r="E51" s="187">
        <f t="shared" si="0"/>
        <v>279.05</v>
      </c>
      <c r="F51" s="187"/>
      <c r="G51" s="187">
        <f t="shared" si="1"/>
        <v>279.05</v>
      </c>
      <c r="H51" s="88">
        <v>447833</v>
      </c>
      <c r="I51" s="89" t="s">
        <v>129</v>
      </c>
      <c r="J51" s="90" t="s">
        <v>81</v>
      </c>
      <c r="K51" s="90" t="s">
        <v>82</v>
      </c>
      <c r="L51" s="14">
        <v>92005673</v>
      </c>
    </row>
    <row r="52" spans="1:12" x14ac:dyDescent="0.25">
      <c r="A52" s="17">
        <v>2301</v>
      </c>
      <c r="B52" s="18" t="s">
        <v>130</v>
      </c>
      <c r="C52" s="393">
        <v>1798.7</v>
      </c>
      <c r="D52" s="187">
        <v>0.25</v>
      </c>
      <c r="E52" s="187">
        <f t="shared" si="0"/>
        <v>449.67500000000001</v>
      </c>
      <c r="F52" s="187"/>
      <c r="G52" s="187">
        <f t="shared" si="1"/>
        <v>449.67500000000001</v>
      </c>
      <c r="H52" s="88">
        <v>23600713</v>
      </c>
      <c r="I52" s="89" t="s">
        <v>131</v>
      </c>
      <c r="J52" s="90" t="s">
        <v>132</v>
      </c>
      <c r="K52" s="90" t="s">
        <v>133</v>
      </c>
      <c r="L52" s="14">
        <v>92930610</v>
      </c>
    </row>
    <row r="53" spans="1:12" x14ac:dyDescent="0.25">
      <c r="A53" s="17">
        <v>2302</v>
      </c>
      <c r="B53" s="18" t="s">
        <v>134</v>
      </c>
      <c r="C53" s="393">
        <v>612.6</v>
      </c>
      <c r="D53" s="187">
        <v>0.25</v>
      </c>
      <c r="E53" s="187">
        <f t="shared" si="0"/>
        <v>153.15</v>
      </c>
      <c r="F53" s="187"/>
      <c r="G53" s="187">
        <f t="shared" si="1"/>
        <v>153.15</v>
      </c>
      <c r="H53" s="88">
        <v>20260365</v>
      </c>
      <c r="I53" s="95" t="s">
        <v>135</v>
      </c>
      <c r="J53" s="90" t="s">
        <v>81</v>
      </c>
      <c r="K53" s="90" t="s">
        <v>82</v>
      </c>
      <c r="L53" s="14">
        <v>99125223</v>
      </c>
    </row>
    <row r="54" spans="1:12" x14ac:dyDescent="0.25">
      <c r="A54" s="17">
        <v>2303</v>
      </c>
      <c r="B54" s="18" t="s">
        <v>13</v>
      </c>
      <c r="C54" s="393">
        <v>1476.4</v>
      </c>
      <c r="D54" s="187">
        <v>0.25</v>
      </c>
      <c r="E54" s="187">
        <f t="shared" si="0"/>
        <v>369.1</v>
      </c>
      <c r="F54" s="187"/>
      <c r="G54" s="187">
        <f t="shared" si="1"/>
        <v>369.1</v>
      </c>
      <c r="H54" s="88">
        <v>18636198</v>
      </c>
      <c r="I54" s="89" t="s">
        <v>136</v>
      </c>
      <c r="J54" s="90" t="s">
        <v>14</v>
      </c>
      <c r="K54" s="90" t="s">
        <v>47</v>
      </c>
      <c r="L54" s="14">
        <v>92726444</v>
      </c>
    </row>
    <row r="55" spans="1:12" x14ac:dyDescent="0.25">
      <c r="A55" s="17">
        <v>2304</v>
      </c>
      <c r="B55" s="18" t="s">
        <v>348</v>
      </c>
      <c r="C55" s="393">
        <v>343.5</v>
      </c>
      <c r="D55" s="187">
        <v>0.25</v>
      </c>
      <c r="E55" s="187">
        <f t="shared" si="0"/>
        <v>85.875</v>
      </c>
      <c r="F55" s="187"/>
      <c r="G55" s="187">
        <f t="shared" si="1"/>
        <v>85.875</v>
      </c>
      <c r="H55" s="88">
        <v>7290532</v>
      </c>
      <c r="I55" s="89" t="s">
        <v>137</v>
      </c>
      <c r="J55" s="90" t="s">
        <v>11</v>
      </c>
      <c r="K55" s="90" t="s">
        <v>47</v>
      </c>
      <c r="L55" s="14">
        <v>95117299</v>
      </c>
    </row>
    <row r="56" spans="1:12" x14ac:dyDescent="0.25">
      <c r="A56" s="17">
        <v>2306</v>
      </c>
      <c r="B56" s="18" t="s">
        <v>34</v>
      </c>
      <c r="C56" s="393">
        <v>1127.0999999999999</v>
      </c>
      <c r="D56" s="187">
        <v>0.25</v>
      </c>
      <c r="E56" s="187">
        <f t="shared" si="0"/>
        <v>281.77499999999998</v>
      </c>
      <c r="F56" s="187"/>
      <c r="G56" s="187">
        <f t="shared" si="1"/>
        <v>281.77499999999998</v>
      </c>
      <c r="H56" s="90">
        <v>26425746</v>
      </c>
      <c r="I56" s="89" t="s">
        <v>138</v>
      </c>
      <c r="J56" s="90" t="s">
        <v>14</v>
      </c>
      <c r="K56" s="90" t="s">
        <v>55</v>
      </c>
      <c r="L56" s="13">
        <v>99587923</v>
      </c>
    </row>
    <row r="57" spans="1:12" x14ac:dyDescent="0.25">
      <c r="A57" s="17">
        <v>2307</v>
      </c>
      <c r="B57" s="18" t="s">
        <v>139</v>
      </c>
      <c r="C57" s="393">
        <v>5317.8</v>
      </c>
      <c r="D57" s="187">
        <v>0.25</v>
      </c>
      <c r="E57" s="187">
        <f t="shared" si="0"/>
        <v>1329.45</v>
      </c>
      <c r="F57" s="187"/>
      <c r="G57" s="187">
        <f t="shared" si="1"/>
        <v>1329.45</v>
      </c>
      <c r="H57" s="88">
        <v>1485446</v>
      </c>
      <c r="I57" s="89" t="s">
        <v>140</v>
      </c>
      <c r="J57" s="90" t="s">
        <v>50</v>
      </c>
      <c r="K57" s="90" t="s">
        <v>51</v>
      </c>
      <c r="L57" s="14">
        <v>96405050</v>
      </c>
    </row>
    <row r="58" spans="1:12" x14ac:dyDescent="0.25">
      <c r="A58" s="17">
        <v>2309</v>
      </c>
      <c r="B58" s="18" t="s">
        <v>35</v>
      </c>
      <c r="C58" s="393">
        <v>1202.7</v>
      </c>
      <c r="D58" s="187">
        <v>0.25</v>
      </c>
      <c r="E58" s="187">
        <f t="shared" si="0"/>
        <v>300.67500000000001</v>
      </c>
      <c r="F58" s="187"/>
      <c r="G58" s="187">
        <f t="shared" si="1"/>
        <v>300.67500000000001</v>
      </c>
      <c r="H58" s="90">
        <v>2733875</v>
      </c>
      <c r="I58" s="89" t="s">
        <v>141</v>
      </c>
      <c r="J58" s="90" t="s">
        <v>11</v>
      </c>
      <c r="K58" s="90" t="s">
        <v>47</v>
      </c>
      <c r="L58" s="13">
        <v>99580134</v>
      </c>
    </row>
    <row r="59" spans="1:12" x14ac:dyDescent="0.25">
      <c r="A59" s="17">
        <v>2310</v>
      </c>
      <c r="B59" s="18" t="s">
        <v>142</v>
      </c>
      <c r="C59" s="393">
        <v>5349</v>
      </c>
      <c r="D59" s="187">
        <v>0.25</v>
      </c>
      <c r="E59" s="187">
        <f t="shared" si="0"/>
        <v>1337.25</v>
      </c>
      <c r="F59" s="187"/>
      <c r="G59" s="187">
        <f t="shared" si="1"/>
        <v>1337.25</v>
      </c>
      <c r="H59" s="88">
        <v>10612452</v>
      </c>
      <c r="I59" s="89" t="s">
        <v>143</v>
      </c>
      <c r="J59" s="90" t="s">
        <v>11</v>
      </c>
      <c r="K59" s="90" t="s">
        <v>47</v>
      </c>
      <c r="L59" s="14">
        <v>98882353</v>
      </c>
    </row>
    <row r="60" spans="1:12" x14ac:dyDescent="0.25">
      <c r="A60" s="17">
        <v>2311</v>
      </c>
      <c r="B60" s="18" t="s">
        <v>144</v>
      </c>
      <c r="C60" s="393">
        <v>816.9</v>
      </c>
      <c r="D60" s="187">
        <v>0.25</v>
      </c>
      <c r="E60" s="187">
        <f t="shared" si="0"/>
        <v>204.22499999999999</v>
      </c>
      <c r="F60" s="187"/>
      <c r="G60" s="187">
        <f t="shared" si="1"/>
        <v>204.22499999999999</v>
      </c>
      <c r="H60" s="88">
        <v>14874655</v>
      </c>
      <c r="I60" s="89" t="s">
        <v>145</v>
      </c>
      <c r="J60" s="90" t="s">
        <v>146</v>
      </c>
      <c r="K60" s="90" t="s">
        <v>47</v>
      </c>
      <c r="L60" s="14">
        <v>99580134</v>
      </c>
    </row>
    <row r="61" spans="1:12" x14ac:dyDescent="0.25">
      <c r="A61" s="17">
        <v>2312</v>
      </c>
      <c r="B61" s="18" t="s">
        <v>36</v>
      </c>
      <c r="C61" s="393">
        <v>2376.6</v>
      </c>
      <c r="D61" s="187">
        <v>0.25</v>
      </c>
      <c r="E61" s="187">
        <f t="shared" si="0"/>
        <v>594.15</v>
      </c>
      <c r="F61" s="187"/>
      <c r="G61" s="187">
        <f t="shared" si="1"/>
        <v>594.15</v>
      </c>
      <c r="H61" s="90">
        <v>876418</v>
      </c>
      <c r="I61" s="89" t="s">
        <v>148</v>
      </c>
      <c r="J61" s="90" t="s">
        <v>15</v>
      </c>
      <c r="K61" s="90" t="s">
        <v>67</v>
      </c>
      <c r="L61" s="13">
        <v>93340442</v>
      </c>
    </row>
    <row r="62" spans="1:12" x14ac:dyDescent="0.25">
      <c r="A62" s="17">
        <v>2314</v>
      </c>
      <c r="B62" s="18" t="s">
        <v>149</v>
      </c>
      <c r="C62" s="393">
        <v>964.2</v>
      </c>
      <c r="D62" s="187">
        <v>0.25</v>
      </c>
      <c r="E62" s="187">
        <f t="shared" si="0"/>
        <v>241.05</v>
      </c>
      <c r="F62" s="187"/>
      <c r="G62" s="187">
        <f t="shared" si="1"/>
        <v>241.05</v>
      </c>
      <c r="H62" s="90">
        <v>7032433</v>
      </c>
      <c r="I62" s="89" t="s">
        <v>150</v>
      </c>
      <c r="J62" s="90" t="s">
        <v>11</v>
      </c>
      <c r="K62" s="90" t="s">
        <v>47</v>
      </c>
      <c r="L62" s="13">
        <v>96264331</v>
      </c>
    </row>
    <row r="63" spans="1:12" x14ac:dyDescent="0.25">
      <c r="A63" s="17">
        <v>2316</v>
      </c>
      <c r="B63" s="18" t="s">
        <v>25</v>
      </c>
      <c r="C63" s="393">
        <v>1817.7</v>
      </c>
      <c r="D63" s="187">
        <v>0.25</v>
      </c>
      <c r="E63" s="187">
        <f t="shared" si="0"/>
        <v>454.42500000000001</v>
      </c>
      <c r="F63" s="187"/>
      <c r="G63" s="187">
        <f t="shared" si="1"/>
        <v>454.42500000000001</v>
      </c>
      <c r="H63" s="88">
        <v>18635847</v>
      </c>
      <c r="I63" s="89" t="s">
        <v>151</v>
      </c>
      <c r="J63" s="90" t="s">
        <v>11</v>
      </c>
      <c r="K63" s="90" t="s">
        <v>47</v>
      </c>
      <c r="L63" s="14">
        <v>92117746</v>
      </c>
    </row>
    <row r="64" spans="1:12" x14ac:dyDescent="0.25">
      <c r="A64" s="17">
        <v>2317</v>
      </c>
      <c r="B64" s="18" t="s">
        <v>152</v>
      </c>
      <c r="C64" s="393">
        <v>1883.2</v>
      </c>
      <c r="D64" s="187">
        <v>0.25</v>
      </c>
      <c r="E64" s="187">
        <f t="shared" si="0"/>
        <v>470.8</v>
      </c>
      <c r="F64" s="187"/>
      <c r="G64" s="187">
        <f t="shared" si="1"/>
        <v>470.8</v>
      </c>
      <c r="H64" s="90">
        <v>18362174</v>
      </c>
      <c r="I64" s="89" t="s">
        <v>153</v>
      </c>
      <c r="J64" s="90" t="s">
        <v>154</v>
      </c>
      <c r="K64" s="90" t="s">
        <v>155</v>
      </c>
      <c r="L64" s="13">
        <v>97503992</v>
      </c>
    </row>
    <row r="65" spans="1:12" x14ac:dyDescent="0.25">
      <c r="A65" s="17">
        <v>2318</v>
      </c>
      <c r="B65" s="18" t="s">
        <v>156</v>
      </c>
      <c r="C65" s="393">
        <v>1139.0999999999999</v>
      </c>
      <c r="D65" s="187">
        <v>0.25</v>
      </c>
      <c r="E65" s="187">
        <f t="shared" si="0"/>
        <v>284.77499999999998</v>
      </c>
      <c r="F65" s="187"/>
      <c r="G65" s="187">
        <f t="shared" si="1"/>
        <v>284.77499999999998</v>
      </c>
      <c r="H65" s="88">
        <v>218881</v>
      </c>
      <c r="I65" s="89" t="s">
        <v>157</v>
      </c>
      <c r="J65" s="90" t="s">
        <v>11</v>
      </c>
      <c r="K65" s="90" t="s">
        <v>47</v>
      </c>
      <c r="L65" s="14"/>
    </row>
    <row r="66" spans="1:12" x14ac:dyDescent="0.25">
      <c r="A66" s="17">
        <v>2319</v>
      </c>
      <c r="B66" s="18" t="s">
        <v>37</v>
      </c>
      <c r="C66" s="393">
        <v>564.20000000000005</v>
      </c>
      <c r="D66" s="187">
        <v>0.25</v>
      </c>
      <c r="E66" s="187">
        <f t="shared" si="0"/>
        <v>141.05000000000001</v>
      </c>
      <c r="F66" s="187"/>
      <c r="G66" s="187">
        <f t="shared" si="1"/>
        <v>141.05000000000001</v>
      </c>
      <c r="H66" s="90">
        <v>5006545</v>
      </c>
      <c r="I66" s="89" t="s">
        <v>158</v>
      </c>
      <c r="J66" s="90" t="s">
        <v>11</v>
      </c>
      <c r="K66" s="90" t="s">
        <v>47</v>
      </c>
      <c r="L66" s="14">
        <v>99619074</v>
      </c>
    </row>
    <row r="67" spans="1:12" x14ac:dyDescent="0.25">
      <c r="A67" s="17">
        <v>2320</v>
      </c>
      <c r="B67" s="18" t="s">
        <v>159</v>
      </c>
      <c r="C67" s="393">
        <v>1344.7</v>
      </c>
      <c r="D67" s="187">
        <v>0.25</v>
      </c>
      <c r="E67" s="187">
        <f t="shared" si="0"/>
        <v>336.17500000000001</v>
      </c>
      <c r="F67" s="187"/>
      <c r="G67" s="187">
        <f t="shared" si="1"/>
        <v>336.17500000000001</v>
      </c>
      <c r="H67" s="90">
        <v>21957384</v>
      </c>
      <c r="I67" s="89" t="s">
        <v>160</v>
      </c>
      <c r="J67" s="90" t="s">
        <v>11</v>
      </c>
      <c r="K67" s="90" t="s">
        <v>47</v>
      </c>
      <c r="L67" s="13">
        <v>94079727</v>
      </c>
    </row>
    <row r="68" spans="1:12" x14ac:dyDescent="0.25">
      <c r="A68" s="17">
        <v>2322</v>
      </c>
      <c r="B68" s="18" t="s">
        <v>161</v>
      </c>
      <c r="C68" s="393">
        <v>1055.4000000000001</v>
      </c>
      <c r="D68" s="187">
        <v>0.25</v>
      </c>
      <c r="E68" s="187">
        <f t="shared" si="0"/>
        <v>263.85000000000002</v>
      </c>
      <c r="F68" s="187"/>
      <c r="G68" s="187">
        <f t="shared" si="1"/>
        <v>263.85000000000002</v>
      </c>
      <c r="H68" s="90">
        <v>102559</v>
      </c>
      <c r="I68" s="89" t="s">
        <v>162</v>
      </c>
      <c r="J68" s="90" t="s">
        <v>11</v>
      </c>
      <c r="K68" s="90" t="s">
        <v>47</v>
      </c>
      <c r="L68" s="13">
        <v>99486744</v>
      </c>
    </row>
    <row r="69" spans="1:12" x14ac:dyDescent="0.25">
      <c r="A69" s="17">
        <v>2323</v>
      </c>
      <c r="B69" s="18" t="s">
        <v>163</v>
      </c>
      <c r="C69" s="393">
        <v>1190</v>
      </c>
      <c r="D69" s="187">
        <v>0.25</v>
      </c>
      <c r="E69" s="187">
        <f t="shared" ref="E69:E132" si="2">C69*D69</f>
        <v>297.5</v>
      </c>
      <c r="F69" s="187"/>
      <c r="G69" s="187">
        <f t="shared" si="1"/>
        <v>297.5</v>
      </c>
      <c r="H69" s="90">
        <v>1235899</v>
      </c>
      <c r="I69" s="89" t="s">
        <v>164</v>
      </c>
      <c r="J69" s="90" t="s">
        <v>14</v>
      </c>
      <c r="K69" s="90" t="s">
        <v>55</v>
      </c>
      <c r="L69" s="13">
        <v>96170087</v>
      </c>
    </row>
    <row r="70" spans="1:12" x14ac:dyDescent="0.25">
      <c r="A70" s="17">
        <v>2324</v>
      </c>
      <c r="B70" s="18" t="s">
        <v>165</v>
      </c>
      <c r="C70" s="393">
        <v>1850.9</v>
      </c>
      <c r="D70" s="187">
        <v>0.25</v>
      </c>
      <c r="E70" s="187">
        <f t="shared" si="2"/>
        <v>462.72500000000002</v>
      </c>
      <c r="F70" s="187"/>
      <c r="G70" s="187">
        <f t="shared" ref="G70:G133" si="3">E70-F70</f>
        <v>462.72500000000002</v>
      </c>
      <c r="H70" s="88">
        <v>12239373</v>
      </c>
      <c r="I70" s="89" t="s">
        <v>166</v>
      </c>
      <c r="J70" s="90" t="s">
        <v>11</v>
      </c>
      <c r="K70" s="90" t="s">
        <v>47</v>
      </c>
      <c r="L70" s="14">
        <v>99589535</v>
      </c>
    </row>
    <row r="71" spans="1:12" x14ac:dyDescent="0.25">
      <c r="A71" s="17">
        <v>2325</v>
      </c>
      <c r="B71" s="18" t="s">
        <v>167</v>
      </c>
      <c r="C71" s="393">
        <v>2370.5</v>
      </c>
      <c r="D71" s="187">
        <v>0.25</v>
      </c>
      <c r="E71" s="187">
        <f t="shared" si="2"/>
        <v>592.625</v>
      </c>
      <c r="F71" s="187"/>
      <c r="G71" s="187">
        <f t="shared" si="3"/>
        <v>592.625</v>
      </c>
      <c r="H71" s="88">
        <v>3802037</v>
      </c>
      <c r="I71" s="89" t="s">
        <v>168</v>
      </c>
      <c r="J71" s="90" t="s">
        <v>11</v>
      </c>
      <c r="K71" s="90" t="s">
        <v>47</v>
      </c>
      <c r="L71" s="14">
        <v>99481404</v>
      </c>
    </row>
    <row r="72" spans="1:12" x14ac:dyDescent="0.25">
      <c r="A72" s="17">
        <v>2327</v>
      </c>
      <c r="B72" s="18" t="s">
        <v>169</v>
      </c>
      <c r="C72" s="393">
        <v>627.70000000000005</v>
      </c>
      <c r="D72" s="187">
        <v>0.25</v>
      </c>
      <c r="E72" s="187">
        <f t="shared" si="2"/>
        <v>156.92500000000001</v>
      </c>
      <c r="F72" s="187"/>
      <c r="G72" s="187">
        <f t="shared" si="3"/>
        <v>156.92500000000001</v>
      </c>
      <c r="H72" s="90">
        <v>7568982</v>
      </c>
      <c r="I72" s="89" t="s">
        <v>170</v>
      </c>
      <c r="J72" s="90" t="s">
        <v>11</v>
      </c>
      <c r="K72" s="90" t="s">
        <v>47</v>
      </c>
      <c r="L72" s="13">
        <v>99496653</v>
      </c>
    </row>
    <row r="73" spans="1:12" x14ac:dyDescent="0.25">
      <c r="A73" s="17">
        <v>2329</v>
      </c>
      <c r="B73" s="18" t="s">
        <v>171</v>
      </c>
      <c r="C73" s="393">
        <v>1086.3</v>
      </c>
      <c r="D73" s="187">
        <v>0.25</v>
      </c>
      <c r="E73" s="187">
        <f t="shared" si="2"/>
        <v>271.57499999999999</v>
      </c>
      <c r="F73" s="187"/>
      <c r="G73" s="187">
        <f t="shared" si="3"/>
        <v>271.57499999999999</v>
      </c>
      <c r="H73" s="88">
        <v>500599</v>
      </c>
      <c r="I73" s="89" t="s">
        <v>172</v>
      </c>
      <c r="J73" s="90" t="s">
        <v>11</v>
      </c>
      <c r="K73" s="90" t="s">
        <v>47</v>
      </c>
      <c r="L73" s="14">
        <v>99435565</v>
      </c>
    </row>
    <row r="74" spans="1:12" x14ac:dyDescent="0.25">
      <c r="A74" s="17">
        <v>2331</v>
      </c>
      <c r="B74" s="18" t="s">
        <v>173</v>
      </c>
      <c r="C74" s="393">
        <v>1265.3</v>
      </c>
      <c r="D74" s="187">
        <v>0.25</v>
      </c>
      <c r="E74" s="187">
        <f t="shared" si="2"/>
        <v>316.32499999999999</v>
      </c>
      <c r="F74" s="187"/>
      <c r="G74" s="187">
        <f t="shared" si="3"/>
        <v>316.32499999999999</v>
      </c>
      <c r="H74" s="88">
        <v>574696</v>
      </c>
      <c r="I74" s="89" t="s">
        <v>174</v>
      </c>
      <c r="J74" s="90" t="s">
        <v>14</v>
      </c>
      <c r="K74" s="90" t="s">
        <v>55</v>
      </c>
      <c r="L74" s="14">
        <v>92556868</v>
      </c>
    </row>
    <row r="75" spans="1:12" x14ac:dyDescent="0.25">
      <c r="A75" s="17">
        <v>2332</v>
      </c>
      <c r="B75" s="18" t="s">
        <v>175</v>
      </c>
      <c r="C75" s="393">
        <v>2734.9</v>
      </c>
      <c r="D75" s="187">
        <v>0.25</v>
      </c>
      <c r="E75" s="187">
        <f t="shared" si="2"/>
        <v>683.72500000000002</v>
      </c>
      <c r="F75" s="187"/>
      <c r="G75" s="187">
        <f t="shared" si="3"/>
        <v>683.72500000000002</v>
      </c>
      <c r="H75" s="88">
        <v>1409668</v>
      </c>
      <c r="I75" s="89" t="s">
        <v>176</v>
      </c>
      <c r="J75" s="90" t="s">
        <v>11</v>
      </c>
      <c r="K75" s="90" t="s">
        <v>47</v>
      </c>
      <c r="L75" s="14">
        <v>99493202</v>
      </c>
    </row>
    <row r="76" spans="1:12" x14ac:dyDescent="0.25">
      <c r="A76" s="17">
        <v>2333</v>
      </c>
      <c r="B76" s="18" t="s">
        <v>177</v>
      </c>
      <c r="C76" s="393">
        <v>1443.4</v>
      </c>
      <c r="D76" s="187">
        <v>0.25</v>
      </c>
      <c r="E76" s="187">
        <f t="shared" si="2"/>
        <v>360.85</v>
      </c>
      <c r="F76" s="187"/>
      <c r="G76" s="187">
        <f t="shared" si="3"/>
        <v>360.85</v>
      </c>
      <c r="H76" s="93">
        <v>732042</v>
      </c>
      <c r="I76" s="95" t="s">
        <v>178</v>
      </c>
      <c r="J76" s="94" t="s">
        <v>11</v>
      </c>
      <c r="K76" s="94" t="s">
        <v>47</v>
      </c>
      <c r="L76" s="38">
        <v>92551330</v>
      </c>
    </row>
    <row r="77" spans="1:12" x14ac:dyDescent="0.25">
      <c r="A77" s="17">
        <v>2334</v>
      </c>
      <c r="B77" s="18" t="s">
        <v>38</v>
      </c>
      <c r="C77" s="393">
        <v>2217.5</v>
      </c>
      <c r="D77" s="187">
        <v>0.25</v>
      </c>
      <c r="E77" s="187">
        <f t="shared" si="2"/>
        <v>554.375</v>
      </c>
      <c r="F77" s="187"/>
      <c r="G77" s="187">
        <f t="shared" si="3"/>
        <v>554.375</v>
      </c>
      <c r="H77" s="93">
        <v>390755</v>
      </c>
      <c r="I77" s="89" t="s">
        <v>179</v>
      </c>
      <c r="J77" s="90" t="s">
        <v>11</v>
      </c>
      <c r="K77" s="90" t="s">
        <v>47</v>
      </c>
      <c r="L77" s="38">
        <v>99488361</v>
      </c>
    </row>
    <row r="78" spans="1:12" x14ac:dyDescent="0.25">
      <c r="A78" s="17">
        <v>2335</v>
      </c>
      <c r="B78" s="18" t="s">
        <v>180</v>
      </c>
      <c r="C78" s="393">
        <v>1713.3</v>
      </c>
      <c r="D78" s="187">
        <v>0.25</v>
      </c>
      <c r="E78" s="187">
        <f t="shared" si="2"/>
        <v>428.32499999999999</v>
      </c>
      <c r="F78" s="187"/>
      <c r="G78" s="187">
        <f t="shared" si="3"/>
        <v>428.32499999999999</v>
      </c>
      <c r="H78" s="93">
        <v>6221853</v>
      </c>
      <c r="I78" s="95" t="s">
        <v>181</v>
      </c>
      <c r="J78" s="94" t="s">
        <v>11</v>
      </c>
      <c r="K78" s="94" t="s">
        <v>47</v>
      </c>
      <c r="L78" s="38">
        <v>99807670</v>
      </c>
    </row>
    <row r="79" spans="1:12" x14ac:dyDescent="0.25">
      <c r="A79" s="17">
        <v>2336</v>
      </c>
      <c r="B79" s="18" t="s">
        <v>39</v>
      </c>
      <c r="C79" s="393">
        <v>1189.8</v>
      </c>
      <c r="D79" s="187">
        <v>0.25</v>
      </c>
      <c r="E79" s="187">
        <f t="shared" si="2"/>
        <v>297.45</v>
      </c>
      <c r="F79" s="187"/>
      <c r="G79" s="187">
        <f t="shared" si="3"/>
        <v>297.45</v>
      </c>
      <c r="H79" s="93">
        <v>380513</v>
      </c>
      <c r="I79" s="95" t="s">
        <v>182</v>
      </c>
      <c r="J79" s="94" t="s">
        <v>11</v>
      </c>
      <c r="K79" s="94" t="s">
        <v>47</v>
      </c>
      <c r="L79" s="38">
        <v>99490146</v>
      </c>
    </row>
    <row r="80" spans="1:12" x14ac:dyDescent="0.25">
      <c r="A80" s="17">
        <v>2337</v>
      </c>
      <c r="B80" s="18" t="s">
        <v>183</v>
      </c>
      <c r="C80" s="393">
        <v>583.6</v>
      </c>
      <c r="D80" s="187">
        <v>0.25</v>
      </c>
      <c r="E80" s="187">
        <f t="shared" si="2"/>
        <v>145.9</v>
      </c>
      <c r="F80" s="187"/>
      <c r="G80" s="187">
        <f t="shared" si="3"/>
        <v>145.9</v>
      </c>
      <c r="H80" s="94">
        <v>813786</v>
      </c>
      <c r="I80" s="95" t="s">
        <v>184</v>
      </c>
      <c r="J80" s="94" t="s">
        <v>11</v>
      </c>
      <c r="K80" s="94" t="s">
        <v>47</v>
      </c>
      <c r="L80" s="17">
        <v>99293129</v>
      </c>
    </row>
    <row r="81" spans="1:12" x14ac:dyDescent="0.25">
      <c r="A81" s="17">
        <v>2338</v>
      </c>
      <c r="B81" s="18" t="s">
        <v>185</v>
      </c>
      <c r="C81" s="393">
        <v>281.7</v>
      </c>
      <c r="D81" s="187">
        <v>0.25</v>
      </c>
      <c r="E81" s="187">
        <f t="shared" si="2"/>
        <v>70.424999999999997</v>
      </c>
      <c r="F81" s="187"/>
      <c r="G81" s="187">
        <f t="shared" si="3"/>
        <v>70.424999999999997</v>
      </c>
      <c r="H81" s="93">
        <v>902553</v>
      </c>
      <c r="I81" s="95" t="s">
        <v>186</v>
      </c>
      <c r="J81" s="94" t="s">
        <v>11</v>
      </c>
      <c r="K81" s="94" t="s">
        <v>47</v>
      </c>
      <c r="L81" s="38">
        <v>90837777</v>
      </c>
    </row>
    <row r="82" spans="1:12" x14ac:dyDescent="0.25">
      <c r="A82" s="17">
        <v>2342</v>
      </c>
      <c r="B82" s="18" t="s">
        <v>40</v>
      </c>
      <c r="C82" s="393">
        <v>477.7</v>
      </c>
      <c r="D82" s="187">
        <v>0.25</v>
      </c>
      <c r="E82" s="187">
        <f t="shared" si="2"/>
        <v>119.425</v>
      </c>
      <c r="F82" s="187"/>
      <c r="G82" s="187">
        <f t="shared" si="3"/>
        <v>119.425</v>
      </c>
      <c r="H82" s="93">
        <v>6107751</v>
      </c>
      <c r="I82" s="95" t="s">
        <v>187</v>
      </c>
      <c r="J82" s="94" t="s">
        <v>16</v>
      </c>
      <c r="K82" s="94" t="s">
        <v>47</v>
      </c>
      <c r="L82" s="38">
        <v>97191244</v>
      </c>
    </row>
    <row r="83" spans="1:12" hidden="1" x14ac:dyDescent="0.25">
      <c r="A83" s="17">
        <v>2343</v>
      </c>
      <c r="B83" s="18" t="s">
        <v>570</v>
      </c>
      <c r="C83" s="393"/>
      <c r="D83" s="187">
        <v>0.25</v>
      </c>
      <c r="E83" s="187">
        <f t="shared" si="2"/>
        <v>0</v>
      </c>
      <c r="F83" s="187"/>
      <c r="G83" s="187">
        <f t="shared" si="3"/>
        <v>0</v>
      </c>
      <c r="H83" s="93"/>
      <c r="I83" s="95"/>
      <c r="J83" s="94"/>
      <c r="K83" s="94"/>
      <c r="L83" s="38"/>
    </row>
    <row r="84" spans="1:12" x14ac:dyDescent="0.25">
      <c r="A84" s="17">
        <v>2344</v>
      </c>
      <c r="B84" s="18" t="s">
        <v>188</v>
      </c>
      <c r="C84" s="393">
        <v>3535.9</v>
      </c>
      <c r="D84" s="187">
        <v>0.25</v>
      </c>
      <c r="E84" s="187">
        <f t="shared" si="2"/>
        <v>883.97500000000002</v>
      </c>
      <c r="F84" s="187"/>
      <c r="G84" s="187">
        <f t="shared" si="3"/>
        <v>883.97500000000002</v>
      </c>
      <c r="H84" s="93">
        <v>1071884</v>
      </c>
      <c r="I84" s="95" t="s">
        <v>189</v>
      </c>
      <c r="J84" s="94" t="s">
        <v>14</v>
      </c>
      <c r="K84" s="94" t="s">
        <v>55</v>
      </c>
      <c r="L84" s="38">
        <v>99480379</v>
      </c>
    </row>
    <row r="85" spans="1:12" x14ac:dyDescent="0.25">
      <c r="A85" s="17">
        <v>2345</v>
      </c>
      <c r="B85" s="18" t="s">
        <v>41</v>
      </c>
      <c r="C85" s="393">
        <v>1815.3</v>
      </c>
      <c r="D85" s="187">
        <v>0.25</v>
      </c>
      <c r="E85" s="187">
        <f t="shared" si="2"/>
        <v>453.82499999999999</v>
      </c>
      <c r="F85" s="187"/>
      <c r="G85" s="187">
        <f t="shared" si="3"/>
        <v>453.82499999999999</v>
      </c>
      <c r="H85" s="93">
        <v>1298574</v>
      </c>
      <c r="I85" s="95" t="s">
        <v>190</v>
      </c>
      <c r="J85" s="94" t="s">
        <v>14</v>
      </c>
      <c r="K85" s="94" t="s">
        <v>55</v>
      </c>
      <c r="L85" s="38">
        <v>99299199</v>
      </c>
    </row>
    <row r="86" spans="1:12" x14ac:dyDescent="0.25">
      <c r="A86" s="17">
        <v>2346</v>
      </c>
      <c r="B86" s="18" t="s">
        <v>191</v>
      </c>
      <c r="C86" s="393">
        <v>604.20000000000005</v>
      </c>
      <c r="D86" s="187">
        <v>0.25</v>
      </c>
      <c r="E86" s="187">
        <f t="shared" si="2"/>
        <v>151.05000000000001</v>
      </c>
      <c r="F86" s="187"/>
      <c r="G86" s="187">
        <f t="shared" si="3"/>
        <v>151.05000000000001</v>
      </c>
      <c r="H86" s="93">
        <v>26080834</v>
      </c>
      <c r="I86" s="95" t="s">
        <v>192</v>
      </c>
      <c r="J86" s="94" t="s">
        <v>81</v>
      </c>
      <c r="K86" s="94" t="s">
        <v>82</v>
      </c>
      <c r="L86" s="38">
        <v>98951760</v>
      </c>
    </row>
    <row r="87" spans="1:12" x14ac:dyDescent="0.25">
      <c r="A87" s="17">
        <v>2347</v>
      </c>
      <c r="B87" s="18" t="s">
        <v>193</v>
      </c>
      <c r="C87" s="393">
        <v>1499.3</v>
      </c>
      <c r="D87" s="187">
        <v>0.25</v>
      </c>
      <c r="E87" s="187">
        <f t="shared" si="2"/>
        <v>374.82499999999999</v>
      </c>
      <c r="F87" s="187"/>
      <c r="G87" s="187">
        <f t="shared" si="3"/>
        <v>374.82499999999999</v>
      </c>
      <c r="H87" s="93">
        <v>3036144</v>
      </c>
      <c r="I87" s="95" t="s">
        <v>194</v>
      </c>
      <c r="J87" s="94" t="s">
        <v>14</v>
      </c>
      <c r="K87" s="94" t="s">
        <v>55</v>
      </c>
      <c r="L87" s="38">
        <v>99487229</v>
      </c>
    </row>
    <row r="88" spans="1:12" x14ac:dyDescent="0.25">
      <c r="A88" s="17">
        <v>2348</v>
      </c>
      <c r="B88" s="18" t="s">
        <v>195</v>
      </c>
      <c r="C88" s="393">
        <v>2357.6</v>
      </c>
      <c r="D88" s="187">
        <v>0.25</v>
      </c>
      <c r="E88" s="187">
        <f t="shared" si="2"/>
        <v>589.4</v>
      </c>
      <c r="F88" s="187"/>
      <c r="G88" s="187">
        <f t="shared" si="3"/>
        <v>589.4</v>
      </c>
      <c r="H88" s="93">
        <v>25374403</v>
      </c>
      <c r="I88" s="95" t="s">
        <v>196</v>
      </c>
      <c r="J88" s="94" t="s">
        <v>154</v>
      </c>
      <c r="K88" s="94" t="s">
        <v>155</v>
      </c>
      <c r="L88" s="38">
        <v>92474433</v>
      </c>
    </row>
    <row r="89" spans="1:12" hidden="1" x14ac:dyDescent="0.25">
      <c r="A89" s="17">
        <v>2349</v>
      </c>
      <c r="B89" s="18" t="s">
        <v>569</v>
      </c>
      <c r="C89" s="393"/>
      <c r="D89" s="187">
        <v>0.25</v>
      </c>
      <c r="E89" s="187">
        <f t="shared" si="2"/>
        <v>0</v>
      </c>
      <c r="F89" s="187"/>
      <c r="G89" s="187">
        <f t="shared" si="3"/>
        <v>0</v>
      </c>
      <c r="H89" s="93"/>
      <c r="I89" s="95"/>
      <c r="J89" s="94"/>
      <c r="K89" s="94"/>
      <c r="L89" s="38"/>
    </row>
    <row r="90" spans="1:12" x14ac:dyDescent="0.25">
      <c r="A90" s="17">
        <v>2350</v>
      </c>
      <c r="B90" s="18" t="s">
        <v>197</v>
      </c>
      <c r="C90" s="393">
        <v>1179.5999999999999</v>
      </c>
      <c r="D90" s="187">
        <v>0.25</v>
      </c>
      <c r="E90" s="187">
        <f t="shared" si="2"/>
        <v>294.89999999999998</v>
      </c>
      <c r="F90" s="187"/>
      <c r="G90" s="187">
        <f t="shared" si="3"/>
        <v>294.89999999999998</v>
      </c>
      <c r="H90" s="93">
        <v>734135</v>
      </c>
      <c r="I90" s="95" t="s">
        <v>198</v>
      </c>
      <c r="J90" s="94" t="s">
        <v>11</v>
      </c>
      <c r="K90" s="94" t="s">
        <v>47</v>
      </c>
      <c r="L90" s="38">
        <v>99327078</v>
      </c>
    </row>
    <row r="91" spans="1:12" x14ac:dyDescent="0.25">
      <c r="A91" s="17">
        <v>2351</v>
      </c>
      <c r="B91" s="18" t="s">
        <v>199</v>
      </c>
      <c r="C91" s="393">
        <v>588.6</v>
      </c>
      <c r="D91" s="187">
        <v>0.25</v>
      </c>
      <c r="E91" s="187">
        <f t="shared" si="2"/>
        <v>147.15</v>
      </c>
      <c r="F91" s="187"/>
      <c r="G91" s="187">
        <f t="shared" si="3"/>
        <v>147.15</v>
      </c>
      <c r="H91" s="93">
        <v>19521995</v>
      </c>
      <c r="I91" s="95" t="s">
        <v>200</v>
      </c>
      <c r="J91" s="94" t="s">
        <v>50</v>
      </c>
      <c r="K91" s="94" t="s">
        <v>51</v>
      </c>
      <c r="L91" s="38">
        <v>92709981</v>
      </c>
    </row>
    <row r="92" spans="1:12" x14ac:dyDescent="0.25">
      <c r="A92" s="17">
        <v>2353</v>
      </c>
      <c r="B92" s="18" t="s">
        <v>42</v>
      </c>
      <c r="C92" s="393">
        <v>607.5</v>
      </c>
      <c r="D92" s="187">
        <v>0.25</v>
      </c>
      <c r="E92" s="187">
        <f t="shared" si="2"/>
        <v>151.875</v>
      </c>
      <c r="F92" s="187"/>
      <c r="G92" s="187">
        <f t="shared" si="3"/>
        <v>151.875</v>
      </c>
      <c r="H92" s="93">
        <v>2088123</v>
      </c>
      <c r="I92" s="95" t="s">
        <v>201</v>
      </c>
      <c r="J92" s="94" t="s">
        <v>11</v>
      </c>
      <c r="K92" s="94" t="s">
        <v>47</v>
      </c>
      <c r="L92" s="39">
        <v>92133374</v>
      </c>
    </row>
    <row r="93" spans="1:12" x14ac:dyDescent="0.25">
      <c r="A93" s="17">
        <v>2355</v>
      </c>
      <c r="B93" s="18" t="s">
        <v>202</v>
      </c>
      <c r="C93" s="393">
        <v>1511.8</v>
      </c>
      <c r="D93" s="187">
        <v>0.25</v>
      </c>
      <c r="E93" s="187">
        <f t="shared" si="2"/>
        <v>377.95</v>
      </c>
      <c r="F93" s="187"/>
      <c r="G93" s="187">
        <f t="shared" si="3"/>
        <v>377.95</v>
      </c>
      <c r="H93" s="93">
        <v>1129734</v>
      </c>
      <c r="I93" s="95" t="s">
        <v>203</v>
      </c>
      <c r="J93" s="94" t="s">
        <v>11</v>
      </c>
      <c r="K93" s="94" t="s">
        <v>47</v>
      </c>
      <c r="L93" s="17">
        <v>99481921</v>
      </c>
    </row>
    <row r="94" spans="1:12" x14ac:dyDescent="0.25">
      <c r="A94" s="17">
        <v>2356</v>
      </c>
      <c r="B94" s="18" t="s">
        <v>568</v>
      </c>
      <c r="C94" s="393">
        <v>601.9</v>
      </c>
      <c r="D94" s="187">
        <v>0.25</v>
      </c>
      <c r="E94" s="187">
        <f t="shared" si="2"/>
        <v>150.47499999999999</v>
      </c>
      <c r="F94" s="187"/>
      <c r="G94" s="187">
        <f t="shared" si="3"/>
        <v>150.47499999999999</v>
      </c>
      <c r="H94" s="93">
        <v>6085799</v>
      </c>
      <c r="I94" s="95">
        <v>401003560930037</v>
      </c>
      <c r="J94" s="94" t="s">
        <v>11</v>
      </c>
      <c r="K94" s="94" t="s">
        <v>47</v>
      </c>
      <c r="L94" s="38">
        <v>95122922</v>
      </c>
    </row>
    <row r="95" spans="1:12" x14ac:dyDescent="0.25">
      <c r="A95" s="17">
        <v>2358</v>
      </c>
      <c r="B95" s="18" t="s">
        <v>206</v>
      </c>
      <c r="C95" s="393">
        <v>1229.7</v>
      </c>
      <c r="D95" s="187">
        <v>0.25</v>
      </c>
      <c r="E95" s="187">
        <f t="shared" si="2"/>
        <v>307.42500000000001</v>
      </c>
      <c r="F95" s="187"/>
      <c r="G95" s="187">
        <f t="shared" si="3"/>
        <v>307.42500000000001</v>
      </c>
      <c r="H95" s="93">
        <v>812235</v>
      </c>
      <c r="I95" s="95" t="s">
        <v>207</v>
      </c>
      <c r="J95" s="94" t="s">
        <v>81</v>
      </c>
      <c r="K95" s="94" t="s">
        <v>82</v>
      </c>
      <c r="L95" s="38">
        <v>99496608</v>
      </c>
    </row>
    <row r="96" spans="1:12" x14ac:dyDescent="0.25">
      <c r="A96" s="17">
        <v>2360</v>
      </c>
      <c r="B96" s="18" t="s">
        <v>208</v>
      </c>
      <c r="C96" s="394">
        <v>960.1</v>
      </c>
      <c r="D96" s="187">
        <v>0.25</v>
      </c>
      <c r="E96" s="187">
        <f t="shared" si="2"/>
        <v>240.02500000000001</v>
      </c>
      <c r="F96" s="187"/>
      <c r="G96" s="187">
        <f t="shared" si="3"/>
        <v>240.02500000000001</v>
      </c>
      <c r="H96" s="93">
        <v>6791757</v>
      </c>
      <c r="I96" s="95" t="s">
        <v>209</v>
      </c>
      <c r="J96" s="94" t="s">
        <v>14</v>
      </c>
      <c r="K96" s="94" t="s">
        <v>55</v>
      </c>
      <c r="L96" s="17">
        <v>98960002</v>
      </c>
    </row>
    <row r="97" spans="1:12" x14ac:dyDescent="0.25">
      <c r="A97" s="17">
        <v>2361</v>
      </c>
      <c r="B97" s="18" t="s">
        <v>210</v>
      </c>
      <c r="C97" s="394">
        <v>2918</v>
      </c>
      <c r="D97" s="187">
        <v>0.25</v>
      </c>
      <c r="E97" s="187">
        <f t="shared" si="2"/>
        <v>729.5</v>
      </c>
      <c r="F97" s="187"/>
      <c r="G97" s="187">
        <f t="shared" si="3"/>
        <v>729.5</v>
      </c>
      <c r="H97" s="93">
        <v>3083395</v>
      </c>
      <c r="I97" s="95" t="s">
        <v>211</v>
      </c>
      <c r="J97" s="94" t="s">
        <v>11</v>
      </c>
      <c r="K97" s="94" t="s">
        <v>47</v>
      </c>
      <c r="L97" s="38">
        <v>99287760</v>
      </c>
    </row>
    <row r="98" spans="1:12" x14ac:dyDescent="0.25">
      <c r="A98" s="17">
        <v>2362</v>
      </c>
      <c r="B98" s="18" t="s">
        <v>212</v>
      </c>
      <c r="C98" s="394">
        <v>2936.9</v>
      </c>
      <c r="D98" s="187">
        <v>0.25</v>
      </c>
      <c r="E98" s="187">
        <f t="shared" si="2"/>
        <v>734.22500000000002</v>
      </c>
      <c r="F98" s="187"/>
      <c r="G98" s="187">
        <f t="shared" si="3"/>
        <v>734.22500000000002</v>
      </c>
      <c r="H98" s="93">
        <v>614569</v>
      </c>
      <c r="I98" s="95" t="s">
        <v>213</v>
      </c>
      <c r="J98" s="94" t="s">
        <v>11</v>
      </c>
      <c r="K98" s="94" t="s">
        <v>47</v>
      </c>
      <c r="L98" s="38">
        <v>98243557</v>
      </c>
    </row>
    <row r="99" spans="1:12" x14ac:dyDescent="0.25">
      <c r="A99" s="17">
        <v>2363</v>
      </c>
      <c r="B99" s="18" t="s">
        <v>567</v>
      </c>
      <c r="C99" s="394">
        <v>606.4</v>
      </c>
      <c r="D99" s="187">
        <v>0.25</v>
      </c>
      <c r="E99" s="187">
        <f t="shared" si="2"/>
        <v>151.6</v>
      </c>
      <c r="F99" s="187"/>
      <c r="G99" s="187">
        <f t="shared" si="3"/>
        <v>151.6</v>
      </c>
      <c r="H99" s="93"/>
      <c r="I99" s="95"/>
      <c r="J99" s="94"/>
      <c r="K99" s="94"/>
      <c r="L99" s="38"/>
    </row>
    <row r="100" spans="1:12" x14ac:dyDescent="0.25">
      <c r="A100" s="17">
        <v>2365</v>
      </c>
      <c r="B100" s="42" t="s">
        <v>214</v>
      </c>
      <c r="C100" s="393">
        <v>5594.6</v>
      </c>
      <c r="D100" s="187">
        <v>0.25</v>
      </c>
      <c r="E100" s="187">
        <f t="shared" si="2"/>
        <v>1398.65</v>
      </c>
      <c r="F100" s="187"/>
      <c r="G100" s="187">
        <f t="shared" si="3"/>
        <v>1398.65</v>
      </c>
      <c r="H100" s="93">
        <v>18164859</v>
      </c>
      <c r="I100" s="95" t="s">
        <v>215</v>
      </c>
      <c r="J100" s="94" t="s">
        <v>14</v>
      </c>
      <c r="K100" s="94" t="s">
        <v>55</v>
      </c>
      <c r="L100" s="39">
        <v>98872820</v>
      </c>
    </row>
    <row r="101" spans="1:12" x14ac:dyDescent="0.25">
      <c r="A101" s="17">
        <v>2366</v>
      </c>
      <c r="B101" s="440" t="s">
        <v>43</v>
      </c>
      <c r="C101" s="394">
        <v>2403.1</v>
      </c>
      <c r="D101" s="187">
        <v>0.25</v>
      </c>
      <c r="E101" s="187">
        <f t="shared" si="2"/>
        <v>600.77499999999998</v>
      </c>
      <c r="F101" s="187"/>
      <c r="G101" s="187">
        <f t="shared" si="3"/>
        <v>600.77499999999998</v>
      </c>
      <c r="H101" s="93">
        <v>5737041</v>
      </c>
      <c r="I101" s="95" t="s">
        <v>216</v>
      </c>
      <c r="J101" s="94" t="s">
        <v>11</v>
      </c>
      <c r="K101" s="94" t="s">
        <v>47</v>
      </c>
      <c r="L101" s="39">
        <v>99298559</v>
      </c>
    </row>
    <row r="102" spans="1:12" x14ac:dyDescent="0.25">
      <c r="A102" s="17">
        <v>2368</v>
      </c>
      <c r="B102" s="441" t="s">
        <v>26</v>
      </c>
      <c r="C102" s="393">
        <v>3405.5</v>
      </c>
      <c r="D102" s="187">
        <v>0.25</v>
      </c>
      <c r="E102" s="187">
        <f t="shared" si="2"/>
        <v>851.375</v>
      </c>
      <c r="F102" s="187"/>
      <c r="G102" s="187">
        <f t="shared" si="3"/>
        <v>851.375</v>
      </c>
      <c r="H102" s="93">
        <v>14028352</v>
      </c>
      <c r="I102" s="95" t="s">
        <v>217</v>
      </c>
      <c r="J102" s="94" t="s">
        <v>11</v>
      </c>
      <c r="K102" s="94" t="s">
        <v>47</v>
      </c>
      <c r="L102" s="39">
        <v>77189591</v>
      </c>
    </row>
    <row r="103" spans="1:12" x14ac:dyDescent="0.25">
      <c r="A103" s="17">
        <v>2369</v>
      </c>
      <c r="B103" s="442" t="s">
        <v>218</v>
      </c>
      <c r="C103" s="393">
        <v>433.5</v>
      </c>
      <c r="D103" s="187">
        <v>0.25</v>
      </c>
      <c r="E103" s="187">
        <f t="shared" si="2"/>
        <v>108.375</v>
      </c>
      <c r="F103" s="187"/>
      <c r="G103" s="187">
        <f t="shared" si="3"/>
        <v>108.375</v>
      </c>
      <c r="H103" s="93">
        <v>1305728</v>
      </c>
      <c r="I103" s="95" t="s">
        <v>219</v>
      </c>
      <c r="J103" s="94" t="s">
        <v>81</v>
      </c>
      <c r="K103" s="94" t="s">
        <v>82</v>
      </c>
      <c r="L103" s="39"/>
    </row>
    <row r="104" spans="1:12" x14ac:dyDescent="0.25">
      <c r="A104" s="17">
        <v>2370</v>
      </c>
      <c r="B104" s="442" t="s">
        <v>220</v>
      </c>
      <c r="C104" s="393">
        <v>427.7</v>
      </c>
      <c r="D104" s="187">
        <v>0.25</v>
      </c>
      <c r="E104" s="187">
        <f t="shared" si="2"/>
        <v>106.925</v>
      </c>
      <c r="F104" s="187"/>
      <c r="G104" s="187">
        <f t="shared" si="3"/>
        <v>106.925</v>
      </c>
      <c r="H104" s="93">
        <v>15082454</v>
      </c>
      <c r="I104" s="261" t="s">
        <v>221</v>
      </c>
      <c r="J104" s="94" t="s">
        <v>14</v>
      </c>
      <c r="K104" s="94" t="s">
        <v>55</v>
      </c>
      <c r="L104" s="39">
        <v>92600537</v>
      </c>
    </row>
    <row r="105" spans="1:12" x14ac:dyDescent="0.25">
      <c r="A105" s="17">
        <v>2371</v>
      </c>
      <c r="B105" s="442" t="s">
        <v>222</v>
      </c>
      <c r="C105" s="393">
        <v>1345</v>
      </c>
      <c r="D105" s="187">
        <v>0.25</v>
      </c>
      <c r="E105" s="187">
        <f t="shared" si="2"/>
        <v>336.25</v>
      </c>
      <c r="F105" s="187"/>
      <c r="G105" s="187">
        <f t="shared" si="3"/>
        <v>336.25</v>
      </c>
      <c r="H105" s="93">
        <v>4710817</v>
      </c>
      <c r="I105" s="95" t="s">
        <v>223</v>
      </c>
      <c r="J105" s="94" t="s">
        <v>11</v>
      </c>
      <c r="K105" s="94" t="s">
        <v>47</v>
      </c>
      <c r="L105" s="39">
        <v>95375676</v>
      </c>
    </row>
    <row r="106" spans="1:12" x14ac:dyDescent="0.25">
      <c r="A106" s="17">
        <v>2373</v>
      </c>
      <c r="B106" s="442" t="s">
        <v>224</v>
      </c>
      <c r="C106" s="393">
        <v>1317.3</v>
      </c>
      <c r="D106" s="187">
        <v>0.25</v>
      </c>
      <c r="E106" s="187">
        <f t="shared" si="2"/>
        <v>329.32499999999999</v>
      </c>
      <c r="F106" s="187"/>
      <c r="G106" s="187">
        <f t="shared" si="3"/>
        <v>329.32499999999999</v>
      </c>
      <c r="H106" s="93">
        <v>593009</v>
      </c>
      <c r="I106" s="95" t="s">
        <v>225</v>
      </c>
      <c r="J106" s="94" t="s">
        <v>14</v>
      </c>
      <c r="K106" s="94" t="s">
        <v>55</v>
      </c>
      <c r="L106" s="39">
        <v>99555980</v>
      </c>
    </row>
    <row r="107" spans="1:12" x14ac:dyDescent="0.25">
      <c r="A107" s="17">
        <v>2374</v>
      </c>
      <c r="B107" s="442" t="s">
        <v>226</v>
      </c>
      <c r="C107" s="393">
        <v>611.20000000000005</v>
      </c>
      <c r="D107" s="187">
        <v>0.25</v>
      </c>
      <c r="E107" s="187">
        <f t="shared" si="2"/>
        <v>152.80000000000001</v>
      </c>
      <c r="F107" s="187"/>
      <c r="G107" s="187">
        <f t="shared" si="3"/>
        <v>152.80000000000001</v>
      </c>
      <c r="H107" s="93">
        <v>27683269</v>
      </c>
      <c r="I107" s="95" t="s">
        <v>227</v>
      </c>
      <c r="J107" s="94" t="s">
        <v>50</v>
      </c>
      <c r="K107" s="94" t="s">
        <v>51</v>
      </c>
      <c r="L107" s="39">
        <v>99555980</v>
      </c>
    </row>
    <row r="108" spans="1:12" x14ac:dyDescent="0.25">
      <c r="A108" s="17">
        <v>2380</v>
      </c>
      <c r="B108" s="442" t="s">
        <v>228</v>
      </c>
      <c r="C108" s="393">
        <v>585.70000000000005</v>
      </c>
      <c r="D108" s="187">
        <v>0.25</v>
      </c>
      <c r="E108" s="187">
        <f t="shared" si="2"/>
        <v>146.42500000000001</v>
      </c>
      <c r="F108" s="187"/>
      <c r="G108" s="187">
        <f t="shared" si="3"/>
        <v>146.42500000000001</v>
      </c>
      <c r="H108" s="93">
        <v>614536</v>
      </c>
      <c r="I108" s="95" t="s">
        <v>229</v>
      </c>
      <c r="J108" s="94" t="s">
        <v>50</v>
      </c>
      <c r="K108" s="94" t="s">
        <v>51</v>
      </c>
      <c r="L108" s="39">
        <v>93977300</v>
      </c>
    </row>
    <row r="109" spans="1:12" x14ac:dyDescent="0.25">
      <c r="A109" s="17">
        <v>2381</v>
      </c>
      <c r="B109" s="442" t="s">
        <v>230</v>
      </c>
      <c r="C109" s="393">
        <v>1278</v>
      </c>
      <c r="D109" s="187">
        <v>0.25</v>
      </c>
      <c r="E109" s="187">
        <f t="shared" si="2"/>
        <v>319.5</v>
      </c>
      <c r="F109" s="187"/>
      <c r="G109" s="187">
        <f t="shared" si="3"/>
        <v>319.5</v>
      </c>
      <c r="H109" s="93">
        <v>830452</v>
      </c>
      <c r="I109" s="95" t="s">
        <v>231</v>
      </c>
      <c r="J109" s="94" t="s">
        <v>11</v>
      </c>
      <c r="K109" s="94" t="s">
        <v>47</v>
      </c>
      <c r="L109" s="39">
        <v>99493365</v>
      </c>
    </row>
    <row r="110" spans="1:12" x14ac:dyDescent="0.25">
      <c r="A110" s="17">
        <v>2383</v>
      </c>
      <c r="B110" s="39" t="s">
        <v>232</v>
      </c>
      <c r="C110" s="393">
        <v>571.70000000000005</v>
      </c>
      <c r="D110" s="187">
        <v>0.25</v>
      </c>
      <c r="E110" s="187">
        <f t="shared" si="2"/>
        <v>142.92500000000001</v>
      </c>
      <c r="F110" s="187"/>
      <c r="G110" s="187">
        <f t="shared" si="3"/>
        <v>142.92500000000001</v>
      </c>
      <c r="H110" s="94">
        <v>11427078</v>
      </c>
      <c r="I110" s="95" t="s">
        <v>233</v>
      </c>
      <c r="J110" s="94" t="s">
        <v>234</v>
      </c>
      <c r="K110" s="94" t="s">
        <v>235</v>
      </c>
      <c r="L110" s="17">
        <v>92192100</v>
      </c>
    </row>
    <row r="111" spans="1:12" x14ac:dyDescent="0.25">
      <c r="A111" s="17">
        <v>2385</v>
      </c>
      <c r="B111" s="88" t="s">
        <v>236</v>
      </c>
      <c r="C111" s="393">
        <v>1869.3</v>
      </c>
      <c r="D111" s="187">
        <v>0.25</v>
      </c>
      <c r="E111" s="187">
        <f t="shared" si="2"/>
        <v>467.32499999999999</v>
      </c>
      <c r="F111" s="187"/>
      <c r="G111" s="187">
        <f t="shared" si="3"/>
        <v>467.32499999999999</v>
      </c>
      <c r="H111" s="93">
        <v>3039422</v>
      </c>
      <c r="I111" s="95" t="s">
        <v>237</v>
      </c>
      <c r="J111" s="94" t="s">
        <v>50</v>
      </c>
      <c r="K111" s="94" t="s">
        <v>51</v>
      </c>
      <c r="L111" s="38">
        <v>99589937</v>
      </c>
    </row>
    <row r="112" spans="1:12" hidden="1" x14ac:dyDescent="0.25">
      <c r="A112" s="17">
        <v>2387</v>
      </c>
      <c r="B112" s="88"/>
      <c r="C112" s="393"/>
      <c r="D112" s="187">
        <v>0.25</v>
      </c>
      <c r="E112" s="187">
        <f t="shared" si="2"/>
        <v>0</v>
      </c>
      <c r="F112" s="187"/>
      <c r="G112" s="187">
        <f t="shared" si="3"/>
        <v>0</v>
      </c>
      <c r="H112" s="93"/>
      <c r="I112" s="95"/>
      <c r="J112" s="94"/>
      <c r="K112" s="94"/>
      <c r="L112" s="38"/>
    </row>
    <row r="113" spans="1:12" x14ac:dyDescent="0.25">
      <c r="A113" s="17">
        <v>2390</v>
      </c>
      <c r="B113" s="441" t="s">
        <v>238</v>
      </c>
      <c r="C113" s="393">
        <v>1380.4</v>
      </c>
      <c r="D113" s="187">
        <v>0.25</v>
      </c>
      <c r="E113" s="187">
        <f t="shared" si="2"/>
        <v>345.1</v>
      </c>
      <c r="F113" s="187"/>
      <c r="G113" s="187">
        <f t="shared" si="3"/>
        <v>345.1</v>
      </c>
      <c r="H113" s="93">
        <v>738486</v>
      </c>
      <c r="I113" s="94" t="s">
        <v>239</v>
      </c>
      <c r="J113" s="94" t="s">
        <v>11</v>
      </c>
      <c r="K113" s="94" t="s">
        <v>47</v>
      </c>
      <c r="L113" s="39">
        <v>92960447</v>
      </c>
    </row>
    <row r="114" spans="1:12" x14ac:dyDescent="0.25">
      <c r="A114" s="17">
        <v>2391</v>
      </c>
      <c r="B114" s="441" t="s">
        <v>240</v>
      </c>
      <c r="C114" s="393">
        <v>886.6</v>
      </c>
      <c r="D114" s="187">
        <v>0.25</v>
      </c>
      <c r="E114" s="187">
        <f t="shared" si="2"/>
        <v>221.65</v>
      </c>
      <c r="F114" s="187"/>
      <c r="G114" s="187">
        <f t="shared" si="3"/>
        <v>221.65</v>
      </c>
      <c r="H114" s="93">
        <v>952571</v>
      </c>
      <c r="I114" s="95" t="s">
        <v>241</v>
      </c>
      <c r="J114" s="94" t="s">
        <v>14</v>
      </c>
      <c r="K114" s="94" t="s">
        <v>55</v>
      </c>
      <c r="L114" s="39"/>
    </row>
    <row r="115" spans="1:12" x14ac:dyDescent="0.25">
      <c r="A115" s="13">
        <v>2392</v>
      </c>
      <c r="B115" s="438" t="s">
        <v>566</v>
      </c>
      <c r="C115" s="393">
        <v>585.20000000000005</v>
      </c>
      <c r="D115" s="187">
        <v>0.25</v>
      </c>
      <c r="E115" s="187">
        <f t="shared" si="2"/>
        <v>146.30000000000001</v>
      </c>
      <c r="F115" s="187"/>
      <c r="G115" s="187">
        <f t="shared" si="3"/>
        <v>146.30000000000001</v>
      </c>
      <c r="H115" s="90">
        <v>20054677</v>
      </c>
      <c r="I115" s="89" t="s">
        <v>565</v>
      </c>
      <c r="J115" s="90" t="s">
        <v>11</v>
      </c>
      <c r="K115" s="90"/>
      <c r="L115" s="13">
        <v>98955033</v>
      </c>
    </row>
    <row r="116" spans="1:12" x14ac:dyDescent="0.25">
      <c r="A116" s="13">
        <v>2400</v>
      </c>
      <c r="B116" s="438" t="s">
        <v>564</v>
      </c>
      <c r="C116" s="393">
        <v>596.5</v>
      </c>
      <c r="D116" s="187">
        <v>0.25</v>
      </c>
      <c r="E116" s="187">
        <f t="shared" si="2"/>
        <v>149.125</v>
      </c>
      <c r="F116" s="187"/>
      <c r="G116" s="187">
        <f t="shared" si="3"/>
        <v>149.125</v>
      </c>
      <c r="H116" s="90">
        <v>21522312</v>
      </c>
      <c r="I116" s="89" t="s">
        <v>563</v>
      </c>
      <c r="J116" s="90" t="s">
        <v>18</v>
      </c>
      <c r="K116" s="90"/>
      <c r="L116" s="13">
        <v>96066507</v>
      </c>
    </row>
    <row r="117" spans="1:12" x14ac:dyDescent="0.25">
      <c r="A117" s="13">
        <v>2401</v>
      </c>
      <c r="B117" s="438" t="s">
        <v>562</v>
      </c>
      <c r="C117" s="393">
        <v>584.4</v>
      </c>
      <c r="D117" s="187">
        <v>0.25</v>
      </c>
      <c r="E117" s="187">
        <f t="shared" si="2"/>
        <v>146.1</v>
      </c>
      <c r="F117" s="187"/>
      <c r="G117" s="187">
        <f t="shared" si="3"/>
        <v>146.1</v>
      </c>
      <c r="H117" s="90">
        <v>24154695</v>
      </c>
      <c r="I117" s="89" t="s">
        <v>561</v>
      </c>
      <c r="J117" s="90" t="s">
        <v>16</v>
      </c>
      <c r="K117" s="90" t="s">
        <v>47</v>
      </c>
      <c r="L117" s="13">
        <v>99584708</v>
      </c>
    </row>
    <row r="118" spans="1:12" hidden="1" x14ac:dyDescent="0.25">
      <c r="A118" s="13">
        <v>2402</v>
      </c>
      <c r="B118" s="438" t="s">
        <v>560</v>
      </c>
      <c r="C118" s="393"/>
      <c r="D118" s="187">
        <v>0.25</v>
      </c>
      <c r="E118" s="187">
        <f t="shared" si="2"/>
        <v>0</v>
      </c>
      <c r="F118" s="187"/>
      <c r="G118" s="187">
        <f t="shared" si="3"/>
        <v>0</v>
      </c>
      <c r="H118" s="90">
        <v>805323</v>
      </c>
      <c r="I118" s="89" t="s">
        <v>559</v>
      </c>
      <c r="J118" s="90" t="s">
        <v>14</v>
      </c>
      <c r="K118" s="90"/>
      <c r="L118" s="13">
        <v>92141256</v>
      </c>
    </row>
    <row r="119" spans="1:12" x14ac:dyDescent="0.25">
      <c r="A119" s="13">
        <v>2403</v>
      </c>
      <c r="B119" s="438" t="s">
        <v>558</v>
      </c>
      <c r="C119" s="393">
        <v>595.9</v>
      </c>
      <c r="D119" s="187">
        <v>0.25</v>
      </c>
      <c r="E119" s="187">
        <f t="shared" si="2"/>
        <v>148.97499999999999</v>
      </c>
      <c r="F119" s="187"/>
      <c r="G119" s="187">
        <f t="shared" si="3"/>
        <v>148.97499999999999</v>
      </c>
      <c r="H119" s="90">
        <v>7562374</v>
      </c>
      <c r="I119" s="89" t="s">
        <v>557</v>
      </c>
      <c r="J119" s="90" t="s">
        <v>14</v>
      </c>
      <c r="K119" s="90"/>
      <c r="L119" s="13">
        <v>91755668</v>
      </c>
    </row>
    <row r="120" spans="1:12" hidden="1" x14ac:dyDescent="0.25">
      <c r="A120" s="13">
        <v>2404</v>
      </c>
      <c r="B120" s="438" t="s">
        <v>556</v>
      </c>
      <c r="C120" s="393"/>
      <c r="D120" s="187">
        <v>0.25</v>
      </c>
      <c r="E120" s="187">
        <f t="shared" si="2"/>
        <v>0</v>
      </c>
      <c r="F120" s="187"/>
      <c r="G120" s="187">
        <f t="shared" si="3"/>
        <v>0</v>
      </c>
      <c r="H120" s="90">
        <v>5146838</v>
      </c>
      <c r="I120" s="89" t="s">
        <v>555</v>
      </c>
      <c r="J120" s="90" t="s">
        <v>18</v>
      </c>
      <c r="K120" s="90" t="s">
        <v>47</v>
      </c>
      <c r="L120" s="13">
        <v>99111132</v>
      </c>
    </row>
    <row r="121" spans="1:12" x14ac:dyDescent="0.25">
      <c r="A121" s="13">
        <v>2405</v>
      </c>
      <c r="B121" s="438" t="s">
        <v>554</v>
      </c>
      <c r="C121" s="393">
        <v>151.19999999999999</v>
      </c>
      <c r="D121" s="187">
        <v>0.25</v>
      </c>
      <c r="E121" s="187">
        <f t="shared" si="2"/>
        <v>37.799999999999997</v>
      </c>
      <c r="F121" s="187"/>
      <c r="G121" s="187">
        <f t="shared" si="3"/>
        <v>37.799999999999997</v>
      </c>
      <c r="H121" s="90">
        <v>21957473</v>
      </c>
      <c r="I121" s="89" t="s">
        <v>553</v>
      </c>
      <c r="J121" s="90" t="s">
        <v>18</v>
      </c>
      <c r="K121" s="90"/>
      <c r="L121" s="13">
        <v>99492349</v>
      </c>
    </row>
    <row r="122" spans="1:12" hidden="1" x14ac:dyDescent="0.25">
      <c r="A122" s="13">
        <v>2406</v>
      </c>
      <c r="B122" s="438" t="s">
        <v>552</v>
      </c>
      <c r="C122" s="393"/>
      <c r="D122" s="187">
        <v>0.25</v>
      </c>
      <c r="E122" s="187">
        <f t="shared" si="2"/>
        <v>0</v>
      </c>
      <c r="F122" s="187"/>
      <c r="G122" s="187">
        <f t="shared" si="3"/>
        <v>0</v>
      </c>
      <c r="H122" s="90">
        <v>14614758</v>
      </c>
      <c r="I122" s="89" t="s">
        <v>551</v>
      </c>
      <c r="J122" s="90" t="s">
        <v>18</v>
      </c>
      <c r="K122" s="90"/>
      <c r="L122" s="13">
        <v>90422500</v>
      </c>
    </row>
    <row r="123" spans="1:12" hidden="1" x14ac:dyDescent="0.25">
      <c r="A123" s="13">
        <v>2407</v>
      </c>
      <c r="B123" s="438" t="s">
        <v>550</v>
      </c>
      <c r="C123" s="393"/>
      <c r="D123" s="187">
        <v>0.25</v>
      </c>
      <c r="E123" s="187">
        <f t="shared" si="2"/>
        <v>0</v>
      </c>
      <c r="F123" s="187"/>
      <c r="G123" s="187">
        <f t="shared" si="3"/>
        <v>0</v>
      </c>
      <c r="H123" s="90">
        <v>5586325</v>
      </c>
      <c r="I123" s="89" t="s">
        <v>549</v>
      </c>
      <c r="J123" s="90" t="s">
        <v>18</v>
      </c>
      <c r="K123" s="90" t="s">
        <v>47</v>
      </c>
      <c r="L123" s="13">
        <v>91199514</v>
      </c>
    </row>
    <row r="124" spans="1:12" x14ac:dyDescent="0.25">
      <c r="A124" s="13">
        <v>2408</v>
      </c>
      <c r="B124" s="438" t="s">
        <v>548</v>
      </c>
      <c r="C124" s="393">
        <v>173.6</v>
      </c>
      <c r="D124" s="187">
        <v>0.25</v>
      </c>
      <c r="E124" s="187">
        <f t="shared" si="2"/>
        <v>43.4</v>
      </c>
      <c r="F124" s="187"/>
      <c r="G124" s="187">
        <f t="shared" si="3"/>
        <v>43.4</v>
      </c>
      <c r="H124" s="90">
        <v>7790427</v>
      </c>
      <c r="I124" s="89" t="s">
        <v>547</v>
      </c>
      <c r="J124" s="90" t="s">
        <v>18</v>
      </c>
      <c r="K124" s="90"/>
      <c r="L124" s="13">
        <v>96394004</v>
      </c>
    </row>
    <row r="125" spans="1:12" hidden="1" x14ac:dyDescent="0.25">
      <c r="A125" s="13">
        <v>2409</v>
      </c>
      <c r="B125" s="438" t="s">
        <v>546</v>
      </c>
      <c r="C125" s="393"/>
      <c r="D125" s="187">
        <v>0.25</v>
      </c>
      <c r="E125" s="187">
        <f t="shared" si="2"/>
        <v>0</v>
      </c>
      <c r="F125" s="187"/>
      <c r="G125" s="187">
        <f t="shared" si="3"/>
        <v>0</v>
      </c>
      <c r="H125" s="90">
        <v>19573665</v>
      </c>
      <c r="I125" s="89" t="s">
        <v>545</v>
      </c>
      <c r="J125" s="90" t="s">
        <v>18</v>
      </c>
      <c r="K125" s="90"/>
      <c r="L125" s="13">
        <v>98895532</v>
      </c>
    </row>
    <row r="126" spans="1:12" hidden="1" x14ac:dyDescent="0.25">
      <c r="A126" s="13">
        <v>2410</v>
      </c>
      <c r="B126" s="438" t="s">
        <v>544</v>
      </c>
      <c r="C126" s="393"/>
      <c r="D126" s="187">
        <v>0.25</v>
      </c>
      <c r="E126" s="187">
        <f t="shared" si="2"/>
        <v>0</v>
      </c>
      <c r="F126" s="187"/>
      <c r="G126" s="187">
        <f t="shared" si="3"/>
        <v>0</v>
      </c>
      <c r="H126" s="90">
        <v>21277364</v>
      </c>
      <c r="I126" s="89" t="s">
        <v>543</v>
      </c>
      <c r="J126" s="90" t="s">
        <v>18</v>
      </c>
      <c r="K126" s="90"/>
      <c r="L126" s="13">
        <v>98895532</v>
      </c>
    </row>
    <row r="127" spans="1:12" x14ac:dyDescent="0.25">
      <c r="A127" s="13">
        <v>2411</v>
      </c>
      <c r="B127" s="438" t="s">
        <v>542</v>
      </c>
      <c r="C127" s="393">
        <v>419.9</v>
      </c>
      <c r="D127" s="187">
        <v>0.25</v>
      </c>
      <c r="E127" s="187">
        <f t="shared" si="2"/>
        <v>104.97499999999999</v>
      </c>
      <c r="F127" s="187"/>
      <c r="G127" s="187">
        <f t="shared" si="3"/>
        <v>104.97499999999999</v>
      </c>
      <c r="H127" s="90">
        <v>22960574</v>
      </c>
      <c r="I127" s="89" t="s">
        <v>541</v>
      </c>
      <c r="J127" s="90" t="s">
        <v>14</v>
      </c>
      <c r="K127" s="90"/>
      <c r="L127" s="13">
        <v>92139763</v>
      </c>
    </row>
    <row r="128" spans="1:12" hidden="1" x14ac:dyDescent="0.25">
      <c r="A128" s="13">
        <v>2412</v>
      </c>
      <c r="B128" s="438" t="s">
        <v>540</v>
      </c>
      <c r="C128" s="393"/>
      <c r="D128" s="187">
        <v>0.25</v>
      </c>
      <c r="E128" s="187">
        <f t="shared" si="2"/>
        <v>0</v>
      </c>
      <c r="F128" s="187"/>
      <c r="G128" s="187">
        <f t="shared" si="3"/>
        <v>0</v>
      </c>
      <c r="H128" s="90">
        <v>21923766</v>
      </c>
      <c r="I128" s="89">
        <v>10600380878017</v>
      </c>
      <c r="J128" s="90" t="s">
        <v>50</v>
      </c>
      <c r="K128" s="90"/>
      <c r="L128" s="13">
        <v>91976544</v>
      </c>
    </row>
    <row r="129" spans="1:12" hidden="1" x14ac:dyDescent="0.25">
      <c r="A129" s="13">
        <v>2413</v>
      </c>
      <c r="B129" s="438" t="s">
        <v>539</v>
      </c>
      <c r="C129" s="393"/>
      <c r="D129" s="187">
        <v>0.25</v>
      </c>
      <c r="E129" s="187">
        <f t="shared" si="2"/>
        <v>0</v>
      </c>
      <c r="F129" s="187"/>
      <c r="G129" s="187">
        <f t="shared" si="3"/>
        <v>0</v>
      </c>
      <c r="H129" s="90">
        <v>4747784</v>
      </c>
      <c r="I129" s="89" t="s">
        <v>538</v>
      </c>
      <c r="J129" s="90" t="s">
        <v>18</v>
      </c>
      <c r="K129" s="90"/>
      <c r="L129" s="13">
        <v>99111159</v>
      </c>
    </row>
    <row r="130" spans="1:12" x14ac:dyDescent="0.25">
      <c r="A130" s="13">
        <v>2414</v>
      </c>
      <c r="B130" s="438" t="s">
        <v>537</v>
      </c>
      <c r="C130" s="393">
        <v>145.9</v>
      </c>
      <c r="D130" s="187">
        <v>0.25</v>
      </c>
      <c r="E130" s="187">
        <f t="shared" si="2"/>
        <v>36.475000000000001</v>
      </c>
      <c r="F130" s="187"/>
      <c r="G130" s="187">
        <f t="shared" si="3"/>
        <v>36.475000000000001</v>
      </c>
      <c r="H130" s="90">
        <v>21386722</v>
      </c>
      <c r="I130" s="89" t="s">
        <v>536</v>
      </c>
      <c r="J130" s="90" t="s">
        <v>18</v>
      </c>
      <c r="K130" s="90"/>
      <c r="L130" s="13">
        <v>98165777</v>
      </c>
    </row>
    <row r="131" spans="1:12" hidden="1" x14ac:dyDescent="0.25">
      <c r="A131" s="13">
        <v>2415</v>
      </c>
      <c r="B131" s="438" t="s">
        <v>535</v>
      </c>
      <c r="C131" s="393"/>
      <c r="D131" s="187">
        <v>0.25</v>
      </c>
      <c r="E131" s="187">
        <f t="shared" si="2"/>
        <v>0</v>
      </c>
      <c r="F131" s="187"/>
      <c r="G131" s="187">
        <f t="shared" si="3"/>
        <v>0</v>
      </c>
      <c r="H131" s="90">
        <v>10606683</v>
      </c>
      <c r="I131" s="89">
        <v>10060323147001</v>
      </c>
      <c r="J131" s="90" t="s">
        <v>50</v>
      </c>
      <c r="K131" s="90"/>
      <c r="L131" s="13">
        <v>92391517</v>
      </c>
    </row>
    <row r="132" spans="1:12" x14ac:dyDescent="0.25">
      <c r="A132" s="13">
        <v>2416</v>
      </c>
      <c r="B132" s="438" t="s">
        <v>534</v>
      </c>
      <c r="C132" s="393">
        <v>382.5</v>
      </c>
      <c r="D132" s="187">
        <v>0.25</v>
      </c>
      <c r="E132" s="187">
        <f t="shared" si="2"/>
        <v>95.625</v>
      </c>
      <c r="F132" s="187"/>
      <c r="G132" s="187">
        <f t="shared" si="3"/>
        <v>95.625</v>
      </c>
      <c r="H132" s="90">
        <v>20001264</v>
      </c>
      <c r="I132" s="89" t="s">
        <v>533</v>
      </c>
      <c r="J132" s="90" t="s">
        <v>18</v>
      </c>
      <c r="K132" s="90"/>
      <c r="L132" s="13">
        <v>90194995</v>
      </c>
    </row>
    <row r="133" spans="1:12" x14ac:dyDescent="0.25">
      <c r="A133" s="13">
        <v>2417</v>
      </c>
      <c r="B133" s="438" t="s">
        <v>532</v>
      </c>
      <c r="C133" s="393">
        <v>140.5</v>
      </c>
      <c r="D133" s="187">
        <v>0.25</v>
      </c>
      <c r="E133" s="187">
        <f t="shared" ref="E133:E196" si="4">C133*D133</f>
        <v>35.125</v>
      </c>
      <c r="F133" s="187"/>
      <c r="G133" s="187">
        <f t="shared" si="3"/>
        <v>35.125</v>
      </c>
      <c r="H133" s="90">
        <v>20133681</v>
      </c>
      <c r="I133" s="89" t="s">
        <v>531</v>
      </c>
      <c r="J133" s="90" t="s">
        <v>18</v>
      </c>
      <c r="K133" s="90"/>
      <c r="L133" s="13">
        <v>99832113</v>
      </c>
    </row>
    <row r="134" spans="1:12" x14ac:dyDescent="0.25">
      <c r="A134" s="13">
        <v>2418</v>
      </c>
      <c r="B134" s="438" t="s">
        <v>530</v>
      </c>
      <c r="C134" s="393">
        <v>251.6</v>
      </c>
      <c r="D134" s="187">
        <v>0.25</v>
      </c>
      <c r="E134" s="187">
        <f t="shared" si="4"/>
        <v>62.9</v>
      </c>
      <c r="F134" s="187"/>
      <c r="G134" s="187">
        <f t="shared" ref="G134:G197" si="5">E134-F134</f>
        <v>62.9</v>
      </c>
      <c r="H134" s="90">
        <v>21230564</v>
      </c>
      <c r="I134" s="89" t="s">
        <v>529</v>
      </c>
      <c r="J134" s="90" t="s">
        <v>18</v>
      </c>
      <c r="K134" s="90"/>
      <c r="L134" s="13">
        <v>92763233</v>
      </c>
    </row>
    <row r="135" spans="1:12" x14ac:dyDescent="0.25">
      <c r="A135" s="13">
        <v>2419</v>
      </c>
      <c r="B135" s="438" t="s">
        <v>528</v>
      </c>
      <c r="C135" s="393">
        <v>342.6</v>
      </c>
      <c r="D135" s="187">
        <v>0.25</v>
      </c>
      <c r="E135" s="187">
        <f t="shared" si="4"/>
        <v>85.65</v>
      </c>
      <c r="F135" s="187"/>
      <c r="G135" s="187">
        <f t="shared" si="5"/>
        <v>85.65</v>
      </c>
      <c r="H135" s="90">
        <v>21970257</v>
      </c>
      <c r="I135" s="89" t="s">
        <v>527</v>
      </c>
      <c r="J135" s="90" t="s">
        <v>18</v>
      </c>
      <c r="K135" s="90"/>
      <c r="L135" s="13">
        <v>99112407</v>
      </c>
    </row>
    <row r="136" spans="1:12" hidden="1" x14ac:dyDescent="0.25">
      <c r="A136" s="13">
        <v>2420</v>
      </c>
      <c r="B136" s="438" t="s">
        <v>526</v>
      </c>
      <c r="C136" s="393"/>
      <c r="D136" s="187">
        <v>0.25</v>
      </c>
      <c r="E136" s="187">
        <f t="shared" si="4"/>
        <v>0</v>
      </c>
      <c r="F136" s="187"/>
      <c r="G136" s="187">
        <f t="shared" si="5"/>
        <v>0</v>
      </c>
      <c r="H136" s="90">
        <v>21915674</v>
      </c>
      <c r="I136" s="89" t="s">
        <v>525</v>
      </c>
      <c r="J136" s="90" t="s">
        <v>18</v>
      </c>
      <c r="K136" s="90"/>
      <c r="L136" s="13">
        <v>92477050</v>
      </c>
    </row>
    <row r="137" spans="1:12" x14ac:dyDescent="0.25">
      <c r="A137" s="13">
        <v>2421</v>
      </c>
      <c r="B137" s="438" t="s">
        <v>524</v>
      </c>
      <c r="C137" s="393">
        <v>599.4</v>
      </c>
      <c r="D137" s="187">
        <v>0.25</v>
      </c>
      <c r="E137" s="187">
        <f t="shared" si="4"/>
        <v>149.85</v>
      </c>
      <c r="F137" s="187"/>
      <c r="G137" s="187">
        <f t="shared" si="5"/>
        <v>149.85</v>
      </c>
      <c r="H137" s="90">
        <v>12449617</v>
      </c>
      <c r="I137" s="89" t="s">
        <v>523</v>
      </c>
      <c r="J137" s="90" t="s">
        <v>18</v>
      </c>
      <c r="K137" s="90"/>
      <c r="L137" s="13">
        <v>93639790</v>
      </c>
    </row>
    <row r="138" spans="1:12" x14ac:dyDescent="0.25">
      <c r="A138" s="13">
        <v>2422</v>
      </c>
      <c r="B138" s="438" t="s">
        <v>522</v>
      </c>
      <c r="C138" s="393">
        <v>603.6</v>
      </c>
      <c r="D138" s="187">
        <v>0.25</v>
      </c>
      <c r="E138" s="187">
        <f t="shared" si="4"/>
        <v>150.9</v>
      </c>
      <c r="F138" s="187"/>
      <c r="G138" s="187">
        <f t="shared" si="5"/>
        <v>150.9</v>
      </c>
      <c r="H138" s="90">
        <v>3457326</v>
      </c>
      <c r="I138" s="89" t="s">
        <v>521</v>
      </c>
      <c r="J138" s="90" t="s">
        <v>18</v>
      </c>
      <c r="K138" s="90"/>
      <c r="L138" s="13">
        <v>91290077</v>
      </c>
    </row>
    <row r="139" spans="1:12" x14ac:dyDescent="0.25">
      <c r="A139" s="13">
        <v>2423</v>
      </c>
      <c r="B139" s="438" t="s">
        <v>520</v>
      </c>
      <c r="C139" s="393">
        <v>280.10000000000002</v>
      </c>
      <c r="D139" s="187">
        <v>0.25</v>
      </c>
      <c r="E139" s="187">
        <f t="shared" si="4"/>
        <v>70.025000000000006</v>
      </c>
      <c r="F139" s="187"/>
      <c r="G139" s="187">
        <f t="shared" si="5"/>
        <v>70.025000000000006</v>
      </c>
      <c r="H139" s="90">
        <v>19952186</v>
      </c>
      <c r="I139" s="89" t="s">
        <v>519</v>
      </c>
      <c r="J139" s="90" t="s">
        <v>18</v>
      </c>
      <c r="K139" s="90"/>
      <c r="L139" s="13">
        <v>92960031</v>
      </c>
    </row>
    <row r="140" spans="1:12" x14ac:dyDescent="0.25">
      <c r="A140" s="13">
        <v>2424</v>
      </c>
      <c r="B140" s="438" t="s">
        <v>518</v>
      </c>
      <c r="C140" s="393">
        <v>266.7</v>
      </c>
      <c r="D140" s="187">
        <v>0.25</v>
      </c>
      <c r="E140" s="187">
        <f t="shared" si="4"/>
        <v>66.674999999999997</v>
      </c>
      <c r="F140" s="187"/>
      <c r="G140" s="187">
        <f t="shared" si="5"/>
        <v>66.674999999999997</v>
      </c>
      <c r="H140" s="90">
        <v>24187573</v>
      </c>
      <c r="I140" s="89" t="s">
        <v>517</v>
      </c>
      <c r="J140" s="90" t="s">
        <v>18</v>
      </c>
      <c r="K140" s="90"/>
      <c r="L140" s="13">
        <v>98585956</v>
      </c>
    </row>
    <row r="141" spans="1:12" hidden="1" x14ac:dyDescent="0.25">
      <c r="A141" s="13">
        <v>2425</v>
      </c>
      <c r="B141" s="438" t="s">
        <v>516</v>
      </c>
      <c r="C141" s="393"/>
      <c r="D141" s="187">
        <v>0.25</v>
      </c>
      <c r="E141" s="187">
        <f t="shared" si="4"/>
        <v>0</v>
      </c>
      <c r="F141" s="187"/>
      <c r="G141" s="187">
        <f t="shared" si="5"/>
        <v>0</v>
      </c>
      <c r="H141" s="90">
        <v>6460241</v>
      </c>
      <c r="I141" s="89">
        <v>10830442149001</v>
      </c>
      <c r="J141" s="90" t="s">
        <v>14</v>
      </c>
      <c r="K141" s="90"/>
      <c r="L141" s="13">
        <v>92550479</v>
      </c>
    </row>
    <row r="142" spans="1:12" x14ac:dyDescent="0.25">
      <c r="A142" s="13">
        <v>2426</v>
      </c>
      <c r="B142" s="438" t="s">
        <v>515</v>
      </c>
      <c r="C142" s="393">
        <v>629.1</v>
      </c>
      <c r="D142" s="187">
        <v>0.25</v>
      </c>
      <c r="E142" s="187">
        <f t="shared" si="4"/>
        <v>157.27500000000001</v>
      </c>
      <c r="F142" s="187"/>
      <c r="G142" s="187">
        <f t="shared" si="5"/>
        <v>157.27500000000001</v>
      </c>
      <c r="H142" s="90">
        <v>8186</v>
      </c>
      <c r="I142" s="89">
        <v>3129202361500</v>
      </c>
      <c r="J142" s="90" t="s">
        <v>81</v>
      </c>
      <c r="K142" s="90"/>
      <c r="L142" s="13"/>
    </row>
    <row r="143" spans="1:12" x14ac:dyDescent="0.25">
      <c r="A143" s="13">
        <v>2427</v>
      </c>
      <c r="B143" s="438" t="s">
        <v>514</v>
      </c>
      <c r="C143" s="393">
        <v>226.9</v>
      </c>
      <c r="D143" s="187">
        <v>0.25</v>
      </c>
      <c r="E143" s="187">
        <f t="shared" si="4"/>
        <v>56.725000000000001</v>
      </c>
      <c r="F143" s="187"/>
      <c r="G143" s="187">
        <f t="shared" si="5"/>
        <v>56.725000000000001</v>
      </c>
      <c r="H143" s="90">
        <v>24992905</v>
      </c>
      <c r="I143" s="89" t="s">
        <v>513</v>
      </c>
      <c r="J143" s="90" t="s">
        <v>11</v>
      </c>
      <c r="K143" s="90"/>
      <c r="L143" s="13">
        <v>91222276</v>
      </c>
    </row>
    <row r="144" spans="1:12" x14ac:dyDescent="0.25">
      <c r="A144" s="13">
        <v>2428</v>
      </c>
      <c r="B144" s="438" t="s">
        <v>512</v>
      </c>
      <c r="C144" s="393">
        <v>371.9</v>
      </c>
      <c r="D144" s="187">
        <v>0.25</v>
      </c>
      <c r="E144" s="187">
        <f t="shared" si="4"/>
        <v>92.974999999999994</v>
      </c>
      <c r="F144" s="187"/>
      <c r="G144" s="187">
        <f t="shared" si="5"/>
        <v>92.974999999999994</v>
      </c>
      <c r="H144" s="90">
        <v>1254982</v>
      </c>
      <c r="I144" s="89" t="s">
        <v>412</v>
      </c>
      <c r="J144" s="90" t="s">
        <v>11</v>
      </c>
      <c r="K144" s="90"/>
      <c r="L144" s="13">
        <v>92566993</v>
      </c>
    </row>
    <row r="145" spans="1:12" x14ac:dyDescent="0.25">
      <c r="A145" s="13">
        <v>2429</v>
      </c>
      <c r="B145" s="438" t="s">
        <v>511</v>
      </c>
      <c r="C145" s="393">
        <v>441.2</v>
      </c>
      <c r="D145" s="187">
        <v>0.25</v>
      </c>
      <c r="E145" s="187">
        <f t="shared" si="4"/>
        <v>110.3</v>
      </c>
      <c r="F145" s="187"/>
      <c r="G145" s="187">
        <f t="shared" si="5"/>
        <v>110.3</v>
      </c>
      <c r="H145" s="90">
        <v>21219395</v>
      </c>
      <c r="I145" s="89" t="s">
        <v>510</v>
      </c>
      <c r="J145" s="90" t="s">
        <v>11</v>
      </c>
      <c r="K145" s="90"/>
      <c r="L145" s="13">
        <v>92983191</v>
      </c>
    </row>
    <row r="146" spans="1:12" x14ac:dyDescent="0.25">
      <c r="A146" s="13">
        <v>2430</v>
      </c>
      <c r="B146" s="438" t="s">
        <v>509</v>
      </c>
      <c r="C146" s="393">
        <v>500</v>
      </c>
      <c r="D146" s="187">
        <v>0.25</v>
      </c>
      <c r="E146" s="187">
        <f t="shared" si="4"/>
        <v>125</v>
      </c>
      <c r="F146" s="187"/>
      <c r="G146" s="187">
        <f t="shared" si="5"/>
        <v>125</v>
      </c>
      <c r="H146" s="90">
        <v>5961982</v>
      </c>
      <c r="I146" s="89" t="s">
        <v>508</v>
      </c>
      <c r="J146" s="90" t="s">
        <v>50</v>
      </c>
      <c r="K146" s="90"/>
      <c r="L146" s="13">
        <v>99787037</v>
      </c>
    </row>
    <row r="147" spans="1:12" x14ac:dyDescent="0.25">
      <c r="A147" s="13">
        <v>2431</v>
      </c>
      <c r="B147" s="438" t="s">
        <v>507</v>
      </c>
      <c r="C147" s="393">
        <v>263</v>
      </c>
      <c r="D147" s="187">
        <v>0.25</v>
      </c>
      <c r="E147" s="187">
        <f t="shared" si="4"/>
        <v>65.75</v>
      </c>
      <c r="F147" s="187"/>
      <c r="G147" s="187">
        <f t="shared" si="5"/>
        <v>65.75</v>
      </c>
      <c r="H147" s="90">
        <v>7534764</v>
      </c>
      <c r="I147" s="89" t="s">
        <v>506</v>
      </c>
      <c r="J147" s="90" t="s">
        <v>14</v>
      </c>
      <c r="K147" s="90"/>
      <c r="L147" s="13">
        <v>91222276</v>
      </c>
    </row>
    <row r="148" spans="1:12" x14ac:dyDescent="0.25">
      <c r="A148" s="13">
        <v>2432</v>
      </c>
      <c r="B148" s="438" t="s">
        <v>505</v>
      </c>
      <c r="C148" s="393">
        <v>258.5</v>
      </c>
      <c r="D148" s="187">
        <v>0.25</v>
      </c>
      <c r="E148" s="187">
        <f t="shared" si="4"/>
        <v>64.625</v>
      </c>
      <c r="F148" s="187"/>
      <c r="G148" s="187">
        <f t="shared" si="5"/>
        <v>64.625</v>
      </c>
      <c r="H148" s="90">
        <v>7534801</v>
      </c>
      <c r="I148" s="89" t="s">
        <v>504</v>
      </c>
      <c r="J148" s="90" t="s">
        <v>14</v>
      </c>
      <c r="K148" s="90"/>
      <c r="L148" s="13">
        <v>91222276</v>
      </c>
    </row>
    <row r="149" spans="1:12" x14ac:dyDescent="0.25">
      <c r="A149" s="13">
        <v>2433</v>
      </c>
      <c r="B149" s="438" t="s">
        <v>503</v>
      </c>
      <c r="C149" s="393">
        <v>556.9</v>
      </c>
      <c r="D149" s="187">
        <v>0.25</v>
      </c>
      <c r="E149" s="187">
        <f t="shared" si="4"/>
        <v>139.22499999999999</v>
      </c>
      <c r="F149" s="187"/>
      <c r="G149" s="187">
        <f t="shared" si="5"/>
        <v>139.22499999999999</v>
      </c>
      <c r="H149" s="90">
        <v>5911959</v>
      </c>
      <c r="I149" s="89" t="s">
        <v>502</v>
      </c>
      <c r="J149" s="90" t="s">
        <v>14</v>
      </c>
      <c r="K149" s="90"/>
      <c r="L149" s="13">
        <v>99195434</v>
      </c>
    </row>
    <row r="150" spans="1:12" x14ac:dyDescent="0.25">
      <c r="A150" s="13">
        <v>2434</v>
      </c>
      <c r="B150" s="438" t="s">
        <v>501</v>
      </c>
      <c r="C150" s="393">
        <v>587.79999999999995</v>
      </c>
      <c r="D150" s="187">
        <v>0.25</v>
      </c>
      <c r="E150" s="187">
        <f t="shared" si="4"/>
        <v>146.94999999999999</v>
      </c>
      <c r="F150" s="187"/>
      <c r="G150" s="187">
        <f t="shared" si="5"/>
        <v>146.94999999999999</v>
      </c>
      <c r="H150" s="90">
        <v>5725461</v>
      </c>
      <c r="I150" s="89" t="s">
        <v>500</v>
      </c>
      <c r="J150" s="90" t="s">
        <v>11</v>
      </c>
      <c r="K150" s="90"/>
      <c r="L150" s="13">
        <v>91337496</v>
      </c>
    </row>
    <row r="151" spans="1:12" x14ac:dyDescent="0.25">
      <c r="A151" s="13">
        <v>2435</v>
      </c>
      <c r="B151" s="438" t="s">
        <v>499</v>
      </c>
      <c r="C151" s="393">
        <v>569.20000000000005</v>
      </c>
      <c r="D151" s="187">
        <v>0.25</v>
      </c>
      <c r="E151" s="187">
        <f t="shared" si="4"/>
        <v>142.30000000000001</v>
      </c>
      <c r="F151" s="187"/>
      <c r="G151" s="187">
        <f t="shared" si="5"/>
        <v>142.30000000000001</v>
      </c>
      <c r="H151" s="90">
        <v>1253923</v>
      </c>
      <c r="I151" s="89">
        <v>1006261375017</v>
      </c>
      <c r="J151" s="90" t="s">
        <v>50</v>
      </c>
      <c r="K151" s="90"/>
      <c r="L151" s="13">
        <v>93638182</v>
      </c>
    </row>
    <row r="152" spans="1:12" hidden="1" x14ac:dyDescent="0.25">
      <c r="A152" s="13">
        <v>2436</v>
      </c>
      <c r="B152" s="438" t="s">
        <v>613</v>
      </c>
      <c r="C152" s="393"/>
      <c r="D152" s="187">
        <v>0.25</v>
      </c>
      <c r="E152" s="187">
        <f t="shared" si="4"/>
        <v>0</v>
      </c>
      <c r="F152" s="187"/>
      <c r="G152" s="187">
        <f t="shared" si="5"/>
        <v>0</v>
      </c>
      <c r="H152" s="90">
        <v>675043</v>
      </c>
      <c r="I152" s="89" t="s">
        <v>496</v>
      </c>
      <c r="J152" s="90" t="s">
        <v>11</v>
      </c>
      <c r="K152" s="90"/>
      <c r="L152" s="13">
        <v>92411044</v>
      </c>
    </row>
    <row r="153" spans="1:12" x14ac:dyDescent="0.25">
      <c r="A153" s="13">
        <v>2437</v>
      </c>
      <c r="B153" s="438" t="s">
        <v>497</v>
      </c>
      <c r="C153" s="393">
        <v>596.70000000000005</v>
      </c>
      <c r="D153" s="187">
        <v>0.25</v>
      </c>
      <c r="E153" s="187">
        <f t="shared" si="4"/>
        <v>149.17500000000001</v>
      </c>
      <c r="F153" s="187"/>
      <c r="G153" s="187">
        <f t="shared" si="5"/>
        <v>149.17500000000001</v>
      </c>
      <c r="H153" s="90">
        <v>22984194</v>
      </c>
      <c r="I153" s="89" t="s">
        <v>496</v>
      </c>
      <c r="J153" s="90" t="s">
        <v>11</v>
      </c>
      <c r="K153" s="90"/>
      <c r="L153" s="13">
        <v>98152202</v>
      </c>
    </row>
    <row r="154" spans="1:12" x14ac:dyDescent="0.25">
      <c r="A154" s="13">
        <v>2438</v>
      </c>
      <c r="B154" s="438" t="s">
        <v>495</v>
      </c>
      <c r="C154" s="393">
        <v>597.5</v>
      </c>
      <c r="D154" s="187">
        <v>0.25</v>
      </c>
      <c r="E154" s="187">
        <f t="shared" si="4"/>
        <v>149.375</v>
      </c>
      <c r="F154" s="187"/>
      <c r="G154" s="187">
        <f t="shared" si="5"/>
        <v>149.375</v>
      </c>
      <c r="H154" s="90">
        <v>7813752</v>
      </c>
      <c r="I154" s="89">
        <v>3109611932700</v>
      </c>
      <c r="J154" s="90" t="s">
        <v>81</v>
      </c>
      <c r="K154" s="90"/>
      <c r="L154" s="13">
        <v>92746334</v>
      </c>
    </row>
    <row r="155" spans="1:12" x14ac:dyDescent="0.25">
      <c r="A155" s="13">
        <v>2439</v>
      </c>
      <c r="B155" s="438" t="s">
        <v>494</v>
      </c>
      <c r="C155" s="393">
        <v>591.6</v>
      </c>
      <c r="D155" s="187">
        <v>0.25</v>
      </c>
      <c r="E155" s="187">
        <f t="shared" si="4"/>
        <v>147.9</v>
      </c>
      <c r="F155" s="187"/>
      <c r="G155" s="187">
        <f t="shared" si="5"/>
        <v>147.9</v>
      </c>
      <c r="H155" s="90">
        <v>5207939</v>
      </c>
      <c r="I155" s="89" t="s">
        <v>481</v>
      </c>
      <c r="J155" s="90" t="s">
        <v>11</v>
      </c>
      <c r="K155" s="90"/>
      <c r="L155" s="13">
        <v>92850044</v>
      </c>
    </row>
    <row r="156" spans="1:12" x14ac:dyDescent="0.25">
      <c r="A156" s="13">
        <v>2440</v>
      </c>
      <c r="B156" s="438" t="s">
        <v>493</v>
      </c>
      <c r="C156" s="393">
        <v>588.1</v>
      </c>
      <c r="D156" s="187">
        <v>0.25</v>
      </c>
      <c r="E156" s="187">
        <f t="shared" si="4"/>
        <v>147.02500000000001</v>
      </c>
      <c r="F156" s="187"/>
      <c r="G156" s="187">
        <f t="shared" si="5"/>
        <v>147.02500000000001</v>
      </c>
      <c r="H156" s="90">
        <v>5208008</v>
      </c>
      <c r="I156" s="89" t="s">
        <v>481</v>
      </c>
      <c r="J156" s="90" t="s">
        <v>11</v>
      </c>
      <c r="K156" s="90"/>
      <c r="L156" s="13">
        <v>95242286</v>
      </c>
    </row>
    <row r="157" spans="1:12" x14ac:dyDescent="0.25">
      <c r="A157" s="13">
        <v>2441</v>
      </c>
      <c r="B157" s="438" t="s">
        <v>492</v>
      </c>
      <c r="C157" s="393">
        <v>431.3</v>
      </c>
      <c r="D157" s="187">
        <v>0.25</v>
      </c>
      <c r="E157" s="187">
        <f t="shared" si="4"/>
        <v>107.825</v>
      </c>
      <c r="F157" s="187"/>
      <c r="G157" s="187">
        <f t="shared" si="5"/>
        <v>107.825</v>
      </c>
      <c r="H157" s="90">
        <v>25029513</v>
      </c>
      <c r="I157" s="89" t="s">
        <v>491</v>
      </c>
      <c r="J157" s="90" t="s">
        <v>11</v>
      </c>
      <c r="K157" s="90"/>
      <c r="L157" s="13">
        <v>91133515</v>
      </c>
    </row>
    <row r="158" spans="1:12" hidden="1" x14ac:dyDescent="0.25">
      <c r="A158" s="13">
        <v>2442</v>
      </c>
      <c r="B158" s="438" t="s">
        <v>490</v>
      </c>
      <c r="C158" s="393"/>
      <c r="D158" s="187">
        <v>0.25</v>
      </c>
      <c r="E158" s="187">
        <f t="shared" si="4"/>
        <v>0</v>
      </c>
      <c r="F158" s="187"/>
      <c r="G158" s="187">
        <f t="shared" si="5"/>
        <v>0</v>
      </c>
      <c r="H158" s="90">
        <v>4741692</v>
      </c>
      <c r="I158" s="89" t="s">
        <v>489</v>
      </c>
      <c r="J158" s="90" t="s">
        <v>11</v>
      </c>
      <c r="K158" s="90"/>
      <c r="L158" s="13">
        <v>99832113</v>
      </c>
    </row>
    <row r="159" spans="1:12" hidden="1" x14ac:dyDescent="0.25">
      <c r="A159" s="13">
        <v>2443</v>
      </c>
      <c r="B159" s="438" t="s">
        <v>488</v>
      </c>
      <c r="C159" s="393"/>
      <c r="D159" s="187">
        <v>0.25</v>
      </c>
      <c r="E159" s="187">
        <f t="shared" si="4"/>
        <v>0</v>
      </c>
      <c r="F159" s="187"/>
      <c r="G159" s="187">
        <f t="shared" si="5"/>
        <v>0</v>
      </c>
      <c r="H159" s="90">
        <v>18184709</v>
      </c>
      <c r="I159" s="89" t="s">
        <v>487</v>
      </c>
      <c r="J159" s="90" t="s">
        <v>11</v>
      </c>
      <c r="K159" s="90"/>
      <c r="L159" s="13">
        <v>92953353</v>
      </c>
    </row>
    <row r="160" spans="1:12" x14ac:dyDescent="0.25">
      <c r="A160" s="13">
        <v>2444</v>
      </c>
      <c r="B160" s="438" t="s">
        <v>486</v>
      </c>
      <c r="C160" s="393">
        <v>588.79999999999995</v>
      </c>
      <c r="D160" s="187">
        <v>0.25</v>
      </c>
      <c r="E160" s="187">
        <f t="shared" si="4"/>
        <v>147.19999999999999</v>
      </c>
      <c r="F160" s="187"/>
      <c r="G160" s="187">
        <f t="shared" si="5"/>
        <v>147.19999999999999</v>
      </c>
      <c r="H160" s="90">
        <v>24568402</v>
      </c>
      <c r="I160" s="89" t="s">
        <v>485</v>
      </c>
      <c r="J160" s="90" t="s">
        <v>11</v>
      </c>
      <c r="K160" s="90"/>
      <c r="L160" s="13">
        <v>91199565</v>
      </c>
    </row>
    <row r="161" spans="1:12" x14ac:dyDescent="0.25">
      <c r="A161" s="13">
        <v>2445</v>
      </c>
      <c r="B161" s="438" t="s">
        <v>484</v>
      </c>
      <c r="C161" s="393">
        <v>483.8</v>
      </c>
      <c r="D161" s="187">
        <v>0.25</v>
      </c>
      <c r="E161" s="187">
        <f t="shared" si="4"/>
        <v>120.95</v>
      </c>
      <c r="F161" s="187"/>
      <c r="G161" s="187">
        <f t="shared" si="5"/>
        <v>120.95</v>
      </c>
      <c r="H161" s="90">
        <v>4710747</v>
      </c>
      <c r="I161" s="89" t="s">
        <v>483</v>
      </c>
      <c r="J161" s="90" t="s">
        <v>11</v>
      </c>
      <c r="K161" s="90"/>
      <c r="L161" s="13">
        <v>99272177</v>
      </c>
    </row>
    <row r="162" spans="1:12" x14ac:dyDescent="0.25">
      <c r="A162" s="13">
        <v>2446</v>
      </c>
      <c r="B162" s="438" t="s">
        <v>482</v>
      </c>
      <c r="C162" s="393">
        <v>590.6</v>
      </c>
      <c r="D162" s="187">
        <v>0.25</v>
      </c>
      <c r="E162" s="187">
        <f t="shared" si="4"/>
        <v>147.65</v>
      </c>
      <c r="F162" s="187"/>
      <c r="G162" s="187">
        <f t="shared" si="5"/>
        <v>147.65</v>
      </c>
      <c r="H162" s="90">
        <v>24608881</v>
      </c>
      <c r="I162" s="89" t="s">
        <v>481</v>
      </c>
      <c r="J162" s="90" t="s">
        <v>11</v>
      </c>
      <c r="K162" s="90"/>
      <c r="L162" s="13">
        <v>99488331</v>
      </c>
    </row>
    <row r="163" spans="1:12" x14ac:dyDescent="0.25">
      <c r="A163" s="13">
        <v>2447</v>
      </c>
      <c r="B163" s="438" t="s">
        <v>480</v>
      </c>
      <c r="C163" s="393">
        <v>599.5</v>
      </c>
      <c r="D163" s="187">
        <v>0.25</v>
      </c>
      <c r="E163" s="187">
        <f t="shared" si="4"/>
        <v>149.875</v>
      </c>
      <c r="F163" s="187"/>
      <c r="G163" s="187">
        <f t="shared" si="5"/>
        <v>149.875</v>
      </c>
      <c r="H163" s="90">
        <v>4815215</v>
      </c>
      <c r="I163" s="89" t="s">
        <v>479</v>
      </c>
      <c r="J163" s="90" t="s">
        <v>11</v>
      </c>
      <c r="K163" s="90"/>
      <c r="L163" s="13">
        <v>99697227</v>
      </c>
    </row>
    <row r="164" spans="1:12" x14ac:dyDescent="0.25">
      <c r="A164" s="13">
        <v>2448</v>
      </c>
      <c r="B164" s="438" t="s">
        <v>478</v>
      </c>
      <c r="C164" s="393">
        <v>600.20000000000005</v>
      </c>
      <c r="D164" s="187">
        <v>0.25</v>
      </c>
      <c r="E164" s="187">
        <f t="shared" si="4"/>
        <v>150.05000000000001</v>
      </c>
      <c r="F164" s="187"/>
      <c r="G164" s="187">
        <f t="shared" si="5"/>
        <v>150.05000000000001</v>
      </c>
      <c r="H164" s="90">
        <v>4815197</v>
      </c>
      <c r="I164" s="89" t="s">
        <v>477</v>
      </c>
      <c r="J164" s="90" t="s">
        <v>11</v>
      </c>
      <c r="K164" s="90"/>
      <c r="L164" s="13">
        <v>99697227</v>
      </c>
    </row>
    <row r="165" spans="1:12" x14ac:dyDescent="0.25">
      <c r="A165" s="13">
        <v>2449</v>
      </c>
      <c r="B165" s="438" t="s">
        <v>476</v>
      </c>
      <c r="C165" s="393">
        <v>571.70000000000005</v>
      </c>
      <c r="D165" s="187">
        <v>0.25</v>
      </c>
      <c r="E165" s="187">
        <f t="shared" si="4"/>
        <v>142.92500000000001</v>
      </c>
      <c r="F165" s="187"/>
      <c r="G165" s="187">
        <f t="shared" si="5"/>
        <v>142.92500000000001</v>
      </c>
      <c r="H165" s="90">
        <v>24912693</v>
      </c>
      <c r="I165" s="89" t="s">
        <v>475</v>
      </c>
      <c r="J165" s="90" t="s">
        <v>11</v>
      </c>
      <c r="K165" s="90"/>
      <c r="L165" s="13">
        <v>98061810</v>
      </c>
    </row>
    <row r="166" spans="1:12" hidden="1" x14ac:dyDescent="0.25">
      <c r="A166" s="13">
        <v>2450</v>
      </c>
      <c r="B166" s="438" t="s">
        <v>474</v>
      </c>
      <c r="C166" s="393"/>
      <c r="D166" s="187">
        <v>0.25</v>
      </c>
      <c r="E166" s="187">
        <f t="shared" si="4"/>
        <v>0</v>
      </c>
      <c r="F166" s="187"/>
      <c r="G166" s="187">
        <f t="shared" si="5"/>
        <v>0</v>
      </c>
      <c r="H166" s="90">
        <v>27754827</v>
      </c>
      <c r="I166" s="89">
        <v>10600543787017</v>
      </c>
      <c r="J166" s="90" t="s">
        <v>50</v>
      </c>
      <c r="K166" s="90"/>
      <c r="L166" s="13">
        <v>98061810</v>
      </c>
    </row>
    <row r="167" spans="1:12" x14ac:dyDescent="0.25">
      <c r="A167" s="13">
        <v>2451</v>
      </c>
      <c r="B167" s="438" t="s">
        <v>473</v>
      </c>
      <c r="C167" s="393">
        <v>576.4</v>
      </c>
      <c r="D167" s="187">
        <v>0.25</v>
      </c>
      <c r="E167" s="187">
        <f t="shared" si="4"/>
        <v>144.1</v>
      </c>
      <c r="F167" s="187"/>
      <c r="G167" s="187">
        <f t="shared" si="5"/>
        <v>144.1</v>
      </c>
      <c r="H167" s="90">
        <v>5679738</v>
      </c>
      <c r="I167" s="89" t="s">
        <v>356</v>
      </c>
      <c r="J167" s="90" t="s">
        <v>11</v>
      </c>
      <c r="K167" s="90"/>
      <c r="L167" s="13">
        <v>95606291</v>
      </c>
    </row>
    <row r="168" spans="1:12" hidden="1" x14ac:dyDescent="0.25">
      <c r="A168" s="13">
        <v>2452</v>
      </c>
      <c r="B168" s="438" t="s">
        <v>472</v>
      </c>
      <c r="C168" s="393"/>
      <c r="D168" s="187">
        <v>0.25</v>
      </c>
      <c r="E168" s="187">
        <f t="shared" si="4"/>
        <v>0</v>
      </c>
      <c r="F168" s="187"/>
      <c r="G168" s="187">
        <f t="shared" si="5"/>
        <v>0</v>
      </c>
      <c r="H168" s="90">
        <v>23192109</v>
      </c>
      <c r="I168" s="89" t="s">
        <v>471</v>
      </c>
      <c r="J168" s="90" t="s">
        <v>11</v>
      </c>
      <c r="K168" s="90"/>
      <c r="L168" s="13">
        <v>98550071</v>
      </c>
    </row>
    <row r="169" spans="1:12" x14ac:dyDescent="0.25">
      <c r="A169" s="13">
        <v>2453</v>
      </c>
      <c r="B169" s="438" t="s">
        <v>470</v>
      </c>
      <c r="C169" s="393">
        <v>533</v>
      </c>
      <c r="D169" s="187">
        <v>0.25</v>
      </c>
      <c r="E169" s="187">
        <f t="shared" si="4"/>
        <v>133.25</v>
      </c>
      <c r="F169" s="187"/>
      <c r="G169" s="187">
        <f t="shared" si="5"/>
        <v>133.25</v>
      </c>
      <c r="H169" s="90">
        <v>27461</v>
      </c>
      <c r="I169" s="89" t="s">
        <v>469</v>
      </c>
      <c r="J169" s="90" t="s">
        <v>11</v>
      </c>
      <c r="K169" s="90"/>
      <c r="L169" s="13">
        <v>99287760</v>
      </c>
    </row>
    <row r="170" spans="1:12" x14ac:dyDescent="0.25">
      <c r="A170" s="13">
        <v>2454</v>
      </c>
      <c r="B170" s="438" t="s">
        <v>468</v>
      </c>
      <c r="C170" s="393">
        <v>571.4</v>
      </c>
      <c r="D170" s="187">
        <v>0.25</v>
      </c>
      <c r="E170" s="187">
        <f t="shared" si="4"/>
        <v>142.85</v>
      </c>
      <c r="F170" s="187"/>
      <c r="G170" s="187">
        <f t="shared" si="5"/>
        <v>142.85</v>
      </c>
      <c r="H170" s="90">
        <v>6225617</v>
      </c>
      <c r="I170" s="89" t="s">
        <v>467</v>
      </c>
      <c r="J170" s="90" t="s">
        <v>11</v>
      </c>
      <c r="K170" s="90"/>
      <c r="L170" s="13">
        <v>99549846</v>
      </c>
    </row>
    <row r="171" spans="1:12" x14ac:dyDescent="0.25">
      <c r="A171" s="13">
        <v>2455</v>
      </c>
      <c r="B171" s="438" t="s">
        <v>466</v>
      </c>
      <c r="C171" s="393">
        <v>627.9</v>
      </c>
      <c r="D171" s="187">
        <v>0.25</v>
      </c>
      <c r="E171" s="187">
        <f t="shared" si="4"/>
        <v>156.97499999999999</v>
      </c>
      <c r="F171" s="187"/>
      <c r="G171" s="187">
        <f t="shared" si="5"/>
        <v>156.97499999999999</v>
      </c>
      <c r="H171" s="90">
        <v>18834778</v>
      </c>
      <c r="I171" s="89">
        <v>10600275516017</v>
      </c>
      <c r="J171" s="90" t="s">
        <v>50</v>
      </c>
      <c r="K171" s="90"/>
      <c r="L171" s="13">
        <v>99151242</v>
      </c>
    </row>
    <row r="172" spans="1:12" x14ac:dyDescent="0.25">
      <c r="A172" s="13">
        <v>2456</v>
      </c>
      <c r="B172" s="438" t="s">
        <v>596</v>
      </c>
      <c r="C172" s="393">
        <v>598.9</v>
      </c>
      <c r="D172" s="187">
        <v>0.25</v>
      </c>
      <c r="E172" s="187">
        <f t="shared" si="4"/>
        <v>149.72499999999999</v>
      </c>
      <c r="F172" s="187"/>
      <c r="G172" s="187">
        <f t="shared" si="5"/>
        <v>149.72499999999999</v>
      </c>
      <c r="H172" s="90">
        <v>5525907</v>
      </c>
      <c r="I172" s="89" t="s">
        <v>595</v>
      </c>
      <c r="J172" s="90" t="s">
        <v>11</v>
      </c>
      <c r="K172" s="90"/>
      <c r="L172" s="13">
        <v>99085551</v>
      </c>
    </row>
    <row r="173" spans="1:12" x14ac:dyDescent="0.25">
      <c r="A173" s="13">
        <v>2457</v>
      </c>
      <c r="B173" s="438" t="s">
        <v>594</v>
      </c>
      <c r="C173" s="393">
        <v>385.5</v>
      </c>
      <c r="D173" s="187">
        <v>0.25</v>
      </c>
      <c r="E173" s="187">
        <f t="shared" si="4"/>
        <v>96.375</v>
      </c>
      <c r="F173" s="187"/>
      <c r="G173" s="187">
        <f t="shared" si="5"/>
        <v>96.375</v>
      </c>
      <c r="H173" s="90">
        <v>21899078</v>
      </c>
      <c r="I173" s="89">
        <v>500087235002001</v>
      </c>
      <c r="J173" s="90" t="s">
        <v>154</v>
      </c>
      <c r="K173" s="90"/>
      <c r="L173" s="13">
        <v>99085551</v>
      </c>
    </row>
    <row r="174" spans="1:12" x14ac:dyDescent="0.25">
      <c r="A174" s="13">
        <v>2458</v>
      </c>
      <c r="B174" s="438" t="s">
        <v>627</v>
      </c>
      <c r="C174" s="393">
        <v>580.79999999999995</v>
      </c>
      <c r="D174" s="187">
        <v>0.25</v>
      </c>
      <c r="E174" s="187">
        <f t="shared" si="4"/>
        <v>145.19999999999999</v>
      </c>
      <c r="F174" s="187"/>
      <c r="G174" s="187">
        <f t="shared" si="5"/>
        <v>145.19999999999999</v>
      </c>
      <c r="H174" s="90">
        <v>550481</v>
      </c>
      <c r="I174" s="89">
        <v>4060031030290010</v>
      </c>
      <c r="J174" s="90" t="s">
        <v>11</v>
      </c>
      <c r="K174" s="90"/>
      <c r="L174" s="13">
        <v>99085552</v>
      </c>
    </row>
    <row r="175" spans="1:12" x14ac:dyDescent="0.25">
      <c r="A175" s="13">
        <v>2459</v>
      </c>
      <c r="B175" s="438"/>
      <c r="C175" s="393">
        <v>538.9</v>
      </c>
      <c r="D175" s="187">
        <v>0.25</v>
      </c>
      <c r="E175" s="187">
        <f t="shared" si="4"/>
        <v>134.72499999999999</v>
      </c>
      <c r="F175" s="187"/>
      <c r="G175" s="187">
        <f t="shared" si="5"/>
        <v>134.72499999999999</v>
      </c>
      <c r="H175" s="90"/>
      <c r="I175" s="89"/>
      <c r="J175" s="90"/>
      <c r="K175" s="90"/>
      <c r="L175" s="13"/>
    </row>
    <row r="176" spans="1:12" x14ac:dyDescent="0.25">
      <c r="A176" s="13">
        <v>2460</v>
      </c>
      <c r="B176" s="438"/>
      <c r="C176" s="393"/>
      <c r="D176" s="187">
        <v>0.25</v>
      </c>
      <c r="E176" s="187">
        <f t="shared" si="4"/>
        <v>0</v>
      </c>
      <c r="F176" s="187"/>
      <c r="G176" s="187">
        <f t="shared" si="5"/>
        <v>0</v>
      </c>
      <c r="H176" s="90"/>
      <c r="I176" s="89"/>
      <c r="J176" s="90"/>
      <c r="K176" s="90"/>
      <c r="L176" s="13"/>
    </row>
    <row r="177" spans="1:12" x14ac:dyDescent="0.25">
      <c r="A177" s="13">
        <v>2461</v>
      </c>
      <c r="B177" s="438"/>
      <c r="C177" s="393">
        <v>410.3</v>
      </c>
      <c r="D177" s="187">
        <v>0.25</v>
      </c>
      <c r="E177" s="187">
        <f t="shared" si="4"/>
        <v>102.575</v>
      </c>
      <c r="F177" s="187"/>
      <c r="G177" s="187">
        <f t="shared" si="5"/>
        <v>102.575</v>
      </c>
      <c r="H177" s="90"/>
      <c r="I177" s="89"/>
      <c r="J177" s="90"/>
      <c r="K177" s="90"/>
      <c r="L177" s="13"/>
    </row>
    <row r="178" spans="1:12" x14ac:dyDescent="0.25">
      <c r="A178" s="13">
        <v>2462</v>
      </c>
      <c r="B178" s="438"/>
      <c r="C178" s="393">
        <v>481.9</v>
      </c>
      <c r="D178" s="187">
        <v>0.25</v>
      </c>
      <c r="E178" s="187">
        <f t="shared" si="4"/>
        <v>120.47499999999999</v>
      </c>
      <c r="F178" s="187"/>
      <c r="G178" s="187">
        <f t="shared" si="5"/>
        <v>120.47499999999999</v>
      </c>
      <c r="H178" s="90"/>
      <c r="I178" s="89"/>
      <c r="J178" s="90"/>
      <c r="K178" s="90"/>
      <c r="L178" s="13"/>
    </row>
    <row r="179" spans="1:12" x14ac:dyDescent="0.25">
      <c r="A179" s="13">
        <v>2463</v>
      </c>
      <c r="B179" s="438"/>
      <c r="C179" s="393">
        <v>593</v>
      </c>
      <c r="D179" s="187">
        <v>0.25</v>
      </c>
      <c r="E179" s="187">
        <f t="shared" si="4"/>
        <v>148.25</v>
      </c>
      <c r="F179" s="187"/>
      <c r="G179" s="187">
        <f t="shared" si="5"/>
        <v>148.25</v>
      </c>
      <c r="H179" s="90"/>
      <c r="I179" s="89"/>
      <c r="J179" s="90"/>
      <c r="K179" s="90"/>
      <c r="L179" s="13"/>
    </row>
    <row r="180" spans="1:12" x14ac:dyDescent="0.25">
      <c r="A180" s="13">
        <v>2465</v>
      </c>
      <c r="B180" s="438"/>
      <c r="C180" s="393">
        <v>582.6</v>
      </c>
      <c r="D180" s="187">
        <v>0.25</v>
      </c>
      <c r="E180" s="187">
        <f t="shared" si="4"/>
        <v>145.65</v>
      </c>
      <c r="F180" s="187"/>
      <c r="G180" s="187">
        <f t="shared" si="5"/>
        <v>145.65</v>
      </c>
      <c r="H180" s="90"/>
      <c r="I180" s="89"/>
      <c r="J180" s="90"/>
      <c r="K180" s="90"/>
      <c r="L180" s="13"/>
    </row>
    <row r="181" spans="1:12" x14ac:dyDescent="0.25">
      <c r="A181" s="17">
        <v>2500</v>
      </c>
      <c r="B181" s="441" t="s">
        <v>242</v>
      </c>
      <c r="C181" s="393">
        <v>2881.5</v>
      </c>
      <c r="D181" s="187">
        <v>0.25</v>
      </c>
      <c r="E181" s="187">
        <f t="shared" si="4"/>
        <v>720.375</v>
      </c>
      <c r="F181" s="187"/>
      <c r="G181" s="187">
        <f t="shared" si="5"/>
        <v>720.375</v>
      </c>
      <c r="H181" s="93">
        <v>19597106</v>
      </c>
      <c r="I181" s="95" t="s">
        <v>243</v>
      </c>
      <c r="J181" s="94" t="s">
        <v>11</v>
      </c>
      <c r="K181" s="94" t="s">
        <v>47</v>
      </c>
      <c r="L181" s="39">
        <v>95499996</v>
      </c>
    </row>
    <row r="182" spans="1:12" x14ac:dyDescent="0.25">
      <c r="A182" s="17">
        <v>2501</v>
      </c>
      <c r="B182" s="441" t="s">
        <v>244</v>
      </c>
      <c r="C182" s="393">
        <v>1827.8</v>
      </c>
      <c r="D182" s="187">
        <v>0.25</v>
      </c>
      <c r="E182" s="187">
        <f t="shared" si="4"/>
        <v>456.95</v>
      </c>
      <c r="F182" s="187"/>
      <c r="G182" s="187">
        <f t="shared" si="5"/>
        <v>456.95</v>
      </c>
      <c r="H182" s="93">
        <v>15593565</v>
      </c>
      <c r="I182" s="95" t="s">
        <v>245</v>
      </c>
      <c r="J182" s="94" t="s">
        <v>11</v>
      </c>
      <c r="K182" s="94" t="s">
        <v>47</v>
      </c>
      <c r="L182" s="39">
        <v>92757472</v>
      </c>
    </row>
    <row r="183" spans="1:12" x14ac:dyDescent="0.25">
      <c r="A183" s="17">
        <v>2502</v>
      </c>
      <c r="B183" s="441" t="s">
        <v>27</v>
      </c>
      <c r="C183" s="393">
        <v>1337.3</v>
      </c>
      <c r="D183" s="187">
        <v>0.25</v>
      </c>
      <c r="E183" s="187">
        <f t="shared" si="4"/>
        <v>334.32499999999999</v>
      </c>
      <c r="F183" s="187"/>
      <c r="G183" s="187">
        <f t="shared" si="5"/>
        <v>334.32499999999999</v>
      </c>
      <c r="H183" s="93">
        <v>6231138</v>
      </c>
      <c r="I183" s="95" t="s">
        <v>246</v>
      </c>
      <c r="J183" s="94" t="s">
        <v>11</v>
      </c>
      <c r="K183" s="94" t="s">
        <v>47</v>
      </c>
      <c r="L183" s="39">
        <v>96940393</v>
      </c>
    </row>
    <row r="184" spans="1:12" x14ac:dyDescent="0.25">
      <c r="A184" s="17">
        <v>2503</v>
      </c>
      <c r="B184" s="441" t="s">
        <v>247</v>
      </c>
      <c r="C184" s="393">
        <v>910.6</v>
      </c>
      <c r="D184" s="187">
        <v>0.25</v>
      </c>
      <c r="E184" s="187">
        <f t="shared" si="4"/>
        <v>227.65</v>
      </c>
      <c r="F184" s="187"/>
      <c r="G184" s="187">
        <f t="shared" si="5"/>
        <v>227.65</v>
      </c>
      <c r="H184" s="93">
        <v>568083</v>
      </c>
      <c r="I184" s="95" t="s">
        <v>248</v>
      </c>
      <c r="J184" s="94" t="s">
        <v>249</v>
      </c>
      <c r="K184" s="94" t="s">
        <v>250</v>
      </c>
      <c r="L184" s="39">
        <v>98146666</v>
      </c>
    </row>
    <row r="185" spans="1:12" x14ac:dyDescent="0.25">
      <c r="A185" s="17">
        <v>2504</v>
      </c>
      <c r="B185" s="441" t="s">
        <v>323</v>
      </c>
      <c r="C185" s="393">
        <v>334.4</v>
      </c>
      <c r="D185" s="187">
        <v>0.25</v>
      </c>
      <c r="E185" s="187">
        <f t="shared" si="4"/>
        <v>83.6</v>
      </c>
      <c r="F185" s="187"/>
      <c r="G185" s="187">
        <f t="shared" si="5"/>
        <v>83.6</v>
      </c>
      <c r="H185" s="38">
        <v>6296825</v>
      </c>
      <c r="I185" s="95">
        <v>1011059043002</v>
      </c>
      <c r="J185" s="93" t="s">
        <v>14</v>
      </c>
      <c r="K185" s="39" t="s">
        <v>55</v>
      </c>
      <c r="L185" s="39">
        <v>96768800</v>
      </c>
    </row>
    <row r="186" spans="1:12" x14ac:dyDescent="0.25">
      <c r="A186" s="17">
        <v>2505</v>
      </c>
      <c r="B186" s="441" t="s">
        <v>251</v>
      </c>
      <c r="C186" s="393">
        <v>1096.0999999999999</v>
      </c>
      <c r="D186" s="187">
        <v>0.25</v>
      </c>
      <c r="E186" s="187">
        <f t="shared" si="4"/>
        <v>274.02499999999998</v>
      </c>
      <c r="F186" s="187"/>
      <c r="G186" s="187">
        <f t="shared" si="5"/>
        <v>274.02499999999998</v>
      </c>
      <c r="H186" s="93">
        <v>257889</v>
      </c>
      <c r="I186" s="95" t="s">
        <v>252</v>
      </c>
      <c r="J186" s="94" t="s">
        <v>11</v>
      </c>
      <c r="K186" s="94" t="s">
        <v>47</v>
      </c>
      <c r="L186" s="39">
        <v>99492623</v>
      </c>
    </row>
    <row r="187" spans="1:12" x14ac:dyDescent="0.25">
      <c r="A187" s="17">
        <v>2506</v>
      </c>
      <c r="B187" s="441" t="s">
        <v>253</v>
      </c>
      <c r="C187" s="393">
        <v>1217.8</v>
      </c>
      <c r="D187" s="187">
        <v>0.25</v>
      </c>
      <c r="E187" s="187">
        <f t="shared" si="4"/>
        <v>304.45</v>
      </c>
      <c r="F187" s="187"/>
      <c r="G187" s="187">
        <f t="shared" si="5"/>
        <v>304.45</v>
      </c>
      <c r="H187" s="93">
        <v>11082822</v>
      </c>
      <c r="I187" s="95" t="s">
        <v>254</v>
      </c>
      <c r="J187" s="94" t="s">
        <v>18</v>
      </c>
      <c r="K187" s="94" t="s">
        <v>47</v>
      </c>
      <c r="L187" s="39">
        <v>99583618</v>
      </c>
    </row>
    <row r="188" spans="1:12" x14ac:dyDescent="0.25">
      <c r="A188" s="17">
        <v>2507</v>
      </c>
      <c r="B188" s="441" t="s">
        <v>255</v>
      </c>
      <c r="C188" s="393">
        <v>1665.4</v>
      </c>
      <c r="D188" s="187">
        <v>0.25</v>
      </c>
      <c r="E188" s="187">
        <f t="shared" si="4"/>
        <v>416.35</v>
      </c>
      <c r="F188" s="187"/>
      <c r="G188" s="187">
        <f t="shared" si="5"/>
        <v>416.35</v>
      </c>
      <c r="H188" s="93">
        <v>21947545</v>
      </c>
      <c r="I188" s="95" t="s">
        <v>256</v>
      </c>
      <c r="J188" s="94" t="s">
        <v>11</v>
      </c>
      <c r="K188" s="94" t="s">
        <v>47</v>
      </c>
      <c r="L188" s="39">
        <v>77183344</v>
      </c>
    </row>
    <row r="189" spans="1:12" x14ac:dyDescent="0.25">
      <c r="A189" s="17">
        <v>2509</v>
      </c>
      <c r="B189" s="441" t="s">
        <v>257</v>
      </c>
      <c r="C189" s="393">
        <v>1454.4</v>
      </c>
      <c r="D189" s="187">
        <v>0.25</v>
      </c>
      <c r="E189" s="187">
        <f t="shared" si="4"/>
        <v>363.6</v>
      </c>
      <c r="F189" s="187"/>
      <c r="G189" s="187">
        <f t="shared" si="5"/>
        <v>363.6</v>
      </c>
      <c r="H189" s="93">
        <v>5739429</v>
      </c>
      <c r="I189" s="95" t="s">
        <v>258</v>
      </c>
      <c r="J189" s="94" t="s">
        <v>16</v>
      </c>
      <c r="K189" s="94" t="s">
        <v>47</v>
      </c>
      <c r="L189" s="39">
        <v>92733224</v>
      </c>
    </row>
    <row r="190" spans="1:12" x14ac:dyDescent="0.25">
      <c r="A190" s="17">
        <v>2510</v>
      </c>
      <c r="B190" s="441" t="s">
        <v>259</v>
      </c>
      <c r="C190" s="393">
        <v>1148.3</v>
      </c>
      <c r="D190" s="187">
        <v>0.25</v>
      </c>
      <c r="E190" s="187">
        <f t="shared" si="4"/>
        <v>287.07499999999999</v>
      </c>
      <c r="F190" s="187"/>
      <c r="G190" s="187">
        <f t="shared" si="5"/>
        <v>287.07499999999999</v>
      </c>
      <c r="H190" s="93">
        <v>5542574</v>
      </c>
      <c r="I190" s="95" t="s">
        <v>260</v>
      </c>
      <c r="J190" s="94" t="s">
        <v>11</v>
      </c>
      <c r="K190" s="94" t="s">
        <v>47</v>
      </c>
      <c r="L190" s="39">
        <v>98173841</v>
      </c>
    </row>
    <row r="191" spans="1:12" x14ac:dyDescent="0.25">
      <c r="A191" s="17">
        <v>2511</v>
      </c>
      <c r="B191" s="441" t="s">
        <v>261</v>
      </c>
      <c r="C191" s="393">
        <v>566.79999999999995</v>
      </c>
      <c r="D191" s="187">
        <v>0.25</v>
      </c>
      <c r="E191" s="187">
        <f t="shared" si="4"/>
        <v>141.69999999999999</v>
      </c>
      <c r="F191" s="187"/>
      <c r="G191" s="187">
        <f t="shared" si="5"/>
        <v>141.69999999999999</v>
      </c>
      <c r="H191" s="93">
        <v>1109954</v>
      </c>
      <c r="I191" s="95" t="s">
        <v>262</v>
      </c>
      <c r="J191" s="94" t="s">
        <v>132</v>
      </c>
      <c r="K191" s="94" t="s">
        <v>133</v>
      </c>
      <c r="L191" s="39">
        <v>92251158</v>
      </c>
    </row>
    <row r="192" spans="1:12" x14ac:dyDescent="0.25">
      <c r="A192" s="17">
        <v>2512</v>
      </c>
      <c r="B192" s="441" t="s">
        <v>263</v>
      </c>
      <c r="C192" s="393">
        <v>1799.2</v>
      </c>
      <c r="D192" s="187">
        <v>0.25</v>
      </c>
      <c r="E192" s="187">
        <f t="shared" si="4"/>
        <v>449.8</v>
      </c>
      <c r="F192" s="187"/>
      <c r="G192" s="187">
        <f t="shared" si="5"/>
        <v>449.8</v>
      </c>
      <c r="H192" s="93">
        <v>990628</v>
      </c>
      <c r="I192" s="95" t="s">
        <v>264</v>
      </c>
      <c r="J192" s="94" t="s">
        <v>146</v>
      </c>
      <c r="K192" s="94" t="s">
        <v>47</v>
      </c>
      <c r="L192" s="39">
        <v>91232518</v>
      </c>
    </row>
    <row r="193" spans="1:12" x14ac:dyDescent="0.25">
      <c r="A193" s="17">
        <v>2513</v>
      </c>
      <c r="B193" s="441" t="s">
        <v>28</v>
      </c>
      <c r="C193" s="393">
        <v>1833</v>
      </c>
      <c r="D193" s="187">
        <v>0.25</v>
      </c>
      <c r="E193" s="187">
        <f t="shared" si="4"/>
        <v>458.25</v>
      </c>
      <c r="F193" s="187"/>
      <c r="G193" s="187">
        <f t="shared" si="5"/>
        <v>458.25</v>
      </c>
      <c r="H193" s="93">
        <v>6332123</v>
      </c>
      <c r="I193" s="95" t="s">
        <v>265</v>
      </c>
      <c r="J193" s="94" t="s">
        <v>146</v>
      </c>
      <c r="K193" s="94" t="s">
        <v>47</v>
      </c>
      <c r="L193" s="39">
        <v>98777808</v>
      </c>
    </row>
    <row r="194" spans="1:12" x14ac:dyDescent="0.25">
      <c r="A194" s="17">
        <v>2514</v>
      </c>
      <c r="B194" s="441" t="s">
        <v>266</v>
      </c>
      <c r="C194" s="393">
        <v>316.7</v>
      </c>
      <c r="D194" s="187">
        <v>0.25</v>
      </c>
      <c r="E194" s="187">
        <f t="shared" si="4"/>
        <v>79.174999999999997</v>
      </c>
      <c r="F194" s="187"/>
      <c r="G194" s="187">
        <f t="shared" si="5"/>
        <v>79.174999999999997</v>
      </c>
      <c r="H194" s="93">
        <v>10795387</v>
      </c>
      <c r="I194" s="95" t="s">
        <v>267</v>
      </c>
      <c r="J194" s="94" t="s">
        <v>146</v>
      </c>
      <c r="K194" s="94" t="s">
        <v>47</v>
      </c>
      <c r="L194" s="39">
        <v>96744447</v>
      </c>
    </row>
    <row r="195" spans="1:12" x14ac:dyDescent="0.25">
      <c r="A195" s="17">
        <v>2515</v>
      </c>
      <c r="B195" s="441" t="s">
        <v>268</v>
      </c>
      <c r="C195" s="393">
        <v>1312.7</v>
      </c>
      <c r="D195" s="187">
        <v>0.25</v>
      </c>
      <c r="E195" s="187">
        <f t="shared" si="4"/>
        <v>328.17500000000001</v>
      </c>
      <c r="F195" s="187"/>
      <c r="G195" s="187">
        <f t="shared" si="5"/>
        <v>328.17500000000001</v>
      </c>
      <c r="H195" s="93">
        <v>5638084</v>
      </c>
      <c r="I195" s="95" t="s">
        <v>269</v>
      </c>
      <c r="J195" s="94" t="s">
        <v>11</v>
      </c>
      <c r="K195" s="94" t="s">
        <v>47</v>
      </c>
      <c r="L195" s="39">
        <v>92597738</v>
      </c>
    </row>
    <row r="196" spans="1:12" x14ac:dyDescent="0.25">
      <c r="A196" s="17">
        <v>2516</v>
      </c>
      <c r="B196" s="441" t="s">
        <v>270</v>
      </c>
      <c r="C196" s="393">
        <v>615.5</v>
      </c>
      <c r="D196" s="187">
        <v>0.25</v>
      </c>
      <c r="E196" s="187">
        <f t="shared" si="4"/>
        <v>153.875</v>
      </c>
      <c r="F196" s="187"/>
      <c r="G196" s="187">
        <f t="shared" si="5"/>
        <v>153.875</v>
      </c>
      <c r="H196" s="93">
        <v>21934588</v>
      </c>
      <c r="I196" s="95" t="s">
        <v>271</v>
      </c>
      <c r="J196" s="94" t="s">
        <v>11</v>
      </c>
      <c r="K196" s="94" t="s">
        <v>47</v>
      </c>
      <c r="L196" s="39">
        <v>98094444</v>
      </c>
    </row>
    <row r="197" spans="1:12" x14ac:dyDescent="0.25">
      <c r="A197" s="17">
        <v>2517</v>
      </c>
      <c r="B197" s="441" t="s">
        <v>29</v>
      </c>
      <c r="C197" s="393">
        <v>3261.7</v>
      </c>
      <c r="D197" s="187">
        <v>0.25</v>
      </c>
      <c r="E197" s="187">
        <f t="shared" ref="E197:E260" si="6">C197*D197</f>
        <v>815.42499999999995</v>
      </c>
      <c r="F197" s="187"/>
      <c r="G197" s="187">
        <f t="shared" si="5"/>
        <v>815.42499999999995</v>
      </c>
      <c r="H197" s="94">
        <v>6231419</v>
      </c>
      <c r="I197" s="95" t="s">
        <v>272</v>
      </c>
      <c r="J197" s="94" t="s">
        <v>18</v>
      </c>
      <c r="K197" s="94" t="s">
        <v>47</v>
      </c>
      <c r="L197" s="17">
        <v>99053198</v>
      </c>
    </row>
    <row r="198" spans="1:12" x14ac:dyDescent="0.25">
      <c r="A198" s="17">
        <v>2518</v>
      </c>
      <c r="B198" s="39" t="s">
        <v>273</v>
      </c>
      <c r="C198" s="393">
        <v>1568.7</v>
      </c>
      <c r="D198" s="187">
        <v>0.25</v>
      </c>
      <c r="E198" s="187">
        <f t="shared" si="6"/>
        <v>392.17500000000001</v>
      </c>
      <c r="F198" s="187"/>
      <c r="G198" s="187">
        <f t="shared" ref="G198:G261" si="7">E198-F198</f>
        <v>392.17500000000001</v>
      </c>
      <c r="H198" s="93">
        <v>27683344</v>
      </c>
      <c r="I198" s="95" t="s">
        <v>274</v>
      </c>
      <c r="J198" s="94" t="s">
        <v>14</v>
      </c>
      <c r="K198" s="94" t="s">
        <v>55</v>
      </c>
      <c r="L198" s="39">
        <v>98011308</v>
      </c>
    </row>
    <row r="199" spans="1:12" x14ac:dyDescent="0.25">
      <c r="A199" s="17">
        <v>2519</v>
      </c>
      <c r="B199" s="18" t="s">
        <v>275</v>
      </c>
      <c r="C199" s="393">
        <v>656.3</v>
      </c>
      <c r="D199" s="187">
        <v>0.25</v>
      </c>
      <c r="E199" s="187">
        <f t="shared" si="6"/>
        <v>164.07499999999999</v>
      </c>
      <c r="F199" s="187"/>
      <c r="G199" s="187">
        <f t="shared" si="7"/>
        <v>164.07499999999999</v>
      </c>
      <c r="H199" s="94">
        <v>19923785</v>
      </c>
      <c r="I199" s="95" t="s">
        <v>276</v>
      </c>
      <c r="J199" s="94" t="s">
        <v>18</v>
      </c>
      <c r="K199" s="94" t="s">
        <v>47</v>
      </c>
      <c r="L199" s="17">
        <v>91115870</v>
      </c>
    </row>
    <row r="200" spans="1:12" x14ac:dyDescent="0.25">
      <c r="A200" s="13">
        <v>2520</v>
      </c>
      <c r="B200" s="18" t="s">
        <v>277</v>
      </c>
      <c r="C200" s="393">
        <v>1784.2</v>
      </c>
      <c r="D200" s="187">
        <v>0.25</v>
      </c>
      <c r="E200" s="187">
        <f t="shared" si="6"/>
        <v>446.05</v>
      </c>
      <c r="F200" s="187"/>
      <c r="G200" s="187">
        <f t="shared" si="7"/>
        <v>446.05</v>
      </c>
      <c r="H200" s="90">
        <v>1297459</v>
      </c>
      <c r="I200" s="89" t="s">
        <v>278</v>
      </c>
      <c r="J200" s="90" t="s">
        <v>50</v>
      </c>
      <c r="K200" s="90" t="s">
        <v>51</v>
      </c>
      <c r="L200" s="13">
        <v>92532520</v>
      </c>
    </row>
    <row r="201" spans="1:12" x14ac:dyDescent="0.25">
      <c r="A201" s="13">
        <v>2521</v>
      </c>
      <c r="B201" s="18" t="s">
        <v>279</v>
      </c>
      <c r="C201" s="393">
        <v>2077</v>
      </c>
      <c r="D201" s="187">
        <v>0.25</v>
      </c>
      <c r="E201" s="187">
        <f t="shared" si="6"/>
        <v>519.25</v>
      </c>
      <c r="F201" s="187"/>
      <c r="G201" s="187">
        <f t="shared" si="7"/>
        <v>519.25</v>
      </c>
      <c r="H201" s="90">
        <v>5146927</v>
      </c>
      <c r="I201" s="89" t="s">
        <v>280</v>
      </c>
      <c r="J201" s="90" t="s">
        <v>50</v>
      </c>
      <c r="K201" s="90" t="s">
        <v>51</v>
      </c>
      <c r="L201" s="13">
        <v>96399028</v>
      </c>
    </row>
    <row r="202" spans="1:12" x14ac:dyDescent="0.25">
      <c r="A202" s="13">
        <v>2522</v>
      </c>
      <c r="B202" s="18" t="s">
        <v>244</v>
      </c>
      <c r="C202" s="393">
        <v>618.79999999999995</v>
      </c>
      <c r="D202" s="187">
        <v>0.25</v>
      </c>
      <c r="E202" s="187">
        <f t="shared" si="6"/>
        <v>154.69999999999999</v>
      </c>
      <c r="F202" s="187"/>
      <c r="G202" s="187">
        <f t="shared" si="7"/>
        <v>154.69999999999999</v>
      </c>
      <c r="H202" s="90">
        <v>4530913</v>
      </c>
      <c r="I202" s="89" t="s">
        <v>281</v>
      </c>
      <c r="J202" s="90" t="s">
        <v>81</v>
      </c>
      <c r="K202" s="90" t="s">
        <v>82</v>
      </c>
      <c r="L202" s="13"/>
    </row>
    <row r="203" spans="1:12" x14ac:dyDescent="0.25">
      <c r="A203" s="13">
        <v>2523</v>
      </c>
      <c r="B203" s="18" t="s">
        <v>44</v>
      </c>
      <c r="C203" s="393">
        <v>481</v>
      </c>
      <c r="D203" s="187">
        <v>0.25</v>
      </c>
      <c r="E203" s="187">
        <f t="shared" si="6"/>
        <v>120.25</v>
      </c>
      <c r="F203" s="187"/>
      <c r="G203" s="187">
        <f t="shared" si="7"/>
        <v>120.25</v>
      </c>
      <c r="H203" s="90">
        <v>4909387</v>
      </c>
      <c r="I203" s="89" t="s">
        <v>282</v>
      </c>
      <c r="J203" s="90" t="s">
        <v>18</v>
      </c>
      <c r="K203" s="90" t="s">
        <v>47</v>
      </c>
      <c r="L203" s="13">
        <v>92524184</v>
      </c>
    </row>
    <row r="204" spans="1:12" x14ac:dyDescent="0.25">
      <c r="A204" s="13">
        <v>2524</v>
      </c>
      <c r="B204" s="18" t="s">
        <v>283</v>
      </c>
      <c r="C204" s="393">
        <v>1128.7</v>
      </c>
      <c r="D204" s="187">
        <v>0.25</v>
      </c>
      <c r="E204" s="187">
        <f t="shared" si="6"/>
        <v>282.17500000000001</v>
      </c>
      <c r="F204" s="187"/>
      <c r="G204" s="187">
        <f t="shared" si="7"/>
        <v>282.17500000000001</v>
      </c>
      <c r="H204" s="88">
        <v>5827884</v>
      </c>
      <c r="I204" s="89" t="s">
        <v>284</v>
      </c>
      <c r="J204" s="90" t="s">
        <v>11</v>
      </c>
      <c r="K204" s="90" t="s">
        <v>47</v>
      </c>
      <c r="L204" s="18"/>
    </row>
    <row r="205" spans="1:12" hidden="1" x14ac:dyDescent="0.25">
      <c r="A205" s="13">
        <v>2525</v>
      </c>
      <c r="B205" s="18" t="s">
        <v>361</v>
      </c>
      <c r="C205" s="393"/>
      <c r="D205" s="187">
        <v>0.25</v>
      </c>
      <c r="E205" s="187">
        <f t="shared" si="6"/>
        <v>0</v>
      </c>
      <c r="F205" s="187"/>
      <c r="G205" s="187">
        <f t="shared" si="7"/>
        <v>0</v>
      </c>
      <c r="H205" s="88"/>
      <c r="I205" s="89"/>
      <c r="J205" s="90"/>
      <c r="K205" s="90"/>
      <c r="L205" s="18"/>
    </row>
    <row r="206" spans="1:12" x14ac:dyDescent="0.25">
      <c r="A206" s="13">
        <v>2526</v>
      </c>
      <c r="B206" s="18" t="s">
        <v>285</v>
      </c>
      <c r="C206" s="393">
        <v>755.7</v>
      </c>
      <c r="D206" s="187">
        <v>0.25</v>
      </c>
      <c r="E206" s="187">
        <f t="shared" si="6"/>
        <v>188.92500000000001</v>
      </c>
      <c r="F206" s="187"/>
      <c r="G206" s="187">
        <f t="shared" si="7"/>
        <v>188.92500000000001</v>
      </c>
      <c r="H206" s="90">
        <v>5827579</v>
      </c>
      <c r="I206" s="89" t="s">
        <v>286</v>
      </c>
      <c r="J206" s="90" t="s">
        <v>50</v>
      </c>
      <c r="K206" s="90" t="s">
        <v>51</v>
      </c>
      <c r="L206" s="13">
        <v>99294007</v>
      </c>
    </row>
    <row r="207" spans="1:12" x14ac:dyDescent="0.25">
      <c r="A207" s="13">
        <v>2528</v>
      </c>
      <c r="B207" s="18" t="s">
        <v>614</v>
      </c>
      <c r="C207" s="393">
        <v>551.9</v>
      </c>
      <c r="D207" s="187">
        <v>0.25</v>
      </c>
      <c r="E207" s="187">
        <f t="shared" si="6"/>
        <v>137.97499999999999</v>
      </c>
      <c r="F207" s="187"/>
      <c r="G207" s="187">
        <f t="shared" si="7"/>
        <v>137.97499999999999</v>
      </c>
      <c r="H207" s="90"/>
      <c r="I207" s="89"/>
      <c r="J207" s="90"/>
      <c r="K207" s="90"/>
      <c r="L207" s="13"/>
    </row>
    <row r="208" spans="1:12" x14ac:dyDescent="0.25">
      <c r="A208" s="13">
        <v>2529</v>
      </c>
      <c r="B208" s="18" t="s">
        <v>287</v>
      </c>
      <c r="C208" s="393"/>
      <c r="D208" s="187">
        <v>0.25</v>
      </c>
      <c r="E208" s="187">
        <f t="shared" si="6"/>
        <v>0</v>
      </c>
      <c r="F208" s="187"/>
      <c r="G208" s="187">
        <f t="shared" si="7"/>
        <v>0</v>
      </c>
      <c r="H208" s="88">
        <v>6375262</v>
      </c>
      <c r="I208" s="121" t="s">
        <v>288</v>
      </c>
      <c r="J208" s="90" t="s">
        <v>18</v>
      </c>
      <c r="K208" s="90" t="s">
        <v>47</v>
      </c>
      <c r="L208" s="18">
        <v>95144359</v>
      </c>
    </row>
    <row r="209" spans="1:12" x14ac:dyDescent="0.25">
      <c r="A209" s="13">
        <v>2530</v>
      </c>
      <c r="B209" s="18" t="s">
        <v>289</v>
      </c>
      <c r="C209" s="393">
        <v>231.2</v>
      </c>
      <c r="D209" s="187">
        <v>0.25</v>
      </c>
      <c r="E209" s="187">
        <f t="shared" si="6"/>
        <v>57.8</v>
      </c>
      <c r="F209" s="187"/>
      <c r="G209" s="187">
        <f t="shared" si="7"/>
        <v>57.8</v>
      </c>
      <c r="H209" s="88">
        <v>7506751</v>
      </c>
      <c r="I209" s="121" t="s">
        <v>290</v>
      </c>
      <c r="J209" s="90" t="s">
        <v>18</v>
      </c>
      <c r="K209" s="90" t="s">
        <v>47</v>
      </c>
      <c r="L209" s="18">
        <v>92269060</v>
      </c>
    </row>
    <row r="210" spans="1:12" x14ac:dyDescent="0.25">
      <c r="A210" s="13">
        <v>2533</v>
      </c>
      <c r="B210" s="18" t="s">
        <v>349</v>
      </c>
      <c r="C210" s="393">
        <v>557.9</v>
      </c>
      <c r="D210" s="187">
        <v>0.25</v>
      </c>
      <c r="E210" s="187">
        <f t="shared" si="6"/>
        <v>139.47499999999999</v>
      </c>
      <c r="F210" s="187"/>
      <c r="G210" s="187">
        <f t="shared" si="7"/>
        <v>139.47499999999999</v>
      </c>
      <c r="H210" s="88">
        <v>1275604</v>
      </c>
      <c r="I210" s="121">
        <v>250010082881</v>
      </c>
      <c r="J210" s="90" t="s">
        <v>15</v>
      </c>
      <c r="K210" s="90"/>
      <c r="L210" s="18">
        <v>92920012</v>
      </c>
    </row>
    <row r="211" spans="1:12" x14ac:dyDescent="0.25">
      <c r="A211" s="13">
        <v>2534</v>
      </c>
      <c r="B211" s="438" t="s">
        <v>464</v>
      </c>
      <c r="C211" s="393">
        <v>601.70000000000005</v>
      </c>
      <c r="D211" s="187">
        <v>0.25</v>
      </c>
      <c r="E211" s="187">
        <f t="shared" si="6"/>
        <v>150.42500000000001</v>
      </c>
      <c r="F211" s="187"/>
      <c r="G211" s="187">
        <f t="shared" si="7"/>
        <v>150.42500000000001</v>
      </c>
      <c r="H211" s="90">
        <v>2124138</v>
      </c>
      <c r="I211" s="89" t="s">
        <v>463</v>
      </c>
      <c r="J211" s="90" t="s">
        <v>11</v>
      </c>
      <c r="K211" s="90"/>
      <c r="L211" s="13">
        <v>99497234</v>
      </c>
    </row>
    <row r="212" spans="1:12" x14ac:dyDescent="0.25">
      <c r="A212" s="13">
        <v>2535</v>
      </c>
      <c r="B212" s="438" t="s">
        <v>462</v>
      </c>
      <c r="C212" s="393">
        <v>563.29999999999995</v>
      </c>
      <c r="D212" s="187">
        <v>0.25</v>
      </c>
      <c r="E212" s="187">
        <f t="shared" si="6"/>
        <v>140.82499999999999</v>
      </c>
      <c r="F212" s="187"/>
      <c r="G212" s="187">
        <f t="shared" si="7"/>
        <v>140.82499999999999</v>
      </c>
      <c r="H212" s="90">
        <v>6332118</v>
      </c>
      <c r="I212" s="89">
        <v>10600335276017</v>
      </c>
      <c r="J212" s="90" t="s">
        <v>50</v>
      </c>
      <c r="K212" s="90"/>
      <c r="L212" s="13">
        <v>98572335</v>
      </c>
    </row>
    <row r="213" spans="1:12" hidden="1" x14ac:dyDescent="0.25">
      <c r="A213" s="13">
        <v>2536</v>
      </c>
      <c r="B213" s="438" t="s">
        <v>461</v>
      </c>
      <c r="C213" s="393"/>
      <c r="D213" s="187">
        <v>0.25</v>
      </c>
      <c r="E213" s="187">
        <f t="shared" si="6"/>
        <v>0</v>
      </c>
      <c r="F213" s="187"/>
      <c r="G213" s="187">
        <f t="shared" si="7"/>
        <v>0</v>
      </c>
      <c r="H213" s="90">
        <v>22734098</v>
      </c>
      <c r="I213" s="89">
        <v>1502164255300</v>
      </c>
      <c r="J213" s="90" t="s">
        <v>234</v>
      </c>
      <c r="K213" s="90"/>
      <c r="L213" s="13">
        <v>90277231</v>
      </c>
    </row>
    <row r="214" spans="1:12" hidden="1" x14ac:dyDescent="0.25">
      <c r="A214" s="13">
        <v>2537</v>
      </c>
      <c r="B214" s="438" t="s">
        <v>460</v>
      </c>
      <c r="C214" s="393"/>
      <c r="D214" s="187">
        <v>0.25</v>
      </c>
      <c r="E214" s="187">
        <f t="shared" si="6"/>
        <v>0</v>
      </c>
      <c r="F214" s="187"/>
      <c r="G214" s="187">
        <f t="shared" si="7"/>
        <v>0</v>
      </c>
      <c r="H214" s="90">
        <v>5157262</v>
      </c>
      <c r="I214" s="89" t="s">
        <v>459</v>
      </c>
      <c r="J214" s="90" t="s">
        <v>11</v>
      </c>
      <c r="K214" s="90"/>
      <c r="L214" s="13">
        <v>99542444</v>
      </c>
    </row>
    <row r="215" spans="1:12" x14ac:dyDescent="0.25">
      <c r="A215" s="13">
        <v>2538</v>
      </c>
      <c r="B215" s="438" t="s">
        <v>458</v>
      </c>
      <c r="C215" s="393">
        <v>585.1</v>
      </c>
      <c r="D215" s="187">
        <v>0.25</v>
      </c>
      <c r="E215" s="187">
        <f t="shared" si="6"/>
        <v>146.27500000000001</v>
      </c>
      <c r="F215" s="187"/>
      <c r="G215" s="187">
        <f t="shared" si="7"/>
        <v>146.27500000000001</v>
      </c>
      <c r="H215" s="90">
        <v>5574815</v>
      </c>
      <c r="I215" s="89" t="s">
        <v>457</v>
      </c>
      <c r="J215" s="90" t="s">
        <v>11</v>
      </c>
      <c r="K215" s="90"/>
      <c r="L215" s="13">
        <v>92808864</v>
      </c>
    </row>
    <row r="216" spans="1:12" x14ac:dyDescent="0.25">
      <c r="A216" s="13">
        <v>2539</v>
      </c>
      <c r="B216" s="438" t="s">
        <v>456</v>
      </c>
      <c r="C216" s="393">
        <v>600</v>
      </c>
      <c r="D216" s="187">
        <v>0.25</v>
      </c>
      <c r="E216" s="187">
        <f t="shared" si="6"/>
        <v>150</v>
      </c>
      <c r="F216" s="187"/>
      <c r="G216" s="187">
        <f t="shared" si="7"/>
        <v>150</v>
      </c>
      <c r="H216" s="90">
        <v>23587841</v>
      </c>
      <c r="I216" s="89" t="s">
        <v>455</v>
      </c>
      <c r="J216" s="90" t="s">
        <v>11</v>
      </c>
      <c r="K216" s="90"/>
      <c r="L216" s="13">
        <v>92413336</v>
      </c>
    </row>
    <row r="217" spans="1:12" x14ac:dyDescent="0.25">
      <c r="A217" s="13">
        <v>2540</v>
      </c>
      <c r="B217" s="438" t="s">
        <v>454</v>
      </c>
      <c r="C217" s="393">
        <v>606.29999999999995</v>
      </c>
      <c r="D217" s="187">
        <v>0.25</v>
      </c>
      <c r="E217" s="187">
        <f t="shared" si="6"/>
        <v>151.57499999999999</v>
      </c>
      <c r="F217" s="187"/>
      <c r="G217" s="187">
        <f t="shared" si="7"/>
        <v>151.57499999999999</v>
      </c>
      <c r="H217" s="90">
        <v>1960532</v>
      </c>
      <c r="I217" s="89">
        <v>3109080738500</v>
      </c>
      <c r="J217" s="90" t="s">
        <v>81</v>
      </c>
      <c r="K217" s="90"/>
      <c r="L217" s="13">
        <v>99491378</v>
      </c>
    </row>
    <row r="218" spans="1:12" hidden="1" x14ac:dyDescent="0.25">
      <c r="A218" s="13">
        <v>2541</v>
      </c>
      <c r="B218" s="438" t="s">
        <v>453</v>
      </c>
      <c r="C218" s="393"/>
      <c r="D218" s="187">
        <v>0.25</v>
      </c>
      <c r="E218" s="187">
        <f t="shared" si="6"/>
        <v>0</v>
      </c>
      <c r="F218" s="187"/>
      <c r="G218" s="187">
        <f t="shared" si="7"/>
        <v>0</v>
      </c>
      <c r="H218" s="90">
        <v>2406494</v>
      </c>
      <c r="I218" s="89">
        <v>15020343300</v>
      </c>
      <c r="J218" s="90" t="s">
        <v>234</v>
      </c>
      <c r="K218" s="90"/>
      <c r="L218" s="13">
        <v>99497110</v>
      </c>
    </row>
    <row r="219" spans="1:12" x14ac:dyDescent="0.25">
      <c r="A219" s="13">
        <v>2542</v>
      </c>
      <c r="B219" s="438" t="s">
        <v>452</v>
      </c>
      <c r="C219" s="393">
        <v>604.70000000000005</v>
      </c>
      <c r="D219" s="187">
        <v>0.25</v>
      </c>
      <c r="E219" s="187">
        <f t="shared" si="6"/>
        <v>151.17500000000001</v>
      </c>
      <c r="F219" s="187"/>
      <c r="G219" s="187">
        <f t="shared" si="7"/>
        <v>151.17500000000001</v>
      </c>
      <c r="H219" s="90">
        <v>12402682</v>
      </c>
      <c r="I219" s="89" t="s">
        <v>451</v>
      </c>
      <c r="J219" s="90" t="s">
        <v>450</v>
      </c>
      <c r="K219" s="90"/>
      <c r="L219" s="13">
        <v>94404401</v>
      </c>
    </row>
    <row r="220" spans="1:12" hidden="1" x14ac:dyDescent="0.25">
      <c r="A220" s="13">
        <v>2543</v>
      </c>
      <c r="B220" s="438" t="s">
        <v>449</v>
      </c>
      <c r="C220" s="393"/>
      <c r="D220" s="187">
        <v>0.25</v>
      </c>
      <c r="E220" s="187">
        <f t="shared" si="6"/>
        <v>0</v>
      </c>
      <c r="F220" s="187"/>
      <c r="G220" s="187">
        <f t="shared" si="7"/>
        <v>0</v>
      </c>
      <c r="H220" s="90">
        <v>23195196</v>
      </c>
      <c r="I220" s="89">
        <v>250010019151</v>
      </c>
      <c r="J220" s="90" t="s">
        <v>249</v>
      </c>
      <c r="K220" s="90"/>
      <c r="L220" s="13">
        <v>91216415</v>
      </c>
    </row>
    <row r="221" spans="1:12" x14ac:dyDescent="0.25">
      <c r="A221" s="13">
        <v>2544</v>
      </c>
      <c r="B221" s="438" t="s">
        <v>448</v>
      </c>
      <c r="C221" s="393">
        <v>590.5</v>
      </c>
      <c r="D221" s="187">
        <v>0.25</v>
      </c>
      <c r="E221" s="187">
        <f t="shared" si="6"/>
        <v>147.625</v>
      </c>
      <c r="F221" s="187"/>
      <c r="G221" s="187">
        <f t="shared" si="7"/>
        <v>147.625</v>
      </c>
      <c r="H221" s="90">
        <v>670459</v>
      </c>
      <c r="I221" s="89" t="s">
        <v>447</v>
      </c>
      <c r="J221" s="90" t="s">
        <v>11</v>
      </c>
      <c r="K221" s="90"/>
      <c r="L221" s="13">
        <v>93228850</v>
      </c>
    </row>
    <row r="222" spans="1:12" x14ac:dyDescent="0.25">
      <c r="A222" s="13">
        <v>2545</v>
      </c>
      <c r="B222" s="438" t="s">
        <v>446</v>
      </c>
      <c r="C222" s="393">
        <v>598.79999999999995</v>
      </c>
      <c r="D222" s="187">
        <v>0.25</v>
      </c>
      <c r="E222" s="187">
        <f t="shared" si="6"/>
        <v>149.69999999999999</v>
      </c>
      <c r="F222" s="187"/>
      <c r="G222" s="187">
        <f t="shared" si="7"/>
        <v>149.69999999999999</v>
      </c>
      <c r="H222" s="90">
        <v>6709882</v>
      </c>
      <c r="I222" s="89" t="s">
        <v>445</v>
      </c>
      <c r="J222" s="90" t="s">
        <v>11</v>
      </c>
      <c r="K222" s="90"/>
      <c r="L222" s="13">
        <v>95659540</v>
      </c>
    </row>
    <row r="223" spans="1:12" x14ac:dyDescent="0.25">
      <c r="A223" s="13">
        <v>2546</v>
      </c>
      <c r="B223" s="438" t="s">
        <v>444</v>
      </c>
      <c r="C223" s="393">
        <v>601</v>
      </c>
      <c r="D223" s="187">
        <v>0.25</v>
      </c>
      <c r="E223" s="187">
        <f t="shared" si="6"/>
        <v>150.25</v>
      </c>
      <c r="F223" s="187"/>
      <c r="G223" s="187">
        <f t="shared" si="7"/>
        <v>150.25</v>
      </c>
      <c r="H223" s="90">
        <v>7401537</v>
      </c>
      <c r="I223" s="89" t="s">
        <v>443</v>
      </c>
      <c r="J223" s="90" t="s">
        <v>11</v>
      </c>
      <c r="K223" s="90"/>
      <c r="L223" s="13">
        <v>92554883</v>
      </c>
    </row>
    <row r="224" spans="1:12" x14ac:dyDescent="0.25">
      <c r="A224" s="13">
        <v>2547</v>
      </c>
      <c r="B224" s="438" t="s">
        <v>442</v>
      </c>
      <c r="C224" s="393">
        <v>554.1</v>
      </c>
      <c r="D224" s="187">
        <v>0.25</v>
      </c>
      <c r="E224" s="187">
        <f t="shared" si="6"/>
        <v>138.52500000000001</v>
      </c>
      <c r="F224" s="187"/>
      <c r="G224" s="187">
        <f t="shared" si="7"/>
        <v>138.52500000000001</v>
      </c>
      <c r="H224" s="90">
        <v>5293842</v>
      </c>
      <c r="I224" s="89" t="s">
        <v>441</v>
      </c>
      <c r="J224" s="90" t="s">
        <v>11</v>
      </c>
      <c r="K224" s="90"/>
      <c r="L224" s="13">
        <v>96442949</v>
      </c>
    </row>
    <row r="225" spans="1:12" x14ac:dyDescent="0.25">
      <c r="A225" s="13">
        <v>2548</v>
      </c>
      <c r="B225" s="438" t="s">
        <v>440</v>
      </c>
      <c r="C225" s="393">
        <v>609.6</v>
      </c>
      <c r="D225" s="187">
        <v>0.25</v>
      </c>
      <c r="E225" s="187">
        <f t="shared" si="6"/>
        <v>152.4</v>
      </c>
      <c r="F225" s="187"/>
      <c r="G225" s="187">
        <f t="shared" si="7"/>
        <v>152.4</v>
      </c>
      <c r="H225" s="90">
        <v>1064386</v>
      </c>
      <c r="I225" s="89">
        <v>3129040044700</v>
      </c>
      <c r="J225" s="90" t="s">
        <v>81</v>
      </c>
      <c r="K225" s="90"/>
      <c r="L225" s="13">
        <v>99492191</v>
      </c>
    </row>
    <row r="226" spans="1:12" x14ac:dyDescent="0.25">
      <c r="A226" s="13">
        <v>2549</v>
      </c>
      <c r="B226" s="438" t="s">
        <v>439</v>
      </c>
      <c r="C226" s="393">
        <v>565.20000000000005</v>
      </c>
      <c r="D226" s="187">
        <v>0.25</v>
      </c>
      <c r="E226" s="187">
        <f t="shared" si="6"/>
        <v>141.30000000000001</v>
      </c>
      <c r="F226" s="187"/>
      <c r="G226" s="187">
        <f t="shared" si="7"/>
        <v>141.30000000000001</v>
      </c>
      <c r="H226" s="90">
        <v>8400297</v>
      </c>
      <c r="I226" s="89" t="s">
        <v>438</v>
      </c>
      <c r="J226" s="90" t="s">
        <v>11</v>
      </c>
      <c r="K226" s="90"/>
      <c r="L226" s="13">
        <v>92804884</v>
      </c>
    </row>
    <row r="227" spans="1:12" x14ac:dyDescent="0.25">
      <c r="A227" s="13">
        <v>2550</v>
      </c>
      <c r="B227" s="438" t="s">
        <v>437</v>
      </c>
      <c r="C227" s="393">
        <v>592.20000000000005</v>
      </c>
      <c r="D227" s="187">
        <v>0.25</v>
      </c>
      <c r="E227" s="187">
        <f t="shared" si="6"/>
        <v>148.05000000000001</v>
      </c>
      <c r="F227" s="187"/>
      <c r="G227" s="187">
        <f t="shared" si="7"/>
        <v>148.05000000000001</v>
      </c>
      <c r="H227" s="90">
        <v>848673</v>
      </c>
      <c r="I227" s="89" t="s">
        <v>436</v>
      </c>
      <c r="J227" s="90" t="s">
        <v>132</v>
      </c>
      <c r="K227" s="90"/>
      <c r="L227" s="13">
        <v>99498772</v>
      </c>
    </row>
    <row r="228" spans="1:12" hidden="1" x14ac:dyDescent="0.25">
      <c r="A228" s="13">
        <v>2551</v>
      </c>
      <c r="B228" s="438" t="s">
        <v>435</v>
      </c>
      <c r="C228" s="393"/>
      <c r="D228" s="187">
        <v>0.25</v>
      </c>
      <c r="E228" s="187">
        <f t="shared" si="6"/>
        <v>0</v>
      </c>
      <c r="F228" s="187"/>
      <c r="G228" s="187">
        <f t="shared" si="7"/>
        <v>0</v>
      </c>
      <c r="H228" s="90">
        <v>81253</v>
      </c>
      <c r="I228" s="89" t="s">
        <v>434</v>
      </c>
      <c r="J228" s="90" t="s">
        <v>11</v>
      </c>
      <c r="K228" s="90"/>
      <c r="L228" s="13">
        <v>99496155</v>
      </c>
    </row>
    <row r="229" spans="1:12" x14ac:dyDescent="0.25">
      <c r="A229" s="13">
        <v>2552</v>
      </c>
      <c r="B229" s="438" t="s">
        <v>433</v>
      </c>
      <c r="C229" s="393">
        <v>601.4</v>
      </c>
      <c r="D229" s="187">
        <v>0.25</v>
      </c>
      <c r="E229" s="187">
        <f t="shared" si="6"/>
        <v>150.35</v>
      </c>
      <c r="F229" s="187"/>
      <c r="G229" s="187">
        <f t="shared" si="7"/>
        <v>150.35</v>
      </c>
      <c r="H229" s="90">
        <v>7401542</v>
      </c>
      <c r="I229" s="89" t="s">
        <v>432</v>
      </c>
      <c r="J229" s="90" t="s">
        <v>11</v>
      </c>
      <c r="K229" s="90"/>
      <c r="L229" s="13">
        <v>92341518</v>
      </c>
    </row>
    <row r="230" spans="1:12" x14ac:dyDescent="0.25">
      <c r="A230" s="13">
        <v>2553</v>
      </c>
      <c r="B230" s="438" t="s">
        <v>431</v>
      </c>
      <c r="C230" s="393">
        <v>592.1</v>
      </c>
      <c r="D230" s="187">
        <v>0.25</v>
      </c>
      <c r="E230" s="187">
        <f t="shared" si="6"/>
        <v>148.02500000000001</v>
      </c>
      <c r="F230" s="187"/>
      <c r="G230" s="187">
        <f t="shared" si="7"/>
        <v>148.02500000000001</v>
      </c>
      <c r="H230" s="90">
        <v>5127962</v>
      </c>
      <c r="I230" s="89" t="s">
        <v>430</v>
      </c>
      <c r="J230" s="90" t="s">
        <v>11</v>
      </c>
      <c r="K230" s="90"/>
      <c r="L230" s="13">
        <v>92974929</v>
      </c>
    </row>
    <row r="231" spans="1:12" hidden="1" x14ac:dyDescent="0.25">
      <c r="A231" s="13">
        <v>2554</v>
      </c>
      <c r="B231" s="438" t="s">
        <v>429</v>
      </c>
      <c r="C231" s="393"/>
      <c r="D231" s="187">
        <v>0.25</v>
      </c>
      <c r="E231" s="187">
        <f t="shared" si="6"/>
        <v>0</v>
      </c>
      <c r="F231" s="187"/>
      <c r="G231" s="187">
        <f t="shared" si="7"/>
        <v>0</v>
      </c>
      <c r="H231" s="90">
        <v>5177797</v>
      </c>
      <c r="I231" s="89" t="s">
        <v>428</v>
      </c>
      <c r="J231" s="90" t="s">
        <v>11</v>
      </c>
      <c r="K231" s="90"/>
      <c r="L231" s="13">
        <v>92912400</v>
      </c>
    </row>
    <row r="232" spans="1:12" x14ac:dyDescent="0.25">
      <c r="A232" s="13">
        <v>2555</v>
      </c>
      <c r="B232" s="438" t="s">
        <v>427</v>
      </c>
      <c r="C232" s="393">
        <v>612.70000000000005</v>
      </c>
      <c r="D232" s="187">
        <v>0.25</v>
      </c>
      <c r="E232" s="187">
        <f t="shared" si="6"/>
        <v>153.17500000000001</v>
      </c>
      <c r="F232" s="187"/>
      <c r="G232" s="187">
        <f t="shared" si="7"/>
        <v>153.17500000000001</v>
      </c>
      <c r="H232" s="90">
        <v>921289</v>
      </c>
      <c r="I232" s="89" t="s">
        <v>426</v>
      </c>
      <c r="J232" s="90" t="s">
        <v>11</v>
      </c>
      <c r="K232" s="90"/>
      <c r="L232" s="13">
        <v>99492037</v>
      </c>
    </row>
    <row r="233" spans="1:12" x14ac:dyDescent="0.25">
      <c r="A233" s="13">
        <v>2556</v>
      </c>
      <c r="B233" s="438" t="s">
        <v>425</v>
      </c>
      <c r="C233" s="393">
        <v>549.9</v>
      </c>
      <c r="D233" s="187">
        <v>0.25</v>
      </c>
      <c r="E233" s="187">
        <f t="shared" si="6"/>
        <v>137.47499999999999</v>
      </c>
      <c r="F233" s="187"/>
      <c r="G233" s="187">
        <f t="shared" si="7"/>
        <v>137.47499999999999</v>
      </c>
      <c r="H233" s="90">
        <v>9242965</v>
      </c>
      <c r="I233" s="89">
        <v>1060582704001</v>
      </c>
      <c r="J233" s="90" t="s">
        <v>50</v>
      </c>
      <c r="K233" s="90"/>
      <c r="L233" s="13">
        <v>92540021</v>
      </c>
    </row>
    <row r="234" spans="1:12" hidden="1" x14ac:dyDescent="0.25">
      <c r="A234" s="13">
        <v>2557</v>
      </c>
      <c r="B234" s="438" t="s">
        <v>424</v>
      </c>
      <c r="C234" s="393"/>
      <c r="D234" s="187">
        <v>0.25</v>
      </c>
      <c r="E234" s="187">
        <f t="shared" si="6"/>
        <v>0</v>
      </c>
      <c r="F234" s="187"/>
      <c r="G234" s="187">
        <f t="shared" si="7"/>
        <v>0</v>
      </c>
      <c r="H234" s="90">
        <v>23718186</v>
      </c>
      <c r="I234" s="89" t="s">
        <v>423</v>
      </c>
      <c r="J234" s="90" t="s">
        <v>14</v>
      </c>
      <c r="K234" s="90"/>
      <c r="L234" s="13">
        <v>93242020</v>
      </c>
    </row>
    <row r="235" spans="1:12" x14ac:dyDescent="0.25">
      <c r="A235" s="13">
        <v>2558</v>
      </c>
      <c r="B235" s="438" t="s">
        <v>422</v>
      </c>
      <c r="C235" s="393">
        <v>605</v>
      </c>
      <c r="D235" s="187">
        <v>0.25</v>
      </c>
      <c r="E235" s="187">
        <f t="shared" si="6"/>
        <v>151.25</v>
      </c>
      <c r="F235" s="187"/>
      <c r="G235" s="187">
        <f t="shared" si="7"/>
        <v>151.25</v>
      </c>
      <c r="H235" s="90">
        <v>1105496</v>
      </c>
      <c r="I235" s="89">
        <v>250020014491</v>
      </c>
      <c r="J235" s="90" t="s">
        <v>14</v>
      </c>
      <c r="K235" s="90"/>
      <c r="L235" s="13">
        <v>99480919</v>
      </c>
    </row>
    <row r="236" spans="1:12" x14ac:dyDescent="0.25">
      <c r="A236" s="13">
        <v>2559</v>
      </c>
      <c r="B236" s="438" t="s">
        <v>421</v>
      </c>
      <c r="C236" s="393">
        <v>568</v>
      </c>
      <c r="D236" s="187">
        <v>0.25</v>
      </c>
      <c r="E236" s="187">
        <f t="shared" si="6"/>
        <v>142</v>
      </c>
      <c r="F236" s="187"/>
      <c r="G236" s="187">
        <f t="shared" si="7"/>
        <v>142</v>
      </c>
      <c r="H236" s="90">
        <v>5128715</v>
      </c>
      <c r="I236" s="89" t="s">
        <v>420</v>
      </c>
      <c r="J236" s="90" t="s">
        <v>11</v>
      </c>
      <c r="K236" s="90"/>
      <c r="L236" s="13">
        <v>95257749</v>
      </c>
    </row>
    <row r="237" spans="1:12" x14ac:dyDescent="0.25">
      <c r="A237" s="13">
        <v>2560</v>
      </c>
      <c r="B237" s="438" t="s">
        <v>419</v>
      </c>
      <c r="C237" s="393">
        <v>600.79999999999995</v>
      </c>
      <c r="D237" s="187">
        <v>0.25</v>
      </c>
      <c r="E237" s="187">
        <f t="shared" si="6"/>
        <v>150.19999999999999</v>
      </c>
      <c r="F237" s="187"/>
      <c r="G237" s="187">
        <f t="shared" si="7"/>
        <v>150.19999999999999</v>
      </c>
      <c r="H237" s="90">
        <v>14436155</v>
      </c>
      <c r="I237" s="89" t="s">
        <v>418</v>
      </c>
      <c r="J237" s="90" t="s">
        <v>11</v>
      </c>
      <c r="K237" s="90"/>
      <c r="L237" s="13">
        <v>99557773</v>
      </c>
    </row>
    <row r="238" spans="1:12" x14ac:dyDescent="0.25">
      <c r="A238" s="13">
        <v>2561</v>
      </c>
      <c r="B238" s="438" t="s">
        <v>417</v>
      </c>
      <c r="C238" s="393">
        <v>438.8</v>
      </c>
      <c r="D238" s="187">
        <v>0.25</v>
      </c>
      <c r="E238" s="187">
        <f t="shared" si="6"/>
        <v>109.7</v>
      </c>
      <c r="F238" s="187"/>
      <c r="G238" s="187">
        <f t="shared" si="7"/>
        <v>109.7</v>
      </c>
      <c r="H238" s="90">
        <v>18975018</v>
      </c>
      <c r="I238" s="89" t="s">
        <v>416</v>
      </c>
      <c r="J238" s="90" t="s">
        <v>11</v>
      </c>
      <c r="K238" s="90"/>
      <c r="L238" s="13">
        <v>99486864</v>
      </c>
    </row>
    <row r="239" spans="1:12" x14ac:dyDescent="0.25">
      <c r="A239" s="13">
        <v>2562</v>
      </c>
      <c r="B239" s="438" t="s">
        <v>415</v>
      </c>
      <c r="C239" s="393">
        <v>500</v>
      </c>
      <c r="D239" s="187">
        <v>0.25</v>
      </c>
      <c r="E239" s="187">
        <f t="shared" si="6"/>
        <v>125</v>
      </c>
      <c r="F239" s="187"/>
      <c r="G239" s="187">
        <f t="shared" si="7"/>
        <v>125</v>
      </c>
      <c r="H239" s="90">
        <v>7790465</v>
      </c>
      <c r="I239" s="89" t="s">
        <v>414</v>
      </c>
      <c r="J239" s="90" t="s">
        <v>11</v>
      </c>
      <c r="K239" s="90"/>
      <c r="L239" s="13">
        <v>98026664</v>
      </c>
    </row>
    <row r="240" spans="1:12" x14ac:dyDescent="0.25">
      <c r="A240" s="13">
        <v>2563</v>
      </c>
      <c r="B240" s="438" t="s">
        <v>413</v>
      </c>
      <c r="C240" s="393">
        <v>319.8</v>
      </c>
      <c r="D240" s="187">
        <v>0.25</v>
      </c>
      <c r="E240" s="187">
        <f t="shared" si="6"/>
        <v>79.95</v>
      </c>
      <c r="F240" s="187"/>
      <c r="G240" s="187">
        <f t="shared" si="7"/>
        <v>79.95</v>
      </c>
      <c r="H240" s="90">
        <v>5744412</v>
      </c>
      <c r="I240" s="89" t="s">
        <v>412</v>
      </c>
      <c r="J240" s="90" t="s">
        <v>11</v>
      </c>
      <c r="K240" s="90"/>
      <c r="L240" s="13">
        <v>92566993</v>
      </c>
    </row>
    <row r="241" spans="1:12" x14ac:dyDescent="0.25">
      <c r="A241" s="13">
        <v>2564</v>
      </c>
      <c r="B241" s="438" t="s">
        <v>411</v>
      </c>
      <c r="C241" s="393">
        <v>516</v>
      </c>
      <c r="D241" s="187">
        <v>0.25</v>
      </c>
      <c r="E241" s="187">
        <f t="shared" si="6"/>
        <v>129</v>
      </c>
      <c r="F241" s="187"/>
      <c r="G241" s="187">
        <f t="shared" si="7"/>
        <v>129</v>
      </c>
      <c r="H241" s="90">
        <v>27272455</v>
      </c>
      <c r="I241" s="89" t="s">
        <v>410</v>
      </c>
      <c r="J241" s="90" t="s">
        <v>11</v>
      </c>
      <c r="K241" s="90"/>
      <c r="L241" s="13">
        <v>92315109</v>
      </c>
    </row>
    <row r="242" spans="1:12" hidden="1" x14ac:dyDescent="0.25">
      <c r="A242" s="13">
        <v>2565</v>
      </c>
      <c r="B242" s="438" t="s">
        <v>409</v>
      </c>
      <c r="C242" s="393"/>
      <c r="D242" s="187">
        <v>0.25</v>
      </c>
      <c r="E242" s="187">
        <f t="shared" si="6"/>
        <v>0</v>
      </c>
      <c r="F242" s="187"/>
      <c r="G242" s="187">
        <f t="shared" si="7"/>
        <v>0</v>
      </c>
      <c r="H242" s="90">
        <v>24900494</v>
      </c>
      <c r="I242" s="89" t="s">
        <v>408</v>
      </c>
      <c r="J242" s="90" t="s">
        <v>11</v>
      </c>
      <c r="K242" s="90"/>
      <c r="L242" s="13">
        <v>92219137</v>
      </c>
    </row>
    <row r="243" spans="1:12" x14ac:dyDescent="0.25">
      <c r="A243" s="13">
        <v>2566</v>
      </c>
      <c r="B243" s="438" t="s">
        <v>407</v>
      </c>
      <c r="C243" s="393">
        <v>560.5</v>
      </c>
      <c r="D243" s="187">
        <v>0.25</v>
      </c>
      <c r="E243" s="187">
        <f t="shared" si="6"/>
        <v>140.125</v>
      </c>
      <c r="F243" s="187"/>
      <c r="G243" s="187">
        <f t="shared" si="7"/>
        <v>140.125</v>
      </c>
      <c r="H243" s="90">
        <v>11652477</v>
      </c>
      <c r="I243" s="89" t="s">
        <v>406</v>
      </c>
      <c r="J243" s="90" t="s">
        <v>11</v>
      </c>
      <c r="K243" s="90"/>
      <c r="L243" s="13">
        <v>95606419</v>
      </c>
    </row>
    <row r="244" spans="1:12" x14ac:dyDescent="0.25">
      <c r="A244" s="13">
        <v>2567</v>
      </c>
      <c r="B244" s="438" t="s">
        <v>405</v>
      </c>
      <c r="C244" s="393">
        <v>428.5</v>
      </c>
      <c r="D244" s="187">
        <v>0.25</v>
      </c>
      <c r="E244" s="187">
        <f t="shared" si="6"/>
        <v>107.125</v>
      </c>
      <c r="F244" s="187"/>
      <c r="G244" s="187">
        <f t="shared" si="7"/>
        <v>107.125</v>
      </c>
      <c r="H244" s="90">
        <v>23716828</v>
      </c>
      <c r="I244" s="89" t="s">
        <v>404</v>
      </c>
      <c r="J244" s="90" t="s">
        <v>11</v>
      </c>
      <c r="K244" s="90"/>
      <c r="L244" s="13">
        <v>96117533</v>
      </c>
    </row>
    <row r="245" spans="1:12" x14ac:dyDescent="0.25">
      <c r="A245" s="13">
        <v>2568</v>
      </c>
      <c r="B245" s="438" t="s">
        <v>403</v>
      </c>
      <c r="C245" s="393">
        <v>596.9</v>
      </c>
      <c r="D245" s="187">
        <v>0.25</v>
      </c>
      <c r="E245" s="187">
        <f t="shared" si="6"/>
        <v>149.22499999999999</v>
      </c>
      <c r="F245" s="187"/>
      <c r="G245" s="187">
        <f t="shared" si="7"/>
        <v>149.22499999999999</v>
      </c>
      <c r="H245" s="90">
        <v>817274</v>
      </c>
      <c r="I245" s="89" t="s">
        <v>402</v>
      </c>
      <c r="J245" s="90" t="s">
        <v>11</v>
      </c>
      <c r="K245" s="90"/>
      <c r="L245" s="13">
        <v>99495145</v>
      </c>
    </row>
    <row r="246" spans="1:12" x14ac:dyDescent="0.25">
      <c r="A246" s="13">
        <v>2569</v>
      </c>
      <c r="B246" s="438" t="s">
        <v>401</v>
      </c>
      <c r="C246" s="393">
        <v>597.70000000000005</v>
      </c>
      <c r="D246" s="187">
        <v>0.25</v>
      </c>
      <c r="E246" s="187">
        <f t="shared" si="6"/>
        <v>149.42500000000001</v>
      </c>
      <c r="F246" s="187"/>
      <c r="G246" s="187">
        <f t="shared" si="7"/>
        <v>149.42500000000001</v>
      </c>
      <c r="H246" s="90">
        <v>6079331</v>
      </c>
      <c r="I246" s="89" t="s">
        <v>400</v>
      </c>
      <c r="J246" s="90" t="s">
        <v>11</v>
      </c>
      <c r="K246" s="90"/>
      <c r="L246" s="13">
        <v>93337750</v>
      </c>
    </row>
    <row r="247" spans="1:12" x14ac:dyDescent="0.25">
      <c r="A247" s="13">
        <v>2570</v>
      </c>
      <c r="B247" s="438" t="s">
        <v>399</v>
      </c>
      <c r="C247" s="393">
        <v>591.6</v>
      </c>
      <c r="D247" s="187">
        <v>0.25</v>
      </c>
      <c r="E247" s="187">
        <f t="shared" si="6"/>
        <v>147.9</v>
      </c>
      <c r="F247" s="187"/>
      <c r="G247" s="187">
        <f t="shared" si="7"/>
        <v>147.9</v>
      </c>
      <c r="H247" s="90">
        <v>5032113</v>
      </c>
      <c r="I247" s="89" t="s">
        <v>398</v>
      </c>
      <c r="J247" s="90" t="s">
        <v>11</v>
      </c>
      <c r="K247" s="90"/>
      <c r="L247" s="13">
        <v>93675225</v>
      </c>
    </row>
    <row r="248" spans="1:12" x14ac:dyDescent="0.25">
      <c r="A248" s="13">
        <v>2571</v>
      </c>
      <c r="B248" s="438" t="s">
        <v>397</v>
      </c>
      <c r="C248" s="393">
        <v>590.9</v>
      </c>
      <c r="D248" s="187">
        <v>0.25</v>
      </c>
      <c r="E248" s="187">
        <f t="shared" si="6"/>
        <v>147.72499999999999</v>
      </c>
      <c r="F248" s="187"/>
      <c r="G248" s="187">
        <f t="shared" si="7"/>
        <v>147.72499999999999</v>
      </c>
      <c r="H248" s="90">
        <v>670478</v>
      </c>
      <c r="I248" s="89" t="s">
        <v>396</v>
      </c>
      <c r="J248" s="90" t="s">
        <v>11</v>
      </c>
      <c r="K248" s="90"/>
      <c r="L248" s="13">
        <v>92989511</v>
      </c>
    </row>
    <row r="249" spans="1:12" x14ac:dyDescent="0.25">
      <c r="A249" s="13">
        <v>2572</v>
      </c>
      <c r="B249" s="438" t="s">
        <v>395</v>
      </c>
      <c r="C249" s="393">
        <v>562.20000000000005</v>
      </c>
      <c r="D249" s="187">
        <v>0.25</v>
      </c>
      <c r="E249" s="187">
        <f t="shared" si="6"/>
        <v>140.55000000000001</v>
      </c>
      <c r="F249" s="187"/>
      <c r="G249" s="187">
        <f t="shared" si="7"/>
        <v>140.55000000000001</v>
      </c>
      <c r="H249" s="90">
        <v>660288</v>
      </c>
      <c r="I249" s="89" t="s">
        <v>394</v>
      </c>
      <c r="J249" s="90" t="s">
        <v>11</v>
      </c>
      <c r="K249" s="90"/>
      <c r="L249" s="13">
        <v>99494647</v>
      </c>
    </row>
    <row r="250" spans="1:12" x14ac:dyDescent="0.25">
      <c r="A250" s="13">
        <v>2573</v>
      </c>
      <c r="B250" s="438" t="s">
        <v>393</v>
      </c>
      <c r="C250" s="393">
        <v>614.29999999999995</v>
      </c>
      <c r="D250" s="187">
        <v>0.25</v>
      </c>
      <c r="E250" s="187">
        <f t="shared" si="6"/>
        <v>153.57499999999999</v>
      </c>
      <c r="F250" s="187"/>
      <c r="G250" s="187">
        <f t="shared" si="7"/>
        <v>153.57499999999999</v>
      </c>
      <c r="H250" s="90">
        <v>7885146</v>
      </c>
      <c r="I250" s="89" t="s">
        <v>392</v>
      </c>
      <c r="J250" s="90" t="s">
        <v>11</v>
      </c>
      <c r="K250" s="90"/>
      <c r="L250" s="13">
        <v>95103701</v>
      </c>
    </row>
    <row r="251" spans="1:12" x14ac:dyDescent="0.25">
      <c r="A251" s="13">
        <v>2574</v>
      </c>
      <c r="B251" s="438" t="s">
        <v>391</v>
      </c>
      <c r="C251" s="393">
        <v>595.79999999999995</v>
      </c>
      <c r="D251" s="187">
        <v>0.25</v>
      </c>
      <c r="E251" s="187">
        <f t="shared" si="6"/>
        <v>148.94999999999999</v>
      </c>
      <c r="F251" s="187"/>
      <c r="G251" s="187">
        <f t="shared" si="7"/>
        <v>148.94999999999999</v>
      </c>
      <c r="H251" s="90">
        <v>5586433</v>
      </c>
      <c r="I251" s="89" t="s">
        <v>390</v>
      </c>
      <c r="J251" s="90" t="s">
        <v>11</v>
      </c>
      <c r="K251" s="90"/>
      <c r="L251" s="13">
        <v>91199514</v>
      </c>
    </row>
    <row r="252" spans="1:12" hidden="1" x14ac:dyDescent="0.25">
      <c r="A252" s="13">
        <v>2575</v>
      </c>
      <c r="B252" s="438" t="s">
        <v>389</v>
      </c>
      <c r="C252" s="393"/>
      <c r="D252" s="187">
        <v>0.25</v>
      </c>
      <c r="E252" s="187">
        <f t="shared" si="6"/>
        <v>0</v>
      </c>
      <c r="F252" s="187"/>
      <c r="G252" s="187">
        <f t="shared" si="7"/>
        <v>0</v>
      </c>
      <c r="H252" s="90">
        <v>7321541</v>
      </c>
      <c r="I252" s="89" t="s">
        <v>388</v>
      </c>
      <c r="J252" s="90" t="s">
        <v>11</v>
      </c>
      <c r="K252" s="90"/>
      <c r="L252" s="13">
        <v>99774726</v>
      </c>
    </row>
    <row r="253" spans="1:12" hidden="1" x14ac:dyDescent="0.25">
      <c r="A253" s="13">
        <v>2576</v>
      </c>
      <c r="B253" s="438" t="s">
        <v>387</v>
      </c>
      <c r="C253" s="393"/>
      <c r="D253" s="187">
        <v>0.25</v>
      </c>
      <c r="E253" s="187">
        <f t="shared" si="6"/>
        <v>0</v>
      </c>
      <c r="F253" s="187"/>
      <c r="G253" s="187">
        <f t="shared" si="7"/>
        <v>0</v>
      </c>
      <c r="H253" s="90">
        <v>13307977</v>
      </c>
      <c r="I253" s="89" t="s">
        <v>386</v>
      </c>
      <c r="J253" s="90" t="s">
        <v>11</v>
      </c>
      <c r="K253" s="90"/>
      <c r="L253" s="13">
        <v>99774726</v>
      </c>
    </row>
    <row r="254" spans="1:12" x14ac:dyDescent="0.25">
      <c r="A254" s="13">
        <v>2577</v>
      </c>
      <c r="B254" s="438" t="s">
        <v>385</v>
      </c>
      <c r="C254" s="393">
        <v>461.4</v>
      </c>
      <c r="D254" s="187">
        <v>0.25</v>
      </c>
      <c r="E254" s="187">
        <f t="shared" si="6"/>
        <v>115.35</v>
      </c>
      <c r="F254" s="187"/>
      <c r="G254" s="187">
        <f t="shared" si="7"/>
        <v>115.35</v>
      </c>
      <c r="H254" s="90">
        <v>7756767</v>
      </c>
      <c r="I254" s="89" t="s">
        <v>384</v>
      </c>
      <c r="J254" s="90" t="s">
        <v>11</v>
      </c>
      <c r="K254" s="90"/>
      <c r="L254" s="13">
        <v>98895532</v>
      </c>
    </row>
    <row r="255" spans="1:12" x14ac:dyDescent="0.25">
      <c r="A255" s="13">
        <v>2578</v>
      </c>
      <c r="B255" s="438" t="s">
        <v>383</v>
      </c>
      <c r="C255" s="393">
        <v>36.4</v>
      </c>
      <c r="D255" s="187">
        <v>0.25</v>
      </c>
      <c r="E255" s="187">
        <f t="shared" si="6"/>
        <v>9.1</v>
      </c>
      <c r="F255" s="187"/>
      <c r="G255" s="187">
        <f t="shared" si="7"/>
        <v>9.1</v>
      </c>
      <c r="H255" s="90">
        <v>1006702</v>
      </c>
      <c r="I255" s="89">
        <v>2500200115581</v>
      </c>
      <c r="J255" s="90" t="s">
        <v>15</v>
      </c>
      <c r="K255" s="90"/>
      <c r="L255" s="13">
        <v>96442944</v>
      </c>
    </row>
    <row r="256" spans="1:12" x14ac:dyDescent="0.25">
      <c r="A256" s="13">
        <v>2579</v>
      </c>
      <c r="B256" s="438" t="s">
        <v>382</v>
      </c>
      <c r="C256" s="393">
        <v>420.9</v>
      </c>
      <c r="D256" s="187">
        <v>0.25</v>
      </c>
      <c r="E256" s="187">
        <f t="shared" si="6"/>
        <v>105.22499999999999</v>
      </c>
      <c r="F256" s="187"/>
      <c r="G256" s="187">
        <f t="shared" si="7"/>
        <v>105.22499999999999</v>
      </c>
      <c r="H256" s="90">
        <v>373386</v>
      </c>
      <c r="I256" s="89">
        <v>3109086634500</v>
      </c>
      <c r="J256" s="90" t="s">
        <v>81</v>
      </c>
      <c r="K256" s="90"/>
      <c r="L256" s="13">
        <v>92834411</v>
      </c>
    </row>
    <row r="257" spans="1:12" x14ac:dyDescent="0.25">
      <c r="A257" s="13">
        <v>2580</v>
      </c>
      <c r="B257" s="438" t="s">
        <v>381</v>
      </c>
      <c r="C257" s="393">
        <v>470.4</v>
      </c>
      <c r="D257" s="187">
        <v>0.25</v>
      </c>
      <c r="E257" s="187">
        <f t="shared" si="6"/>
        <v>117.6</v>
      </c>
      <c r="F257" s="187"/>
      <c r="G257" s="187">
        <f t="shared" si="7"/>
        <v>117.6</v>
      </c>
      <c r="H257" s="90">
        <v>4345131</v>
      </c>
      <c r="I257" s="89" t="s">
        <v>380</v>
      </c>
      <c r="J257" s="90" t="s">
        <v>11</v>
      </c>
      <c r="K257" s="90"/>
      <c r="L257" s="13">
        <v>98895532</v>
      </c>
    </row>
    <row r="258" spans="1:12" x14ac:dyDescent="0.25">
      <c r="A258" s="13">
        <f t="shared" ref="A258:A272" si="8">A257+1</f>
        <v>2581</v>
      </c>
      <c r="B258" s="438" t="s">
        <v>379</v>
      </c>
      <c r="C258" s="393">
        <v>573.1</v>
      </c>
      <c r="D258" s="187">
        <v>0.25</v>
      </c>
      <c r="E258" s="187">
        <f t="shared" si="6"/>
        <v>143.27500000000001</v>
      </c>
      <c r="F258" s="187"/>
      <c r="G258" s="187">
        <f t="shared" si="7"/>
        <v>143.27500000000001</v>
      </c>
      <c r="H258" s="90">
        <v>18827936</v>
      </c>
      <c r="I258" s="89" t="s">
        <v>378</v>
      </c>
      <c r="J258" s="90" t="s">
        <v>14</v>
      </c>
      <c r="K258" s="90"/>
      <c r="L258" s="13">
        <v>99693456</v>
      </c>
    </row>
    <row r="259" spans="1:12" hidden="1" x14ac:dyDescent="0.25">
      <c r="A259" s="13">
        <f t="shared" si="8"/>
        <v>2582</v>
      </c>
      <c r="B259" s="438" t="s">
        <v>377</v>
      </c>
      <c r="C259" s="393"/>
      <c r="D259" s="187">
        <v>0.25</v>
      </c>
      <c r="E259" s="187">
        <f t="shared" si="6"/>
        <v>0</v>
      </c>
      <c r="F259" s="187"/>
      <c r="G259" s="187">
        <f t="shared" si="7"/>
        <v>0</v>
      </c>
      <c r="H259" s="90">
        <v>5827813</v>
      </c>
      <c r="I259" s="89" t="s">
        <v>376</v>
      </c>
      <c r="J259" s="90" t="s">
        <v>14</v>
      </c>
      <c r="K259" s="90"/>
      <c r="L259" s="13">
        <v>99180888</v>
      </c>
    </row>
    <row r="260" spans="1:12" x14ac:dyDescent="0.25">
      <c r="A260" s="13">
        <f t="shared" si="8"/>
        <v>2583</v>
      </c>
      <c r="B260" s="438" t="s">
        <v>375</v>
      </c>
      <c r="C260" s="393">
        <v>577.6</v>
      </c>
      <c r="D260" s="187">
        <v>0.25</v>
      </c>
      <c r="E260" s="187">
        <f t="shared" si="6"/>
        <v>144.4</v>
      </c>
      <c r="F260" s="187"/>
      <c r="G260" s="187">
        <f t="shared" si="7"/>
        <v>144.4</v>
      </c>
      <c r="H260" s="90">
        <v>8344529</v>
      </c>
      <c r="I260" s="89" t="s">
        <v>374</v>
      </c>
      <c r="J260" s="90" t="s">
        <v>11</v>
      </c>
      <c r="K260" s="90"/>
      <c r="L260" s="13">
        <v>98977703</v>
      </c>
    </row>
    <row r="261" spans="1:12" x14ac:dyDescent="0.25">
      <c r="A261" s="13">
        <f t="shared" si="8"/>
        <v>2584</v>
      </c>
      <c r="B261" s="438" t="s">
        <v>373</v>
      </c>
      <c r="C261" s="393">
        <v>590.29999999999995</v>
      </c>
      <c r="D261" s="187">
        <v>0.25</v>
      </c>
      <c r="E261" s="187">
        <f t="shared" ref="E261:E275" si="9">C261*D261</f>
        <v>147.57499999999999</v>
      </c>
      <c r="F261" s="187"/>
      <c r="G261" s="187">
        <f t="shared" si="7"/>
        <v>147.57499999999999</v>
      </c>
      <c r="H261" s="90">
        <v>21365246</v>
      </c>
      <c r="I261" s="89" t="s">
        <v>372</v>
      </c>
      <c r="J261" s="90" t="s">
        <v>11</v>
      </c>
      <c r="K261" s="90"/>
      <c r="L261" s="13">
        <v>92396040</v>
      </c>
    </row>
    <row r="262" spans="1:12" x14ac:dyDescent="0.25">
      <c r="A262" s="13">
        <f t="shared" si="8"/>
        <v>2585</v>
      </c>
      <c r="B262" s="438" t="s">
        <v>371</v>
      </c>
      <c r="C262" s="393">
        <v>695.5</v>
      </c>
      <c r="D262" s="187">
        <v>0.25</v>
      </c>
      <c r="E262" s="187">
        <f t="shared" si="9"/>
        <v>173.875</v>
      </c>
      <c r="F262" s="187"/>
      <c r="G262" s="187">
        <f t="shared" ref="G262:G275" si="10">E262-F262</f>
        <v>173.875</v>
      </c>
      <c r="H262" s="90">
        <v>1361572</v>
      </c>
      <c r="I262" s="89" t="s">
        <v>370</v>
      </c>
      <c r="J262" s="90" t="s">
        <v>11</v>
      </c>
      <c r="K262" s="90"/>
      <c r="L262" s="13">
        <v>96143385</v>
      </c>
    </row>
    <row r="263" spans="1:12" x14ac:dyDescent="0.25">
      <c r="A263" s="13">
        <f t="shared" si="8"/>
        <v>2586</v>
      </c>
      <c r="B263" s="438" t="s">
        <v>369</v>
      </c>
      <c r="C263" s="393">
        <v>579.6</v>
      </c>
      <c r="D263" s="187">
        <v>0.25</v>
      </c>
      <c r="E263" s="187">
        <f t="shared" si="9"/>
        <v>144.9</v>
      </c>
      <c r="F263" s="187"/>
      <c r="G263" s="187">
        <f t="shared" si="10"/>
        <v>144.9</v>
      </c>
      <c r="H263" s="90">
        <v>12587499</v>
      </c>
      <c r="I263" s="89">
        <v>1060716020017</v>
      </c>
      <c r="J263" s="90" t="s">
        <v>50</v>
      </c>
      <c r="K263" s="90"/>
      <c r="L263" s="13">
        <v>92194564</v>
      </c>
    </row>
    <row r="264" spans="1:12" x14ac:dyDescent="0.25">
      <c r="A264" s="13">
        <f t="shared" si="8"/>
        <v>2587</v>
      </c>
      <c r="B264" s="438" t="s">
        <v>368</v>
      </c>
      <c r="C264" s="393">
        <v>614.4</v>
      </c>
      <c r="D264" s="187">
        <v>0.25</v>
      </c>
      <c r="E264" s="187">
        <f t="shared" si="9"/>
        <v>153.6</v>
      </c>
      <c r="F264" s="187"/>
      <c r="G264" s="187">
        <f t="shared" si="10"/>
        <v>153.6</v>
      </c>
      <c r="H264" s="90">
        <v>27667399</v>
      </c>
      <c r="I264" s="89" t="s">
        <v>367</v>
      </c>
      <c r="J264" s="90" t="s">
        <v>11</v>
      </c>
      <c r="K264" s="90"/>
      <c r="L264" s="13">
        <v>93327116</v>
      </c>
    </row>
    <row r="265" spans="1:12" x14ac:dyDescent="0.25">
      <c r="A265" s="13">
        <f t="shared" si="8"/>
        <v>2588</v>
      </c>
      <c r="B265" s="438" t="s">
        <v>366</v>
      </c>
      <c r="C265" s="393">
        <v>430.7</v>
      </c>
      <c r="D265" s="187">
        <v>0.25</v>
      </c>
      <c r="E265" s="187">
        <f t="shared" si="9"/>
        <v>107.675</v>
      </c>
      <c r="F265" s="187"/>
      <c r="G265" s="187">
        <f t="shared" si="10"/>
        <v>107.675</v>
      </c>
      <c r="H265" s="90">
        <v>5022012</v>
      </c>
      <c r="I265" s="89">
        <v>31292006511700</v>
      </c>
      <c r="J265" s="90" t="s">
        <v>50</v>
      </c>
      <c r="K265" s="90"/>
      <c r="L265" s="13">
        <v>93273434</v>
      </c>
    </row>
    <row r="266" spans="1:12" x14ac:dyDescent="0.25">
      <c r="A266" s="13">
        <f t="shared" si="8"/>
        <v>2589</v>
      </c>
      <c r="B266" s="438" t="s">
        <v>218</v>
      </c>
      <c r="C266" s="393">
        <v>585.70000000000005</v>
      </c>
      <c r="D266" s="187">
        <v>0.25</v>
      </c>
      <c r="E266" s="187">
        <f t="shared" si="9"/>
        <v>146.42500000000001</v>
      </c>
      <c r="F266" s="187"/>
      <c r="G266" s="187">
        <f t="shared" si="10"/>
        <v>146.42500000000001</v>
      </c>
      <c r="H266" s="90">
        <v>24512658</v>
      </c>
      <c r="I266" s="89" t="s">
        <v>365</v>
      </c>
      <c r="J266" s="90" t="s">
        <v>14</v>
      </c>
      <c r="K266" s="90"/>
      <c r="L266" s="13">
        <v>93967172</v>
      </c>
    </row>
    <row r="267" spans="1:12" x14ac:dyDescent="0.25">
      <c r="A267" s="13">
        <f t="shared" si="8"/>
        <v>2590</v>
      </c>
      <c r="B267" s="438" t="s">
        <v>364</v>
      </c>
      <c r="C267" s="393">
        <v>596.1</v>
      </c>
      <c r="D267" s="187">
        <v>0.25</v>
      </c>
      <c r="E267" s="187">
        <f t="shared" si="9"/>
        <v>149.02500000000001</v>
      </c>
      <c r="F267" s="187"/>
      <c r="G267" s="187">
        <f t="shared" si="10"/>
        <v>149.02500000000001</v>
      </c>
      <c r="H267" s="90">
        <v>10613224</v>
      </c>
      <c r="I267" s="89">
        <v>70402005917501</v>
      </c>
      <c r="J267" s="90" t="s">
        <v>11</v>
      </c>
      <c r="K267" s="90"/>
      <c r="L267" s="13">
        <v>92528593</v>
      </c>
    </row>
    <row r="268" spans="1:12" x14ac:dyDescent="0.25">
      <c r="A268" s="13">
        <f t="shared" si="8"/>
        <v>2591</v>
      </c>
      <c r="B268" s="438" t="s">
        <v>363</v>
      </c>
      <c r="C268" s="393">
        <v>394.4</v>
      </c>
      <c r="D268" s="187">
        <v>0.25</v>
      </c>
      <c r="E268" s="187">
        <f t="shared" si="9"/>
        <v>98.6</v>
      </c>
      <c r="F268" s="187"/>
      <c r="G268" s="187">
        <f t="shared" si="10"/>
        <v>98.6</v>
      </c>
      <c r="H268" s="90">
        <v>13842333</v>
      </c>
      <c r="I268" s="89" t="s">
        <v>362</v>
      </c>
      <c r="J268" s="90" t="s">
        <v>11</v>
      </c>
      <c r="K268" s="90"/>
      <c r="L268" s="13">
        <v>92366628</v>
      </c>
    </row>
    <row r="269" spans="1:12" x14ac:dyDescent="0.25">
      <c r="A269" s="13">
        <f t="shared" si="8"/>
        <v>2592</v>
      </c>
      <c r="B269" s="438" t="s">
        <v>361</v>
      </c>
      <c r="C269" s="393">
        <v>608.5</v>
      </c>
      <c r="D269" s="187">
        <v>0.25</v>
      </c>
      <c r="E269" s="187">
        <f t="shared" si="9"/>
        <v>152.125</v>
      </c>
      <c r="F269" s="187"/>
      <c r="G269" s="187">
        <f t="shared" si="10"/>
        <v>152.125</v>
      </c>
      <c r="H269" s="90">
        <v>977263</v>
      </c>
      <c r="I269" s="89" t="s">
        <v>360</v>
      </c>
      <c r="J269" s="90" t="s">
        <v>11</v>
      </c>
      <c r="K269" s="90"/>
      <c r="L269" s="13">
        <v>99162100</v>
      </c>
    </row>
    <row r="270" spans="1:12" x14ac:dyDescent="0.25">
      <c r="A270" s="13">
        <f t="shared" si="8"/>
        <v>2593</v>
      </c>
      <c r="B270" s="438" t="s">
        <v>359</v>
      </c>
      <c r="C270" s="393">
        <v>594</v>
      </c>
      <c r="D270" s="187">
        <v>0.25</v>
      </c>
      <c r="E270" s="187">
        <f t="shared" si="9"/>
        <v>148.5</v>
      </c>
      <c r="F270" s="187"/>
      <c r="G270" s="187">
        <f t="shared" si="10"/>
        <v>148.5</v>
      </c>
      <c r="H270" s="90">
        <v>22642816</v>
      </c>
      <c r="I270" s="89" t="s">
        <v>358</v>
      </c>
      <c r="J270" s="90" t="s">
        <v>11</v>
      </c>
      <c r="K270" s="90"/>
      <c r="L270" s="13">
        <v>92626230</v>
      </c>
    </row>
    <row r="271" spans="1:12" x14ac:dyDescent="0.25">
      <c r="A271" s="13">
        <f t="shared" si="8"/>
        <v>2594</v>
      </c>
      <c r="B271" s="438" t="s">
        <v>357</v>
      </c>
      <c r="C271" s="393">
        <v>596.6</v>
      </c>
      <c r="D271" s="187">
        <v>0.25</v>
      </c>
      <c r="E271" s="187">
        <f t="shared" si="9"/>
        <v>149.15</v>
      </c>
      <c r="F271" s="187"/>
      <c r="G271" s="187">
        <f t="shared" si="10"/>
        <v>149.15</v>
      </c>
      <c r="H271" s="90">
        <v>5679673</v>
      </c>
      <c r="I271" s="89" t="s">
        <v>356</v>
      </c>
      <c r="J271" s="90" t="s">
        <v>11</v>
      </c>
      <c r="K271" s="90"/>
      <c r="L271" s="13">
        <v>95606291</v>
      </c>
    </row>
    <row r="272" spans="1:12" x14ac:dyDescent="0.25">
      <c r="A272" s="13">
        <f t="shared" si="8"/>
        <v>2595</v>
      </c>
      <c r="B272" s="438" t="s">
        <v>355</v>
      </c>
      <c r="C272" s="393">
        <v>584.79999999999995</v>
      </c>
      <c r="D272" s="187">
        <v>0.25</v>
      </c>
      <c r="E272" s="187">
        <f t="shared" si="9"/>
        <v>146.19999999999999</v>
      </c>
      <c r="F272" s="187"/>
      <c r="G272" s="187">
        <f t="shared" si="10"/>
        <v>146.19999999999999</v>
      </c>
      <c r="H272" s="90">
        <v>5128697</v>
      </c>
      <c r="I272" s="89" t="s">
        <v>354</v>
      </c>
      <c r="J272" s="90" t="s">
        <v>11</v>
      </c>
      <c r="K272" s="90"/>
      <c r="L272" s="13">
        <v>99695076</v>
      </c>
    </row>
    <row r="273" spans="1:12" hidden="1" x14ac:dyDescent="0.25">
      <c r="A273" s="13">
        <v>2596</v>
      </c>
      <c r="B273" s="438" t="s">
        <v>593</v>
      </c>
      <c r="C273" s="393"/>
      <c r="D273" s="187">
        <v>0.25</v>
      </c>
      <c r="E273" s="187">
        <f t="shared" si="9"/>
        <v>0</v>
      </c>
      <c r="F273" s="187"/>
      <c r="G273" s="187">
        <f t="shared" si="10"/>
        <v>0</v>
      </c>
      <c r="H273" s="90">
        <v>5750852</v>
      </c>
      <c r="I273" s="89" t="s">
        <v>592</v>
      </c>
      <c r="J273" s="90" t="s">
        <v>11</v>
      </c>
      <c r="K273" s="90"/>
      <c r="L273" s="13">
        <v>92559696</v>
      </c>
    </row>
    <row r="274" spans="1:12" hidden="1" x14ac:dyDescent="0.25">
      <c r="A274" s="13">
        <v>2597</v>
      </c>
      <c r="B274" s="438" t="s">
        <v>591</v>
      </c>
      <c r="C274" s="393"/>
      <c r="D274" s="187">
        <v>0.25</v>
      </c>
      <c r="E274" s="187">
        <f t="shared" si="9"/>
        <v>0</v>
      </c>
      <c r="F274" s="187"/>
      <c r="G274" s="187">
        <f t="shared" si="10"/>
        <v>0</v>
      </c>
      <c r="H274" s="90">
        <v>6187926</v>
      </c>
      <c r="I274" s="89" t="s">
        <v>590</v>
      </c>
      <c r="J274" s="90" t="s">
        <v>11</v>
      </c>
      <c r="K274" s="90"/>
      <c r="L274" s="13">
        <v>99693494</v>
      </c>
    </row>
    <row r="275" spans="1:12" x14ac:dyDescent="0.25">
      <c r="A275" s="13">
        <v>3166</v>
      </c>
      <c r="B275" s="438" t="s">
        <v>17</v>
      </c>
      <c r="C275" s="393">
        <v>3074.8</v>
      </c>
      <c r="D275" s="187">
        <v>0.25</v>
      </c>
      <c r="E275" s="187">
        <f t="shared" si="9"/>
        <v>768.7</v>
      </c>
      <c r="F275" s="187"/>
      <c r="G275" s="187">
        <f t="shared" si="10"/>
        <v>768.7</v>
      </c>
      <c r="H275" s="90">
        <v>6381786</v>
      </c>
      <c r="I275" s="89" t="s">
        <v>291</v>
      </c>
      <c r="J275" s="90" t="s">
        <v>18</v>
      </c>
      <c r="K275" s="90" t="s">
        <v>47</v>
      </c>
      <c r="L275" s="13">
        <v>92224863</v>
      </c>
    </row>
    <row r="276" spans="1:12" ht="24" x14ac:dyDescent="0.4">
      <c r="A276" s="17"/>
      <c r="B276" s="123" t="s">
        <v>302</v>
      </c>
      <c r="C276" s="392">
        <f>SUM(C5:C275)</f>
        <v>260976.99999999997</v>
      </c>
      <c r="D276" s="352" t="s">
        <v>303</v>
      </c>
      <c r="E276" s="351">
        <f>SUM(E5:E275)</f>
        <v>65244.249999999993</v>
      </c>
      <c r="F276" s="351">
        <f t="shared" ref="F276:G276" si="11">SUM(F5:F275)</f>
        <v>0</v>
      </c>
      <c r="G276" s="351">
        <f t="shared" si="11"/>
        <v>65244.249999999993</v>
      </c>
      <c r="H276" s="38"/>
      <c r="I276" s="31"/>
      <c r="J276" s="17"/>
      <c r="K276" s="17"/>
      <c r="L276" s="39"/>
    </row>
    <row r="278" spans="1:12" x14ac:dyDescent="0.25">
      <c r="E278" s="1">
        <v>65258.25</v>
      </c>
    </row>
    <row r="280" spans="1:12" x14ac:dyDescent="0.25">
      <c r="E280" s="475">
        <f>E278-E276</f>
        <v>14.000000000007276</v>
      </c>
    </row>
  </sheetData>
  <conditionalFormatting sqref="I9">
    <cfRule type="duplicateValues" dxfId="13" priority="3"/>
  </conditionalFormatting>
  <conditionalFormatting sqref="I21">
    <cfRule type="duplicateValues" dxfId="12" priority="9"/>
  </conditionalFormatting>
  <conditionalFormatting sqref="I61">
    <cfRule type="duplicateValues" dxfId="11" priority="2"/>
  </conditionalFormatting>
  <conditionalFormatting sqref="I71">
    <cfRule type="duplicateValues" dxfId="10" priority="11"/>
  </conditionalFormatting>
  <conditionalFormatting sqref="I93">
    <cfRule type="duplicateValues" dxfId="9" priority="12"/>
  </conditionalFormatting>
  <conditionalFormatting sqref="I105">
    <cfRule type="duplicateValues" dxfId="8" priority="8"/>
  </conditionalFormatting>
  <conditionalFormatting sqref="I106">
    <cfRule type="duplicateValues" dxfId="7" priority="10"/>
  </conditionalFormatting>
  <conditionalFormatting sqref="I109:I117 I94:I104 I107 I72:I92 I65:I70 I4 I22:I60 I125 I10:I20 I62:I63 I119:I123 I6:I8 I134:I276">
    <cfRule type="duplicateValues" dxfId="6" priority="19"/>
  </conditionalFormatting>
  <conditionalFormatting sqref="I118">
    <cfRule type="duplicateValues" dxfId="5" priority="1"/>
  </conditionalFormatting>
  <conditionalFormatting sqref="I124">
    <cfRule type="duplicateValues" dxfId="4" priority="7"/>
  </conditionalFormatting>
  <conditionalFormatting sqref="I127">
    <cfRule type="duplicateValues" dxfId="3" priority="6"/>
  </conditionalFormatting>
  <conditionalFormatting sqref="I128:I131 I133">
    <cfRule type="duplicateValues" dxfId="2" priority="5"/>
  </conditionalFormatting>
  <conditionalFormatting sqref="I132">
    <cfRule type="duplicateValues" dxfId="1" priority="4"/>
  </conditionalFormatting>
  <conditionalFormatting sqref="J5">
    <cfRule type="duplicateValues" dxfId="0" priority="13"/>
  </conditionalFormatting>
  <pageMargins left="0.7" right="0.7" top="0.75" bottom="0.75" header="0.3" footer="0.3"/>
  <ignoredErrors>
    <ignoredError sqref="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center-Aug</vt:lpstr>
      <vt:lpstr>center-Sept</vt:lpstr>
      <vt:lpstr>center-Oct</vt:lpstr>
      <vt:lpstr>center-Nov</vt:lpstr>
      <vt:lpstr>center-dec</vt:lpstr>
      <vt:lpstr>Aug 25</vt:lpstr>
      <vt:lpstr>SEP-25</vt:lpstr>
      <vt:lpstr>oct25</vt:lpstr>
      <vt:lpstr>nov-25</vt:lpstr>
      <vt:lpstr>Dec-25</vt:lpstr>
      <vt:lpstr>'Aug 25'!Print_Area</vt:lpstr>
      <vt:lpstr>'center-Aug'!Print_Area</vt:lpstr>
      <vt:lpstr>'center-dec'!Print_Area</vt:lpstr>
      <vt:lpstr>'center-Nov'!Print_Area</vt:lpstr>
      <vt:lpstr>'center-Oct'!Print_Area</vt:lpstr>
      <vt:lpstr>'center-Sept'!Print_Area</vt:lpstr>
      <vt:lpstr>'nov-25'!Print_Area</vt:lpstr>
      <vt:lpstr>'oct25'!Print_Area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morooj Dairy</dc:creator>
  <cp:keywords/>
  <dc:description/>
  <cp:lastModifiedBy>YASIR KASHOOB</cp:lastModifiedBy>
  <cp:revision/>
  <cp:lastPrinted>2026-01-04T06:02:00Z</cp:lastPrinted>
  <dcterms:created xsi:type="dcterms:W3CDTF">2025-01-05T09:01:54Z</dcterms:created>
  <dcterms:modified xsi:type="dcterms:W3CDTF">2026-01-11T06:51:01Z</dcterms:modified>
  <cp:category/>
  <cp:contentStatus/>
</cp:coreProperties>
</file>