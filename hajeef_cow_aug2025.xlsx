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9478396b7721b53/Desktop/جميع الملفات/"/>
    </mc:Choice>
  </mc:AlternateContent>
  <xr:revisionPtr revIDLastSave="14" documentId="13_ncr:1_{55E9F283-26E2-43EF-8D81-F03BF422020A}" xr6:coauthVersionLast="47" xr6:coauthVersionMax="47" xr10:uidLastSave="{213B5C42-1962-47AE-84DD-A96D835997B0}"/>
  <bookViews>
    <workbookView xWindow="-120" yWindow="-120" windowWidth="29040" windowHeight="15720" tabRatio="863" firstSheet="9" activeTab="9" xr2:uid="{98B979DE-0370-4696-AEB9-509298284302}"/>
  </bookViews>
  <sheets>
    <sheet name="center-April" sheetId="8" state="hidden" r:id="rId1"/>
    <sheet name="center-May" sheetId="9" state="hidden" r:id="rId2"/>
    <sheet name="center-June" sheetId="7" state="hidden" r:id="rId3"/>
    <sheet name="center-Aug" sheetId="12" state="hidden" r:id="rId4"/>
    <sheet name="Center-Sept" sheetId="13" state="hidden" r:id="rId5"/>
    <sheet name="Center-Oct" sheetId="15" state="hidden" r:id="rId6"/>
    <sheet name="Center-Nov" sheetId="17" state="hidden" r:id="rId7"/>
    <sheet name="Center-dec" sheetId="18" state="hidden" r:id="rId8"/>
    <sheet name="July 25" sheetId="29" state="hidden" r:id="rId9"/>
    <sheet name="Aug 25" sheetId="30" r:id="rId10"/>
    <sheet name="SEP-25" sheetId="31" r:id="rId11"/>
    <sheet name="oct25" sheetId="32" r:id="rId12"/>
    <sheet name="nov-25" sheetId="33" r:id="rId13"/>
    <sheet name="Dec-25" sheetId="34" r:id="rId14"/>
    <sheet name="Purchase Request" sheetId="20" state="hidden" r:id="rId15"/>
    <sheet name="Farmer Document" sheetId="21" state="hidden" r:id="rId16"/>
    <sheet name="ONLD price" sheetId="2" state="hidden" r:id="rId17"/>
  </sheets>
  <definedNames>
    <definedName name="_xlnm._FilterDatabase" localSheetId="9" hidden="1">'Aug 25'!$C$1:$C$119</definedName>
    <definedName name="_xlnm._FilterDatabase" localSheetId="0" hidden="1">'center-April'!$A$2:$N$6</definedName>
    <definedName name="_xlnm._FilterDatabase" localSheetId="3" hidden="1">'center-Aug'!$A$2:$J$84</definedName>
    <definedName name="_xlnm._FilterDatabase" localSheetId="7" hidden="1">'Center-dec'!$D$1:$D$116</definedName>
    <definedName name="_xlnm._FilterDatabase" localSheetId="2" hidden="1">'center-June'!$A$2:$J$7</definedName>
    <definedName name="_xlnm._FilterDatabase" localSheetId="1" hidden="1">'center-May'!$A$2:$N$10</definedName>
    <definedName name="_xlnm._FilterDatabase" localSheetId="6" hidden="1">'Center-Nov'!$D$1:$D$116</definedName>
    <definedName name="_xlnm._FilterDatabase" localSheetId="5" hidden="1">'Center-Oct'!$D$1:$D$115</definedName>
    <definedName name="_xlnm._FilterDatabase" localSheetId="4" hidden="1">'Center-Sept'!$D$1:$D$117</definedName>
    <definedName name="_xlnm._FilterDatabase" localSheetId="13" hidden="1">'Dec-25'!$C$1:$C$121</definedName>
    <definedName name="_xlnm._FilterDatabase" localSheetId="8" hidden="1">'July 25'!$D$1:$D$117</definedName>
    <definedName name="_xlnm._FilterDatabase" localSheetId="12" hidden="1">'nov-25'!$C$1:$C$120</definedName>
    <definedName name="_xlnm._FilterDatabase" localSheetId="11" hidden="1">'oct25'!$C$1:$C$120</definedName>
    <definedName name="_xlnm._FilterDatabase" localSheetId="10" hidden="1">'SEP-25'!$A$2:$M$3</definedName>
    <definedName name="_xlnm.Print_Area" localSheetId="9">'Aug 25'!$A$1:$M$88</definedName>
    <definedName name="_xlnm.Print_Area" localSheetId="0">'center-April'!$A$1:$N$12</definedName>
    <definedName name="_xlnm.Print_Area" localSheetId="3">'center-Aug'!$A$1:$J$84</definedName>
    <definedName name="_xlnm.Print_Area" localSheetId="7">'Center-dec'!$A$1:$J$85</definedName>
    <definedName name="_xlnm.Print_Area" localSheetId="2">'center-June'!$A$1:$J$15</definedName>
    <definedName name="_xlnm.Print_Area" localSheetId="1">'center-May'!$A$1:$N$16</definedName>
    <definedName name="_xlnm.Print_Area" localSheetId="6">'Center-Nov'!$A$1:$J$85</definedName>
    <definedName name="_xlnm.Print_Area" localSheetId="5">'Center-Oct'!$A$1:$N$84</definedName>
    <definedName name="_xlnm.Print_Area" localSheetId="4">'Center-Sept'!$A$1:$I$86</definedName>
    <definedName name="_xlnm.Print_Area" localSheetId="13">'Dec-25'!$A$1:$M$193</definedName>
    <definedName name="_xlnm.Print_Area" localSheetId="15">'Farmer Document'!$A$1:$D$38</definedName>
    <definedName name="_xlnm.Print_Area" localSheetId="8">'July 25'!$A$1:$N$86</definedName>
    <definedName name="_xlnm.Print_Area" localSheetId="12">'nov-25'!$A$1:$L$192</definedName>
    <definedName name="_xlnm.Print_Area" localSheetId="14">'Purchase Request'!$A$1:$E$38</definedName>
    <definedName name="_xlnm.Print_Area" localSheetId="10">'SEP-25'!$A$1:$M$157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4" l="1"/>
  <c r="E5" i="34"/>
  <c r="G5" i="34" s="1"/>
  <c r="E6" i="34"/>
  <c r="G6" i="34" s="1"/>
  <c r="E7" i="34"/>
  <c r="G7" i="34" s="1"/>
  <c r="E8" i="34"/>
  <c r="G8" i="34" s="1"/>
  <c r="E9" i="34"/>
  <c r="G9" i="34" s="1"/>
  <c r="E10" i="34"/>
  <c r="G10" i="34" s="1"/>
  <c r="E11" i="34"/>
  <c r="E12" i="34"/>
  <c r="G12" i="34" s="1"/>
  <c r="E13" i="34"/>
  <c r="G13" i="34" s="1"/>
  <c r="E14" i="34"/>
  <c r="E15" i="34"/>
  <c r="G15" i="34" s="1"/>
  <c r="E16" i="34"/>
  <c r="E17" i="34"/>
  <c r="G17" i="34" s="1"/>
  <c r="E18" i="34"/>
  <c r="G18" i="34" s="1"/>
  <c r="E19" i="34"/>
  <c r="G19" i="34" s="1"/>
  <c r="E20" i="34"/>
  <c r="G20" i="34" s="1"/>
  <c r="E21" i="34"/>
  <c r="G21" i="34" s="1"/>
  <c r="E22" i="34"/>
  <c r="G22" i="34" s="1"/>
  <c r="E23" i="34"/>
  <c r="G23" i="34" s="1"/>
  <c r="E24" i="34"/>
  <c r="G24" i="34" s="1"/>
  <c r="E25" i="34"/>
  <c r="G25" i="34" s="1"/>
  <c r="E26" i="34"/>
  <c r="G26" i="34" s="1"/>
  <c r="E27" i="34"/>
  <c r="G27" i="34" s="1"/>
  <c r="E28" i="34"/>
  <c r="G28" i="34" s="1"/>
  <c r="E29" i="34"/>
  <c r="G29" i="34" s="1"/>
  <c r="E30" i="34"/>
  <c r="G30" i="34" s="1"/>
  <c r="E31" i="34"/>
  <c r="G31" i="34" s="1"/>
  <c r="E32" i="34"/>
  <c r="G32" i="34" s="1"/>
  <c r="E33" i="34"/>
  <c r="G33" i="34" s="1"/>
  <c r="E34" i="34"/>
  <c r="G34" i="34" s="1"/>
  <c r="E35" i="34"/>
  <c r="G35" i="34" s="1"/>
  <c r="E36" i="34"/>
  <c r="G36" i="34" s="1"/>
  <c r="E37" i="34"/>
  <c r="G37" i="34" s="1"/>
  <c r="E38" i="34"/>
  <c r="G38" i="34" s="1"/>
  <c r="E39" i="34"/>
  <c r="G39" i="34" s="1"/>
  <c r="E40" i="34"/>
  <c r="E41" i="34"/>
  <c r="E42" i="34"/>
  <c r="E43" i="34"/>
  <c r="E44" i="34"/>
  <c r="E45" i="34"/>
  <c r="G45" i="34" s="1"/>
  <c r="E46" i="34"/>
  <c r="G46" i="34" s="1"/>
  <c r="E47" i="34"/>
  <c r="E48" i="34"/>
  <c r="E49" i="34"/>
  <c r="G49" i="34" s="1"/>
  <c r="E50" i="34"/>
  <c r="G50" i="34" s="1"/>
  <c r="E51" i="34"/>
  <c r="E52" i="34"/>
  <c r="E53" i="34"/>
  <c r="G53" i="34" s="1"/>
  <c r="E54" i="34"/>
  <c r="G54" i="34" s="1"/>
  <c r="E55" i="34"/>
  <c r="G55" i="34" s="1"/>
  <c r="E56" i="34"/>
  <c r="E57" i="34"/>
  <c r="G57" i="34" s="1"/>
  <c r="E58" i="34"/>
  <c r="G58" i="34" s="1"/>
  <c r="E59" i="34"/>
  <c r="G59" i="34" s="1"/>
  <c r="E60" i="34"/>
  <c r="G60" i="34" s="1"/>
  <c r="E61" i="34"/>
  <c r="G61" i="34" s="1"/>
  <c r="E62" i="34"/>
  <c r="G62" i="34" s="1"/>
  <c r="E63" i="34"/>
  <c r="G63" i="34" s="1"/>
  <c r="E64" i="34"/>
  <c r="G64" i="34" s="1"/>
  <c r="E65" i="34"/>
  <c r="G65" i="34" s="1"/>
  <c r="E66" i="34"/>
  <c r="G66" i="34" s="1"/>
  <c r="E67" i="34"/>
  <c r="G67" i="34" s="1"/>
  <c r="E68" i="34"/>
  <c r="G68" i="34" s="1"/>
  <c r="E69" i="34"/>
  <c r="G69" i="34" s="1"/>
  <c r="E70" i="34"/>
  <c r="G70" i="34" s="1"/>
  <c r="E71" i="34"/>
  <c r="G71" i="34" s="1"/>
  <c r="E72" i="34"/>
  <c r="G72" i="34" s="1"/>
  <c r="E73" i="34"/>
  <c r="G73" i="34" s="1"/>
  <c r="E74" i="34"/>
  <c r="G74" i="34" s="1"/>
  <c r="E75" i="34"/>
  <c r="G75" i="34" s="1"/>
  <c r="E76" i="34"/>
  <c r="E77" i="34"/>
  <c r="E78" i="34"/>
  <c r="E79" i="34"/>
  <c r="E80" i="34"/>
  <c r="E81" i="34"/>
  <c r="G81" i="34" s="1"/>
  <c r="E82" i="34"/>
  <c r="G82" i="34" s="1"/>
  <c r="E83" i="34"/>
  <c r="G83" i="34" s="1"/>
  <c r="E84" i="34"/>
  <c r="G84" i="34" s="1"/>
  <c r="E85" i="34"/>
  <c r="G85" i="34" s="1"/>
  <c r="E86" i="34"/>
  <c r="G86" i="34" s="1"/>
  <c r="E87" i="34"/>
  <c r="G87" i="34" s="1"/>
  <c r="E88" i="34"/>
  <c r="E89" i="34"/>
  <c r="E90" i="34"/>
  <c r="E91" i="34"/>
  <c r="G91" i="34" s="1"/>
  <c r="E92" i="34"/>
  <c r="G92" i="34" s="1"/>
  <c r="E93" i="34"/>
  <c r="G93" i="34" s="1"/>
  <c r="E94" i="34"/>
  <c r="G94" i="34" s="1"/>
  <c r="E95" i="34"/>
  <c r="G95" i="34" s="1"/>
  <c r="E96" i="34"/>
  <c r="G96" i="34" s="1"/>
  <c r="E97" i="34"/>
  <c r="G97" i="34" s="1"/>
  <c r="E98" i="34"/>
  <c r="G98" i="34" s="1"/>
  <c r="E99" i="34"/>
  <c r="G99" i="34" s="1"/>
  <c r="E100" i="34"/>
  <c r="G100" i="34" s="1"/>
  <c r="E101" i="34"/>
  <c r="G101" i="34" s="1"/>
  <c r="E102" i="34"/>
  <c r="G102" i="34" s="1"/>
  <c r="E103" i="34"/>
  <c r="G103" i="34" s="1"/>
  <c r="E104" i="34"/>
  <c r="G104" i="34" s="1"/>
  <c r="E105" i="34"/>
  <c r="G105" i="34" s="1"/>
  <c r="E106" i="34"/>
  <c r="G106" i="34" s="1"/>
  <c r="E107" i="34"/>
  <c r="G107" i="34" s="1"/>
  <c r="E108" i="34"/>
  <c r="G108" i="34" s="1"/>
  <c r="E109" i="34"/>
  <c r="G109" i="34" s="1"/>
  <c r="E110" i="34"/>
  <c r="G110" i="34" s="1"/>
  <c r="E111" i="34"/>
  <c r="G111" i="34" s="1"/>
  <c r="E112" i="34"/>
  <c r="E113" i="34"/>
  <c r="E114" i="34"/>
  <c r="E115" i="34"/>
  <c r="E116" i="34"/>
  <c r="E117" i="34"/>
  <c r="G117" i="34" s="1"/>
  <c r="E118" i="34"/>
  <c r="G118" i="34" s="1"/>
  <c r="E119" i="34"/>
  <c r="G119" i="34" s="1"/>
  <c r="E120" i="34"/>
  <c r="G120" i="34" s="1"/>
  <c r="E121" i="34"/>
  <c r="G121" i="34" s="1"/>
  <c r="E122" i="34"/>
  <c r="G122" i="34" s="1"/>
  <c r="E123" i="34"/>
  <c r="G123" i="34" s="1"/>
  <c r="E124" i="34"/>
  <c r="E125" i="34"/>
  <c r="E126" i="34"/>
  <c r="E127" i="34"/>
  <c r="G127" i="34" s="1"/>
  <c r="E128" i="34"/>
  <c r="G128" i="34" s="1"/>
  <c r="E129" i="34"/>
  <c r="G129" i="34" s="1"/>
  <c r="E130" i="34"/>
  <c r="G130" i="34" s="1"/>
  <c r="E131" i="34"/>
  <c r="G131" i="34" s="1"/>
  <c r="E132" i="34"/>
  <c r="G132" i="34" s="1"/>
  <c r="E133" i="34"/>
  <c r="G133" i="34" s="1"/>
  <c r="E134" i="34"/>
  <c r="G134" i="34" s="1"/>
  <c r="E135" i="34"/>
  <c r="G135" i="34" s="1"/>
  <c r="E136" i="34"/>
  <c r="E137" i="34"/>
  <c r="E138" i="34"/>
  <c r="E139" i="34"/>
  <c r="E140" i="34"/>
  <c r="E141" i="34"/>
  <c r="G141" i="34" s="1"/>
  <c r="E142" i="34"/>
  <c r="G142" i="34" s="1"/>
  <c r="E143" i="34"/>
  <c r="G143" i="34" s="1"/>
  <c r="E144" i="34"/>
  <c r="G144" i="34" s="1"/>
  <c r="E145" i="34"/>
  <c r="G145" i="34" s="1"/>
  <c r="E146" i="34"/>
  <c r="G146" i="34" s="1"/>
  <c r="E147" i="34"/>
  <c r="G147" i="34" s="1"/>
  <c r="E148" i="34"/>
  <c r="G148" i="34" s="1"/>
  <c r="E149" i="34"/>
  <c r="G149" i="34" s="1"/>
  <c r="E150" i="34"/>
  <c r="G150" i="34" s="1"/>
  <c r="E151" i="34"/>
  <c r="G151" i="34" s="1"/>
  <c r="E152" i="34"/>
  <c r="E153" i="34"/>
  <c r="G153" i="34" s="1"/>
  <c r="E154" i="34"/>
  <c r="G154" i="34" s="1"/>
  <c r="E155" i="34"/>
  <c r="G155" i="34" s="1"/>
  <c r="E156" i="34"/>
  <c r="G156" i="34" s="1"/>
  <c r="E157" i="34"/>
  <c r="G157" i="34" s="1"/>
  <c r="E158" i="34"/>
  <c r="G158" i="34" s="1"/>
  <c r="E159" i="34"/>
  <c r="G159" i="34" s="1"/>
  <c r="E160" i="34"/>
  <c r="E161" i="34"/>
  <c r="E162" i="34"/>
  <c r="E163" i="34"/>
  <c r="E164" i="34"/>
  <c r="G164" i="34" s="1"/>
  <c r="E165" i="34"/>
  <c r="G165" i="34" s="1"/>
  <c r="E166" i="34"/>
  <c r="G166" i="34" s="1"/>
  <c r="E167" i="34"/>
  <c r="G167" i="34" s="1"/>
  <c r="E168" i="34"/>
  <c r="G168" i="34" s="1"/>
  <c r="E169" i="34"/>
  <c r="G169" i="34" s="1"/>
  <c r="E170" i="34"/>
  <c r="G170" i="34" s="1"/>
  <c r="E171" i="34"/>
  <c r="G171" i="34" s="1"/>
  <c r="E172" i="34"/>
  <c r="G172" i="34" s="1"/>
  <c r="E173" i="34"/>
  <c r="G173" i="34" s="1"/>
  <c r="E174" i="34"/>
  <c r="G174" i="34" s="1"/>
  <c r="E175" i="34"/>
  <c r="G175" i="34" s="1"/>
  <c r="E176" i="34"/>
  <c r="G176" i="34" s="1"/>
  <c r="E177" i="34"/>
  <c r="G177" i="34" s="1"/>
  <c r="E178" i="34"/>
  <c r="G178" i="34" s="1"/>
  <c r="E179" i="34"/>
  <c r="G179" i="34" s="1"/>
  <c r="E180" i="34"/>
  <c r="G180" i="34" s="1"/>
  <c r="E181" i="34"/>
  <c r="G181" i="34" s="1"/>
  <c r="E182" i="34"/>
  <c r="G182" i="34" s="1"/>
  <c r="E183" i="34"/>
  <c r="G183" i="34" s="1"/>
  <c r="E184" i="34"/>
  <c r="E185" i="34"/>
  <c r="E186" i="34"/>
  <c r="E187" i="34"/>
  <c r="E188" i="34"/>
  <c r="E189" i="34"/>
  <c r="G189" i="34" s="1"/>
  <c r="E190" i="34"/>
  <c r="G190" i="34" s="1"/>
  <c r="E191" i="34"/>
  <c r="G191" i="34" s="1"/>
  <c r="E192" i="34"/>
  <c r="G192" i="34" s="1"/>
  <c r="F193" i="34"/>
  <c r="G4" i="34"/>
  <c r="G16" i="34"/>
  <c r="G40" i="34"/>
  <c r="G41" i="34"/>
  <c r="G42" i="34"/>
  <c r="G43" i="34"/>
  <c r="G44" i="34"/>
  <c r="G47" i="34"/>
  <c r="G48" i="34"/>
  <c r="G51" i="34"/>
  <c r="G52" i="34"/>
  <c r="G56" i="34"/>
  <c r="G76" i="34"/>
  <c r="G77" i="34"/>
  <c r="G78" i="34"/>
  <c r="G79" i="34"/>
  <c r="G80" i="34"/>
  <c r="G88" i="34"/>
  <c r="G89" i="34"/>
  <c r="G90" i="34"/>
  <c r="G112" i="34"/>
  <c r="G113" i="34"/>
  <c r="G114" i="34"/>
  <c r="G115" i="34"/>
  <c r="G116" i="34"/>
  <c r="G124" i="34"/>
  <c r="G125" i="34"/>
  <c r="G126" i="34"/>
  <c r="G136" i="34"/>
  <c r="G137" i="34"/>
  <c r="G138" i="34"/>
  <c r="G139" i="34"/>
  <c r="G140" i="34"/>
  <c r="G152" i="34"/>
  <c r="G160" i="34"/>
  <c r="G161" i="34"/>
  <c r="G162" i="34"/>
  <c r="G163" i="34"/>
  <c r="G184" i="34"/>
  <c r="G185" i="34"/>
  <c r="G186" i="34"/>
  <c r="G187" i="34"/>
  <c r="G188" i="34"/>
  <c r="C193" i="34"/>
  <c r="F16" i="30"/>
  <c r="F16" i="32"/>
  <c r="F101" i="31"/>
  <c r="F113" i="31"/>
  <c r="E193" i="34" l="1"/>
  <c r="G14" i="34"/>
  <c r="G11" i="34"/>
  <c r="G193" i="34" s="1"/>
  <c r="F79" i="31"/>
  <c r="F84" i="32"/>
  <c r="F76" i="31"/>
  <c r="F165" i="32"/>
  <c r="F52" i="31"/>
  <c r="F13" i="32"/>
  <c r="F17" i="32"/>
  <c r="F45" i="30"/>
  <c r="F44" i="32"/>
  <c r="F9" i="31"/>
  <c r="F130" i="31" l="1"/>
  <c r="F93" i="31"/>
  <c r="F26" i="32"/>
  <c r="F84" i="31"/>
  <c r="F82" i="31"/>
  <c r="F6" i="32"/>
  <c r="F55" i="31"/>
  <c r="F96" i="31"/>
  <c r="F102" i="31"/>
  <c r="F99" i="31"/>
  <c r="F45" i="31"/>
  <c r="F64" i="31"/>
  <c r="F39" i="32"/>
  <c r="F27" i="31"/>
  <c r="F51" i="31"/>
  <c r="F49" i="31"/>
  <c r="F27" i="32"/>
  <c r="F120" i="31" l="1"/>
  <c r="F17" i="31"/>
  <c r="F26" i="31"/>
  <c r="F146" i="32" l="1"/>
  <c r="F29" i="32"/>
  <c r="F102" i="32"/>
  <c r="F100" i="31"/>
  <c r="F28" i="31"/>
  <c r="F32" i="33"/>
  <c r="F192" i="33" s="1"/>
  <c r="G21" i="33"/>
  <c r="E4" i="33"/>
  <c r="G4" i="33" s="1"/>
  <c r="E5" i="33"/>
  <c r="G5" i="33" s="1"/>
  <c r="E6" i="33"/>
  <c r="G6" i="33" s="1"/>
  <c r="E7" i="33"/>
  <c r="G7" i="33" s="1"/>
  <c r="E8" i="33"/>
  <c r="G8" i="33" s="1"/>
  <c r="E9" i="33"/>
  <c r="G9" i="33" s="1"/>
  <c r="E10" i="33"/>
  <c r="G10" i="33" s="1"/>
  <c r="E11" i="33"/>
  <c r="G11" i="33" s="1"/>
  <c r="E12" i="33"/>
  <c r="G12" i="33" s="1"/>
  <c r="E13" i="33"/>
  <c r="G13" i="33" s="1"/>
  <c r="E14" i="33"/>
  <c r="G14" i="33" s="1"/>
  <c r="E15" i="33"/>
  <c r="G15" i="33" s="1"/>
  <c r="E16" i="33"/>
  <c r="G16" i="33" s="1"/>
  <c r="E17" i="33"/>
  <c r="G17" i="33" s="1"/>
  <c r="E18" i="33"/>
  <c r="G18" i="33" s="1"/>
  <c r="E19" i="33"/>
  <c r="G19" i="33" s="1"/>
  <c r="E20" i="33"/>
  <c r="G20" i="33" s="1"/>
  <c r="E21" i="33"/>
  <c r="E22" i="33"/>
  <c r="G22" i="33" s="1"/>
  <c r="E23" i="33"/>
  <c r="G23" i="33" s="1"/>
  <c r="E24" i="33"/>
  <c r="G24" i="33" s="1"/>
  <c r="E25" i="33"/>
  <c r="G25" i="33" s="1"/>
  <c r="E26" i="33"/>
  <c r="G26" i="33" s="1"/>
  <c r="E27" i="33"/>
  <c r="G27" i="33" s="1"/>
  <c r="E28" i="33"/>
  <c r="G28" i="33" s="1"/>
  <c r="E29" i="33"/>
  <c r="G29" i="33" s="1"/>
  <c r="E30" i="33"/>
  <c r="G30" i="33" s="1"/>
  <c r="E31" i="33"/>
  <c r="G31" i="33" s="1"/>
  <c r="E32" i="33"/>
  <c r="G32" i="33" s="1"/>
  <c r="E33" i="33"/>
  <c r="G33" i="33" s="1"/>
  <c r="E34" i="33"/>
  <c r="G34" i="33" s="1"/>
  <c r="E35" i="33"/>
  <c r="G35" i="33" s="1"/>
  <c r="E36" i="33"/>
  <c r="G36" i="33" s="1"/>
  <c r="E37" i="33"/>
  <c r="G37" i="33" s="1"/>
  <c r="E38" i="33"/>
  <c r="G38" i="33" s="1"/>
  <c r="E39" i="33"/>
  <c r="G39" i="33" s="1"/>
  <c r="E40" i="33"/>
  <c r="G40" i="33" s="1"/>
  <c r="E41" i="33"/>
  <c r="G41" i="33" s="1"/>
  <c r="E42" i="33"/>
  <c r="G42" i="33" s="1"/>
  <c r="E43" i="33"/>
  <c r="G43" i="33" s="1"/>
  <c r="E44" i="33"/>
  <c r="G44" i="33" s="1"/>
  <c r="E45" i="33"/>
  <c r="G45" i="33" s="1"/>
  <c r="E46" i="33"/>
  <c r="G46" i="33" s="1"/>
  <c r="E47" i="33"/>
  <c r="G47" i="33" s="1"/>
  <c r="E48" i="33"/>
  <c r="G48" i="33" s="1"/>
  <c r="E49" i="33"/>
  <c r="G49" i="33" s="1"/>
  <c r="E50" i="33"/>
  <c r="G50" i="33" s="1"/>
  <c r="E51" i="33"/>
  <c r="G51" i="33" s="1"/>
  <c r="E52" i="33"/>
  <c r="G52" i="33" s="1"/>
  <c r="E53" i="33"/>
  <c r="G53" i="33" s="1"/>
  <c r="E54" i="33"/>
  <c r="G54" i="33" s="1"/>
  <c r="E55" i="33"/>
  <c r="G55" i="33" s="1"/>
  <c r="E56" i="33"/>
  <c r="G56" i="33" s="1"/>
  <c r="E57" i="33"/>
  <c r="G57" i="33" s="1"/>
  <c r="E58" i="33"/>
  <c r="G58" i="33" s="1"/>
  <c r="E59" i="33"/>
  <c r="G59" i="33" s="1"/>
  <c r="E60" i="33"/>
  <c r="G60" i="33" s="1"/>
  <c r="E61" i="33"/>
  <c r="G61" i="33" s="1"/>
  <c r="E62" i="33"/>
  <c r="G62" i="33" s="1"/>
  <c r="E63" i="33"/>
  <c r="G63" i="33" s="1"/>
  <c r="E64" i="33"/>
  <c r="G64" i="33" s="1"/>
  <c r="E65" i="33"/>
  <c r="G65" i="33" s="1"/>
  <c r="E66" i="33"/>
  <c r="G66" i="33" s="1"/>
  <c r="E67" i="33"/>
  <c r="G67" i="33" s="1"/>
  <c r="E68" i="33"/>
  <c r="G68" i="33" s="1"/>
  <c r="E69" i="33"/>
  <c r="G69" i="33" s="1"/>
  <c r="E70" i="33"/>
  <c r="G70" i="33" s="1"/>
  <c r="E71" i="33"/>
  <c r="G71" i="33" s="1"/>
  <c r="E72" i="33"/>
  <c r="G72" i="33" s="1"/>
  <c r="E73" i="33"/>
  <c r="G73" i="33" s="1"/>
  <c r="E74" i="33"/>
  <c r="G74" i="33" s="1"/>
  <c r="E75" i="33"/>
  <c r="G75" i="33" s="1"/>
  <c r="E76" i="33"/>
  <c r="G76" i="33" s="1"/>
  <c r="E77" i="33"/>
  <c r="G77" i="33" s="1"/>
  <c r="E78" i="33"/>
  <c r="G78" i="33" s="1"/>
  <c r="E79" i="33"/>
  <c r="G79" i="33" s="1"/>
  <c r="E80" i="33"/>
  <c r="G80" i="33" s="1"/>
  <c r="E81" i="33"/>
  <c r="G81" i="33" s="1"/>
  <c r="E82" i="33"/>
  <c r="G82" i="33" s="1"/>
  <c r="E83" i="33"/>
  <c r="G83" i="33" s="1"/>
  <c r="E84" i="33"/>
  <c r="G84" i="33" s="1"/>
  <c r="E85" i="33"/>
  <c r="G85" i="33" s="1"/>
  <c r="E86" i="33"/>
  <c r="G86" i="33" s="1"/>
  <c r="E87" i="33"/>
  <c r="G87" i="33" s="1"/>
  <c r="E88" i="33"/>
  <c r="G88" i="33" s="1"/>
  <c r="E89" i="33"/>
  <c r="G89" i="33" s="1"/>
  <c r="E90" i="33"/>
  <c r="G90" i="33" s="1"/>
  <c r="E91" i="33"/>
  <c r="G91" i="33" s="1"/>
  <c r="E92" i="33"/>
  <c r="G92" i="33" s="1"/>
  <c r="E93" i="33"/>
  <c r="G93" i="33" s="1"/>
  <c r="E94" i="33"/>
  <c r="G94" i="33" s="1"/>
  <c r="E95" i="33"/>
  <c r="G95" i="33" s="1"/>
  <c r="E96" i="33"/>
  <c r="G96" i="33" s="1"/>
  <c r="E97" i="33"/>
  <c r="G97" i="33" s="1"/>
  <c r="E98" i="33"/>
  <c r="G98" i="33" s="1"/>
  <c r="E99" i="33"/>
  <c r="G99" i="33" s="1"/>
  <c r="E100" i="33"/>
  <c r="G100" i="33" s="1"/>
  <c r="E101" i="33"/>
  <c r="G101" i="33" s="1"/>
  <c r="E102" i="33"/>
  <c r="G102" i="33" s="1"/>
  <c r="E103" i="33"/>
  <c r="G103" i="33" s="1"/>
  <c r="E104" i="33"/>
  <c r="G104" i="33" s="1"/>
  <c r="E105" i="33"/>
  <c r="G105" i="33" s="1"/>
  <c r="E106" i="33"/>
  <c r="G106" i="33" s="1"/>
  <c r="E107" i="33"/>
  <c r="G107" i="33" s="1"/>
  <c r="E108" i="33"/>
  <c r="G108" i="33" s="1"/>
  <c r="E109" i="33"/>
  <c r="G109" i="33" s="1"/>
  <c r="E110" i="33"/>
  <c r="G110" i="33" s="1"/>
  <c r="E111" i="33"/>
  <c r="G111" i="33" s="1"/>
  <c r="E112" i="33"/>
  <c r="G112" i="33" s="1"/>
  <c r="E113" i="33"/>
  <c r="G113" i="33" s="1"/>
  <c r="E114" i="33"/>
  <c r="G114" i="33" s="1"/>
  <c r="E115" i="33"/>
  <c r="G115" i="33" s="1"/>
  <c r="E116" i="33"/>
  <c r="G116" i="33" s="1"/>
  <c r="E117" i="33"/>
  <c r="G117" i="33" s="1"/>
  <c r="E118" i="33"/>
  <c r="G118" i="33" s="1"/>
  <c r="E119" i="33"/>
  <c r="G119" i="33" s="1"/>
  <c r="E120" i="33"/>
  <c r="G120" i="33" s="1"/>
  <c r="E121" i="33"/>
  <c r="G121" i="33" s="1"/>
  <c r="E122" i="33"/>
  <c r="G122" i="33" s="1"/>
  <c r="E123" i="33"/>
  <c r="G123" i="33" s="1"/>
  <c r="E124" i="33"/>
  <c r="G124" i="33" s="1"/>
  <c r="E125" i="33"/>
  <c r="G125" i="33" s="1"/>
  <c r="E126" i="33"/>
  <c r="G126" i="33" s="1"/>
  <c r="E127" i="33"/>
  <c r="G127" i="33" s="1"/>
  <c r="E128" i="33"/>
  <c r="G128" i="33" s="1"/>
  <c r="E129" i="33"/>
  <c r="G129" i="33" s="1"/>
  <c r="E130" i="33"/>
  <c r="G130" i="33" s="1"/>
  <c r="E131" i="33"/>
  <c r="G131" i="33" s="1"/>
  <c r="E132" i="33"/>
  <c r="G132" i="33" s="1"/>
  <c r="E133" i="33"/>
  <c r="G133" i="33" s="1"/>
  <c r="E134" i="33"/>
  <c r="G134" i="33" s="1"/>
  <c r="E135" i="33"/>
  <c r="G135" i="33" s="1"/>
  <c r="E136" i="33"/>
  <c r="G136" i="33" s="1"/>
  <c r="E137" i="33"/>
  <c r="G137" i="33" s="1"/>
  <c r="E138" i="33"/>
  <c r="G138" i="33" s="1"/>
  <c r="E139" i="33"/>
  <c r="G139" i="33" s="1"/>
  <c r="E140" i="33"/>
  <c r="G140" i="33" s="1"/>
  <c r="E141" i="33"/>
  <c r="G141" i="33" s="1"/>
  <c r="E142" i="33"/>
  <c r="G142" i="33" s="1"/>
  <c r="E143" i="33"/>
  <c r="G143" i="33" s="1"/>
  <c r="E144" i="33"/>
  <c r="G144" i="33" s="1"/>
  <c r="E145" i="33"/>
  <c r="G145" i="33" s="1"/>
  <c r="E146" i="33"/>
  <c r="G146" i="33" s="1"/>
  <c r="E147" i="33"/>
  <c r="G147" i="33" s="1"/>
  <c r="E148" i="33"/>
  <c r="G148" i="33" s="1"/>
  <c r="E149" i="33"/>
  <c r="G149" i="33" s="1"/>
  <c r="E150" i="33"/>
  <c r="G150" i="33" s="1"/>
  <c r="E151" i="33"/>
  <c r="G151" i="33" s="1"/>
  <c r="E152" i="33"/>
  <c r="G152" i="33" s="1"/>
  <c r="E153" i="33"/>
  <c r="G153" i="33" s="1"/>
  <c r="E154" i="33"/>
  <c r="G154" i="33" s="1"/>
  <c r="E155" i="33"/>
  <c r="G155" i="33" s="1"/>
  <c r="E156" i="33"/>
  <c r="G156" i="33" s="1"/>
  <c r="E157" i="33"/>
  <c r="G157" i="33" s="1"/>
  <c r="E158" i="33"/>
  <c r="G158" i="33" s="1"/>
  <c r="E159" i="33"/>
  <c r="G159" i="33" s="1"/>
  <c r="E160" i="33"/>
  <c r="G160" i="33" s="1"/>
  <c r="E161" i="33"/>
  <c r="G161" i="33" s="1"/>
  <c r="E162" i="33"/>
  <c r="G162" i="33" s="1"/>
  <c r="E163" i="33"/>
  <c r="G163" i="33" s="1"/>
  <c r="E164" i="33"/>
  <c r="G164" i="33" s="1"/>
  <c r="E165" i="33"/>
  <c r="G165" i="33" s="1"/>
  <c r="E166" i="33"/>
  <c r="G166" i="33" s="1"/>
  <c r="E167" i="33"/>
  <c r="G167" i="33" s="1"/>
  <c r="E168" i="33"/>
  <c r="G168" i="33" s="1"/>
  <c r="E169" i="33"/>
  <c r="G169" i="33" s="1"/>
  <c r="E170" i="33"/>
  <c r="G170" i="33" s="1"/>
  <c r="E171" i="33"/>
  <c r="G171" i="33" s="1"/>
  <c r="E172" i="33"/>
  <c r="G172" i="33" s="1"/>
  <c r="E173" i="33"/>
  <c r="G173" i="33" s="1"/>
  <c r="E174" i="33"/>
  <c r="G174" i="33" s="1"/>
  <c r="E175" i="33"/>
  <c r="G175" i="33" s="1"/>
  <c r="E176" i="33"/>
  <c r="G176" i="33" s="1"/>
  <c r="E177" i="33"/>
  <c r="G177" i="33" s="1"/>
  <c r="E178" i="33"/>
  <c r="G178" i="33" s="1"/>
  <c r="E179" i="33"/>
  <c r="G179" i="33" s="1"/>
  <c r="E180" i="33"/>
  <c r="G180" i="33" s="1"/>
  <c r="E181" i="33"/>
  <c r="G181" i="33" s="1"/>
  <c r="E182" i="33"/>
  <c r="G182" i="33" s="1"/>
  <c r="E183" i="33"/>
  <c r="G183" i="33" s="1"/>
  <c r="E184" i="33"/>
  <c r="G184" i="33" s="1"/>
  <c r="E185" i="33"/>
  <c r="G185" i="33" s="1"/>
  <c r="E186" i="33"/>
  <c r="G186" i="33" s="1"/>
  <c r="E187" i="33"/>
  <c r="G187" i="33" s="1"/>
  <c r="E188" i="33"/>
  <c r="G188" i="33" s="1"/>
  <c r="E189" i="33"/>
  <c r="G189" i="33" s="1"/>
  <c r="E190" i="33"/>
  <c r="G190" i="33" s="1"/>
  <c r="E191" i="33"/>
  <c r="G191" i="33" s="1"/>
  <c r="C192" i="33"/>
  <c r="G192" i="33" l="1"/>
  <c r="E192" i="33"/>
  <c r="G45" i="29"/>
  <c r="F23" i="32"/>
  <c r="F22" i="31"/>
  <c r="F19" i="31"/>
  <c r="G43" i="29"/>
  <c r="F44" i="31"/>
  <c r="F13" i="30"/>
  <c r="F78" i="30"/>
  <c r="F29" i="31" l="1"/>
  <c r="G77" i="29"/>
  <c r="F25" i="31"/>
  <c r="F25" i="30"/>
  <c r="G79" i="29"/>
  <c r="F42" i="30"/>
  <c r="F40" i="30"/>
  <c r="F114" i="32"/>
  <c r="F30" i="31"/>
  <c r="F106" i="31"/>
  <c r="F108" i="32"/>
  <c r="F38" i="31"/>
  <c r="F10" i="31"/>
  <c r="F6" i="31"/>
  <c r="F50" i="30"/>
  <c r="F27" i="30"/>
  <c r="F83" i="31"/>
  <c r="F10" i="30" l="1"/>
  <c r="E4" i="32" l="1"/>
  <c r="E5" i="32"/>
  <c r="G5" i="32" s="1"/>
  <c r="E6" i="32"/>
  <c r="G6" i="32" s="1"/>
  <c r="E7" i="32"/>
  <c r="G7" i="32" s="1"/>
  <c r="E8" i="32"/>
  <c r="G8" i="32" s="1"/>
  <c r="E9" i="32"/>
  <c r="G9" i="32" s="1"/>
  <c r="E10" i="32"/>
  <c r="G10" i="32" s="1"/>
  <c r="E11" i="32"/>
  <c r="G11" i="32" s="1"/>
  <c r="E12" i="32"/>
  <c r="G12" i="32" s="1"/>
  <c r="E13" i="32"/>
  <c r="G13" i="32" s="1"/>
  <c r="E14" i="32"/>
  <c r="G14" i="32" s="1"/>
  <c r="E15" i="32"/>
  <c r="G15" i="32" s="1"/>
  <c r="E16" i="32"/>
  <c r="G16" i="32" s="1"/>
  <c r="E17" i="32"/>
  <c r="G17" i="32" s="1"/>
  <c r="E18" i="32"/>
  <c r="G18" i="32" s="1"/>
  <c r="E19" i="32"/>
  <c r="G19" i="32" s="1"/>
  <c r="E20" i="32"/>
  <c r="G20" i="32" s="1"/>
  <c r="E21" i="32"/>
  <c r="G21" i="32" s="1"/>
  <c r="E22" i="32"/>
  <c r="G22" i="32" s="1"/>
  <c r="E23" i="32"/>
  <c r="G23" i="32" s="1"/>
  <c r="E24" i="32"/>
  <c r="G24" i="32" s="1"/>
  <c r="E25" i="32"/>
  <c r="G25" i="32" s="1"/>
  <c r="E26" i="32"/>
  <c r="G26" i="32" s="1"/>
  <c r="E27" i="32"/>
  <c r="G27" i="32" s="1"/>
  <c r="E28" i="32"/>
  <c r="G28" i="32" s="1"/>
  <c r="E29" i="32"/>
  <c r="G29" i="32" s="1"/>
  <c r="E30" i="32"/>
  <c r="G30" i="32" s="1"/>
  <c r="E31" i="32"/>
  <c r="G31" i="32" s="1"/>
  <c r="E32" i="32"/>
  <c r="F32" i="32" s="1"/>
  <c r="F184" i="32" s="1"/>
  <c r="E33" i="32"/>
  <c r="G33" i="32" s="1"/>
  <c r="E34" i="32"/>
  <c r="G34" i="32" s="1"/>
  <c r="E35" i="32"/>
  <c r="G35" i="32" s="1"/>
  <c r="E36" i="32"/>
  <c r="G36" i="32" s="1"/>
  <c r="E37" i="32"/>
  <c r="G37" i="32" s="1"/>
  <c r="E38" i="32"/>
  <c r="G38" i="32" s="1"/>
  <c r="E39" i="32"/>
  <c r="G39" i="32" s="1"/>
  <c r="E40" i="32"/>
  <c r="G40" i="32" s="1"/>
  <c r="E41" i="32"/>
  <c r="G41" i="32" s="1"/>
  <c r="E42" i="32"/>
  <c r="G42" i="32" s="1"/>
  <c r="E43" i="32"/>
  <c r="G43" i="32" s="1"/>
  <c r="E44" i="32"/>
  <c r="G44" i="32" s="1"/>
  <c r="E45" i="32"/>
  <c r="G45" i="32" s="1"/>
  <c r="E46" i="32"/>
  <c r="G46" i="32" s="1"/>
  <c r="E47" i="32"/>
  <c r="G47" i="32" s="1"/>
  <c r="E48" i="32"/>
  <c r="G48" i="32" s="1"/>
  <c r="E49" i="32"/>
  <c r="G49" i="32" s="1"/>
  <c r="E50" i="32"/>
  <c r="G50" i="32" s="1"/>
  <c r="E51" i="32"/>
  <c r="G51" i="32" s="1"/>
  <c r="E52" i="32"/>
  <c r="G52" i="32" s="1"/>
  <c r="E53" i="32"/>
  <c r="G53" i="32" s="1"/>
  <c r="E54" i="32"/>
  <c r="G54" i="32" s="1"/>
  <c r="E55" i="32"/>
  <c r="G55" i="32" s="1"/>
  <c r="E56" i="32"/>
  <c r="G56" i="32" s="1"/>
  <c r="E57" i="32"/>
  <c r="G57" i="32" s="1"/>
  <c r="E58" i="32"/>
  <c r="G58" i="32" s="1"/>
  <c r="E59" i="32"/>
  <c r="G59" i="32" s="1"/>
  <c r="E60" i="32"/>
  <c r="G60" i="32" s="1"/>
  <c r="E61" i="32"/>
  <c r="G61" i="32" s="1"/>
  <c r="E62" i="32"/>
  <c r="G62" i="32" s="1"/>
  <c r="E63" i="32"/>
  <c r="G63" i="32" s="1"/>
  <c r="E64" i="32"/>
  <c r="G64" i="32" s="1"/>
  <c r="E65" i="32"/>
  <c r="G65" i="32" s="1"/>
  <c r="E66" i="32"/>
  <c r="G66" i="32" s="1"/>
  <c r="E67" i="32"/>
  <c r="G67" i="32" s="1"/>
  <c r="E68" i="32"/>
  <c r="G68" i="32" s="1"/>
  <c r="E69" i="32"/>
  <c r="G69" i="32" s="1"/>
  <c r="E70" i="32"/>
  <c r="G70" i="32" s="1"/>
  <c r="E71" i="32"/>
  <c r="G71" i="32" s="1"/>
  <c r="E72" i="32"/>
  <c r="G72" i="32" s="1"/>
  <c r="E73" i="32"/>
  <c r="G73" i="32" s="1"/>
  <c r="E74" i="32"/>
  <c r="G74" i="32" s="1"/>
  <c r="E75" i="32"/>
  <c r="G75" i="32" s="1"/>
  <c r="E76" i="32"/>
  <c r="G76" i="32" s="1"/>
  <c r="E77" i="32"/>
  <c r="G77" i="32" s="1"/>
  <c r="E78" i="32"/>
  <c r="G78" i="32" s="1"/>
  <c r="E79" i="32"/>
  <c r="G79" i="32" s="1"/>
  <c r="E80" i="32"/>
  <c r="G80" i="32" s="1"/>
  <c r="E81" i="32"/>
  <c r="G81" i="32" s="1"/>
  <c r="E82" i="32"/>
  <c r="G82" i="32" s="1"/>
  <c r="E83" i="32"/>
  <c r="G83" i="32" s="1"/>
  <c r="E84" i="32"/>
  <c r="G84" i="32" s="1"/>
  <c r="E85" i="32"/>
  <c r="G85" i="32" s="1"/>
  <c r="E86" i="32"/>
  <c r="G86" i="32" s="1"/>
  <c r="E87" i="32"/>
  <c r="G87" i="32" s="1"/>
  <c r="E88" i="32"/>
  <c r="G88" i="32" s="1"/>
  <c r="E89" i="32"/>
  <c r="G89" i="32" s="1"/>
  <c r="E90" i="32"/>
  <c r="G90" i="32" s="1"/>
  <c r="E91" i="32"/>
  <c r="G91" i="32" s="1"/>
  <c r="E92" i="32"/>
  <c r="G92" i="32" s="1"/>
  <c r="E93" i="32"/>
  <c r="G93" i="32" s="1"/>
  <c r="E94" i="32"/>
  <c r="G94" i="32" s="1"/>
  <c r="E95" i="32"/>
  <c r="G95" i="32" s="1"/>
  <c r="E96" i="32"/>
  <c r="G96" i="32" s="1"/>
  <c r="E97" i="32"/>
  <c r="G97" i="32" s="1"/>
  <c r="E98" i="32"/>
  <c r="G98" i="32" s="1"/>
  <c r="E99" i="32"/>
  <c r="G99" i="32" s="1"/>
  <c r="E100" i="32"/>
  <c r="G100" i="32" s="1"/>
  <c r="E101" i="32"/>
  <c r="G101" i="32" s="1"/>
  <c r="E102" i="32"/>
  <c r="G102" i="32" s="1"/>
  <c r="E103" i="32"/>
  <c r="G103" i="32" s="1"/>
  <c r="E104" i="32"/>
  <c r="G104" i="32" s="1"/>
  <c r="E105" i="32"/>
  <c r="G105" i="32" s="1"/>
  <c r="E106" i="32"/>
  <c r="G106" i="32" s="1"/>
  <c r="E107" i="32"/>
  <c r="G107" i="32" s="1"/>
  <c r="E108" i="32"/>
  <c r="G108" i="32" s="1"/>
  <c r="E109" i="32"/>
  <c r="G109" i="32" s="1"/>
  <c r="E110" i="32"/>
  <c r="G110" i="32" s="1"/>
  <c r="E111" i="32"/>
  <c r="G111" i="32" s="1"/>
  <c r="E112" i="32"/>
  <c r="G112" i="32" s="1"/>
  <c r="E113" i="32"/>
  <c r="G113" i="32" s="1"/>
  <c r="E114" i="32"/>
  <c r="G114" i="32" s="1"/>
  <c r="E115" i="32"/>
  <c r="G115" i="32" s="1"/>
  <c r="E116" i="32"/>
  <c r="G116" i="32" s="1"/>
  <c r="E117" i="32"/>
  <c r="G117" i="32" s="1"/>
  <c r="E118" i="32"/>
  <c r="G118" i="32" s="1"/>
  <c r="E119" i="32"/>
  <c r="G119" i="32" s="1"/>
  <c r="E120" i="32"/>
  <c r="G120" i="32" s="1"/>
  <c r="E121" i="32"/>
  <c r="G121" i="32" s="1"/>
  <c r="E122" i="32"/>
  <c r="G122" i="32" s="1"/>
  <c r="E123" i="32"/>
  <c r="G123" i="32" s="1"/>
  <c r="E124" i="32"/>
  <c r="G124" i="32" s="1"/>
  <c r="E125" i="32"/>
  <c r="G125" i="32" s="1"/>
  <c r="E126" i="32"/>
  <c r="G126" i="32" s="1"/>
  <c r="E127" i="32"/>
  <c r="G127" i="32" s="1"/>
  <c r="E128" i="32"/>
  <c r="G128" i="32" s="1"/>
  <c r="E129" i="32"/>
  <c r="G129" i="32" s="1"/>
  <c r="E130" i="32"/>
  <c r="G130" i="32" s="1"/>
  <c r="E131" i="32"/>
  <c r="G131" i="32" s="1"/>
  <c r="E132" i="32"/>
  <c r="G132" i="32" s="1"/>
  <c r="E133" i="32"/>
  <c r="G133" i="32" s="1"/>
  <c r="E134" i="32"/>
  <c r="G134" i="32" s="1"/>
  <c r="E135" i="32"/>
  <c r="G135" i="32" s="1"/>
  <c r="E136" i="32"/>
  <c r="G136" i="32" s="1"/>
  <c r="E137" i="32"/>
  <c r="G137" i="32" s="1"/>
  <c r="E138" i="32"/>
  <c r="G138" i="32" s="1"/>
  <c r="E139" i="32"/>
  <c r="G139" i="32" s="1"/>
  <c r="E140" i="32"/>
  <c r="G140" i="32" s="1"/>
  <c r="E141" i="32"/>
  <c r="G141" i="32" s="1"/>
  <c r="E142" i="32"/>
  <c r="G142" i="32" s="1"/>
  <c r="E143" i="32"/>
  <c r="G143" i="32" s="1"/>
  <c r="E144" i="32"/>
  <c r="G144" i="32" s="1"/>
  <c r="E145" i="32"/>
  <c r="G145" i="32" s="1"/>
  <c r="E146" i="32"/>
  <c r="G146" i="32" s="1"/>
  <c r="E147" i="32"/>
  <c r="G147" i="32" s="1"/>
  <c r="E148" i="32"/>
  <c r="G148" i="32" s="1"/>
  <c r="E149" i="32"/>
  <c r="G149" i="32" s="1"/>
  <c r="E150" i="32"/>
  <c r="G150" i="32" s="1"/>
  <c r="E151" i="32"/>
  <c r="G151" i="32" s="1"/>
  <c r="E152" i="32"/>
  <c r="G152" i="32" s="1"/>
  <c r="E153" i="32"/>
  <c r="G153" i="32" s="1"/>
  <c r="E154" i="32"/>
  <c r="G154" i="32" s="1"/>
  <c r="E155" i="32"/>
  <c r="G155" i="32" s="1"/>
  <c r="E156" i="32"/>
  <c r="G156" i="32" s="1"/>
  <c r="E157" i="32"/>
  <c r="G157" i="32" s="1"/>
  <c r="E158" i="32"/>
  <c r="G158" i="32" s="1"/>
  <c r="E159" i="32"/>
  <c r="G159" i="32" s="1"/>
  <c r="E160" i="32"/>
  <c r="G160" i="32" s="1"/>
  <c r="E161" i="32"/>
  <c r="G161" i="32" s="1"/>
  <c r="E162" i="32"/>
  <c r="G162" i="32" s="1"/>
  <c r="E163" i="32"/>
  <c r="G163" i="32" s="1"/>
  <c r="E164" i="32"/>
  <c r="G164" i="32" s="1"/>
  <c r="E165" i="32"/>
  <c r="G165" i="32" s="1"/>
  <c r="E166" i="32"/>
  <c r="G166" i="32" s="1"/>
  <c r="E167" i="32"/>
  <c r="G167" i="32" s="1"/>
  <c r="E168" i="32"/>
  <c r="G168" i="32" s="1"/>
  <c r="E169" i="32"/>
  <c r="G169" i="32" s="1"/>
  <c r="E170" i="32"/>
  <c r="G170" i="32" s="1"/>
  <c r="E171" i="32"/>
  <c r="G171" i="32" s="1"/>
  <c r="E172" i="32"/>
  <c r="G172" i="32" s="1"/>
  <c r="E173" i="32"/>
  <c r="G173" i="32" s="1"/>
  <c r="E174" i="32"/>
  <c r="G174" i="32" s="1"/>
  <c r="E175" i="32"/>
  <c r="G175" i="32" s="1"/>
  <c r="E176" i="32"/>
  <c r="G176" i="32" s="1"/>
  <c r="E177" i="32"/>
  <c r="G177" i="32" s="1"/>
  <c r="E178" i="32"/>
  <c r="G178" i="32" s="1"/>
  <c r="E179" i="32"/>
  <c r="G179" i="32" s="1"/>
  <c r="E180" i="32"/>
  <c r="G180" i="32" s="1"/>
  <c r="E181" i="32"/>
  <c r="G181" i="32" s="1"/>
  <c r="E182" i="32"/>
  <c r="G182" i="32" s="1"/>
  <c r="E183" i="32"/>
  <c r="G183" i="32" s="1"/>
  <c r="C184" i="32"/>
  <c r="G39" i="29"/>
  <c r="F9" i="30"/>
  <c r="F48" i="30"/>
  <c r="G4" i="32" l="1"/>
  <c r="E184" i="32"/>
  <c r="G32" i="32"/>
  <c r="G184" i="32" s="1"/>
  <c r="F83" i="30"/>
  <c r="F81" i="30"/>
  <c r="F75" i="30"/>
  <c r="F31" i="31"/>
  <c r="G52" i="29"/>
  <c r="F63" i="30"/>
  <c r="G37" i="29"/>
  <c r="F17" i="30"/>
  <c r="G44" i="29" l="1"/>
  <c r="F6" i="30"/>
  <c r="G51" i="29"/>
  <c r="G54" i="29"/>
  <c r="G22" i="29"/>
  <c r="G27" i="29"/>
  <c r="G28" i="29"/>
  <c r="F6" i="29" l="1"/>
  <c r="G6" i="29" s="1"/>
  <c r="G80" i="29" l="1"/>
  <c r="G81" i="29"/>
  <c r="G26" i="29" l="1"/>
  <c r="G29" i="29"/>
  <c r="G63" i="29" l="1"/>
  <c r="G42" i="29"/>
  <c r="G78" i="29"/>
  <c r="F30" i="30"/>
  <c r="G25" i="29"/>
  <c r="G9" i="29"/>
  <c r="G13" i="29"/>
  <c r="G48" i="29"/>
  <c r="G17" i="29"/>
  <c r="G10" i="29" l="1"/>
  <c r="G40" i="29"/>
  <c r="E4" i="31" l="1"/>
  <c r="G4" i="31" s="1"/>
  <c r="E5" i="31"/>
  <c r="G5" i="31" s="1"/>
  <c r="E6" i="31"/>
  <c r="G6" i="31" s="1"/>
  <c r="E7" i="31"/>
  <c r="G7" i="31" s="1"/>
  <c r="E8" i="31"/>
  <c r="G8" i="31" s="1"/>
  <c r="E9" i="31"/>
  <c r="G9" i="31" s="1"/>
  <c r="E10" i="31"/>
  <c r="G10" i="31" s="1"/>
  <c r="E11" i="31"/>
  <c r="G11" i="31" s="1"/>
  <c r="E12" i="31"/>
  <c r="G12" i="31" s="1"/>
  <c r="E13" i="31"/>
  <c r="F13" i="31" s="1"/>
  <c r="E14" i="31"/>
  <c r="G14" i="31" s="1"/>
  <c r="E15" i="31"/>
  <c r="G15" i="31" s="1"/>
  <c r="E16" i="31"/>
  <c r="E17" i="31"/>
  <c r="G17" i="31" s="1"/>
  <c r="E18" i="31"/>
  <c r="G18" i="31" s="1"/>
  <c r="E19" i="31"/>
  <c r="G19" i="31" s="1"/>
  <c r="E20" i="31"/>
  <c r="G20" i="31" s="1"/>
  <c r="E21" i="31"/>
  <c r="G21" i="31" s="1"/>
  <c r="E22" i="31"/>
  <c r="G22" i="31" s="1"/>
  <c r="E23" i="31"/>
  <c r="G23" i="31" s="1"/>
  <c r="E24" i="31"/>
  <c r="G24" i="31" s="1"/>
  <c r="E25" i="31"/>
  <c r="G25" i="31" s="1"/>
  <c r="E26" i="31"/>
  <c r="G26" i="31" s="1"/>
  <c r="E27" i="31"/>
  <c r="G27" i="31" s="1"/>
  <c r="E28" i="31"/>
  <c r="G28" i="31" s="1"/>
  <c r="E29" i="31"/>
  <c r="G29" i="31" s="1"/>
  <c r="E30" i="31"/>
  <c r="G30" i="31" s="1"/>
  <c r="E31" i="31"/>
  <c r="G31" i="31" s="1"/>
  <c r="E32" i="31"/>
  <c r="G32" i="31" s="1"/>
  <c r="E33" i="31"/>
  <c r="G33" i="31" s="1"/>
  <c r="E34" i="31"/>
  <c r="G34" i="31" s="1"/>
  <c r="E35" i="31"/>
  <c r="G35" i="31" s="1"/>
  <c r="E36" i="31"/>
  <c r="G36" i="31" s="1"/>
  <c r="E37" i="31"/>
  <c r="G37" i="31" s="1"/>
  <c r="E38" i="31"/>
  <c r="G38" i="31" s="1"/>
  <c r="E39" i="31"/>
  <c r="G39" i="31" s="1"/>
  <c r="E40" i="31"/>
  <c r="G40" i="31" s="1"/>
  <c r="E41" i="31"/>
  <c r="F41" i="31" s="1"/>
  <c r="E42" i="31"/>
  <c r="G42" i="31" s="1"/>
  <c r="E43" i="31"/>
  <c r="F43" i="31" s="1"/>
  <c r="E44" i="31"/>
  <c r="G44" i="31" s="1"/>
  <c r="E45" i="31"/>
  <c r="G45" i="31" s="1"/>
  <c r="E46" i="31"/>
  <c r="G46" i="31" s="1"/>
  <c r="E47" i="31"/>
  <c r="G47" i="31" s="1"/>
  <c r="E48" i="31"/>
  <c r="G48" i="31" s="1"/>
  <c r="E49" i="31"/>
  <c r="G49" i="31" s="1"/>
  <c r="E50" i="31"/>
  <c r="G50" i="31" s="1"/>
  <c r="E51" i="31"/>
  <c r="G51" i="31" s="1"/>
  <c r="E52" i="31"/>
  <c r="G52" i="31" s="1"/>
  <c r="E53" i="31"/>
  <c r="F53" i="31" s="1"/>
  <c r="E54" i="31"/>
  <c r="G54" i="31" s="1"/>
  <c r="E55" i="31"/>
  <c r="G55" i="31" s="1"/>
  <c r="E56" i="31"/>
  <c r="G56" i="31" s="1"/>
  <c r="E57" i="31"/>
  <c r="G57" i="31" s="1"/>
  <c r="E58" i="31"/>
  <c r="G58" i="31" s="1"/>
  <c r="E59" i="31"/>
  <c r="G59" i="31" s="1"/>
  <c r="E60" i="31"/>
  <c r="G60" i="31" s="1"/>
  <c r="E61" i="31"/>
  <c r="G61" i="31" s="1"/>
  <c r="E62" i="31"/>
  <c r="G62" i="31" s="1"/>
  <c r="E63" i="31"/>
  <c r="G63" i="31" s="1"/>
  <c r="E64" i="31"/>
  <c r="G64" i="31" s="1"/>
  <c r="E65" i="31"/>
  <c r="F65" i="31" s="1"/>
  <c r="E66" i="31"/>
  <c r="G66" i="31" s="1"/>
  <c r="E67" i="31"/>
  <c r="G67" i="31" s="1"/>
  <c r="E68" i="31"/>
  <c r="G68" i="31" s="1"/>
  <c r="E69" i="31"/>
  <c r="G69" i="31" s="1"/>
  <c r="E70" i="31"/>
  <c r="G70" i="31" s="1"/>
  <c r="E71" i="31"/>
  <c r="F71" i="31" s="1"/>
  <c r="E72" i="31"/>
  <c r="G72" i="31" s="1"/>
  <c r="E73" i="31"/>
  <c r="G73" i="31" s="1"/>
  <c r="E74" i="31"/>
  <c r="G74" i="31" s="1"/>
  <c r="E75" i="31"/>
  <c r="G75" i="31" s="1"/>
  <c r="E76" i="31"/>
  <c r="G76" i="31" s="1"/>
  <c r="E77" i="31"/>
  <c r="G77" i="31" s="1"/>
  <c r="E78" i="31"/>
  <c r="G78" i="31" s="1"/>
  <c r="E79" i="31"/>
  <c r="G79" i="31" s="1"/>
  <c r="E80" i="31"/>
  <c r="G80" i="31" s="1"/>
  <c r="E81" i="31"/>
  <c r="G81" i="31" s="1"/>
  <c r="E82" i="31"/>
  <c r="G82" i="31" s="1"/>
  <c r="E83" i="31"/>
  <c r="G83" i="31" s="1"/>
  <c r="E84" i="31"/>
  <c r="G84" i="31" s="1"/>
  <c r="E85" i="31"/>
  <c r="G85" i="31" s="1"/>
  <c r="E86" i="31"/>
  <c r="G86" i="31" s="1"/>
  <c r="E87" i="31"/>
  <c r="G87" i="31" s="1"/>
  <c r="E88" i="31"/>
  <c r="G88" i="31" s="1"/>
  <c r="E89" i="31"/>
  <c r="G89" i="31" s="1"/>
  <c r="E90" i="31"/>
  <c r="G90" i="31" s="1"/>
  <c r="E91" i="31"/>
  <c r="G91" i="31" s="1"/>
  <c r="E92" i="31"/>
  <c r="G92" i="31" s="1"/>
  <c r="E93" i="31"/>
  <c r="G93" i="31" s="1"/>
  <c r="E94" i="31"/>
  <c r="G94" i="31" s="1"/>
  <c r="E95" i="31"/>
  <c r="G95" i="31" s="1"/>
  <c r="E96" i="31"/>
  <c r="G96" i="31" s="1"/>
  <c r="E97" i="31"/>
  <c r="E98" i="31"/>
  <c r="G98" i="31" s="1"/>
  <c r="E99" i="31"/>
  <c r="G99" i="31" s="1"/>
  <c r="E100" i="31"/>
  <c r="G100" i="31" s="1"/>
  <c r="E101" i="31"/>
  <c r="G101" i="31" s="1"/>
  <c r="E102" i="31"/>
  <c r="G102" i="31" s="1"/>
  <c r="E103" i="31"/>
  <c r="G103" i="31" s="1"/>
  <c r="E104" i="31"/>
  <c r="G104" i="31" s="1"/>
  <c r="E105" i="31"/>
  <c r="G105" i="31" s="1"/>
  <c r="E106" i="31"/>
  <c r="G106" i="31" s="1"/>
  <c r="E107" i="31"/>
  <c r="G107" i="31" s="1"/>
  <c r="E108" i="31"/>
  <c r="G108" i="31" s="1"/>
  <c r="E109" i="31"/>
  <c r="G109" i="31" s="1"/>
  <c r="E110" i="31"/>
  <c r="G110" i="31" s="1"/>
  <c r="E111" i="31"/>
  <c r="G111" i="31" s="1"/>
  <c r="E112" i="31"/>
  <c r="F112" i="31" s="1"/>
  <c r="E113" i="31"/>
  <c r="G113" i="31" s="1"/>
  <c r="E114" i="31"/>
  <c r="G114" i="31" s="1"/>
  <c r="E115" i="31"/>
  <c r="F115" i="31" s="1"/>
  <c r="E116" i="31"/>
  <c r="G116" i="31" s="1"/>
  <c r="E117" i="31"/>
  <c r="G117" i="31" s="1"/>
  <c r="E118" i="31"/>
  <c r="G118" i="31" s="1"/>
  <c r="E119" i="31"/>
  <c r="G119" i="31" s="1"/>
  <c r="E120" i="31"/>
  <c r="G120" i="31" s="1"/>
  <c r="E121" i="31"/>
  <c r="G121" i="31" s="1"/>
  <c r="E122" i="31"/>
  <c r="G122" i="31" s="1"/>
  <c r="E123" i="31"/>
  <c r="G123" i="31" s="1"/>
  <c r="E124" i="31"/>
  <c r="G124" i="31" s="1"/>
  <c r="E125" i="31"/>
  <c r="G125" i="31" s="1"/>
  <c r="E126" i="31"/>
  <c r="G126" i="31" s="1"/>
  <c r="E127" i="31"/>
  <c r="G127" i="31" s="1"/>
  <c r="E128" i="31"/>
  <c r="G128" i="31" s="1"/>
  <c r="E129" i="31"/>
  <c r="E130" i="31"/>
  <c r="G130" i="31" s="1"/>
  <c r="E131" i="31"/>
  <c r="G131" i="31" s="1"/>
  <c r="E132" i="31"/>
  <c r="G132" i="31" s="1"/>
  <c r="E133" i="31"/>
  <c r="G133" i="31" s="1"/>
  <c r="E134" i="31"/>
  <c r="G134" i="31" s="1"/>
  <c r="E135" i="31"/>
  <c r="G135" i="31" s="1"/>
  <c r="E136" i="31"/>
  <c r="G136" i="31" s="1"/>
  <c r="E137" i="31"/>
  <c r="G137" i="31" s="1"/>
  <c r="E138" i="31"/>
  <c r="E139" i="31"/>
  <c r="E140" i="31"/>
  <c r="G140" i="31" s="1"/>
  <c r="E141" i="31"/>
  <c r="G141" i="31" s="1"/>
  <c r="E142" i="31"/>
  <c r="G142" i="31" s="1"/>
  <c r="E143" i="31"/>
  <c r="E144" i="31"/>
  <c r="E145" i="31"/>
  <c r="E146" i="31"/>
  <c r="G146" i="31" s="1"/>
  <c r="E147" i="31"/>
  <c r="G147" i="31" s="1"/>
  <c r="E148" i="31"/>
  <c r="G148" i="31" s="1"/>
  <c r="E149" i="31"/>
  <c r="G149" i="31" s="1"/>
  <c r="E150" i="31"/>
  <c r="G150" i="31" s="1"/>
  <c r="E151" i="31"/>
  <c r="G151" i="31" s="1"/>
  <c r="E152" i="31"/>
  <c r="G152" i="31" s="1"/>
  <c r="E153" i="31"/>
  <c r="G153" i="31" s="1"/>
  <c r="E154" i="31"/>
  <c r="G154" i="31" s="1"/>
  <c r="E155" i="31"/>
  <c r="G155" i="31" s="1"/>
  <c r="E156" i="31"/>
  <c r="G156" i="31" s="1"/>
  <c r="C157" i="31"/>
  <c r="G82" i="29"/>
  <c r="G50" i="29"/>
  <c r="F139" i="31" l="1"/>
  <c r="G139" i="31" s="1"/>
  <c r="F16" i="31"/>
  <c r="G16" i="31" s="1"/>
  <c r="F129" i="31"/>
  <c r="G129" i="31" s="1"/>
  <c r="F145" i="31"/>
  <c r="G145" i="31" s="1"/>
  <c r="F97" i="31"/>
  <c r="G97" i="31" s="1"/>
  <c r="F138" i="31"/>
  <c r="G138" i="31" s="1"/>
  <c r="F144" i="31"/>
  <c r="G144" i="31" s="1"/>
  <c r="F143" i="31"/>
  <c r="G143" i="31" s="1"/>
  <c r="G115" i="31"/>
  <c r="G112" i="31"/>
  <c r="G13" i="31"/>
  <c r="F157" i="31"/>
  <c r="G65" i="31"/>
  <c r="G43" i="31"/>
  <c r="G41" i="31"/>
  <c r="G71" i="31"/>
  <c r="G53" i="31"/>
  <c r="E157" i="31"/>
  <c r="G157" i="31" l="1"/>
  <c r="G30" i="29"/>
  <c r="D88" i="29" l="1"/>
  <c r="G87" i="30"/>
  <c r="C88" i="30"/>
  <c r="E86" i="30"/>
  <c r="G86" i="30" s="1"/>
  <c r="E85" i="30"/>
  <c r="G85" i="30" s="1"/>
  <c r="E84" i="30"/>
  <c r="G84" i="30" s="1"/>
  <c r="E83" i="30"/>
  <c r="G83" i="30" s="1"/>
  <c r="E82" i="30"/>
  <c r="F82" i="30" s="1"/>
  <c r="E81" i="30"/>
  <c r="G81" i="30" s="1"/>
  <c r="E80" i="30"/>
  <c r="F80" i="30" s="1"/>
  <c r="E79" i="30"/>
  <c r="G79" i="30" s="1"/>
  <c r="E78" i="30"/>
  <c r="G78" i="30" s="1"/>
  <c r="E77" i="30"/>
  <c r="E76" i="30"/>
  <c r="G76" i="30" s="1"/>
  <c r="E75" i="30"/>
  <c r="G75" i="30" s="1"/>
  <c r="E74" i="30"/>
  <c r="G74" i="30" s="1"/>
  <c r="E73" i="30"/>
  <c r="G73" i="30" s="1"/>
  <c r="E72" i="30"/>
  <c r="G72" i="30" s="1"/>
  <c r="E71" i="30"/>
  <c r="G71" i="30" s="1"/>
  <c r="E70" i="30"/>
  <c r="F70" i="30" s="1"/>
  <c r="E69" i="30"/>
  <c r="G69" i="30" s="1"/>
  <c r="E68" i="30"/>
  <c r="G68" i="30" s="1"/>
  <c r="E67" i="30"/>
  <c r="G67" i="30" s="1"/>
  <c r="E66" i="30"/>
  <c r="G66" i="30" s="1"/>
  <c r="E65" i="30"/>
  <c r="G65" i="30" s="1"/>
  <c r="E64" i="30"/>
  <c r="F64" i="30" s="1"/>
  <c r="E63" i="30"/>
  <c r="G63" i="30" s="1"/>
  <c r="E62" i="30"/>
  <c r="G62" i="30" s="1"/>
  <c r="E61" i="30"/>
  <c r="G61" i="30" s="1"/>
  <c r="E60" i="30"/>
  <c r="F60" i="30" s="1"/>
  <c r="E59" i="30"/>
  <c r="E58" i="30"/>
  <c r="G58" i="30" s="1"/>
  <c r="E57" i="30"/>
  <c r="G57" i="30" s="1"/>
  <c r="E56" i="30"/>
  <c r="G56" i="30" s="1"/>
  <c r="E55" i="30"/>
  <c r="G55" i="30" s="1"/>
  <c r="E54" i="30"/>
  <c r="F54" i="30" s="1"/>
  <c r="E53" i="30"/>
  <c r="G53" i="30" s="1"/>
  <c r="E52" i="30"/>
  <c r="F52" i="30" s="1"/>
  <c r="E51" i="30"/>
  <c r="F51" i="30" s="1"/>
  <c r="E50" i="30"/>
  <c r="G50" i="30" s="1"/>
  <c r="E49" i="30"/>
  <c r="G49" i="30" s="1"/>
  <c r="E48" i="30"/>
  <c r="G48" i="30" s="1"/>
  <c r="E47" i="30"/>
  <c r="G47" i="30" s="1"/>
  <c r="E46" i="30"/>
  <c r="G46" i="30" s="1"/>
  <c r="E45" i="30"/>
  <c r="G45" i="30" s="1"/>
  <c r="E44" i="30"/>
  <c r="F44" i="30" s="1"/>
  <c r="E43" i="30"/>
  <c r="F43" i="30" s="1"/>
  <c r="E42" i="30"/>
  <c r="G42" i="30" s="1"/>
  <c r="E41" i="30"/>
  <c r="G41" i="30" s="1"/>
  <c r="E40" i="30"/>
  <c r="G40" i="30" s="1"/>
  <c r="E39" i="30"/>
  <c r="G39" i="30" s="1"/>
  <c r="E38" i="30"/>
  <c r="G38" i="30" s="1"/>
  <c r="E37" i="30"/>
  <c r="F37" i="30" s="1"/>
  <c r="E36" i="30"/>
  <c r="E35" i="30"/>
  <c r="G35" i="30" s="1"/>
  <c r="E34" i="30"/>
  <c r="G34" i="30" s="1"/>
  <c r="E33" i="30"/>
  <c r="G33" i="30" s="1"/>
  <c r="E32" i="30"/>
  <c r="G32" i="30" s="1"/>
  <c r="E31" i="30"/>
  <c r="G31" i="30" s="1"/>
  <c r="E30" i="30"/>
  <c r="G30" i="30" s="1"/>
  <c r="E29" i="30"/>
  <c r="F29" i="30" s="1"/>
  <c r="E28" i="30"/>
  <c r="F28" i="30" s="1"/>
  <c r="E27" i="30"/>
  <c r="G27" i="30" s="1"/>
  <c r="E26" i="30"/>
  <c r="F26" i="30" s="1"/>
  <c r="E25" i="30"/>
  <c r="G25" i="30" s="1"/>
  <c r="E24" i="30"/>
  <c r="F24" i="30" s="1"/>
  <c r="E23" i="30"/>
  <c r="G23" i="30" s="1"/>
  <c r="E22" i="30"/>
  <c r="G22" i="30" s="1"/>
  <c r="E21" i="30"/>
  <c r="F21" i="30" s="1"/>
  <c r="E20" i="30"/>
  <c r="G20" i="30" s="1"/>
  <c r="E19" i="30"/>
  <c r="F19" i="30" s="1"/>
  <c r="E18" i="30"/>
  <c r="G18" i="30" s="1"/>
  <c r="E17" i="30"/>
  <c r="G17" i="30" s="1"/>
  <c r="E16" i="30"/>
  <c r="G16" i="30" s="1"/>
  <c r="E15" i="30"/>
  <c r="G15" i="30" s="1"/>
  <c r="E14" i="30"/>
  <c r="G14" i="30" s="1"/>
  <c r="E13" i="30"/>
  <c r="G13" i="30" s="1"/>
  <c r="E12" i="30"/>
  <c r="G12" i="30" s="1"/>
  <c r="E11" i="30"/>
  <c r="G11" i="30" s="1"/>
  <c r="E10" i="30"/>
  <c r="G10" i="30" s="1"/>
  <c r="E9" i="30"/>
  <c r="G9" i="30" s="1"/>
  <c r="E8" i="30"/>
  <c r="G8" i="30" s="1"/>
  <c r="E7" i="30"/>
  <c r="G7" i="30" s="1"/>
  <c r="E6" i="30"/>
  <c r="G6" i="30" s="1"/>
  <c r="E5" i="30"/>
  <c r="G5" i="30" s="1"/>
  <c r="E4" i="30"/>
  <c r="G4" i="30" s="1"/>
  <c r="A87" i="29"/>
  <c r="G82" i="30" l="1"/>
  <c r="F59" i="30"/>
  <c r="G59" i="30" s="1"/>
  <c r="G70" i="30"/>
  <c r="F36" i="30"/>
  <c r="G19" i="30"/>
  <c r="F77" i="30"/>
  <c r="G77" i="30" s="1"/>
  <c r="G52" i="30"/>
  <c r="G51" i="30"/>
  <c r="G37" i="30"/>
  <c r="G21" i="30"/>
  <c r="G54" i="30"/>
  <c r="G24" i="30"/>
  <c r="G80" i="30"/>
  <c r="G64" i="30"/>
  <c r="G29" i="30"/>
  <c r="G60" i="30"/>
  <c r="G44" i="30"/>
  <c r="G28" i="30"/>
  <c r="G43" i="30"/>
  <c r="G26" i="30"/>
  <c r="E88" i="30"/>
  <c r="F88" i="30" l="1"/>
  <c r="G36" i="30"/>
  <c r="G88" i="30" s="1"/>
  <c r="F4" i="29"/>
  <c r="F5" i="29"/>
  <c r="H6" i="29"/>
  <c r="F7" i="29"/>
  <c r="H7" i="29" s="1"/>
  <c r="F8" i="29"/>
  <c r="F9" i="29"/>
  <c r="H9" i="29" s="1"/>
  <c r="F10" i="29"/>
  <c r="H10" i="29" s="1"/>
  <c r="F11" i="29"/>
  <c r="F12" i="29"/>
  <c r="F13" i="29"/>
  <c r="H13" i="29" s="1"/>
  <c r="F14" i="29"/>
  <c r="F15" i="29"/>
  <c r="F16" i="29"/>
  <c r="F17" i="29"/>
  <c r="H17" i="29" s="1"/>
  <c r="F18" i="29"/>
  <c r="H18" i="29" s="1"/>
  <c r="F19" i="29"/>
  <c r="F20" i="29"/>
  <c r="F21" i="29"/>
  <c r="F22" i="29"/>
  <c r="H22" i="29" s="1"/>
  <c r="F23" i="29"/>
  <c r="F24" i="29"/>
  <c r="F25" i="29"/>
  <c r="H25" i="29" s="1"/>
  <c r="F26" i="29"/>
  <c r="H26" i="29" s="1"/>
  <c r="F27" i="29"/>
  <c r="H27" i="29" s="1"/>
  <c r="F28" i="29"/>
  <c r="H28" i="29" s="1"/>
  <c r="F29" i="29"/>
  <c r="H29" i="29" s="1"/>
  <c r="F30" i="29"/>
  <c r="H30" i="29" s="1"/>
  <c r="F31" i="29"/>
  <c r="F32" i="29"/>
  <c r="F33" i="29"/>
  <c r="F34" i="29"/>
  <c r="F35" i="29"/>
  <c r="F36" i="29"/>
  <c r="F37" i="29"/>
  <c r="H37" i="29" s="1"/>
  <c r="F38" i="29"/>
  <c r="F39" i="29"/>
  <c r="H39" i="29" s="1"/>
  <c r="F40" i="29"/>
  <c r="H40" i="29" s="1"/>
  <c r="F41" i="29"/>
  <c r="F42" i="29"/>
  <c r="H42" i="29" s="1"/>
  <c r="F43" i="29"/>
  <c r="H43" i="29" s="1"/>
  <c r="F44" i="29"/>
  <c r="H44" i="29" s="1"/>
  <c r="F45" i="29"/>
  <c r="H45" i="29" s="1"/>
  <c r="F46" i="29"/>
  <c r="F47" i="29"/>
  <c r="F48" i="29"/>
  <c r="H48" i="29" s="1"/>
  <c r="F49" i="29"/>
  <c r="F50" i="29"/>
  <c r="H50" i="29" s="1"/>
  <c r="F51" i="29"/>
  <c r="H51" i="29" s="1"/>
  <c r="F52" i="29"/>
  <c r="F53" i="29"/>
  <c r="F54" i="29"/>
  <c r="H54" i="29" s="1"/>
  <c r="F55" i="29"/>
  <c r="F56" i="29"/>
  <c r="F57" i="29"/>
  <c r="F58" i="29"/>
  <c r="F59" i="29"/>
  <c r="F60" i="29"/>
  <c r="F61" i="29"/>
  <c r="F62" i="29"/>
  <c r="F63" i="29"/>
  <c r="H63" i="29" s="1"/>
  <c r="F64" i="29"/>
  <c r="F65" i="29"/>
  <c r="F66" i="29"/>
  <c r="F67" i="29"/>
  <c r="F68" i="29"/>
  <c r="H68" i="29" s="1"/>
  <c r="F69" i="29"/>
  <c r="F70" i="29"/>
  <c r="F71" i="29"/>
  <c r="F72" i="29"/>
  <c r="F73" i="29"/>
  <c r="F74" i="29"/>
  <c r="F75" i="29"/>
  <c r="H75" i="29" s="1"/>
  <c r="F76" i="29"/>
  <c r="F77" i="29"/>
  <c r="H77" i="29" s="1"/>
  <c r="F78" i="29"/>
  <c r="H78" i="29" s="1"/>
  <c r="F79" i="29"/>
  <c r="H79" i="29" s="1"/>
  <c r="F80" i="29"/>
  <c r="H80" i="29" s="1"/>
  <c r="F81" i="29"/>
  <c r="H81" i="29" s="1"/>
  <c r="F82" i="29"/>
  <c r="H82" i="29" s="1"/>
  <c r="F83" i="29"/>
  <c r="F84" i="29"/>
  <c r="F85" i="29"/>
  <c r="D86" i="29"/>
  <c r="G33" i="29" l="1"/>
  <c r="H33" i="29" s="1"/>
  <c r="G65" i="29"/>
  <c r="H65" i="29" s="1"/>
  <c r="H47" i="29"/>
  <c r="G47" i="29"/>
  <c r="G31" i="29"/>
  <c r="H31" i="29" s="1"/>
  <c r="G15" i="29"/>
  <c r="H15" i="29" s="1"/>
  <c r="G46" i="29"/>
  <c r="H46" i="29" s="1"/>
  <c r="G12" i="29"/>
  <c r="H12" i="29" s="1"/>
  <c r="G11" i="29"/>
  <c r="H11" i="29" s="1"/>
  <c r="G61" i="29"/>
  <c r="H61" i="29" s="1"/>
  <c r="G58" i="29"/>
  <c r="H58" i="29" s="1"/>
  <c r="H73" i="29"/>
  <c r="G73" i="29"/>
  <c r="G57" i="29"/>
  <c r="H57" i="29" s="1"/>
  <c r="G41" i="29"/>
  <c r="H41" i="29" s="1"/>
  <c r="G49" i="29"/>
  <c r="H49" i="29" s="1"/>
  <c r="G59" i="29"/>
  <c r="H59" i="29" s="1"/>
  <c r="G72" i="29"/>
  <c r="H72" i="29" s="1"/>
  <c r="G56" i="29"/>
  <c r="H56" i="29" s="1"/>
  <c r="G8" i="29"/>
  <c r="H8" i="29" s="1"/>
  <c r="H71" i="29"/>
  <c r="G71" i="29"/>
  <c r="G55" i="29"/>
  <c r="H55" i="29" s="1"/>
  <c r="G23" i="29"/>
  <c r="H23" i="29" s="1"/>
  <c r="G34" i="29"/>
  <c r="H34" i="29" s="1"/>
  <c r="G64" i="29"/>
  <c r="H64" i="29" s="1"/>
  <c r="G62" i="29"/>
  <c r="H62" i="29" s="1"/>
  <c r="G5" i="29"/>
  <c r="H5" i="29" s="1"/>
  <c r="G66" i="29"/>
  <c r="H66" i="29" s="1"/>
  <c r="H32" i="29"/>
  <c r="G32" i="29"/>
  <c r="G38" i="29"/>
  <c r="H38" i="29" s="1"/>
  <c r="G85" i="29"/>
  <c r="H85" i="29" s="1"/>
  <c r="G53" i="29"/>
  <c r="H53" i="29" s="1"/>
  <c r="G84" i="29"/>
  <c r="H84" i="29" s="1"/>
  <c r="G20" i="29"/>
  <c r="H20" i="29" s="1"/>
  <c r="G4" i="29"/>
  <c r="H4" i="29" s="1"/>
  <c r="G83" i="29"/>
  <c r="H83" i="29" s="1"/>
  <c r="G67" i="29"/>
  <c r="H67" i="29" s="1"/>
  <c r="G35" i="29"/>
  <c r="H35" i="29" s="1"/>
  <c r="G19" i="29"/>
  <c r="H19" i="29" s="1"/>
  <c r="G16" i="29"/>
  <c r="H16" i="29" s="1"/>
  <c r="G14" i="29"/>
  <c r="H14" i="29" s="1"/>
  <c r="G76" i="29"/>
  <c r="H76" i="29" s="1"/>
  <c r="G60" i="29"/>
  <c r="H60" i="29" s="1"/>
  <c r="G74" i="29"/>
  <c r="H74" i="29" s="1"/>
  <c r="G24" i="29"/>
  <c r="H24" i="29" s="1"/>
  <c r="G70" i="29"/>
  <c r="H70" i="29" s="1"/>
  <c r="G69" i="29"/>
  <c r="H69" i="29" s="1"/>
  <c r="G21" i="29"/>
  <c r="H21" i="29" s="1"/>
  <c r="G36" i="29"/>
  <c r="H36" i="29" s="1"/>
  <c r="F86" i="29"/>
  <c r="F87" i="29" s="1"/>
  <c r="I23" i="20" l="1"/>
  <c r="I22" i="20" l="1"/>
  <c r="F22" i="20" l="1"/>
  <c r="F23" i="20"/>
  <c r="I21" i="20" l="1"/>
  <c r="B16" i="20" l="1"/>
  <c r="B14" i="20"/>
  <c r="F21" i="20" l="1"/>
  <c r="I20" i="20" l="1"/>
  <c r="I19" i="20"/>
  <c r="F20" i="20" l="1"/>
  <c r="D25" i="21" l="1"/>
  <c r="D24" i="21"/>
  <c r="D23" i="21"/>
  <c r="D22" i="21"/>
  <c r="D21" i="21"/>
  <c r="D20" i="21"/>
  <c r="D19" i="21"/>
  <c r="D15" i="21"/>
  <c r="D14" i="21"/>
  <c r="E25" i="20"/>
  <c r="E24" i="20"/>
  <c r="E23" i="20"/>
  <c r="E22" i="20"/>
  <c r="E21" i="20"/>
  <c r="E20" i="20"/>
  <c r="E19" i="20"/>
  <c r="B16" i="21"/>
  <c r="E15" i="20"/>
  <c r="E26" i="20" l="1"/>
  <c r="F26" i="20" s="1"/>
  <c r="B14" i="21"/>
  <c r="G80" i="18"/>
  <c r="G29" i="18"/>
  <c r="G72" i="18" l="1"/>
  <c r="G53" i="18"/>
  <c r="D85" i="18"/>
  <c r="F84" i="18"/>
  <c r="H84" i="18" s="1"/>
  <c r="H83" i="18"/>
  <c r="F83" i="18"/>
  <c r="F82" i="18"/>
  <c r="H82" i="18" s="1"/>
  <c r="F81" i="18"/>
  <c r="H81" i="18" s="1"/>
  <c r="F80" i="18"/>
  <c r="H80" i="18" s="1"/>
  <c r="F79" i="18"/>
  <c r="H79" i="18" s="1"/>
  <c r="F78" i="18"/>
  <c r="H78" i="18" s="1"/>
  <c r="F77" i="18"/>
  <c r="H77" i="18" s="1"/>
  <c r="F76" i="18"/>
  <c r="H76" i="18" s="1"/>
  <c r="F75" i="18"/>
  <c r="H75" i="18" s="1"/>
  <c r="F74" i="18"/>
  <c r="H74" i="18" s="1"/>
  <c r="G73" i="18"/>
  <c r="F73" i="18"/>
  <c r="F72" i="18"/>
  <c r="F71" i="18"/>
  <c r="H71" i="18" s="1"/>
  <c r="F70" i="18"/>
  <c r="H70" i="18" s="1"/>
  <c r="F69" i="18"/>
  <c r="H69" i="18" s="1"/>
  <c r="F68" i="18"/>
  <c r="H68" i="18" s="1"/>
  <c r="F67" i="18"/>
  <c r="H67" i="18" s="1"/>
  <c r="F66" i="18"/>
  <c r="H66" i="18" s="1"/>
  <c r="F65" i="18"/>
  <c r="H65" i="18" s="1"/>
  <c r="F64" i="18"/>
  <c r="H64" i="18" s="1"/>
  <c r="F63" i="18"/>
  <c r="G63" i="18" s="1"/>
  <c r="F62" i="18"/>
  <c r="F61" i="18"/>
  <c r="H61" i="18" s="1"/>
  <c r="F60" i="18"/>
  <c r="H60" i="18" s="1"/>
  <c r="F59" i="18"/>
  <c r="H59" i="18" s="1"/>
  <c r="F58" i="18"/>
  <c r="H58" i="18" s="1"/>
  <c r="F57" i="18"/>
  <c r="H57" i="18" s="1"/>
  <c r="F56" i="18"/>
  <c r="H56" i="18" s="1"/>
  <c r="F55" i="18"/>
  <c r="H55" i="18" s="1"/>
  <c r="F54" i="18"/>
  <c r="H54" i="18" s="1"/>
  <c r="F53" i="18"/>
  <c r="F52" i="18"/>
  <c r="H52" i="18" s="1"/>
  <c r="F51" i="18"/>
  <c r="H51" i="18" s="1"/>
  <c r="F50" i="18"/>
  <c r="H50" i="18" s="1"/>
  <c r="F49" i="18"/>
  <c r="H49" i="18" s="1"/>
  <c r="F48" i="18"/>
  <c r="H48" i="18" s="1"/>
  <c r="G47" i="18"/>
  <c r="F47" i="18"/>
  <c r="F46" i="18"/>
  <c r="H46" i="18" s="1"/>
  <c r="F45" i="18"/>
  <c r="H45" i="18" s="1"/>
  <c r="F44" i="18"/>
  <c r="H44" i="18" s="1"/>
  <c r="F43" i="18"/>
  <c r="H43" i="18" s="1"/>
  <c r="F42" i="18"/>
  <c r="G42" i="18" s="1"/>
  <c r="H42" i="18" s="1"/>
  <c r="F41" i="18"/>
  <c r="H41" i="18" s="1"/>
  <c r="F40" i="18"/>
  <c r="H40" i="18" s="1"/>
  <c r="F39" i="18"/>
  <c r="H39" i="18" s="1"/>
  <c r="F38" i="18"/>
  <c r="H38" i="18" s="1"/>
  <c r="F37" i="18"/>
  <c r="H37" i="18" s="1"/>
  <c r="F36" i="18"/>
  <c r="H36" i="18" s="1"/>
  <c r="F35" i="18"/>
  <c r="H35" i="18" s="1"/>
  <c r="F34" i="18"/>
  <c r="H34" i="18" s="1"/>
  <c r="F33" i="18"/>
  <c r="H33" i="18" s="1"/>
  <c r="F32" i="18"/>
  <c r="H32" i="18" s="1"/>
  <c r="F31" i="18"/>
  <c r="H31" i="18" s="1"/>
  <c r="F30" i="18"/>
  <c r="H30" i="18" s="1"/>
  <c r="F29" i="18"/>
  <c r="F28" i="18"/>
  <c r="H28" i="18" s="1"/>
  <c r="F27" i="18"/>
  <c r="F26" i="18"/>
  <c r="H26" i="18" s="1"/>
  <c r="F25" i="18"/>
  <c r="G25" i="18" s="1"/>
  <c r="F24" i="18"/>
  <c r="H24" i="18" s="1"/>
  <c r="F23" i="18"/>
  <c r="H23" i="18" s="1"/>
  <c r="F22" i="18"/>
  <c r="H22" i="18" s="1"/>
  <c r="F21" i="18"/>
  <c r="H21" i="18" s="1"/>
  <c r="F20" i="18"/>
  <c r="H20" i="18" s="1"/>
  <c r="F19" i="18"/>
  <c r="H19" i="18" s="1"/>
  <c r="G18" i="18"/>
  <c r="F18" i="18"/>
  <c r="H18" i="18" s="1"/>
  <c r="F17" i="18"/>
  <c r="H17" i="18" s="1"/>
  <c r="F16" i="18"/>
  <c r="H16" i="18" s="1"/>
  <c r="F15" i="18"/>
  <c r="G15" i="18" s="1"/>
  <c r="F14" i="18"/>
  <c r="F13" i="18"/>
  <c r="H13" i="18" s="1"/>
  <c r="F12" i="18"/>
  <c r="H12" i="18" s="1"/>
  <c r="F11" i="18"/>
  <c r="H11" i="18" s="1"/>
  <c r="F10" i="18"/>
  <c r="H10" i="18" s="1"/>
  <c r="F9" i="18"/>
  <c r="H9" i="18" s="1"/>
  <c r="F8" i="18"/>
  <c r="F7" i="18"/>
  <c r="H7" i="18" s="1"/>
  <c r="F6" i="18"/>
  <c r="H6" i="18" s="1"/>
  <c r="F5" i="18"/>
  <c r="H5" i="18" s="1"/>
  <c r="F4" i="18"/>
  <c r="H4" i="18" s="1"/>
  <c r="G72" i="13"/>
  <c r="H73" i="18" l="1"/>
  <c r="H47" i="18"/>
  <c r="F85" i="18"/>
  <c r="G62" i="18"/>
  <c r="H62" i="18" s="1"/>
  <c r="F19" i="20"/>
  <c r="H29" i="18"/>
  <c r="H25" i="18"/>
  <c r="H63" i="18"/>
  <c r="H72" i="18"/>
  <c r="H53" i="18"/>
  <c r="H15" i="18"/>
  <c r="H8" i="18"/>
  <c r="G27" i="18"/>
  <c r="H27" i="18" s="1"/>
  <c r="G14" i="18"/>
  <c r="G47" i="17"/>
  <c r="G29" i="15"/>
  <c r="G30" i="13"/>
  <c r="G85" i="18" l="1"/>
  <c r="F24" i="20"/>
  <c r="H14" i="18"/>
  <c r="H85" i="18" s="1"/>
  <c r="G19" i="13" l="1"/>
  <c r="G63" i="15" l="1"/>
  <c r="G73" i="17"/>
  <c r="G6" i="7" l="1"/>
  <c r="G9" i="9"/>
  <c r="G6" i="9"/>
  <c r="G50" i="15" l="1"/>
  <c r="G51" i="17"/>
  <c r="G77" i="17"/>
  <c r="G76" i="15"/>
  <c r="G21" i="15"/>
  <c r="G22" i="17"/>
  <c r="G38" i="15"/>
  <c r="G39" i="17"/>
  <c r="G27" i="15" l="1"/>
  <c r="G28" i="17"/>
  <c r="G49" i="17"/>
  <c r="G48" i="15"/>
  <c r="G42" i="15"/>
  <c r="G75" i="17"/>
  <c r="G74" i="15"/>
  <c r="G16" i="17" l="1"/>
  <c r="G16" i="15"/>
  <c r="G6" i="15"/>
  <c r="G6" i="17"/>
  <c r="G62" i="13" l="1"/>
  <c r="G72" i="15"/>
  <c r="G9" i="13"/>
  <c r="G42" i="17" l="1"/>
  <c r="G13" i="17"/>
  <c r="G13" i="15"/>
  <c r="G4" i="7"/>
  <c r="G50" i="17" l="1"/>
  <c r="G49" i="15"/>
  <c r="G46" i="15" l="1"/>
  <c r="G19" i="12"/>
  <c r="G62" i="15" l="1"/>
  <c r="G36" i="12"/>
  <c r="D85" i="17" l="1"/>
  <c r="F84" i="17"/>
  <c r="H84" i="17" s="1"/>
  <c r="F83" i="17"/>
  <c r="H83" i="17" s="1"/>
  <c r="F82" i="17"/>
  <c r="H82" i="17" s="1"/>
  <c r="F81" i="17"/>
  <c r="G81" i="17" s="1"/>
  <c r="F80" i="17"/>
  <c r="F79" i="17"/>
  <c r="F78" i="17"/>
  <c r="H78" i="17" s="1"/>
  <c r="F77" i="17"/>
  <c r="H77" i="17" s="1"/>
  <c r="F76" i="17"/>
  <c r="H76" i="17" s="1"/>
  <c r="F75" i="17"/>
  <c r="H75" i="17" s="1"/>
  <c r="F74" i="17"/>
  <c r="H74" i="17" s="1"/>
  <c r="F73" i="17"/>
  <c r="H73" i="17" s="1"/>
  <c r="F72" i="17"/>
  <c r="H72" i="17" s="1"/>
  <c r="F71" i="17"/>
  <c r="H71" i="17" s="1"/>
  <c r="F70" i="17"/>
  <c r="H70" i="17" s="1"/>
  <c r="F69" i="17"/>
  <c r="H69" i="17" s="1"/>
  <c r="F68" i="17"/>
  <c r="H68" i="17" s="1"/>
  <c r="F67" i="17"/>
  <c r="G67" i="17" s="1"/>
  <c r="F66" i="17"/>
  <c r="H66" i="17" s="1"/>
  <c r="F65" i="17"/>
  <c r="H65" i="17" s="1"/>
  <c r="F64" i="17"/>
  <c r="H64" i="17" s="1"/>
  <c r="F63" i="17"/>
  <c r="F62" i="17"/>
  <c r="F61" i="17"/>
  <c r="H61" i="17" s="1"/>
  <c r="F60" i="17"/>
  <c r="H60" i="17" s="1"/>
  <c r="F59" i="17"/>
  <c r="H59" i="17" s="1"/>
  <c r="F58" i="17"/>
  <c r="H58" i="17" s="1"/>
  <c r="F57" i="17"/>
  <c r="H57" i="17" s="1"/>
  <c r="F56" i="17"/>
  <c r="H56" i="17" s="1"/>
  <c r="F55" i="17"/>
  <c r="H55" i="17" s="1"/>
  <c r="F54" i="17"/>
  <c r="H54" i="17" s="1"/>
  <c r="F53" i="17"/>
  <c r="H53" i="17" s="1"/>
  <c r="F52" i="17"/>
  <c r="H52" i="17" s="1"/>
  <c r="F51" i="17"/>
  <c r="H51" i="17" s="1"/>
  <c r="F50" i="17"/>
  <c r="H50" i="17" s="1"/>
  <c r="F49" i="17"/>
  <c r="H49" i="17" s="1"/>
  <c r="F48" i="17"/>
  <c r="H48" i="17" s="1"/>
  <c r="F47" i="17"/>
  <c r="H47" i="17" s="1"/>
  <c r="F46" i="17"/>
  <c r="H46" i="17" s="1"/>
  <c r="F45" i="17"/>
  <c r="H45" i="17" s="1"/>
  <c r="F44" i="17"/>
  <c r="H44" i="17" s="1"/>
  <c r="F43" i="17"/>
  <c r="H43" i="17" s="1"/>
  <c r="F42" i="17"/>
  <c r="H42" i="17" s="1"/>
  <c r="F41" i="17"/>
  <c r="F40" i="17"/>
  <c r="H40" i="17" s="1"/>
  <c r="F39" i="17"/>
  <c r="H39" i="17" s="1"/>
  <c r="F38" i="17"/>
  <c r="H38" i="17" s="1"/>
  <c r="F37" i="17"/>
  <c r="H37" i="17" s="1"/>
  <c r="F36" i="17"/>
  <c r="H36" i="17" s="1"/>
  <c r="F35" i="17"/>
  <c r="H35" i="17" s="1"/>
  <c r="F34" i="17"/>
  <c r="H34" i="17" s="1"/>
  <c r="F33" i="17"/>
  <c r="H33" i="17" s="1"/>
  <c r="F32" i="17"/>
  <c r="H32" i="17" s="1"/>
  <c r="F31" i="17"/>
  <c r="H31" i="17" s="1"/>
  <c r="F30" i="17"/>
  <c r="H30" i="17" s="1"/>
  <c r="F29" i="17"/>
  <c r="H29" i="17" s="1"/>
  <c r="F28" i="17"/>
  <c r="H28" i="17" s="1"/>
  <c r="F27" i="17"/>
  <c r="F26" i="17"/>
  <c r="G26" i="17" s="1"/>
  <c r="F25" i="17"/>
  <c r="F24" i="17"/>
  <c r="H24" i="17" s="1"/>
  <c r="F23" i="17"/>
  <c r="H23" i="17" s="1"/>
  <c r="F22" i="17"/>
  <c r="H22" i="17" s="1"/>
  <c r="F21" i="17"/>
  <c r="H21" i="17" s="1"/>
  <c r="F20" i="17"/>
  <c r="H20" i="17" s="1"/>
  <c r="F19" i="17"/>
  <c r="H19" i="17" s="1"/>
  <c r="G18" i="17"/>
  <c r="F18" i="17"/>
  <c r="H18" i="17" s="1"/>
  <c r="F17" i="17"/>
  <c r="H17" i="17" s="1"/>
  <c r="F16" i="17"/>
  <c r="H16" i="17" s="1"/>
  <c r="F15" i="17"/>
  <c r="G15" i="17" s="1"/>
  <c r="F14" i="17"/>
  <c r="G14" i="17" s="1"/>
  <c r="F13" i="17"/>
  <c r="H13" i="17" s="1"/>
  <c r="F12" i="17"/>
  <c r="H12" i="17" s="1"/>
  <c r="F11" i="17"/>
  <c r="H11" i="17" s="1"/>
  <c r="F10" i="17"/>
  <c r="H10" i="17" s="1"/>
  <c r="F9" i="17"/>
  <c r="F8" i="17"/>
  <c r="H8" i="17" s="1"/>
  <c r="F7" i="17"/>
  <c r="H7" i="17" s="1"/>
  <c r="F6" i="17"/>
  <c r="H6" i="17" s="1"/>
  <c r="F5" i="17"/>
  <c r="H5" i="17" s="1"/>
  <c r="F4" i="17"/>
  <c r="H26" i="17" l="1"/>
  <c r="G63" i="17"/>
  <c r="H63" i="17" s="1"/>
  <c r="G79" i="17"/>
  <c r="H79" i="17" s="1"/>
  <c r="G80" i="17"/>
  <c r="H80" i="17" s="1"/>
  <c r="H67" i="17"/>
  <c r="H81" i="17"/>
  <c r="G9" i="17"/>
  <c r="G27" i="17"/>
  <c r="H27" i="17" s="1"/>
  <c r="H14" i="17"/>
  <c r="G41" i="17"/>
  <c r="H41" i="17" s="1"/>
  <c r="G25" i="17"/>
  <c r="H25" i="17" s="1"/>
  <c r="F85" i="17"/>
  <c r="G62" i="17"/>
  <c r="H62" i="17" s="1"/>
  <c r="H15" i="17"/>
  <c r="H4" i="17"/>
  <c r="G30" i="12"/>
  <c r="G22" i="15"/>
  <c r="G17" i="15"/>
  <c r="G85" i="17" l="1"/>
  <c r="H9" i="17"/>
  <c r="H85" i="17"/>
  <c r="G28" i="13"/>
  <c r="G39" i="13" l="1"/>
  <c r="G50" i="13"/>
  <c r="G22" i="12"/>
  <c r="G49" i="13"/>
  <c r="G29" i="13" l="1"/>
  <c r="G28" i="15"/>
  <c r="G63" i="13" l="1"/>
  <c r="G51" i="13"/>
  <c r="G6" i="13"/>
  <c r="G77" i="13"/>
  <c r="G16" i="13"/>
  <c r="G73" i="13"/>
  <c r="G47" i="13"/>
  <c r="F4" i="15"/>
  <c r="H4" i="15" s="1"/>
  <c r="F5" i="15"/>
  <c r="H5" i="15" s="1"/>
  <c r="F6" i="15"/>
  <c r="H6" i="15" s="1"/>
  <c r="F7" i="15"/>
  <c r="H7" i="15" s="1"/>
  <c r="F8" i="15"/>
  <c r="H8" i="15" s="1"/>
  <c r="F9" i="15"/>
  <c r="F10" i="15"/>
  <c r="H10" i="15" s="1"/>
  <c r="F11" i="15"/>
  <c r="H11" i="15" s="1"/>
  <c r="F12" i="15"/>
  <c r="H12" i="15" s="1"/>
  <c r="F13" i="15"/>
  <c r="H13" i="15" s="1"/>
  <c r="F14" i="15"/>
  <c r="F15" i="15"/>
  <c r="G15" i="15"/>
  <c r="F16" i="15"/>
  <c r="H16" i="15" s="1"/>
  <c r="F17" i="15"/>
  <c r="F18" i="15"/>
  <c r="H18" i="15" s="1"/>
  <c r="F19" i="15"/>
  <c r="H19" i="15" s="1"/>
  <c r="F20" i="15"/>
  <c r="H20" i="15" s="1"/>
  <c r="F21" i="15"/>
  <c r="H21" i="15" s="1"/>
  <c r="F22" i="15"/>
  <c r="H22" i="15" s="1"/>
  <c r="F23" i="15"/>
  <c r="H23" i="15" s="1"/>
  <c r="F24" i="15"/>
  <c r="G24" i="15" s="1"/>
  <c r="F25" i="15"/>
  <c r="F26" i="15"/>
  <c r="G26" i="15" s="1"/>
  <c r="F27" i="15"/>
  <c r="H27" i="15" s="1"/>
  <c r="F28" i="15"/>
  <c r="H28" i="15" s="1"/>
  <c r="F29" i="15"/>
  <c r="H29" i="15" s="1"/>
  <c r="F30" i="15"/>
  <c r="H30" i="15" s="1"/>
  <c r="F31" i="15"/>
  <c r="H31" i="15" s="1"/>
  <c r="F32" i="15"/>
  <c r="H32" i="15" s="1"/>
  <c r="F33" i="15"/>
  <c r="H33" i="15" s="1"/>
  <c r="F34" i="15"/>
  <c r="H34" i="15" s="1"/>
  <c r="F35" i="15"/>
  <c r="H35" i="15" s="1"/>
  <c r="F36" i="15"/>
  <c r="H36" i="15" s="1"/>
  <c r="F37" i="15"/>
  <c r="H37" i="15" s="1"/>
  <c r="F38" i="15"/>
  <c r="H38" i="15" s="1"/>
  <c r="F39" i="15"/>
  <c r="H39" i="15" s="1"/>
  <c r="F40" i="15"/>
  <c r="F41" i="15"/>
  <c r="G41" i="15"/>
  <c r="F42" i="15"/>
  <c r="H42" i="15" s="1"/>
  <c r="F43" i="15"/>
  <c r="H43" i="15"/>
  <c r="F44" i="15"/>
  <c r="H44" i="15" s="1"/>
  <c r="F45" i="15"/>
  <c r="H45" i="15"/>
  <c r="F46" i="15"/>
  <c r="H46" i="15" s="1"/>
  <c r="F47" i="15"/>
  <c r="H47" i="15" s="1"/>
  <c r="F48" i="15"/>
  <c r="H48" i="15" s="1"/>
  <c r="F49" i="15"/>
  <c r="H49" i="15" s="1"/>
  <c r="F50" i="15"/>
  <c r="H50" i="15" s="1"/>
  <c r="F51" i="15"/>
  <c r="H51" i="15" s="1"/>
  <c r="F52" i="15"/>
  <c r="H52" i="15"/>
  <c r="F53" i="15"/>
  <c r="H53" i="15" s="1"/>
  <c r="F54" i="15"/>
  <c r="H54" i="15" s="1"/>
  <c r="F55" i="15"/>
  <c r="H55" i="15" s="1"/>
  <c r="F56" i="15"/>
  <c r="H56" i="15" s="1"/>
  <c r="F57" i="15"/>
  <c r="G57" i="15" s="1"/>
  <c r="G85" i="15" s="1"/>
  <c r="F58" i="15"/>
  <c r="H58" i="15" s="1"/>
  <c r="F59" i="15"/>
  <c r="H59" i="15" s="1"/>
  <c r="F60" i="15"/>
  <c r="H60" i="15" s="1"/>
  <c r="F61" i="15"/>
  <c r="G61" i="15" s="1"/>
  <c r="F62" i="15"/>
  <c r="H62" i="15" s="1"/>
  <c r="F63" i="15"/>
  <c r="H63" i="15" s="1"/>
  <c r="F64" i="15"/>
  <c r="H64" i="15" s="1"/>
  <c r="F65" i="15"/>
  <c r="H65" i="15" s="1"/>
  <c r="F66" i="15"/>
  <c r="F67" i="15"/>
  <c r="H67" i="15" s="1"/>
  <c r="F68" i="15"/>
  <c r="H68" i="15" s="1"/>
  <c r="F69" i="15"/>
  <c r="H69" i="15" s="1"/>
  <c r="F70" i="15"/>
  <c r="H70" i="15" s="1"/>
  <c r="F71" i="15"/>
  <c r="H71" i="15" s="1"/>
  <c r="F72" i="15"/>
  <c r="H72" i="15" s="1"/>
  <c r="F73" i="15"/>
  <c r="H73" i="15" s="1"/>
  <c r="F74" i="15"/>
  <c r="H74" i="15" s="1"/>
  <c r="F75" i="15"/>
  <c r="G75" i="15"/>
  <c r="H75" i="15"/>
  <c r="F76" i="15"/>
  <c r="H76" i="15" s="1"/>
  <c r="F77" i="15"/>
  <c r="H77" i="15" s="1"/>
  <c r="F78" i="15"/>
  <c r="G78" i="15" s="1"/>
  <c r="H78" i="15" s="1"/>
  <c r="F79" i="15"/>
  <c r="G79" i="15" s="1"/>
  <c r="F80" i="15"/>
  <c r="F81" i="15"/>
  <c r="H81" i="15" s="1"/>
  <c r="F82" i="15"/>
  <c r="H82" i="15" s="1"/>
  <c r="F83" i="15"/>
  <c r="H83" i="15" s="1"/>
  <c r="D84" i="15"/>
  <c r="H79" i="15" l="1"/>
  <c r="H57" i="15"/>
  <c r="H26" i="15"/>
  <c r="G66" i="15"/>
  <c r="H66" i="15" s="1"/>
  <c r="H15" i="15"/>
  <c r="G40" i="15"/>
  <c r="H40" i="15" s="1"/>
  <c r="G14" i="15"/>
  <c r="H14" i="15" s="1"/>
  <c r="H41" i="15"/>
  <c r="G25" i="15"/>
  <c r="H25" i="15" s="1"/>
  <c r="H61" i="15"/>
  <c r="G9" i="15"/>
  <c r="G84" i="15" s="1"/>
  <c r="G86" i="15" s="1"/>
  <c r="G80" i="15"/>
  <c r="H80" i="15" s="1"/>
  <c r="H24" i="15"/>
  <c r="H17" i="15"/>
  <c r="F84" i="15"/>
  <c r="G75" i="13"/>
  <c r="G81" i="13"/>
  <c r="G79" i="13"/>
  <c r="G13" i="13"/>
  <c r="G63" i="12"/>
  <c r="G87" i="15" l="1"/>
  <c r="H9" i="15"/>
  <c r="H84" i="15" s="1"/>
  <c r="G18" i="13"/>
  <c r="G4" i="8" l="1"/>
  <c r="G7" i="7"/>
  <c r="G8" i="9"/>
  <c r="G53" i="13"/>
  <c r="G5" i="9"/>
  <c r="G21" i="12" l="1"/>
  <c r="G21" i="13"/>
  <c r="G5" i="8"/>
  <c r="G49" i="12"/>
  <c r="G13" i="12"/>
  <c r="G78" i="12"/>
  <c r="G80" i="12"/>
  <c r="G6" i="12"/>
  <c r="G74" i="12"/>
  <c r="G62" i="12"/>
  <c r="G39" i="12"/>
  <c r="G50" i="12" l="1"/>
  <c r="G47" i="12" l="1"/>
  <c r="G16" i="12"/>
  <c r="G18" i="12" l="1"/>
  <c r="G51" i="12"/>
  <c r="G15" i="12" l="1"/>
  <c r="G29" i="12" l="1"/>
  <c r="D86" i="13" l="1"/>
  <c r="V84" i="13"/>
  <c r="T84" i="13"/>
  <c r="R84" i="13"/>
  <c r="P84" i="13"/>
  <c r="N84" i="13"/>
  <c r="F84" i="13"/>
  <c r="H84" i="13" s="1"/>
  <c r="V83" i="13"/>
  <c r="T83" i="13"/>
  <c r="R83" i="13"/>
  <c r="P83" i="13"/>
  <c r="N83" i="13"/>
  <c r="F83" i="13"/>
  <c r="H83" i="13" s="1"/>
  <c r="V82" i="13"/>
  <c r="T82" i="13"/>
  <c r="R82" i="13"/>
  <c r="P82" i="13"/>
  <c r="N82" i="13"/>
  <c r="F82" i="13"/>
  <c r="H82" i="13" s="1"/>
  <c r="V81" i="13"/>
  <c r="T81" i="13"/>
  <c r="R81" i="13"/>
  <c r="P81" i="13"/>
  <c r="N81" i="13"/>
  <c r="F81" i="13"/>
  <c r="H81" i="13" s="1"/>
  <c r="V80" i="13"/>
  <c r="T80" i="13"/>
  <c r="R80" i="13"/>
  <c r="P80" i="13"/>
  <c r="N80" i="13"/>
  <c r="F80" i="13"/>
  <c r="V79" i="13"/>
  <c r="T79" i="13"/>
  <c r="R79" i="13"/>
  <c r="P79" i="13"/>
  <c r="N79" i="13"/>
  <c r="F79" i="13"/>
  <c r="H79" i="13" s="1"/>
  <c r="V78" i="13"/>
  <c r="T78" i="13"/>
  <c r="R78" i="13"/>
  <c r="P78" i="13"/>
  <c r="N78" i="13"/>
  <c r="F78" i="13"/>
  <c r="H78" i="13" s="1"/>
  <c r="V77" i="13"/>
  <c r="T77" i="13"/>
  <c r="R77" i="13"/>
  <c r="P77" i="13"/>
  <c r="N77" i="13"/>
  <c r="F77" i="13"/>
  <c r="H77" i="13" s="1"/>
  <c r="F76" i="13"/>
  <c r="V75" i="13"/>
  <c r="T75" i="13"/>
  <c r="R75" i="13"/>
  <c r="P75" i="13"/>
  <c r="N75" i="13"/>
  <c r="F75" i="13"/>
  <c r="H75" i="13" s="1"/>
  <c r="V74" i="13"/>
  <c r="T74" i="13"/>
  <c r="R74" i="13"/>
  <c r="P74" i="13"/>
  <c r="N74" i="13"/>
  <c r="F74" i="13"/>
  <c r="H74" i="13" s="1"/>
  <c r="V73" i="13"/>
  <c r="T73" i="13"/>
  <c r="R73" i="13"/>
  <c r="P73" i="13"/>
  <c r="N73" i="13"/>
  <c r="F73" i="13"/>
  <c r="H73" i="13" s="1"/>
  <c r="V72" i="13"/>
  <c r="T72" i="13"/>
  <c r="R72" i="13"/>
  <c r="P72" i="13"/>
  <c r="N72" i="13"/>
  <c r="F72" i="13"/>
  <c r="H72" i="13" s="1"/>
  <c r="V71" i="13"/>
  <c r="T71" i="13"/>
  <c r="R71" i="13"/>
  <c r="P71" i="13"/>
  <c r="N71" i="13"/>
  <c r="F71" i="13"/>
  <c r="H71" i="13" s="1"/>
  <c r="V70" i="13"/>
  <c r="T70" i="13"/>
  <c r="R70" i="13"/>
  <c r="P70" i="13"/>
  <c r="N70" i="13"/>
  <c r="F70" i="13"/>
  <c r="H70" i="13" s="1"/>
  <c r="V69" i="13"/>
  <c r="T69" i="13"/>
  <c r="R69" i="13"/>
  <c r="P69" i="13"/>
  <c r="N69" i="13"/>
  <c r="F69" i="13"/>
  <c r="H69" i="13" s="1"/>
  <c r="V68" i="13"/>
  <c r="T68" i="13"/>
  <c r="R68" i="13"/>
  <c r="P68" i="13"/>
  <c r="N68" i="13"/>
  <c r="F68" i="13"/>
  <c r="H68" i="13" s="1"/>
  <c r="V67" i="13"/>
  <c r="T67" i="13"/>
  <c r="R67" i="13"/>
  <c r="P67" i="13"/>
  <c r="N67" i="13"/>
  <c r="F67" i="13"/>
  <c r="V66" i="13"/>
  <c r="T66" i="13"/>
  <c r="R66" i="13"/>
  <c r="P66" i="13"/>
  <c r="N66" i="13"/>
  <c r="F66" i="13"/>
  <c r="H66" i="13" s="1"/>
  <c r="V65" i="13"/>
  <c r="T65" i="13"/>
  <c r="R65" i="13"/>
  <c r="P65" i="13"/>
  <c r="N65" i="13"/>
  <c r="F65" i="13"/>
  <c r="H65" i="13" s="1"/>
  <c r="V64" i="13"/>
  <c r="T64" i="13"/>
  <c r="R64" i="13"/>
  <c r="P64" i="13"/>
  <c r="N64" i="13"/>
  <c r="F64" i="13"/>
  <c r="V63" i="13"/>
  <c r="T63" i="13"/>
  <c r="R63" i="13"/>
  <c r="P63" i="13"/>
  <c r="N63" i="13"/>
  <c r="F63" i="13"/>
  <c r="H63" i="13" s="1"/>
  <c r="V62" i="13"/>
  <c r="T62" i="13"/>
  <c r="R62" i="13"/>
  <c r="P62" i="13"/>
  <c r="N62" i="13"/>
  <c r="F62" i="13"/>
  <c r="H62" i="13" s="1"/>
  <c r="V61" i="13"/>
  <c r="T61" i="13"/>
  <c r="R61" i="13"/>
  <c r="P61" i="13"/>
  <c r="N61" i="13"/>
  <c r="F61" i="13"/>
  <c r="H61" i="13" s="1"/>
  <c r="V60" i="13"/>
  <c r="T60" i="13"/>
  <c r="R60" i="13"/>
  <c r="P60" i="13"/>
  <c r="N60" i="13"/>
  <c r="F60" i="13"/>
  <c r="H60" i="13" s="1"/>
  <c r="V59" i="13"/>
  <c r="T59" i="13"/>
  <c r="R59" i="13"/>
  <c r="P59" i="13"/>
  <c r="N59" i="13"/>
  <c r="F59" i="13"/>
  <c r="H59" i="13" s="1"/>
  <c r="V58" i="13"/>
  <c r="T58" i="13"/>
  <c r="R58" i="13"/>
  <c r="P58" i="13"/>
  <c r="N58" i="13"/>
  <c r="F58" i="13"/>
  <c r="V57" i="13"/>
  <c r="T57" i="13"/>
  <c r="R57" i="13"/>
  <c r="P57" i="13"/>
  <c r="N57" i="13"/>
  <c r="F57" i="13"/>
  <c r="H57" i="13" s="1"/>
  <c r="V56" i="13"/>
  <c r="T56" i="13"/>
  <c r="R56" i="13"/>
  <c r="P56" i="13"/>
  <c r="N56" i="13"/>
  <c r="F56" i="13"/>
  <c r="H56" i="13" s="1"/>
  <c r="V55" i="13"/>
  <c r="T55" i="13"/>
  <c r="R55" i="13"/>
  <c r="P55" i="13"/>
  <c r="N55" i="13"/>
  <c r="F55" i="13"/>
  <c r="H55" i="13" s="1"/>
  <c r="V54" i="13"/>
  <c r="T54" i="13"/>
  <c r="R54" i="13"/>
  <c r="P54" i="13"/>
  <c r="N54" i="13"/>
  <c r="F54" i="13"/>
  <c r="H54" i="13" s="1"/>
  <c r="V53" i="13"/>
  <c r="T53" i="13"/>
  <c r="R53" i="13"/>
  <c r="P53" i="13"/>
  <c r="N53" i="13"/>
  <c r="F53" i="13"/>
  <c r="H53" i="13" s="1"/>
  <c r="F52" i="13"/>
  <c r="H52" i="13" s="1"/>
  <c r="V51" i="13"/>
  <c r="T51" i="13"/>
  <c r="R51" i="13"/>
  <c r="P51" i="13"/>
  <c r="N51" i="13"/>
  <c r="F51" i="13"/>
  <c r="H51" i="13" s="1"/>
  <c r="V50" i="13"/>
  <c r="T50" i="13"/>
  <c r="R50" i="13"/>
  <c r="P50" i="13"/>
  <c r="N50" i="13"/>
  <c r="F50" i="13"/>
  <c r="H50" i="13" s="1"/>
  <c r="V49" i="13"/>
  <c r="T49" i="13"/>
  <c r="R49" i="13"/>
  <c r="P49" i="13"/>
  <c r="N49" i="13"/>
  <c r="F49" i="13"/>
  <c r="H49" i="13" s="1"/>
  <c r="V48" i="13"/>
  <c r="T48" i="13"/>
  <c r="R48" i="13"/>
  <c r="P48" i="13"/>
  <c r="N48" i="13"/>
  <c r="F48" i="13"/>
  <c r="H48" i="13" s="1"/>
  <c r="V47" i="13"/>
  <c r="T47" i="13"/>
  <c r="R47" i="13"/>
  <c r="P47" i="13"/>
  <c r="N47" i="13"/>
  <c r="F47" i="13"/>
  <c r="H47" i="13" s="1"/>
  <c r="V46" i="13"/>
  <c r="T46" i="13"/>
  <c r="R46" i="13"/>
  <c r="P46" i="13"/>
  <c r="N46" i="13"/>
  <c r="F46" i="13"/>
  <c r="H46" i="13" s="1"/>
  <c r="V45" i="13"/>
  <c r="T45" i="13"/>
  <c r="R45" i="13"/>
  <c r="P45" i="13"/>
  <c r="N45" i="13"/>
  <c r="F45" i="13"/>
  <c r="H45" i="13" s="1"/>
  <c r="F44" i="13"/>
  <c r="H44" i="13" s="1"/>
  <c r="V43" i="13"/>
  <c r="T43" i="13"/>
  <c r="R43" i="13"/>
  <c r="P43" i="13"/>
  <c r="N43" i="13"/>
  <c r="F43" i="13"/>
  <c r="V42" i="13"/>
  <c r="T42" i="13"/>
  <c r="R42" i="13"/>
  <c r="P42" i="13"/>
  <c r="N42" i="13"/>
  <c r="F42" i="13"/>
  <c r="V41" i="13"/>
  <c r="T41" i="13"/>
  <c r="R41" i="13"/>
  <c r="P41" i="13"/>
  <c r="N41" i="13"/>
  <c r="F41" i="13"/>
  <c r="F40" i="13"/>
  <c r="H40" i="13" s="1"/>
  <c r="V39" i="13"/>
  <c r="T39" i="13"/>
  <c r="R39" i="13"/>
  <c r="P39" i="13"/>
  <c r="N39" i="13"/>
  <c r="F39" i="13"/>
  <c r="H39" i="13" s="1"/>
  <c r="V38" i="13"/>
  <c r="T38" i="13"/>
  <c r="R38" i="13"/>
  <c r="P38" i="13"/>
  <c r="N38" i="13"/>
  <c r="F38" i="13"/>
  <c r="H38" i="13" s="1"/>
  <c r="V37" i="13"/>
  <c r="T37" i="13"/>
  <c r="R37" i="13"/>
  <c r="P37" i="13"/>
  <c r="N37" i="13"/>
  <c r="F37" i="13"/>
  <c r="H37" i="13" s="1"/>
  <c r="V36" i="13"/>
  <c r="T36" i="13"/>
  <c r="R36" i="13"/>
  <c r="P36" i="13"/>
  <c r="N36" i="13"/>
  <c r="F36" i="13"/>
  <c r="H36" i="13" s="1"/>
  <c r="V35" i="13"/>
  <c r="T35" i="13"/>
  <c r="R35" i="13"/>
  <c r="P35" i="13"/>
  <c r="N35" i="13"/>
  <c r="F35" i="13"/>
  <c r="H35" i="13" s="1"/>
  <c r="V34" i="13"/>
  <c r="T34" i="13"/>
  <c r="R34" i="13"/>
  <c r="P34" i="13"/>
  <c r="N34" i="13"/>
  <c r="F34" i="13"/>
  <c r="H34" i="13" s="1"/>
  <c r="V33" i="13"/>
  <c r="T33" i="13"/>
  <c r="R33" i="13"/>
  <c r="P33" i="13"/>
  <c r="N33" i="13"/>
  <c r="F33" i="13"/>
  <c r="V32" i="13"/>
  <c r="T32" i="13"/>
  <c r="R32" i="13"/>
  <c r="P32" i="13"/>
  <c r="N32" i="13"/>
  <c r="F32" i="13"/>
  <c r="H32" i="13" s="1"/>
  <c r="V31" i="13"/>
  <c r="T31" i="13"/>
  <c r="R31" i="13"/>
  <c r="P31" i="13"/>
  <c r="N31" i="13"/>
  <c r="F31" i="13"/>
  <c r="H31" i="13" s="1"/>
  <c r="V30" i="13"/>
  <c r="T30" i="13"/>
  <c r="R30" i="13"/>
  <c r="P30" i="13"/>
  <c r="N30" i="13"/>
  <c r="F30" i="13"/>
  <c r="H30" i="13" s="1"/>
  <c r="V29" i="13"/>
  <c r="T29" i="13"/>
  <c r="R29" i="13"/>
  <c r="P29" i="13"/>
  <c r="N29" i="13"/>
  <c r="F29" i="13"/>
  <c r="H29" i="13" s="1"/>
  <c r="V28" i="13"/>
  <c r="T28" i="13"/>
  <c r="R28" i="13"/>
  <c r="P28" i="13"/>
  <c r="N28" i="13"/>
  <c r="F28" i="13"/>
  <c r="H28" i="13" s="1"/>
  <c r="V27" i="13"/>
  <c r="T27" i="13"/>
  <c r="R27" i="13"/>
  <c r="P27" i="13"/>
  <c r="N27" i="13"/>
  <c r="F27" i="13"/>
  <c r="V26" i="13"/>
  <c r="T26" i="13"/>
  <c r="R26" i="13"/>
  <c r="P26" i="13"/>
  <c r="N26" i="13"/>
  <c r="F26" i="13"/>
  <c r="F25" i="13"/>
  <c r="V24" i="13"/>
  <c r="T24" i="13"/>
  <c r="R24" i="13"/>
  <c r="P24" i="13"/>
  <c r="N24" i="13"/>
  <c r="F24" i="13"/>
  <c r="V23" i="13"/>
  <c r="T23" i="13"/>
  <c r="R23" i="13"/>
  <c r="P23" i="13"/>
  <c r="N23" i="13"/>
  <c r="F23" i="13"/>
  <c r="V22" i="13"/>
  <c r="T22" i="13"/>
  <c r="R22" i="13"/>
  <c r="P22" i="13"/>
  <c r="N22" i="13"/>
  <c r="F22" i="13"/>
  <c r="V21" i="13"/>
  <c r="T21" i="13"/>
  <c r="R21" i="13"/>
  <c r="P21" i="13"/>
  <c r="N21" i="13"/>
  <c r="F21" i="13"/>
  <c r="H21" i="13" s="1"/>
  <c r="V20" i="13"/>
  <c r="T20" i="13"/>
  <c r="R20" i="13"/>
  <c r="P20" i="13"/>
  <c r="N20" i="13"/>
  <c r="F20" i="13"/>
  <c r="H20" i="13" s="1"/>
  <c r="V19" i="13"/>
  <c r="T19" i="13"/>
  <c r="R19" i="13"/>
  <c r="P19" i="13"/>
  <c r="N19" i="13"/>
  <c r="F19" i="13"/>
  <c r="H19" i="13" s="1"/>
  <c r="V18" i="13"/>
  <c r="T18" i="13"/>
  <c r="R18" i="13"/>
  <c r="P18" i="13"/>
  <c r="N18" i="13"/>
  <c r="F18" i="13"/>
  <c r="H18" i="13" s="1"/>
  <c r="V17" i="13"/>
  <c r="T17" i="13"/>
  <c r="R17" i="13"/>
  <c r="P17" i="13"/>
  <c r="N17" i="13"/>
  <c r="F17" i="13"/>
  <c r="H17" i="13" s="1"/>
  <c r="V16" i="13"/>
  <c r="T16" i="13"/>
  <c r="R16" i="13"/>
  <c r="P16" i="13"/>
  <c r="N16" i="13"/>
  <c r="F16" i="13"/>
  <c r="H16" i="13" s="1"/>
  <c r="V15" i="13"/>
  <c r="T15" i="13"/>
  <c r="R15" i="13"/>
  <c r="P15" i="13"/>
  <c r="N15" i="13"/>
  <c r="F15" i="13"/>
  <c r="V14" i="13"/>
  <c r="T14" i="13"/>
  <c r="R14" i="13"/>
  <c r="P14" i="13"/>
  <c r="N14" i="13"/>
  <c r="F14" i="13"/>
  <c r="V13" i="13"/>
  <c r="T13" i="13"/>
  <c r="R13" i="13"/>
  <c r="P13" i="13"/>
  <c r="N13" i="13"/>
  <c r="F13" i="13"/>
  <c r="H13" i="13" s="1"/>
  <c r="V12" i="13"/>
  <c r="T12" i="13"/>
  <c r="R12" i="13"/>
  <c r="P12" i="13"/>
  <c r="N12" i="13"/>
  <c r="F12" i="13"/>
  <c r="H12" i="13" s="1"/>
  <c r="V11" i="13"/>
  <c r="T11" i="13"/>
  <c r="R11" i="13"/>
  <c r="P11" i="13"/>
  <c r="N11" i="13"/>
  <c r="F11" i="13"/>
  <c r="H11" i="13" s="1"/>
  <c r="V10" i="13"/>
  <c r="T10" i="13"/>
  <c r="R10" i="13"/>
  <c r="P10" i="13"/>
  <c r="N10" i="13"/>
  <c r="F10" i="13"/>
  <c r="H10" i="13" s="1"/>
  <c r="V9" i="13"/>
  <c r="T9" i="13"/>
  <c r="R9" i="13"/>
  <c r="P9" i="13"/>
  <c r="N9" i="13"/>
  <c r="F9" i="13"/>
  <c r="H9" i="13" s="1"/>
  <c r="V8" i="13"/>
  <c r="T8" i="13"/>
  <c r="R8" i="13"/>
  <c r="P8" i="13"/>
  <c r="N8" i="13"/>
  <c r="F8" i="13"/>
  <c r="H8" i="13" s="1"/>
  <c r="F7" i="13"/>
  <c r="H7" i="13" s="1"/>
  <c r="V6" i="13"/>
  <c r="T6" i="13"/>
  <c r="R6" i="13"/>
  <c r="P6" i="13"/>
  <c r="N6" i="13"/>
  <c r="F6" i="13"/>
  <c r="H6" i="13" s="1"/>
  <c r="V5" i="13"/>
  <c r="T5" i="13"/>
  <c r="R5" i="13"/>
  <c r="P5" i="13"/>
  <c r="N5" i="13"/>
  <c r="F5" i="13"/>
  <c r="H5" i="13" s="1"/>
  <c r="V4" i="13"/>
  <c r="T4" i="13"/>
  <c r="R4" i="13"/>
  <c r="P4" i="13"/>
  <c r="N4" i="13"/>
  <c r="F4" i="13"/>
  <c r="H4" i="13" s="1"/>
  <c r="G70" i="12"/>
  <c r="G7" i="9"/>
  <c r="G38" i="12"/>
  <c r="G4" i="9"/>
  <c r="G58" i="13" l="1"/>
  <c r="H58" i="13" s="1"/>
  <c r="G23" i="13"/>
  <c r="H23" i="13" s="1"/>
  <c r="G64" i="13"/>
  <c r="H64" i="13" s="1"/>
  <c r="G27" i="13"/>
  <c r="H27" i="13" s="1"/>
  <c r="G24" i="13"/>
  <c r="H24" i="13" s="1"/>
  <c r="G33" i="13"/>
  <c r="H33" i="13" s="1"/>
  <c r="G80" i="13"/>
  <c r="H80" i="13" s="1"/>
  <c r="G14" i="13"/>
  <c r="H14" i="13" s="1"/>
  <c r="G22" i="13"/>
  <c r="H22" i="13" s="1"/>
  <c r="G76" i="13"/>
  <c r="H76" i="13" s="1"/>
  <c r="G43" i="13"/>
  <c r="H43" i="13" s="1"/>
  <c r="G67" i="13"/>
  <c r="G42" i="13"/>
  <c r="H42" i="13" s="1"/>
  <c r="G26" i="13"/>
  <c r="H26" i="13" s="1"/>
  <c r="G41" i="13"/>
  <c r="H41" i="13" s="1"/>
  <c r="G15" i="13"/>
  <c r="G25" i="13"/>
  <c r="H25" i="13" s="1"/>
  <c r="F86" i="13"/>
  <c r="H67" i="13" l="1"/>
  <c r="G88" i="13"/>
  <c r="G86" i="13"/>
  <c r="G89" i="13" s="1"/>
  <c r="G90" i="13" s="1"/>
  <c r="H15" i="13"/>
  <c r="H86" i="13" s="1"/>
  <c r="G5" i="7"/>
  <c r="D84" i="12" l="1"/>
  <c r="F83" i="12"/>
  <c r="F82" i="12"/>
  <c r="F81" i="12"/>
  <c r="F80" i="12"/>
  <c r="F79" i="12"/>
  <c r="F78" i="12"/>
  <c r="H78" i="12" s="1"/>
  <c r="F77" i="12"/>
  <c r="F76" i="12"/>
  <c r="F75" i="12"/>
  <c r="G75" i="12" s="1"/>
  <c r="F74" i="12"/>
  <c r="F73" i="12"/>
  <c r="F72" i="12"/>
  <c r="F71" i="12"/>
  <c r="F70" i="12"/>
  <c r="H70" i="12" s="1"/>
  <c r="F69" i="12"/>
  <c r="F68" i="12"/>
  <c r="F67" i="12"/>
  <c r="F66" i="12"/>
  <c r="F65" i="12"/>
  <c r="F64" i="12"/>
  <c r="F63" i="12"/>
  <c r="H63" i="12" s="1"/>
  <c r="F62" i="12"/>
  <c r="F61" i="12"/>
  <c r="F60" i="12"/>
  <c r="F59" i="12"/>
  <c r="F58" i="12"/>
  <c r="F57" i="12"/>
  <c r="F56" i="12"/>
  <c r="F55" i="12"/>
  <c r="F54" i="12"/>
  <c r="F53" i="12"/>
  <c r="F52" i="12"/>
  <c r="F51" i="12"/>
  <c r="H51" i="12" s="1"/>
  <c r="F50" i="12"/>
  <c r="H50" i="12" s="1"/>
  <c r="F49" i="12"/>
  <c r="H49" i="12" s="1"/>
  <c r="F48" i="12"/>
  <c r="F47" i="12"/>
  <c r="F46" i="12"/>
  <c r="F45" i="12"/>
  <c r="F44" i="12"/>
  <c r="F43" i="12"/>
  <c r="F42" i="12"/>
  <c r="F41" i="12"/>
  <c r="G41" i="12" s="1"/>
  <c r="F40" i="12"/>
  <c r="F39" i="12"/>
  <c r="H39" i="12" s="1"/>
  <c r="F38" i="12"/>
  <c r="H38" i="12" s="1"/>
  <c r="F37" i="12"/>
  <c r="F36" i="12"/>
  <c r="H36" i="12" s="1"/>
  <c r="F35" i="12"/>
  <c r="F34" i="12"/>
  <c r="F33" i="12"/>
  <c r="F32" i="12"/>
  <c r="F31" i="12"/>
  <c r="F30" i="12"/>
  <c r="H30" i="12" s="1"/>
  <c r="F29" i="12"/>
  <c r="F28" i="12"/>
  <c r="F27" i="12"/>
  <c r="F26" i="12"/>
  <c r="F25" i="12"/>
  <c r="G25" i="12" s="1"/>
  <c r="F24" i="12"/>
  <c r="F23" i="12"/>
  <c r="F22" i="12"/>
  <c r="H22" i="12" s="1"/>
  <c r="F21" i="12"/>
  <c r="H21" i="12" s="1"/>
  <c r="F20" i="12"/>
  <c r="F19" i="12"/>
  <c r="H19" i="12" s="1"/>
  <c r="F18" i="12"/>
  <c r="H18" i="12" s="1"/>
  <c r="F17" i="12"/>
  <c r="F16" i="12"/>
  <c r="H16" i="12" s="1"/>
  <c r="F15" i="12"/>
  <c r="F14" i="12"/>
  <c r="F13" i="12"/>
  <c r="F12" i="12"/>
  <c r="F11" i="12"/>
  <c r="F10" i="12"/>
  <c r="F9" i="12"/>
  <c r="F8" i="12"/>
  <c r="F7" i="12"/>
  <c r="F6" i="12"/>
  <c r="H6" i="12" s="1"/>
  <c r="F5" i="12"/>
  <c r="F4" i="12"/>
  <c r="G4" i="12" s="1"/>
  <c r="G17" i="12" l="1"/>
  <c r="H17" i="12" s="1"/>
  <c r="G33" i="12"/>
  <c r="H33" i="12" s="1"/>
  <c r="G65" i="12"/>
  <c r="H65" i="12" s="1"/>
  <c r="G37" i="12"/>
  <c r="H37" i="12" s="1"/>
  <c r="G23" i="12"/>
  <c r="H23" i="12" s="1"/>
  <c r="G71" i="12"/>
  <c r="H71" i="12" s="1"/>
  <c r="G82" i="12"/>
  <c r="H82" i="12" s="1"/>
  <c r="G20" i="12"/>
  <c r="H20" i="12" s="1"/>
  <c r="G8" i="12"/>
  <c r="H8" i="12" s="1"/>
  <c r="G72" i="12"/>
  <c r="H72" i="12" s="1"/>
  <c r="G81" i="12"/>
  <c r="H81" i="12" s="1"/>
  <c r="G73" i="12"/>
  <c r="H73" i="12" s="1"/>
  <c r="G66" i="12"/>
  <c r="H66" i="12" s="1"/>
  <c r="G68" i="12"/>
  <c r="H68" i="12" s="1"/>
  <c r="G24" i="12"/>
  <c r="H24" i="12" s="1"/>
  <c r="G58" i="12"/>
  <c r="H58" i="12" s="1"/>
  <c r="G83" i="12"/>
  <c r="H83" i="12" s="1"/>
  <c r="G7" i="12"/>
  <c r="H7" i="12" s="1"/>
  <c r="G56" i="12"/>
  <c r="H56" i="12" s="1"/>
  <c r="G11" i="12"/>
  <c r="H11" i="12" s="1"/>
  <c r="G43" i="12"/>
  <c r="H43" i="12" s="1"/>
  <c r="G59" i="12"/>
  <c r="H59" i="12" s="1"/>
  <c r="G48" i="12"/>
  <c r="H48" i="12" s="1"/>
  <c r="G35" i="12"/>
  <c r="H35" i="12" s="1"/>
  <c r="G5" i="12"/>
  <c r="H5" i="12" s="1"/>
  <c r="G54" i="12"/>
  <c r="H54" i="12" s="1"/>
  <c r="G40" i="12"/>
  <c r="H40" i="12" s="1"/>
  <c r="G44" i="12"/>
  <c r="H44" i="12" s="1"/>
  <c r="G60" i="12"/>
  <c r="H60" i="12" s="1"/>
  <c r="G32" i="12"/>
  <c r="H32" i="12" s="1"/>
  <c r="G52" i="12"/>
  <c r="H52" i="12" s="1"/>
  <c r="G10" i="12"/>
  <c r="H10" i="12" s="1"/>
  <c r="G12" i="12"/>
  <c r="H12" i="12" s="1"/>
  <c r="G45" i="12"/>
  <c r="H45" i="12" s="1"/>
  <c r="G61" i="12"/>
  <c r="H61" i="12" s="1"/>
  <c r="G77" i="12"/>
  <c r="H77" i="12" s="1"/>
  <c r="G34" i="12"/>
  <c r="H34" i="12" s="1"/>
  <c r="G69" i="12"/>
  <c r="H69" i="12" s="1"/>
  <c r="G55" i="12"/>
  <c r="H55" i="12" s="1"/>
  <c r="G9" i="12"/>
  <c r="H9" i="12" s="1"/>
  <c r="G14" i="12"/>
  <c r="H14" i="12" s="1"/>
  <c r="G46" i="12"/>
  <c r="H46" i="12" s="1"/>
  <c r="G57" i="12"/>
  <c r="H57" i="12" s="1"/>
  <c r="G27" i="12"/>
  <c r="H27" i="12" s="1"/>
  <c r="G31" i="12"/>
  <c r="H31" i="12" s="1"/>
  <c r="G79" i="12"/>
  <c r="H79" i="12" s="1"/>
  <c r="G28" i="12"/>
  <c r="H28" i="12" s="1"/>
  <c r="G76" i="12"/>
  <c r="H76" i="12" s="1"/>
  <c r="G42" i="12"/>
  <c r="H42" i="12" s="1"/>
  <c r="G64" i="12"/>
  <c r="H64" i="12" s="1"/>
  <c r="G26" i="12"/>
  <c r="G67" i="12"/>
  <c r="G53" i="12"/>
  <c r="H53" i="12" s="1"/>
  <c r="H80" i="12"/>
  <c r="H62" i="12"/>
  <c r="H74" i="12"/>
  <c r="H47" i="12"/>
  <c r="H15" i="12"/>
  <c r="H13" i="12"/>
  <c r="H75" i="12"/>
  <c r="H41" i="12"/>
  <c r="H25" i="12"/>
  <c r="F84" i="12"/>
  <c r="H4" i="12"/>
  <c r="H29" i="12"/>
  <c r="H67" i="12" l="1"/>
  <c r="H84" i="12" s="1"/>
  <c r="G86" i="12"/>
  <c r="G84" i="12"/>
  <c r="H26" i="12"/>
  <c r="G87" i="12" l="1"/>
  <c r="G88" i="12" s="1"/>
  <c r="D10" i="9" l="1"/>
  <c r="Y9" i="9"/>
  <c r="W9" i="9"/>
  <c r="U9" i="9"/>
  <c r="S9" i="9"/>
  <c r="Q9" i="9"/>
  <c r="F9" i="9"/>
  <c r="H9" i="9" s="1"/>
  <c r="Y8" i="9"/>
  <c r="W8" i="9"/>
  <c r="U8" i="9"/>
  <c r="S8" i="9"/>
  <c r="Q8" i="9"/>
  <c r="F8" i="9"/>
  <c r="H8" i="9" s="1"/>
  <c r="Y7" i="9"/>
  <c r="W7" i="9"/>
  <c r="U7" i="9"/>
  <c r="S7" i="9"/>
  <c r="Q7" i="9"/>
  <c r="F7" i="9"/>
  <c r="H7" i="9" s="1"/>
  <c r="Y6" i="9"/>
  <c r="W6" i="9"/>
  <c r="U6" i="9"/>
  <c r="S6" i="9"/>
  <c r="Q6" i="9"/>
  <c r="F6" i="9"/>
  <c r="H6" i="9" s="1"/>
  <c r="Y5" i="9"/>
  <c r="W5" i="9"/>
  <c r="U5" i="9"/>
  <c r="S5" i="9"/>
  <c r="Q5" i="9"/>
  <c r="F5" i="9"/>
  <c r="H5" i="9" s="1"/>
  <c r="Y4" i="9"/>
  <c r="W4" i="9"/>
  <c r="U4" i="9"/>
  <c r="S4" i="9"/>
  <c r="Q4" i="9"/>
  <c r="F4" i="9"/>
  <c r="H4" i="9" s="1"/>
  <c r="D6" i="8"/>
  <c r="Y5" i="8"/>
  <c r="W5" i="8"/>
  <c r="U5" i="8"/>
  <c r="S5" i="8"/>
  <c r="Q5" i="8"/>
  <c r="F5" i="8"/>
  <c r="H5" i="8" s="1"/>
  <c r="Y4" i="8"/>
  <c r="W4" i="8"/>
  <c r="U4" i="8"/>
  <c r="S4" i="8"/>
  <c r="Q4" i="8"/>
  <c r="F4" i="8"/>
  <c r="H4" i="8" s="1"/>
  <c r="D9" i="7"/>
  <c r="F7" i="7"/>
  <c r="H7" i="7" s="1"/>
  <c r="F6" i="7"/>
  <c r="H6" i="7" s="1"/>
  <c r="F5" i="7"/>
  <c r="H5" i="7" s="1"/>
  <c r="F4" i="7"/>
  <c r="H4" i="7" s="1"/>
  <c r="F9" i="7" l="1"/>
  <c r="F10" i="9"/>
  <c r="F6" i="8"/>
  <c r="G6" i="8"/>
  <c r="H9" i="7" l="1"/>
  <c r="G9" i="7"/>
  <c r="G10" i="9"/>
  <c r="H6" i="8"/>
  <c r="H10" i="9"/>
  <c r="G86" i="29" l="1"/>
  <c r="H52" i="29"/>
  <c r="H86" i="29" s="1"/>
</calcChain>
</file>

<file path=xl/sharedStrings.xml><?xml version="1.0" encoding="utf-8"?>
<sst xmlns="http://schemas.openxmlformats.org/spreadsheetml/2006/main" count="5645" uniqueCount="767">
  <si>
    <t>HAJEEF COW MILK PROCUREMENT FROM 01-APR-2024 TO 30-APR-2024</t>
  </si>
  <si>
    <t xml:space="preserve">Sr No. </t>
  </si>
  <si>
    <t>Farmer Code</t>
  </si>
  <si>
    <t xml:space="preserve">Farmer Name </t>
  </si>
  <si>
    <t>Milk Qty. (Ltr.)</t>
  </si>
  <si>
    <t>Avg. Rate (OMR/Ltr.)</t>
  </si>
  <si>
    <t>Amount (OMR)</t>
  </si>
  <si>
    <t>paid</t>
  </si>
  <si>
    <t>balance</t>
  </si>
  <si>
    <t>ID No.</t>
  </si>
  <si>
    <t xml:space="preserve"> Bank Account No. </t>
  </si>
  <si>
    <t xml:space="preserve">Bank Name </t>
  </si>
  <si>
    <t>IFSC Code</t>
  </si>
  <si>
    <t>Phone No.</t>
  </si>
  <si>
    <t>Remarks</t>
  </si>
  <si>
    <t>ALI MAHAD SAID QATAN</t>
  </si>
  <si>
    <t>0.250</t>
  </si>
  <si>
    <t>0397003672070015</t>
  </si>
  <si>
    <t xml:space="preserve">BANK MUSCAT </t>
  </si>
  <si>
    <t>BMUSOMRX</t>
  </si>
  <si>
    <t>12-08-2024-feeds</t>
  </si>
  <si>
    <t>Said Ali Said Qatan</t>
  </si>
  <si>
    <t>0501036199001</t>
  </si>
  <si>
    <t>Ahli Islamic</t>
  </si>
  <si>
    <t>AUBOOMRUALH</t>
  </si>
  <si>
    <t>05-08-2024-feeds</t>
  </si>
  <si>
    <t xml:space="preserve"> </t>
  </si>
  <si>
    <t>Hassan Ghaly</t>
  </si>
  <si>
    <t>Suresh Bose</t>
  </si>
  <si>
    <t>Cost Accountant</t>
  </si>
  <si>
    <t>Sr.Operations Officer</t>
  </si>
  <si>
    <t>Said Al Bahanata</t>
  </si>
  <si>
    <t>DGM</t>
  </si>
  <si>
    <t>HAJEEF COW MILK PROCUREMENT FROM 01-May-2024 TO 31-May-2024</t>
  </si>
  <si>
    <t>MOHAMMED ALI SAID AL ZAWAMRY</t>
  </si>
  <si>
    <t>01012573317001</t>
  </si>
  <si>
    <t>BANK DHOFAR</t>
  </si>
  <si>
    <t>BDOFOMRU</t>
  </si>
  <si>
    <t>GHAZI SALIM MASOUD TABOOK</t>
  </si>
  <si>
    <t>0401002602010018</t>
  </si>
  <si>
    <t>BANK MUSCAT</t>
  </si>
  <si>
    <t>01-08-2024-feeds</t>
  </si>
  <si>
    <t>09-12-234</t>
  </si>
  <si>
    <t>0426012948850015</t>
  </si>
  <si>
    <t>ADIL SAID AHMED AL ZAWAMRI</t>
  </si>
  <si>
    <t>00510047506001</t>
  </si>
  <si>
    <t>Bank Nizwa</t>
  </si>
  <si>
    <t>BNZWOMRX</t>
  </si>
  <si>
    <t>11-08-2024-feeds</t>
  </si>
  <si>
    <t>Said Ali Said Al Zawamri</t>
  </si>
  <si>
    <t>0439004225500028</t>
  </si>
  <si>
    <t>Ali Ajaham Ali Bait said</t>
  </si>
  <si>
    <t>01011180247001</t>
  </si>
  <si>
    <t>14-08-24-feeds</t>
  </si>
  <si>
    <t>Ali Ahmed Ali Bait Said</t>
  </si>
  <si>
    <t>0396064567750014</t>
  </si>
  <si>
    <t>Dr .Nasser Ali Baitsaid</t>
  </si>
  <si>
    <t xml:space="preserve"> Aqeel Ali Ibrahim</t>
  </si>
  <si>
    <t>Shk.</t>
  </si>
  <si>
    <t>Said Al Bahanta</t>
  </si>
  <si>
    <t>General Manager</t>
  </si>
  <si>
    <t>Vice Chairman</t>
  </si>
  <si>
    <t>Chairman</t>
  </si>
  <si>
    <t>HAJEEF COW MILK PROCUREMENT FROM 01-June-2024 TO 30-June-2024</t>
  </si>
  <si>
    <t>Paid</t>
  </si>
  <si>
    <t>Balance</t>
  </si>
  <si>
    <t>SAID AMERAHMED BAITSAID</t>
  </si>
  <si>
    <t>ALI AHMED MOHAMMED AL KATHIRI</t>
  </si>
  <si>
    <t>18-09-2024</t>
  </si>
  <si>
    <t>ALI MOHAMMED MUSALLAM AL BARAAMI</t>
  </si>
  <si>
    <t>25-09-2024</t>
  </si>
  <si>
    <t>16-09-2024</t>
  </si>
  <si>
    <t>09-12-241</t>
  </si>
  <si>
    <t>AHMED ABDULLAH SAID AL RAWAS</t>
  </si>
  <si>
    <t>0615500670380001</t>
  </si>
  <si>
    <t>Bank Meethaq</t>
  </si>
  <si>
    <t>BMUSOMRXISL</t>
  </si>
  <si>
    <t>AHMED SALIM ALI BAITSAID</t>
  </si>
  <si>
    <t>0406003463970017</t>
  </si>
  <si>
    <t>MUSALLAM SAID ALI BAITSAID</t>
  </si>
  <si>
    <t>01011456108001</t>
  </si>
  <si>
    <t>Mahad Salim Abdulaziz Alkathiri</t>
  </si>
  <si>
    <t>1006623107017</t>
  </si>
  <si>
    <t>NBO</t>
  </si>
  <si>
    <t>NBOMOMRX</t>
  </si>
  <si>
    <t>SALIM AMER AHMED AL YAFAEI</t>
  </si>
  <si>
    <t>0406003218280013</t>
  </si>
  <si>
    <t>3109370559500</t>
  </si>
  <si>
    <t>OAB</t>
  </si>
  <si>
    <t>OMABOMRU</t>
  </si>
  <si>
    <t>MOHAMMED MASOUD AJHAM ALSH AL KATHIRI</t>
  </si>
  <si>
    <t>0397046773470015</t>
  </si>
  <si>
    <t>AHMED SAID HASSAN  BAITSAID</t>
  </si>
  <si>
    <t>0406018690130014</t>
  </si>
  <si>
    <t>MUSALLAM SAID ALI BAIT SAID</t>
  </si>
  <si>
    <t>01040280323001</t>
  </si>
  <si>
    <t>MUSALLAM MUSTAHIL SAID BAIT SAID</t>
  </si>
  <si>
    <t>1083517184017</t>
  </si>
  <si>
    <t>ALI MUSALLAM AHMED BAIT SAID</t>
  </si>
  <si>
    <t>0406003006560016</t>
  </si>
  <si>
    <t>MOHAMMD SAID AHMED AL KATHIRI</t>
  </si>
  <si>
    <t>01040854387001</t>
  </si>
  <si>
    <t>KHALID MUBARAK ALI ATQOON AL SHAHRI</t>
  </si>
  <si>
    <t>0401016727580038</t>
  </si>
  <si>
    <t>TARIQ SALIM SUHAIL AL BARAMI</t>
  </si>
  <si>
    <t>01011059048001</t>
  </si>
  <si>
    <t>0397003510460014</t>
  </si>
  <si>
    <t>ALI MAHAD SILMOUN QATAN</t>
  </si>
  <si>
    <t>0397004203200017</t>
  </si>
  <si>
    <t>MUSALLAM BAKHIT AWADH L BARAAMI</t>
  </si>
  <si>
    <t>0397003041020024</t>
  </si>
  <si>
    <t>MUSALLAM ALI MATOOQ TABOOK</t>
  </si>
  <si>
    <t>0397003905720015</t>
  </si>
  <si>
    <t>HASHIM SALIM ALI ATIF AL YAFAI</t>
  </si>
  <si>
    <t>0401024314310011</t>
  </si>
  <si>
    <t>HASSAN SUHAIL MAHAD QATAN</t>
  </si>
  <si>
    <t>01010850952003</t>
  </si>
  <si>
    <t>MOHAMMED AHMED SAAD MASHRAH AL SHAHRI</t>
  </si>
  <si>
    <t>3129019324700</t>
  </si>
  <si>
    <t>MOHAMMED BAKHIT MASOUD QATAN</t>
  </si>
  <si>
    <t>0404002595460014</t>
  </si>
  <si>
    <t>dcf feed</t>
  </si>
  <si>
    <t>KHALID SAID MAHAD KASHOUB</t>
  </si>
  <si>
    <t>3129770819700</t>
  </si>
  <si>
    <t>MUSALLAM AHMED MAHTOUQ AL ZAWAMRI</t>
  </si>
  <si>
    <t>01011208343002</t>
  </si>
  <si>
    <t>ALI SAID ALI AL ZAWAMRI</t>
  </si>
  <si>
    <t>1104036354300</t>
  </si>
  <si>
    <t>Ahli Bank</t>
  </si>
  <si>
    <t>AUBOOMRU</t>
  </si>
  <si>
    <t>BAKHIT SALIM MAHAD QATAN</t>
  </si>
  <si>
    <t>01042574515001</t>
  </si>
  <si>
    <t>SAID BAKHIT MAHAD QATAN</t>
  </si>
  <si>
    <t>0402003042750013</t>
  </si>
  <si>
    <t>AHMED OBAIDAN AHMED AL KATHIRI</t>
  </si>
  <si>
    <t>596869</t>
  </si>
  <si>
    <t>0401049081340015</t>
  </si>
  <si>
    <t>AHMED BAKHIT SALEM AL BARAMI</t>
  </si>
  <si>
    <t>0397003703480012</t>
  </si>
  <si>
    <t>NAIF MUBARAK BAKHIT AL BARAAMI</t>
  </si>
  <si>
    <t>00510031862001</t>
  </si>
  <si>
    <t>MOHAMMED SAID FARAJ AL KATHIRI</t>
  </si>
  <si>
    <t>01010940071001</t>
  </si>
  <si>
    <t>ALI MUSALLLAM HASSAN BAITSAID</t>
  </si>
  <si>
    <t>01646038607001</t>
  </si>
  <si>
    <t>Maisarah</t>
  </si>
  <si>
    <t>BDOFOMRUMIB</t>
  </si>
  <si>
    <t>KHALID MOHAMMED  MASAAOD AGGHRIB AL SHAHRI</t>
  </si>
  <si>
    <t>01011251497002</t>
  </si>
  <si>
    <t>HATAM AWADH SAID QATAN</t>
  </si>
  <si>
    <t>3109607126500</t>
  </si>
  <si>
    <t>Fatima Suleimon Salim ALBaramiyah</t>
  </si>
  <si>
    <t>0439046831000027</t>
  </si>
  <si>
    <t>MUSALLAM AHMED SAAD AL BARAAMI</t>
  </si>
  <si>
    <t>0397004380200011</t>
  </si>
  <si>
    <t>AHMED MUSALLAM SAID QATAN</t>
  </si>
  <si>
    <t>0401002379960017</t>
  </si>
  <si>
    <t>SAID AHMED NASIB AL BARAAMI</t>
  </si>
  <si>
    <t>1006794849001</t>
  </si>
  <si>
    <t>KHAYAR ALI SAID AL BARAAMI</t>
  </si>
  <si>
    <t>0406015163810016</t>
  </si>
  <si>
    <t>SUHAIL MOHAMMED SUHAIL TABUK</t>
  </si>
  <si>
    <t>3129685484720</t>
  </si>
  <si>
    <t>TARIK MASOUD MAJADAH AL KATHIRI</t>
  </si>
  <si>
    <t>3109710314700</t>
  </si>
  <si>
    <t>Salim Musallam Ali Qatan</t>
  </si>
  <si>
    <t>0401002697260019</t>
  </si>
  <si>
    <t>01011004872002</t>
  </si>
  <si>
    <t>MOHAMMED ALI AHMED AMOOSH THOAR</t>
  </si>
  <si>
    <t>0405020308900019</t>
  </si>
  <si>
    <t xml:space="preserve">HASSAN BAKHIT AHMED QATAN </t>
  </si>
  <si>
    <t>01041574026001</t>
  </si>
  <si>
    <t>SAID AHMED SAID AL ZAWAMRI</t>
  </si>
  <si>
    <t>0405002746200013</t>
  </si>
  <si>
    <t xml:space="preserve">TAFOOL SILMOUN SALIM AL BARAMI </t>
  </si>
  <si>
    <t>0402014490950017</t>
  </si>
  <si>
    <t>MUSTAHIL SAID MUSTAHIL AL BARAAMI</t>
  </si>
  <si>
    <t>01011097969001</t>
  </si>
  <si>
    <t>JASIM MOHAMMED SAID ALI AFIR AL ZAWAMARI</t>
  </si>
  <si>
    <t>0401007927380037</t>
  </si>
  <si>
    <t>MOHSIN SAID MOHAMED BA AWAIN</t>
  </si>
  <si>
    <t>0406003220920038</t>
  </si>
  <si>
    <t>AHMED SUHAIL SAID AL BARAMI</t>
  </si>
  <si>
    <t>0397003855850017</t>
  </si>
  <si>
    <t>BAKHIT AWADH BAKHIT AL BARAAMI</t>
  </si>
  <si>
    <t>0401057742590016</t>
  </si>
  <si>
    <t>Salim Ahmed Aubad Al kathiri</t>
  </si>
  <si>
    <t>0397062111930011</t>
  </si>
  <si>
    <t>Bank Muscat</t>
  </si>
  <si>
    <t>Mahad Salim Zaed Bait Said</t>
  </si>
  <si>
    <t>1023113274001</t>
  </si>
  <si>
    <t>Khalid Ahmed Salim Amer Jid Almahri</t>
  </si>
  <si>
    <t>0401050718800013</t>
  </si>
  <si>
    <t>Salim Mohammed Ahmed Al Kathiri</t>
  </si>
  <si>
    <t>10600259604017</t>
  </si>
  <si>
    <t>Said Masoud Ahmed Al kathiri</t>
  </si>
  <si>
    <t>0402003356710024</t>
  </si>
  <si>
    <t>Bank Transfer-08-12-24</t>
  </si>
  <si>
    <t>Ahmed Bakhit Ahmed Al Kathiri</t>
  </si>
  <si>
    <t>01011021065002</t>
  </si>
  <si>
    <t>Imad Bakhit Salim Bakhit Qatan</t>
  </si>
  <si>
    <t>0401028325700011</t>
  </si>
  <si>
    <t>Ali Salem Amer Al Kathiri</t>
  </si>
  <si>
    <t>0406003375130017</t>
  </si>
  <si>
    <t>BT 15-12-2024</t>
  </si>
  <si>
    <t>Ahmed Masoud Salim Al Kathiri</t>
  </si>
  <si>
    <t>0397048001530015</t>
  </si>
  <si>
    <t>Bakhit Suhail Ahmed Qatan</t>
  </si>
  <si>
    <t>01040281423001</t>
  </si>
  <si>
    <t>Asama Mohammed Ahmed Masharah Al Shahri</t>
  </si>
  <si>
    <t>3129152535700</t>
  </si>
  <si>
    <t>Amer Ali Ahmed Al kathiri</t>
  </si>
  <si>
    <t>0397003252950036</t>
  </si>
  <si>
    <t>Ahmed Abdul Rahim Ali Al Kathiri</t>
  </si>
  <si>
    <t>01041149485001</t>
  </si>
  <si>
    <t>Khair Salim Faraj Al Kathiri</t>
  </si>
  <si>
    <t>01013042263001</t>
  </si>
  <si>
    <t>Said Salim Faraj Al Kathiri</t>
  </si>
  <si>
    <t>0397003539170015</t>
  </si>
  <si>
    <t>Musallam Hassan Ali Bait Muhammed Bin Ahmed</t>
  </si>
  <si>
    <t>01010127958001</t>
  </si>
  <si>
    <t>Mohammed Salim Faraj Al Kathiri</t>
  </si>
  <si>
    <t>01010401370002</t>
  </si>
  <si>
    <t>Masoud Salim Faraj Al Kathiri</t>
  </si>
  <si>
    <t>01011028414003</t>
  </si>
  <si>
    <t>Musallam Mahad Suhail Al Barami</t>
  </si>
  <si>
    <t>01011072899001</t>
  </si>
  <si>
    <t>Omar Said Awadh Bait Said</t>
  </si>
  <si>
    <t>0396019442490023</t>
  </si>
  <si>
    <t>Said Ahmed Ali Qatan</t>
  </si>
  <si>
    <t>01010121273002</t>
  </si>
  <si>
    <t>HAJEEF COW MILK PROCUREMENT FROM 01-Aug-2024 TO 31-Aug-2024</t>
  </si>
  <si>
    <t xml:space="preserve">2 times taken from jan feed </t>
  </si>
  <si>
    <t>26-11-214</t>
  </si>
  <si>
    <t>DCF feed</t>
  </si>
  <si>
    <t>032-12-24</t>
  </si>
  <si>
    <t>10-10-2024,PR-063</t>
  </si>
  <si>
    <t>15-01-245</t>
  </si>
  <si>
    <t>BT 22-01-2025</t>
  </si>
  <si>
    <t>BT07-01-2025</t>
  </si>
  <si>
    <t>HAJEEF COW MILK PROCUREMENT FROM 01-Sept-2024 TO 30-Sept-2024</t>
  </si>
  <si>
    <t>DCF-27-01-25</t>
  </si>
  <si>
    <t>29-1224</t>
  </si>
  <si>
    <t>DCF FEED</t>
  </si>
  <si>
    <t>30-12-241</t>
  </si>
  <si>
    <t>2.975-dcf</t>
  </si>
  <si>
    <t>4.401 dcf</t>
  </si>
  <si>
    <t>HAJEEF COW MILK PROCUREMENT FROM 01-Oct-2024 TO 31-Oct-2024</t>
  </si>
  <si>
    <t>DCf-27-01-25</t>
  </si>
  <si>
    <t>.150 WILL DEDUCT FROM  NOV 24</t>
  </si>
  <si>
    <t>Feeds ONLD 25-12-2024</t>
  </si>
  <si>
    <t>.555-dcf</t>
  </si>
  <si>
    <t>HAJEEF COW MILK PROCUREMENT FROM 01-Nov-2024 TO 30-Nov-2024</t>
  </si>
  <si>
    <t>DCF Feed-16-01-25</t>
  </si>
  <si>
    <t>DCF Feed-29-01-25</t>
  </si>
  <si>
    <t>DCF Feed-15-01-25</t>
  </si>
  <si>
    <t>.975 dcf feed</t>
  </si>
  <si>
    <t>29-01-2025-dcf</t>
  </si>
  <si>
    <t>20-01-25-dcf</t>
  </si>
  <si>
    <t>Total</t>
  </si>
  <si>
    <t xml:space="preserve">أسعار الاعلاف </t>
  </si>
  <si>
    <t xml:space="preserve">أسم المنتج </t>
  </si>
  <si>
    <t>الوزن بالكيلوا</t>
  </si>
  <si>
    <t xml:space="preserve">القيمه بالريال العماني </t>
  </si>
  <si>
    <t xml:space="preserve">تخفيض </t>
  </si>
  <si>
    <t>السعر بعد التخفيض</t>
  </si>
  <si>
    <t xml:space="preserve">مراعي ظفار </t>
  </si>
  <si>
    <t xml:space="preserve">العلف الكامل </t>
  </si>
  <si>
    <t>التسمين السريع</t>
  </si>
  <si>
    <t>علف ادرار الحليب</t>
  </si>
  <si>
    <t>15-01-25</t>
  </si>
  <si>
    <t>29-01-25</t>
  </si>
  <si>
    <t>13-2-25</t>
  </si>
  <si>
    <t>HAJEEF COW MILK PROCUREMENT FROM 01-Dec-2024 TO 31-Dec-2024</t>
  </si>
  <si>
    <t>DCF Feed-26-01-25</t>
  </si>
  <si>
    <t>DCF-29-01-25</t>
  </si>
  <si>
    <t>16-2-25</t>
  </si>
  <si>
    <t>17-2-25</t>
  </si>
  <si>
    <t>20-02-25</t>
  </si>
  <si>
    <t>20-2-25</t>
  </si>
  <si>
    <t>23-2-2025</t>
  </si>
  <si>
    <t>27-01-25</t>
  </si>
  <si>
    <t>23-1-25</t>
  </si>
  <si>
    <t>AL MOROOJ DAIRY CO SAOC</t>
  </si>
  <si>
    <t>CR NO:1249988</t>
  </si>
  <si>
    <t>P.O BOX: 1385,PC-211</t>
  </si>
  <si>
    <t>VAT:OM1100091687</t>
  </si>
  <si>
    <t>SALALAH, SULTANATE OF OMAN</t>
  </si>
  <si>
    <t>PURCHASE REQUEST</t>
  </si>
  <si>
    <t>Farmer Name</t>
  </si>
  <si>
    <t>PR Ref:</t>
  </si>
  <si>
    <t>AMDC/H025-670</t>
  </si>
  <si>
    <t>PR Date:</t>
  </si>
  <si>
    <t>Farmer ID</t>
  </si>
  <si>
    <t>أسم المنتج  / Product</t>
  </si>
  <si>
    <t>الوزن بالكيلوا / Weight</t>
  </si>
  <si>
    <t>السعر / Price</t>
  </si>
  <si>
    <t>الكمية / Quantity</t>
  </si>
  <si>
    <t>إجمالي المبلغ / Total</t>
  </si>
  <si>
    <t>مراعي ظفار 
Marai Dhofar</t>
  </si>
  <si>
    <t>.</t>
  </si>
  <si>
    <t xml:space="preserve">العلف الكامل
Whole Feed </t>
  </si>
  <si>
    <t>التسمين السريع
 Rapid Growth</t>
  </si>
  <si>
    <t>التسمين السريع
Rapid Growth</t>
  </si>
  <si>
    <t>-</t>
  </si>
  <si>
    <t>نخالة القمح
Wheat Bran</t>
  </si>
  <si>
    <t xml:space="preserve">علف ادرار الحليب
Milk-producing Feed </t>
  </si>
  <si>
    <t>Month</t>
  </si>
  <si>
    <t>الإجمالي / Total</t>
  </si>
  <si>
    <t>شركة المروج للألبان</t>
  </si>
  <si>
    <t>Al Morooj Dairy Co</t>
  </si>
  <si>
    <t>email id: feeds@almoroojdairy.om</t>
  </si>
  <si>
    <t>Tel: +96 23202611,23294248</t>
  </si>
  <si>
    <t>PR Date</t>
  </si>
  <si>
    <t>SL</t>
  </si>
  <si>
    <t xml:space="preserve">Remark: </t>
  </si>
  <si>
    <t>ملاحظة:</t>
  </si>
  <si>
    <t>1.The customer are agreed to transfer the full feeds as per the purchase request signed</t>
  </si>
  <si>
    <t>1- أنا العميل الموقع أدناه موافق على شحن الكمية الموضحة في طلب الشراء بالكامل</t>
  </si>
  <si>
    <t>2.All the farmer should bring the ID copy. Without ID proof, feeds will not issue</t>
  </si>
  <si>
    <t>2- على جميع المربين احضار نسخة من البطاقة الشخصية , بدون البطاقة الشخصية لن يتم صرف الاعلاف</t>
  </si>
  <si>
    <t>توقيع العميل</t>
  </si>
  <si>
    <t>Customer Signature</t>
  </si>
  <si>
    <t>132857700081018</t>
  </si>
  <si>
    <t>Bakhit Musallam Ali Kashoob</t>
  </si>
  <si>
    <t>2,3</t>
  </si>
  <si>
    <t>HAJEEF COW MILK PROCUREMENT FROM 01-Jul-2025 to 31-Jul-2025</t>
  </si>
  <si>
    <t>HAJEEF COW MILK PROCUREMENT FROM 01-Aug-2025 to 31-Aug-2025</t>
  </si>
  <si>
    <t>Mahad Ahmed Alkathiri</t>
  </si>
  <si>
    <t>3109593036500</t>
  </si>
  <si>
    <t>18-9-2025</t>
  </si>
  <si>
    <t>17-9-2025</t>
  </si>
  <si>
    <t>17-9-25</t>
  </si>
  <si>
    <t>Update Bank account on 23-9-2025</t>
  </si>
  <si>
    <t>01013095125001</t>
  </si>
  <si>
    <t>22.9.2025</t>
  </si>
  <si>
    <t>24.9.2025</t>
  </si>
  <si>
    <t>BT 24-9-2025</t>
  </si>
  <si>
    <t>BT 24 - 9 -2025</t>
  </si>
  <si>
    <t>29.9.2025</t>
  </si>
  <si>
    <t>14-10-2025</t>
  </si>
  <si>
    <t>TOTAL AMOUNT</t>
  </si>
  <si>
    <t>TOTAL LITERS</t>
  </si>
  <si>
    <t>0099295522</t>
  </si>
  <si>
    <t>BANK NIZWA</t>
  </si>
  <si>
    <t>00510197027001</t>
  </si>
  <si>
    <t>Mohammed Suhail Salim Al Baraami</t>
  </si>
  <si>
    <t>3593</t>
  </si>
  <si>
    <t>0099693352</t>
  </si>
  <si>
    <t>0402017014050015</t>
  </si>
  <si>
    <t>Ahmed Bakhit Said Al Kathiri</t>
  </si>
  <si>
    <t>3592</t>
  </si>
  <si>
    <t>0092382151</t>
  </si>
  <si>
    <t>0397003718020018</t>
  </si>
  <si>
    <t>Salim Ali Said Al Zawamri</t>
  </si>
  <si>
    <t>3591</t>
  </si>
  <si>
    <t>0098962921</t>
  </si>
  <si>
    <t>Bank Dhofar</t>
  </si>
  <si>
    <t>4644260582290270</t>
  </si>
  <si>
    <t>Hamed Musallam Mohammed Tabook</t>
  </si>
  <si>
    <t>3590</t>
  </si>
  <si>
    <t>0092749180</t>
  </si>
  <si>
    <t>Tafoul Musallem Said Bait Said</t>
  </si>
  <si>
    <t>3589</t>
  </si>
  <si>
    <t>1083469830017</t>
  </si>
  <si>
    <t>Tafool Zaidi Mahroos Bait Said</t>
  </si>
  <si>
    <t>0092708334</t>
  </si>
  <si>
    <t>0397003641350017</t>
  </si>
  <si>
    <t>Khayar Ali Said Bait Said</t>
  </si>
  <si>
    <t>0099290098</t>
  </si>
  <si>
    <t>0397004176350012</t>
  </si>
  <si>
    <t>musllam Mohammed Salim Tabook</t>
  </si>
  <si>
    <t>0091730077</t>
  </si>
  <si>
    <t>SOHAR</t>
  </si>
  <si>
    <t>010010181761</t>
  </si>
  <si>
    <t>Ahmed Said Amur Bait Said</t>
  </si>
  <si>
    <t>0091965353</t>
  </si>
  <si>
    <t>0396055887070012</t>
  </si>
  <si>
    <t>Said Ahmed Said Bait Said</t>
  </si>
  <si>
    <t>0401050720020017</t>
  </si>
  <si>
    <t>Mohammed Said Masoud Qatan</t>
  </si>
  <si>
    <t>0092772234</t>
  </si>
  <si>
    <t>0477076775960017</t>
  </si>
  <si>
    <t>Adel Musallam Mahad Jaboob</t>
  </si>
  <si>
    <t>0398044073740028</t>
  </si>
  <si>
    <t>Musallam Said Ahmed Salim Jaaboub</t>
  </si>
  <si>
    <t>0093127450</t>
  </si>
  <si>
    <t>70402007079001</t>
  </si>
  <si>
    <t>Muna Mubarak Issa Jaabub</t>
  </si>
  <si>
    <t>0090936569</t>
  </si>
  <si>
    <t>0397003208040014</t>
  </si>
  <si>
    <t>Salim Ahmed Obaidan AlKathiri</t>
  </si>
  <si>
    <t>0098829772</t>
  </si>
  <si>
    <t>0397061432820017</t>
  </si>
  <si>
    <t>Qasim Suhail Aubad Jamaan Al Kathiri</t>
  </si>
  <si>
    <t>0092868004</t>
  </si>
  <si>
    <t>0406019179830028</t>
  </si>
  <si>
    <t>Khayar Mohammed Ahmed AlKathiri</t>
  </si>
  <si>
    <t>0092821977</t>
  </si>
  <si>
    <t>0426076316650019</t>
  </si>
  <si>
    <t>Mahad Said Ahmed Jaaboub</t>
  </si>
  <si>
    <t>0093536753</t>
  </si>
  <si>
    <t>01011126632001</t>
  </si>
  <si>
    <t>Mohammad Said Ahmed Salim Jaaboub</t>
  </si>
  <si>
    <t>0092911891</t>
  </si>
  <si>
    <t>0406058257380016</t>
  </si>
  <si>
    <t>Ghazi Bakhit Mohammed AlKathiri</t>
  </si>
  <si>
    <t>0092559899</t>
  </si>
  <si>
    <t>0401049336720011</t>
  </si>
  <si>
    <t>Ibrahim Amer Ahmed Qatan</t>
  </si>
  <si>
    <t>0090106022</t>
  </si>
  <si>
    <t>01015693544001</t>
  </si>
  <si>
    <t>Said Mohammed Said Faraj AlKathiri</t>
  </si>
  <si>
    <t>0099485672</t>
  </si>
  <si>
    <t>0397004105390013</t>
  </si>
  <si>
    <t>Said Awadh Majoodah Bait Said</t>
  </si>
  <si>
    <t>0092050433</t>
  </si>
  <si>
    <t>0396048245620012</t>
  </si>
  <si>
    <t>Qasim Said Awadh bait Said</t>
  </si>
  <si>
    <t>0396003248940014</t>
  </si>
  <si>
    <t>Musallam Awadh Majudah bait Said</t>
  </si>
  <si>
    <t>0098822664</t>
  </si>
  <si>
    <t>0439061501030018</t>
  </si>
  <si>
    <t>Ahmed Suhail Aubad Al Kathiri</t>
  </si>
  <si>
    <t>0093233289</t>
  </si>
  <si>
    <t>0439079294590015</t>
  </si>
  <si>
    <t>Salim Suhail Ahmed Al Kathiri</t>
  </si>
  <si>
    <t>0095110225</t>
  </si>
  <si>
    <t>0397017201090033</t>
  </si>
  <si>
    <t>Hamed Mohammed Ahmed Hat AlShahri</t>
  </si>
  <si>
    <t>0092408550</t>
  </si>
  <si>
    <t>3129025470700</t>
  </si>
  <si>
    <t>Said Mohammed Ahmed AlKathiri</t>
  </si>
  <si>
    <t>0099298007</t>
  </si>
  <si>
    <t>0397003924210017</t>
  </si>
  <si>
    <t xml:space="preserve">Mohammed Musallam </t>
  </si>
  <si>
    <t>0092850111</t>
  </si>
  <si>
    <t>Bank Alizz islamic</t>
  </si>
  <si>
    <t>0500102756002001</t>
  </si>
  <si>
    <t>Ghazi Bakhit Ahmed AlKathiri</t>
  </si>
  <si>
    <t>0099115226</t>
  </si>
  <si>
    <t>250010024461</t>
  </si>
  <si>
    <t>Ali Ahmed Suhail Amer Jeed</t>
  </si>
  <si>
    <t>040100255390015</t>
  </si>
  <si>
    <t>Musllam Issa Ahmed Al Baraami</t>
  </si>
  <si>
    <t>0098044999</t>
  </si>
  <si>
    <t>10060245826001</t>
  </si>
  <si>
    <t>Ahmed Mohammed Abdullah AlKathiri</t>
  </si>
  <si>
    <t>0099679031</t>
  </si>
  <si>
    <t>01041462519001</t>
  </si>
  <si>
    <t>Said Abdullah Said Al Kathiri</t>
  </si>
  <si>
    <t>0092300315</t>
  </si>
  <si>
    <t>0401061841790016</t>
  </si>
  <si>
    <t>Mohammed Mubarak Ali Atqun AlShihri</t>
  </si>
  <si>
    <t>0093957559</t>
  </si>
  <si>
    <t>0401002580840038</t>
  </si>
  <si>
    <t>Ali Musthail Ahmed Atqan AlShihri</t>
  </si>
  <si>
    <t>0098829866</t>
  </si>
  <si>
    <t>0397064050500011</t>
  </si>
  <si>
    <t>Ahmed Masoud Ahmed Kadan Alkathiri</t>
  </si>
  <si>
    <t>0092234456</t>
  </si>
  <si>
    <t>0401013084320018</t>
  </si>
  <si>
    <t>Mohammed Nasser Faraj Al Kathiri</t>
  </si>
  <si>
    <t>0093341190</t>
  </si>
  <si>
    <t>01015432796001</t>
  </si>
  <si>
    <t>Said Mohammed Faraj Jumaan AlKathiri</t>
  </si>
  <si>
    <t>0099144926</t>
  </si>
  <si>
    <t>0397003091620038</t>
  </si>
  <si>
    <t>Abayidan Ahmed Abayidan AlKathiri</t>
  </si>
  <si>
    <t>0096124466</t>
  </si>
  <si>
    <t>0406025216640016</t>
  </si>
  <si>
    <t>Nadir Mustahil Said Mashrah AlShahri</t>
  </si>
  <si>
    <t>0092924188</t>
  </si>
  <si>
    <t>0406016289150026</t>
  </si>
  <si>
    <t>Badar Mohammed Ali AlKathiri</t>
  </si>
  <si>
    <t>0091319444</t>
  </si>
  <si>
    <t>0304035252280019</t>
  </si>
  <si>
    <t>Salim Mubarak Bakhit Mahad Qatan</t>
  </si>
  <si>
    <t>0092503031</t>
  </si>
  <si>
    <t>0396014959200023</t>
  </si>
  <si>
    <t>Mohammed Omar Ahmed Hat AlShahari</t>
  </si>
  <si>
    <t>0092830490</t>
  </si>
  <si>
    <t>0396064267280016</t>
  </si>
  <si>
    <t>Ahmed Said Omar Aghrib AlShahri</t>
  </si>
  <si>
    <t>0092830096</t>
  </si>
  <si>
    <t>0397004166220013</t>
  </si>
  <si>
    <t>Mahad Said Mohammed Al Kathiri</t>
  </si>
  <si>
    <t>0099673747</t>
  </si>
  <si>
    <t>01010853216001</t>
  </si>
  <si>
    <t>Musallam Ahmed Musallam Al Kthiri</t>
  </si>
  <si>
    <t>0092400071</t>
  </si>
  <si>
    <t>01041047691001</t>
  </si>
  <si>
    <t>Ali Said Ali Al Baraami</t>
  </si>
  <si>
    <t>0090633500</t>
  </si>
  <si>
    <t>0406071637690014</t>
  </si>
  <si>
    <t>Said Mohamed Ahmed Aslam Alshahri</t>
  </si>
  <si>
    <t>0099709553</t>
  </si>
  <si>
    <t>1023566862017</t>
  </si>
  <si>
    <t>Ali Salim Ahmed Al Mahri</t>
  </si>
  <si>
    <t>0094444279</t>
  </si>
  <si>
    <t>3109116329700</t>
  </si>
  <si>
    <t>Amer Said Masoud Qatan</t>
  </si>
  <si>
    <t>0093210998</t>
  </si>
  <si>
    <t>AHLI BANK</t>
  </si>
  <si>
    <t>1501025484001</t>
  </si>
  <si>
    <t>Ali Abdullah Said Alrawas</t>
  </si>
  <si>
    <t>0099290970</t>
  </si>
  <si>
    <t>0401020682360015</t>
  </si>
  <si>
    <t>Mana Salim Faraj AlKathiri</t>
  </si>
  <si>
    <t>0093590020</t>
  </si>
  <si>
    <t>0406003443200029</t>
  </si>
  <si>
    <t>Said Hassan Abdullah Khidhran AlKathiri</t>
  </si>
  <si>
    <t>0098821279</t>
  </si>
  <si>
    <t>0396019134370025</t>
  </si>
  <si>
    <t>Hamid Said Al Shaiyaa Amur AlKathiri</t>
  </si>
  <si>
    <t>0097176909</t>
  </si>
  <si>
    <t>01012588123001</t>
  </si>
  <si>
    <t>Fisal Ahmed Mahtouq Al-Zouamari</t>
  </si>
  <si>
    <t>0092226297</t>
  </si>
  <si>
    <t>0397003341450012</t>
  </si>
  <si>
    <t>Musallam Hassan Abdullah Khdhran AlKathiri</t>
  </si>
  <si>
    <t>0099837335</t>
  </si>
  <si>
    <t>0426048893580018</t>
  </si>
  <si>
    <t>Ali Musallam Issa Al-Baraami</t>
  </si>
  <si>
    <t>0093968161</t>
  </si>
  <si>
    <t>01011346179002</t>
  </si>
  <si>
    <t>Amer Salim Mohsin Ajham AlKathiri</t>
  </si>
  <si>
    <t>0092379624</t>
  </si>
  <si>
    <t>0397059602380012</t>
  </si>
  <si>
    <t>Mohammed Masoud Said  khdhran Alkathiri</t>
  </si>
  <si>
    <t>0099496955</t>
  </si>
  <si>
    <t>01010850775001</t>
  </si>
  <si>
    <t>Mohammed Aslm Mohammed al Zawamri</t>
  </si>
  <si>
    <t>0092444040</t>
  </si>
  <si>
    <t>0319005149020017</t>
  </si>
  <si>
    <t>Mohammed Suhail Said Qatan</t>
  </si>
  <si>
    <t>Abdullah Salim Suhail Ahmed   Al Kathiri</t>
  </si>
  <si>
    <t>0092488144</t>
  </si>
  <si>
    <t>039700370833019</t>
  </si>
  <si>
    <t>Bakhit Suhail Salim Al Barami</t>
  </si>
  <si>
    <t>0093636606</t>
  </si>
  <si>
    <t>1502132783300</t>
  </si>
  <si>
    <t>Masoud Ali Daid Qatan</t>
  </si>
  <si>
    <t>0091418828</t>
  </si>
  <si>
    <t>0396057144960032</t>
  </si>
  <si>
    <t>salim Masoud Said AL-Kathiri</t>
  </si>
  <si>
    <t>0094800053</t>
  </si>
  <si>
    <t>0397012592830018</t>
  </si>
  <si>
    <t>Bakhit Ali Ahmed Amer Jeed</t>
  </si>
  <si>
    <t>0099298810</t>
  </si>
  <si>
    <t>010010137751</t>
  </si>
  <si>
    <t>Said Salim</t>
  </si>
  <si>
    <t>0401017288790038</t>
  </si>
  <si>
    <t>Awad Ahmed Said Alzwamri</t>
  </si>
  <si>
    <t>HAJEEF COW MILK PROCUREMENT FROM 01-Sep-2025 to 30-Sep-2025</t>
  </si>
  <si>
    <t>15-10-25</t>
  </si>
  <si>
    <t>20-10-2025</t>
  </si>
  <si>
    <t>22-10-2025</t>
  </si>
  <si>
    <t>22-10-25</t>
  </si>
  <si>
    <t>BT-27-10-2025</t>
  </si>
  <si>
    <t>27-10-25</t>
  </si>
  <si>
    <t>27-10-2025</t>
  </si>
  <si>
    <t>BT 28-10-2025</t>
  </si>
  <si>
    <t xml:space="preserve">Update Bank Account </t>
  </si>
  <si>
    <t>0439003443420024</t>
  </si>
  <si>
    <t>BT 29-10-2025</t>
  </si>
  <si>
    <t>29-10-2025</t>
  </si>
  <si>
    <t>BT 30-10-2025</t>
  </si>
  <si>
    <t>0092987770</t>
  </si>
  <si>
    <t>1023525680001</t>
  </si>
  <si>
    <t>NAIF MUSALLAM BAIT SAID</t>
  </si>
  <si>
    <t>MAMDOOH ABDULLAH ALRAWAS</t>
  </si>
  <si>
    <t>KHALID ABDULLAH ALRAWAS</t>
  </si>
  <si>
    <t>KHUZI ABDULLAH ALRAWAS</t>
  </si>
  <si>
    <t>NAEF ABDULLAH ALRAWAS</t>
  </si>
  <si>
    <t>ASHRAF ABDULLAH ALRAWAS</t>
  </si>
  <si>
    <t>1006565409017</t>
  </si>
  <si>
    <t>NASSER FARAJ ALKATHIRI</t>
  </si>
  <si>
    <t>0099093433</t>
  </si>
  <si>
    <t>0439003259520032</t>
  </si>
  <si>
    <t>MAMDOUH ABDUL AZIZ ALKATHIRI</t>
  </si>
  <si>
    <t>0097884322</t>
  </si>
  <si>
    <t>3109785749700</t>
  </si>
  <si>
    <t>KHUZAI SAID ALRAWAS</t>
  </si>
  <si>
    <t>3109724568700</t>
  </si>
  <si>
    <t>SAID MUSALLAM ALRAWAS</t>
  </si>
  <si>
    <t>0099879922</t>
  </si>
  <si>
    <t>0396050279280018</t>
  </si>
  <si>
    <t>Musallam Hamid Bait said</t>
  </si>
  <si>
    <t>0092417514</t>
  </si>
  <si>
    <t>0397004197300023</t>
  </si>
  <si>
    <t>SALIM MUSALLAM BAIT SAID</t>
  </si>
  <si>
    <t>0099897717</t>
  </si>
  <si>
    <t>Sohar Islamic</t>
  </si>
  <si>
    <t>70402006597401</t>
  </si>
  <si>
    <t>MUSALLAM SALIM ATIF ALYAFAI</t>
  </si>
  <si>
    <t>0092511696</t>
  </si>
  <si>
    <t>0397027717740013</t>
  </si>
  <si>
    <t>SUHAIL MOHAMMED SAID KASHOOB</t>
  </si>
  <si>
    <t>0099288681</t>
  </si>
  <si>
    <t>0406003444290013</t>
  </si>
  <si>
    <t>SAID ALI MUSTAHIL ALSHIHRI</t>
  </si>
  <si>
    <t>0401060425840016</t>
  </si>
  <si>
    <t>HAITHAM MOHAMMED SAID KASHOOB</t>
  </si>
  <si>
    <t>0401080305080024</t>
  </si>
  <si>
    <t>NAIF MOHAMMED SAID KASHOOB</t>
  </si>
  <si>
    <t>0401047218620018</t>
  </si>
  <si>
    <t>NASHMI AHMED ALZAWAMRI</t>
  </si>
  <si>
    <t>0396051591490029</t>
  </si>
  <si>
    <t>Malik said al shahre</t>
  </si>
  <si>
    <t>0406003456440018</t>
  </si>
  <si>
    <t>Said Ali Abdullah Ghawas</t>
  </si>
  <si>
    <t>0099099199</t>
  </si>
  <si>
    <t>0397004333200011</t>
  </si>
  <si>
    <t>Amur Ali Suhail Bayat Said</t>
  </si>
  <si>
    <t>0396044075150029</t>
  </si>
  <si>
    <t>Bakhit Ali Suhail Ali Bait Said</t>
  </si>
  <si>
    <t>0396003354670026</t>
  </si>
  <si>
    <t>Fael ALI Suhail  Bait Said</t>
  </si>
  <si>
    <t>0099499622</t>
  </si>
  <si>
    <t>0397003644990017</t>
  </si>
  <si>
    <t>Ali Faraj Jamaan ALkathiri</t>
  </si>
  <si>
    <t>0099585991</t>
  </si>
  <si>
    <t>0397003628660018</t>
  </si>
  <si>
    <t>Omar  Said  Masoud  AlKathiri</t>
  </si>
  <si>
    <t>0403053364170013</t>
  </si>
  <si>
    <t>Omar Masoud Ali Albarami</t>
  </si>
  <si>
    <t>0401025220480017</t>
  </si>
  <si>
    <t>6375262</t>
  </si>
  <si>
    <t>Masoud Salim Masoud Tabook</t>
  </si>
  <si>
    <t>HAJEEF COW MILK PROCUREMENT FROM 01-Oct-2025 to 31-Oct-2025</t>
  </si>
  <si>
    <t>.975-11-2025</t>
  </si>
  <si>
    <t>17-11-25</t>
  </si>
  <si>
    <t>BT-11-11-25</t>
  </si>
  <si>
    <t>BT-16-11-25</t>
  </si>
  <si>
    <t>19-11-25</t>
  </si>
  <si>
    <t>BT 04-12-2025</t>
  </si>
  <si>
    <t>BT</t>
  </si>
  <si>
    <t>0439066875700011</t>
  </si>
  <si>
    <t>ABDULLLAH SAID ALSH ALKATHIRI</t>
  </si>
  <si>
    <t>0406003017570013</t>
  </si>
  <si>
    <t>ABDUL SELAM MUSALLAM ALRAWAS</t>
  </si>
  <si>
    <t>01013041639001</t>
  </si>
  <si>
    <t>HAFIDH SALIM ALASH ALKATHIRI</t>
  </si>
  <si>
    <t>0403014043670027</t>
  </si>
  <si>
    <t>MANAA SAID ALKATHIRI</t>
  </si>
  <si>
    <t>10600438040017</t>
  </si>
  <si>
    <t>SUHAIL SALIM ALASH ALKATHIRI</t>
  </si>
  <si>
    <t>Bank Ahli</t>
  </si>
  <si>
    <t>1501448605300</t>
  </si>
  <si>
    <t>AMIN SALIM BALKHAIR</t>
  </si>
  <si>
    <t>0396017286110018</t>
  </si>
  <si>
    <t>AMER MUSALLAM ALMAHIRI</t>
  </si>
  <si>
    <t>0439014008510013</t>
  </si>
  <si>
    <t>AHMED MOHAMMED MASHRAH ALSHIRI</t>
  </si>
  <si>
    <t>Mohammed Musallam Ahmed AlKathiri</t>
  </si>
  <si>
    <t>Said Salim Amer Qatan</t>
  </si>
  <si>
    <t>HAJEEF COW MILK PROCUREMENT FROM 01-Nov-2025 to 30-Nov-2025</t>
  </si>
  <si>
    <t>BT-11-12-2025</t>
  </si>
  <si>
    <t>14-12-25</t>
  </si>
  <si>
    <t>15-12-25</t>
  </si>
  <si>
    <t>17-12-25</t>
  </si>
  <si>
    <t>22-12-25</t>
  </si>
  <si>
    <t>24-12-25</t>
  </si>
  <si>
    <t>29-12-25</t>
  </si>
  <si>
    <t>31-12-25</t>
  </si>
  <si>
    <t>3626</t>
  </si>
  <si>
    <t>3625</t>
  </si>
  <si>
    <t>3624</t>
  </si>
  <si>
    <t>3623</t>
  </si>
  <si>
    <t>3622</t>
  </si>
  <si>
    <t>3621</t>
  </si>
  <si>
    <t>3620</t>
  </si>
  <si>
    <t>3619</t>
  </si>
  <si>
    <t>3618</t>
  </si>
  <si>
    <t>3617</t>
  </si>
  <si>
    <t>3616</t>
  </si>
  <si>
    <t>3615</t>
  </si>
  <si>
    <t>3614</t>
  </si>
  <si>
    <t>3613</t>
  </si>
  <si>
    <t>3612</t>
  </si>
  <si>
    <t>3611</t>
  </si>
  <si>
    <t>3610</t>
  </si>
  <si>
    <t>3609</t>
  </si>
  <si>
    <t>3608</t>
  </si>
  <si>
    <t>3607</t>
  </si>
  <si>
    <t>3606</t>
  </si>
  <si>
    <t>3605</t>
  </si>
  <si>
    <t>3604</t>
  </si>
  <si>
    <t>3603</t>
  </si>
  <si>
    <t>3602</t>
  </si>
  <si>
    <t>3601</t>
  </si>
  <si>
    <t>3600</t>
  </si>
  <si>
    <t>3599</t>
  </si>
  <si>
    <t>3598</t>
  </si>
  <si>
    <t>3597</t>
  </si>
  <si>
    <t>3596</t>
  </si>
  <si>
    <t>3595</t>
  </si>
  <si>
    <t>3594</t>
  </si>
  <si>
    <t>3588</t>
  </si>
  <si>
    <t>3587</t>
  </si>
  <si>
    <t>3586</t>
  </si>
  <si>
    <t>3584</t>
  </si>
  <si>
    <t>3583</t>
  </si>
  <si>
    <t>3582</t>
  </si>
  <si>
    <t>3581</t>
  </si>
  <si>
    <t>3580</t>
  </si>
  <si>
    <t>3579</t>
  </si>
  <si>
    <t>3578</t>
  </si>
  <si>
    <t>3577</t>
  </si>
  <si>
    <t>3576</t>
  </si>
  <si>
    <t>3575</t>
  </si>
  <si>
    <t>3574</t>
  </si>
  <si>
    <t>3573</t>
  </si>
  <si>
    <t>3572</t>
  </si>
  <si>
    <t>3571</t>
  </si>
  <si>
    <t>3570</t>
  </si>
  <si>
    <t>3569</t>
  </si>
  <si>
    <t>3568</t>
  </si>
  <si>
    <t>3567</t>
  </si>
  <si>
    <t>3566</t>
  </si>
  <si>
    <t>3565</t>
  </si>
  <si>
    <t>3564</t>
  </si>
  <si>
    <t>3563</t>
  </si>
  <si>
    <t>3562</t>
  </si>
  <si>
    <t>3561</t>
  </si>
  <si>
    <t>3560</t>
  </si>
  <si>
    <t>3559</t>
  </si>
  <si>
    <t>3558</t>
  </si>
  <si>
    <t>3557</t>
  </si>
  <si>
    <t>3556</t>
  </si>
  <si>
    <t>3555</t>
  </si>
  <si>
    <t>3554</t>
  </si>
  <si>
    <t>3553</t>
  </si>
  <si>
    <t>3552</t>
  </si>
  <si>
    <t>3551</t>
  </si>
  <si>
    <t>3550</t>
  </si>
  <si>
    <t>3549</t>
  </si>
  <si>
    <t>3548</t>
  </si>
  <si>
    <t>3547</t>
  </si>
  <si>
    <t>3546</t>
  </si>
  <si>
    <t>3545</t>
  </si>
  <si>
    <t>3544</t>
  </si>
  <si>
    <t>3543</t>
  </si>
  <si>
    <t>3542</t>
  </si>
  <si>
    <t>3541</t>
  </si>
  <si>
    <t>3540</t>
  </si>
  <si>
    <t>3539</t>
  </si>
  <si>
    <t>3538</t>
  </si>
  <si>
    <t>3537</t>
  </si>
  <si>
    <t>3536</t>
  </si>
  <si>
    <t>3535</t>
  </si>
  <si>
    <t>3534</t>
  </si>
  <si>
    <t>3533</t>
  </si>
  <si>
    <t>3532</t>
  </si>
  <si>
    <t>3531</t>
  </si>
  <si>
    <t>3530</t>
  </si>
  <si>
    <t>3529</t>
  </si>
  <si>
    <t>3528</t>
  </si>
  <si>
    <t>3527</t>
  </si>
  <si>
    <t>3526</t>
  </si>
  <si>
    <t>3525</t>
  </si>
  <si>
    <t>3524</t>
  </si>
  <si>
    <t>3523</t>
  </si>
  <si>
    <t>1023248983001</t>
  </si>
  <si>
    <t xml:space="preserve">AMER SALIM AMER AL KATHIRI </t>
  </si>
  <si>
    <t>HAJEEF COW MILK PROCUREMENT FROM 01-Dec-2025 to 31-Dec-2025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</si>
</sst>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dd\-mm\-yyyy;@"/>
    <numFmt numFmtId="167" formatCode="_(* #,##0.000_);_(* \(#,##0.000\);_(* &quot;-&quot;??_);_(@_)"/>
    <numFmt numFmtId="168" formatCode="0.0"/>
    <numFmt numFmtId="169" formatCode="#,##0.000"/>
    <numFmt numFmtId="170" formatCode="_(* #,##0_);_(* \(#,##0\);_(* &quot;-&quot;??_);_(@_)"/>
    <numFmt numFmtId="171" formatCode="_ * #,##0.00_ ;_ * \-#,##0.00_ ;_ * &quot;-&quot;??_ ;_ @_ "/>
    <numFmt numFmtId="172" formatCode="_ * #,##0.0_ ;_ * \-#,##0.0_ ;_ * &quot;-&quot;??_ ;_ @_ "/>
    <numFmt numFmtId="173" formatCode="dd\-mm\-yy;@"/>
  </numFmts>
  <fonts count="39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i/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rgb="FFFFFF00"/>
      <name val="Aptos Narrow"/>
      <family val="2"/>
      <scheme val="minor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sz val="16"/>
      <color theme="1"/>
      <name val="Aptos Narrow"/>
      <family val="2"/>
      <scheme val="minor"/>
    </font>
    <font>
      <b/>
      <sz val="16"/>
      <color rgb="FFFFFF00"/>
      <name val="Aptos Narrow"/>
      <family val="2"/>
      <scheme val="minor"/>
    </font>
    <font>
      <b/>
      <sz val="20"/>
      <color theme="1"/>
      <name val="Times New Roman"/>
      <family val="1"/>
    </font>
    <font>
      <b/>
      <u val="doubleAccounting"/>
      <sz val="14"/>
      <color theme="1"/>
      <name val="Aptos Narrow"/>
      <family val="2"/>
      <scheme val="minor"/>
    </font>
    <font>
      <b/>
      <sz val="9"/>
      <color rgb="FF0070C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6"/>
      <color theme="1"/>
      <name val="Times New Roman"/>
      <family val="1"/>
    </font>
    <font>
      <i/>
      <sz val="11"/>
      <color rgb="FF7F7F7F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i/>
      <sz val="12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3B5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7B5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0" fontId="33" fillId="0" borderId="0" applyNumberFormat="0" applyFill="0" applyBorder="0" applyAlignment="0" applyProtection="0"/>
  </cellStyleXfs>
  <cellXfs count="513">
    <xf numFmtId="0" fontId="0" fillId="0" borderId="0" xfId="0"/>
    <xf numFmtId="0" fontId="1" fillId="2" borderId="1" xfId="0" applyFont="1" applyFill="1" applyBorder="1"/>
    <xf numFmtId="165" fontId="1" fillId="2" borderId="1" xfId="0" applyNumberFormat="1" applyFont="1" applyFill="1" applyBorder="1"/>
    <xf numFmtId="0" fontId="2" fillId="0" borderId="0" xfId="0" applyFont="1"/>
    <xf numFmtId="167" fontId="1" fillId="2" borderId="1" xfId="1" applyNumberFormat="1" applyFont="1" applyFill="1" applyBorder="1"/>
    <xf numFmtId="0" fontId="6" fillId="0" borderId="0" xfId="0" applyFont="1"/>
    <xf numFmtId="0" fontId="0" fillId="0" borderId="0" xfId="0" applyAlignment="1">
      <alignment horizontal="center"/>
    </xf>
    <xf numFmtId="3" fontId="0" fillId="5" borderId="0" xfId="0" applyNumberFormat="1" applyFill="1"/>
    <xf numFmtId="0" fontId="0" fillId="5" borderId="0" xfId="0" applyFill="1"/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3" fontId="2" fillId="0" borderId="0" xfId="0" applyNumberFormat="1" applyFont="1"/>
    <xf numFmtId="0" fontId="0" fillId="4" borderId="1" xfId="0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0" fillId="4" borderId="1" xfId="0" applyFill="1" applyBorder="1"/>
    <xf numFmtId="168" fontId="0" fillId="4" borderId="1" xfId="0" applyNumberFormat="1" applyFill="1" applyBorder="1" applyAlignment="1">
      <alignment horizontal="center"/>
    </xf>
    <xf numFmtId="0" fontId="0" fillId="4" borderId="1" xfId="0" quotePrefix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quotePrefix="1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3" fontId="0" fillId="4" borderId="0" xfId="0" applyNumberFormat="1" applyFill="1"/>
    <xf numFmtId="0" fontId="0" fillId="4" borderId="0" xfId="0" applyFill="1"/>
    <xf numFmtId="0" fontId="0" fillId="4" borderId="5" xfId="0" applyFill="1" applyBorder="1" applyAlignment="1">
      <alignment horizontal="left"/>
    </xf>
    <xf numFmtId="168" fontId="0" fillId="4" borderId="5" xfId="0" applyNumberFormat="1" applyFill="1" applyBorder="1" applyAlignment="1">
      <alignment horizontal="center"/>
    </xf>
    <xf numFmtId="0" fontId="0" fillId="4" borderId="5" xfId="0" quotePrefix="1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8" fillId="4" borderId="7" xfId="0" applyFont="1" applyFill="1" applyBorder="1" applyAlignment="1">
      <alignment horizontal="left" wrapText="1"/>
    </xf>
    <xf numFmtId="0" fontId="0" fillId="3" borderId="0" xfId="0" applyFill="1"/>
    <xf numFmtId="43" fontId="2" fillId="7" borderId="1" xfId="1" applyFont="1" applyFill="1" applyBorder="1" applyAlignment="1">
      <alignment horizontal="left" vertical="center"/>
    </xf>
    <xf numFmtId="170" fontId="2" fillId="7" borderId="1" xfId="1" applyNumberFormat="1" applyFont="1" applyFill="1" applyBorder="1" applyAlignment="1">
      <alignment horizontal="center" vertical="center"/>
    </xf>
    <xf numFmtId="43" fontId="2" fillId="7" borderId="2" xfId="1" applyFont="1" applyFill="1" applyBorder="1" applyAlignment="1">
      <alignment horizontal="left" vertical="center"/>
    </xf>
    <xf numFmtId="43" fontId="2" fillId="4" borderId="0" xfId="1" applyFont="1" applyFill="1" applyBorder="1" applyAlignment="1">
      <alignment vertical="center"/>
    </xf>
    <xf numFmtId="43" fontId="2" fillId="4" borderId="0" xfId="1" applyFont="1" applyFill="1" applyBorder="1"/>
    <xf numFmtId="43" fontId="2" fillId="4" borderId="0" xfId="1" applyFont="1" applyFill="1" applyBorder="1" applyAlignment="1">
      <alignment horizontal="center"/>
    </xf>
    <xf numFmtId="164" fontId="0" fillId="4" borderId="0" xfId="0" applyNumberFormat="1" applyFill="1" applyAlignment="1">
      <alignment horizontal="center"/>
    </xf>
    <xf numFmtId="43" fontId="2" fillId="4" borderId="0" xfId="1" applyFont="1" applyFill="1" applyBorder="1" applyAlignment="1">
      <alignment horizontal="left" vertical="center"/>
    </xf>
    <xf numFmtId="43" fontId="0" fillId="4" borderId="0" xfId="0" applyNumberFormat="1" applyFill="1"/>
    <xf numFmtId="43" fontId="0" fillId="4" borderId="0" xfId="0" applyNumberFormat="1" applyFill="1" applyAlignment="1">
      <alignment horizontal="center"/>
    </xf>
    <xf numFmtId="172" fontId="4" fillId="4" borderId="0" xfId="2" applyNumberFormat="1" applyFont="1" applyFill="1" applyAlignment="1">
      <alignment horizontal="left"/>
    </xf>
    <xf numFmtId="172" fontId="4" fillId="4" borderId="0" xfId="2" applyNumberFormat="1" applyFont="1" applyFill="1" applyAlignment="1"/>
    <xf numFmtId="168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168" fontId="0" fillId="4" borderId="0" xfId="0" applyNumberFormat="1" applyFill="1"/>
    <xf numFmtId="3" fontId="0" fillId="0" borderId="0" xfId="0" applyNumberFormat="1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/>
    </xf>
    <xf numFmtId="0" fontId="5" fillId="7" borderId="3" xfId="0" applyFont="1" applyFill="1" applyBorder="1" applyAlignment="1">
      <alignment vertical="center" wrapText="1"/>
    </xf>
    <xf numFmtId="0" fontId="5" fillId="7" borderId="4" xfId="0" applyFont="1" applyFill="1" applyBorder="1" applyAlignment="1">
      <alignment vertical="center" wrapText="1"/>
    </xf>
    <xf numFmtId="3" fontId="6" fillId="4" borderId="0" xfId="0" applyNumberFormat="1" applyFont="1" applyFill="1"/>
    <xf numFmtId="0" fontId="9" fillId="0" borderId="1" xfId="0" applyFont="1" applyBorder="1" applyAlignment="1">
      <alignment horizontal="center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left"/>
    </xf>
    <xf numFmtId="0" fontId="6" fillId="4" borderId="1" xfId="0" quotePrefix="1" applyFont="1" applyFill="1" applyBorder="1" applyAlignment="1">
      <alignment horizontal="left"/>
    </xf>
    <xf numFmtId="0" fontId="6" fillId="4" borderId="0" xfId="0" applyFont="1" applyFill="1"/>
    <xf numFmtId="0" fontId="6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168" fontId="6" fillId="4" borderId="1" xfId="0" applyNumberFormat="1" applyFont="1" applyFill="1" applyBorder="1" applyAlignment="1">
      <alignment horizontal="center"/>
    </xf>
    <xf numFmtId="0" fontId="6" fillId="4" borderId="1" xfId="0" quotePrefix="1" applyFont="1" applyFill="1" applyBorder="1" applyAlignment="1">
      <alignment horizontal="center"/>
    </xf>
    <xf numFmtId="169" fontId="6" fillId="4" borderId="1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6" fillId="3" borderId="1" xfId="0" applyFont="1" applyFill="1" applyBorder="1"/>
    <xf numFmtId="168" fontId="6" fillId="3" borderId="1" xfId="0" applyNumberFormat="1" applyFont="1" applyFill="1" applyBorder="1" applyAlignment="1">
      <alignment horizontal="center"/>
    </xf>
    <xf numFmtId="0" fontId="6" fillId="3" borderId="1" xfId="0" quotePrefix="1" applyFont="1" applyFill="1" applyBorder="1" applyAlignment="1">
      <alignment horizontal="center"/>
    </xf>
    <xf numFmtId="169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6" fillId="3" borderId="1" xfId="0" quotePrefix="1" applyFont="1" applyFill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1" fontId="0" fillId="4" borderId="2" xfId="0" quotePrefix="1" applyNumberFormat="1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10" fillId="4" borderId="1" xfId="0" applyFont="1" applyFill="1" applyBorder="1"/>
    <xf numFmtId="0" fontId="10" fillId="4" borderId="1" xfId="0" applyFont="1" applyFill="1" applyBorder="1" applyAlignment="1">
      <alignment horizontal="left"/>
    </xf>
    <xf numFmtId="0" fontId="10" fillId="4" borderId="1" xfId="0" quotePrefix="1" applyFont="1" applyFill="1" applyBorder="1" applyAlignment="1">
      <alignment horizontal="left"/>
    </xf>
    <xf numFmtId="3" fontId="6" fillId="0" borderId="0" xfId="0" applyNumberFormat="1" applyFont="1"/>
    <xf numFmtId="0" fontId="6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0" borderId="8" xfId="0" applyBorder="1"/>
    <xf numFmtId="0" fontId="6" fillId="7" borderId="1" xfId="0" quotePrefix="1" applyFont="1" applyFill="1" applyBorder="1" applyAlignment="1">
      <alignment horizontal="left"/>
    </xf>
    <xf numFmtId="0" fontId="9" fillId="4" borderId="1" xfId="0" applyFont="1" applyFill="1" applyBorder="1" applyAlignment="1">
      <alignment horizontal="center"/>
    </xf>
    <xf numFmtId="0" fontId="6" fillId="4" borderId="2" xfId="0" quotePrefix="1" applyFont="1" applyFill="1" applyBorder="1" applyAlignment="1">
      <alignment horizontal="left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1" xfId="0" quotePrefix="1" applyFont="1" applyBorder="1" applyAlignment="1">
      <alignment horizontal="left"/>
    </xf>
    <xf numFmtId="3" fontId="6" fillId="3" borderId="0" xfId="0" applyNumberFormat="1" applyFont="1" applyFill="1"/>
    <xf numFmtId="0" fontId="6" fillId="3" borderId="0" xfId="0" applyFont="1" applyFill="1"/>
    <xf numFmtId="0" fontId="6" fillId="8" borderId="0" xfId="0" applyFont="1" applyFill="1"/>
    <xf numFmtId="168" fontId="6" fillId="4" borderId="0" xfId="0" applyNumberFormat="1" applyFont="1" applyFill="1"/>
    <xf numFmtId="0" fontId="10" fillId="4" borderId="7" xfId="0" applyFont="1" applyFill="1" applyBorder="1" applyAlignment="1">
      <alignment horizontal="left" wrapText="1"/>
    </xf>
    <xf numFmtId="169" fontId="6" fillId="4" borderId="5" xfId="0" applyNumberFormat="1" applyFont="1" applyFill="1" applyBorder="1" applyAlignment="1">
      <alignment horizontal="center"/>
    </xf>
    <xf numFmtId="0" fontId="6" fillId="4" borderId="5" xfId="0" quotePrefix="1" applyFont="1" applyFill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/>
    </xf>
    <xf numFmtId="168" fontId="6" fillId="4" borderId="5" xfId="0" applyNumberFormat="1" applyFont="1" applyFill="1" applyBorder="1" applyAlignment="1">
      <alignment horizontal="center"/>
    </xf>
    <xf numFmtId="0" fontId="6" fillId="3" borderId="5" xfId="0" applyFont="1" applyFill="1" applyBorder="1" applyAlignment="1">
      <alignment horizontal="left"/>
    </xf>
    <xf numFmtId="168" fontId="6" fillId="3" borderId="5" xfId="0" applyNumberFormat="1" applyFont="1" applyFill="1" applyBorder="1" applyAlignment="1">
      <alignment horizontal="center"/>
    </xf>
    <xf numFmtId="169" fontId="6" fillId="3" borderId="5" xfId="0" applyNumberFormat="1" applyFont="1" applyFill="1" applyBorder="1" applyAlignment="1">
      <alignment horizontal="center"/>
    </xf>
    <xf numFmtId="0" fontId="6" fillId="3" borderId="5" xfId="0" quotePrefix="1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  <xf numFmtId="0" fontId="8" fillId="3" borderId="7" xfId="0" applyFont="1" applyFill="1" applyBorder="1" applyAlignment="1">
      <alignment horizontal="left" wrapText="1"/>
    </xf>
    <xf numFmtId="43" fontId="14" fillId="7" borderId="1" xfId="1" applyFont="1" applyFill="1" applyBorder="1" applyAlignment="1">
      <alignment horizontal="left" vertical="center"/>
    </xf>
    <xf numFmtId="170" fontId="14" fillId="7" borderId="1" xfId="1" applyNumberFormat="1" applyFont="1" applyFill="1" applyBorder="1" applyAlignment="1">
      <alignment horizontal="center" vertical="center"/>
    </xf>
    <xf numFmtId="43" fontId="14" fillId="7" borderId="2" xfId="1" applyFont="1" applyFill="1" applyBorder="1" applyAlignment="1">
      <alignment horizontal="left" vertical="center"/>
    </xf>
    <xf numFmtId="43" fontId="14" fillId="7" borderId="0" xfId="1" applyFont="1" applyFill="1" applyBorder="1" applyAlignment="1">
      <alignment horizontal="left" vertical="center"/>
    </xf>
    <xf numFmtId="43" fontId="15" fillId="4" borderId="0" xfId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168" fontId="0" fillId="4" borderId="0" xfId="0" applyNumberFormat="1" applyFill="1" applyAlignment="1">
      <alignment horizontal="left"/>
    </xf>
    <xf numFmtId="0" fontId="0" fillId="0" borderId="0" xfId="0" applyAlignment="1">
      <alignment horizontal="left"/>
    </xf>
    <xf numFmtId="14" fontId="6" fillId="4" borderId="2" xfId="0" applyNumberFormat="1" applyFont="1" applyFill="1" applyBorder="1" applyAlignment="1">
      <alignment horizontal="left"/>
    </xf>
    <xf numFmtId="14" fontId="8" fillId="4" borderId="7" xfId="0" applyNumberFormat="1" applyFont="1" applyFill="1" applyBorder="1" applyAlignment="1">
      <alignment horizontal="left" wrapText="1"/>
    </xf>
    <xf numFmtId="14" fontId="6" fillId="3" borderId="2" xfId="0" applyNumberFormat="1" applyFont="1" applyFill="1" applyBorder="1" applyAlignment="1">
      <alignment horizontal="center"/>
    </xf>
    <xf numFmtId="14" fontId="8" fillId="3" borderId="7" xfId="0" applyNumberFormat="1" applyFont="1" applyFill="1" applyBorder="1" applyAlignment="1">
      <alignment horizontal="left" wrapText="1"/>
    </xf>
    <xf numFmtId="14" fontId="6" fillId="4" borderId="2" xfId="0" applyNumberFormat="1" applyFont="1" applyFill="1" applyBorder="1" applyAlignment="1">
      <alignment horizontal="center"/>
    </xf>
    <xf numFmtId="14" fontId="10" fillId="3" borderId="7" xfId="0" applyNumberFormat="1" applyFont="1" applyFill="1" applyBorder="1" applyAlignment="1">
      <alignment horizontal="left" wrapText="1"/>
    </xf>
    <xf numFmtId="0" fontId="6" fillId="10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6" fillId="10" borderId="1" xfId="0" applyFont="1" applyFill="1" applyBorder="1"/>
    <xf numFmtId="168" fontId="6" fillId="10" borderId="1" xfId="0" applyNumberFormat="1" applyFont="1" applyFill="1" applyBorder="1" applyAlignment="1">
      <alignment horizontal="center"/>
    </xf>
    <xf numFmtId="0" fontId="6" fillId="10" borderId="1" xfId="0" quotePrefix="1" applyFont="1" applyFill="1" applyBorder="1" applyAlignment="1">
      <alignment horizontal="center"/>
    </xf>
    <xf numFmtId="169" fontId="6" fillId="10" borderId="1" xfId="0" applyNumberFormat="1" applyFont="1" applyFill="1" applyBorder="1" applyAlignment="1">
      <alignment horizontal="center"/>
    </xf>
    <xf numFmtId="0" fontId="6" fillId="10" borderId="1" xfId="0" applyFont="1" applyFill="1" applyBorder="1" applyAlignment="1">
      <alignment horizontal="left"/>
    </xf>
    <xf numFmtId="0" fontId="6" fillId="10" borderId="1" xfId="0" quotePrefix="1" applyFont="1" applyFill="1" applyBorder="1" applyAlignment="1">
      <alignment horizontal="left"/>
    </xf>
    <xf numFmtId="0" fontId="10" fillId="10" borderId="2" xfId="0" applyFont="1" applyFill="1" applyBorder="1" applyAlignment="1">
      <alignment horizontal="left"/>
    </xf>
    <xf numFmtId="169" fontId="6" fillId="9" borderId="1" xfId="0" applyNumberFormat="1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6" fillId="11" borderId="1" xfId="0" applyFont="1" applyFill="1" applyBorder="1"/>
    <xf numFmtId="168" fontId="6" fillId="11" borderId="1" xfId="0" applyNumberFormat="1" applyFont="1" applyFill="1" applyBorder="1" applyAlignment="1">
      <alignment horizontal="center"/>
    </xf>
    <xf numFmtId="0" fontId="6" fillId="11" borderId="1" xfId="0" quotePrefix="1" applyFont="1" applyFill="1" applyBorder="1" applyAlignment="1">
      <alignment horizontal="center"/>
    </xf>
    <xf numFmtId="169" fontId="6" fillId="11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left"/>
    </xf>
    <xf numFmtId="0" fontId="6" fillId="11" borderId="1" xfId="0" quotePrefix="1" applyFont="1" applyFill="1" applyBorder="1" applyAlignment="1">
      <alignment horizontal="left"/>
    </xf>
    <xf numFmtId="0" fontId="6" fillId="12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6" fillId="12" borderId="1" xfId="0" applyFont="1" applyFill="1" applyBorder="1"/>
    <xf numFmtId="168" fontId="6" fillId="12" borderId="1" xfId="0" applyNumberFormat="1" applyFont="1" applyFill="1" applyBorder="1" applyAlignment="1">
      <alignment horizontal="center"/>
    </xf>
    <xf numFmtId="0" fontId="6" fillId="12" borderId="1" xfId="0" quotePrefix="1" applyFont="1" applyFill="1" applyBorder="1" applyAlignment="1">
      <alignment horizontal="center"/>
    </xf>
    <xf numFmtId="169" fontId="6" fillId="12" borderId="1" xfId="0" applyNumberFormat="1" applyFont="1" applyFill="1" applyBorder="1" applyAlignment="1">
      <alignment horizontal="center"/>
    </xf>
    <xf numFmtId="0" fontId="6" fillId="12" borderId="1" xfId="0" applyFont="1" applyFill="1" applyBorder="1" applyAlignment="1">
      <alignment horizontal="left"/>
    </xf>
    <xf numFmtId="0" fontId="6" fillId="12" borderId="2" xfId="0" applyFont="1" applyFill="1" applyBorder="1" applyAlignment="1">
      <alignment horizontal="center"/>
    </xf>
    <xf numFmtId="0" fontId="6" fillId="12" borderId="5" xfId="0" applyFont="1" applyFill="1" applyBorder="1" applyAlignment="1">
      <alignment horizontal="left"/>
    </xf>
    <xf numFmtId="168" fontId="6" fillId="12" borderId="5" xfId="0" applyNumberFormat="1" applyFont="1" applyFill="1" applyBorder="1" applyAlignment="1">
      <alignment horizontal="center"/>
    </xf>
    <xf numFmtId="169" fontId="6" fillId="12" borderId="5" xfId="0" applyNumberFormat="1" applyFont="1" applyFill="1" applyBorder="1" applyAlignment="1">
      <alignment horizontal="center"/>
    </xf>
    <xf numFmtId="0" fontId="6" fillId="12" borderId="5" xfId="0" quotePrefix="1" applyFont="1" applyFill="1" applyBorder="1" applyAlignment="1">
      <alignment horizontal="left"/>
    </xf>
    <xf numFmtId="0" fontId="8" fillId="12" borderId="7" xfId="0" applyFont="1" applyFill="1" applyBorder="1" applyAlignment="1">
      <alignment horizontal="left" wrapText="1"/>
    </xf>
    <xf numFmtId="14" fontId="6" fillId="4" borderId="0" xfId="0" applyNumberFormat="1" applyFont="1" applyFill="1"/>
    <xf numFmtId="1" fontId="0" fillId="3" borderId="2" xfId="0" quotePrefix="1" applyNumberFormat="1" applyFill="1" applyBorder="1" applyAlignment="1">
      <alignment horizontal="left"/>
    </xf>
    <xf numFmtId="14" fontId="0" fillId="3" borderId="2" xfId="0" quotePrefix="1" applyNumberFormat="1" applyFill="1" applyBorder="1" applyAlignment="1">
      <alignment horizontal="left"/>
    </xf>
    <xf numFmtId="17" fontId="6" fillId="3" borderId="2" xfId="0" applyNumberFormat="1" applyFont="1" applyFill="1" applyBorder="1" applyAlignment="1">
      <alignment horizontal="center"/>
    </xf>
    <xf numFmtId="14" fontId="0" fillId="5" borderId="0" xfId="0" applyNumberFormat="1" applyFill="1"/>
    <xf numFmtId="14" fontId="2" fillId="0" borderId="0" xfId="0" applyNumberFormat="1" applyFont="1"/>
    <xf numFmtId="14" fontId="6" fillId="3" borderId="0" xfId="0" applyNumberFormat="1" applyFont="1" applyFill="1"/>
    <xf numFmtId="14" fontId="6" fillId="0" borderId="0" xfId="0" applyNumberFormat="1" applyFont="1"/>
    <xf numFmtId="14" fontId="14" fillId="7" borderId="0" xfId="1" applyNumberFormat="1" applyFont="1" applyFill="1" applyBorder="1" applyAlignment="1">
      <alignment horizontal="left" vertical="center"/>
    </xf>
    <xf numFmtId="14" fontId="0" fillId="0" borderId="0" xfId="0" applyNumberFormat="1"/>
    <xf numFmtId="166" fontId="0" fillId="5" borderId="0" xfId="0" applyNumberFormat="1" applyFill="1"/>
    <xf numFmtId="166" fontId="2" fillId="0" borderId="0" xfId="0" applyNumberFormat="1" applyFont="1"/>
    <xf numFmtId="166" fontId="6" fillId="4" borderId="0" xfId="0" applyNumberFormat="1" applyFont="1" applyFill="1"/>
    <xf numFmtId="166" fontId="6" fillId="3" borderId="0" xfId="0" applyNumberFormat="1" applyFont="1" applyFill="1"/>
    <xf numFmtId="166" fontId="14" fillId="7" borderId="0" xfId="1" applyNumberFormat="1" applyFont="1" applyFill="1" applyBorder="1" applyAlignment="1">
      <alignment horizontal="left" vertical="center"/>
    </xf>
    <xf numFmtId="166" fontId="2" fillId="4" borderId="0" xfId="1" applyNumberFormat="1" applyFont="1" applyFill="1" applyBorder="1" applyAlignment="1">
      <alignment vertical="center"/>
    </xf>
    <xf numFmtId="166" fontId="6" fillId="0" borderId="0" xfId="0" applyNumberFormat="1" applyFont="1"/>
    <xf numFmtId="166" fontId="0" fillId="0" borderId="0" xfId="0" applyNumberFormat="1"/>
    <xf numFmtId="14" fontId="0" fillId="3" borderId="2" xfId="0" applyNumberFormat="1" applyFill="1" applyBorder="1" applyAlignment="1">
      <alignment horizontal="left"/>
    </xf>
    <xf numFmtId="14" fontId="0" fillId="4" borderId="2" xfId="0" applyNumberFormat="1" applyFill="1" applyBorder="1" applyAlignment="1">
      <alignment horizontal="left"/>
    </xf>
    <xf numFmtId="14" fontId="0" fillId="4" borderId="2" xfId="0" quotePrefix="1" applyNumberFormat="1" applyFill="1" applyBorder="1" applyAlignment="1">
      <alignment horizontal="left"/>
    </xf>
    <xf numFmtId="14" fontId="6" fillId="3" borderId="2" xfId="0" applyNumberFormat="1" applyFont="1" applyFill="1" applyBorder="1" applyAlignment="1">
      <alignment horizontal="left"/>
    </xf>
    <xf numFmtId="14" fontId="6" fillId="12" borderId="2" xfId="0" applyNumberFormat="1" applyFont="1" applyFill="1" applyBorder="1" applyAlignment="1">
      <alignment horizontal="left"/>
    </xf>
    <xf numFmtId="0" fontId="6" fillId="12" borderId="2" xfId="0" applyFont="1" applyFill="1" applyBorder="1" applyAlignment="1">
      <alignment horizontal="left"/>
    </xf>
    <xf numFmtId="0" fontId="6" fillId="4" borderId="0" xfId="0" applyFont="1" applyFill="1" applyAlignment="1">
      <alignment horizontal="left"/>
    </xf>
    <xf numFmtId="169" fontId="0" fillId="3" borderId="1" xfId="0" applyNumberFormat="1" applyFill="1" applyBorder="1" applyAlignment="1">
      <alignment horizontal="center"/>
    </xf>
    <xf numFmtId="169" fontId="0" fillId="3" borderId="5" xfId="0" applyNumberFormat="1" applyFill="1" applyBorder="1" applyAlignment="1">
      <alignment horizontal="center"/>
    </xf>
    <xf numFmtId="0" fontId="8" fillId="10" borderId="7" xfId="0" applyFont="1" applyFill="1" applyBorder="1" applyAlignment="1">
      <alignment horizontal="left" wrapText="1"/>
    </xf>
    <xf numFmtId="0" fontId="6" fillId="13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left"/>
    </xf>
    <xf numFmtId="168" fontId="6" fillId="13" borderId="1" xfId="0" applyNumberFormat="1" applyFont="1" applyFill="1" applyBorder="1" applyAlignment="1">
      <alignment horizontal="center"/>
    </xf>
    <xf numFmtId="0" fontId="6" fillId="13" borderId="1" xfId="0" quotePrefix="1" applyFont="1" applyFill="1" applyBorder="1" applyAlignment="1">
      <alignment horizontal="center"/>
    </xf>
    <xf numFmtId="169" fontId="6" fillId="13" borderId="1" xfId="0" applyNumberFormat="1" applyFont="1" applyFill="1" applyBorder="1" applyAlignment="1">
      <alignment horizontal="center"/>
    </xf>
    <xf numFmtId="0" fontId="6" fillId="13" borderId="1" xfId="0" quotePrefix="1" applyFont="1" applyFill="1" applyBorder="1" applyAlignment="1">
      <alignment horizontal="left"/>
    </xf>
    <xf numFmtId="0" fontId="8" fillId="13" borderId="7" xfId="0" applyFont="1" applyFill="1" applyBorder="1" applyAlignment="1">
      <alignment horizontal="left" wrapText="1"/>
    </xf>
    <xf numFmtId="14" fontId="6" fillId="13" borderId="0" xfId="0" applyNumberFormat="1" applyFont="1" applyFill="1"/>
    <xf numFmtId="0" fontId="6" fillId="13" borderId="1" xfId="0" applyFont="1" applyFill="1" applyBorder="1"/>
    <xf numFmtId="0" fontId="6" fillId="13" borderId="0" xfId="0" applyFont="1" applyFill="1"/>
    <xf numFmtId="3" fontId="6" fillId="13" borderId="0" xfId="0" applyNumberFormat="1" applyFont="1" applyFill="1"/>
    <xf numFmtId="0" fontId="8" fillId="12" borderId="2" xfId="0" applyFont="1" applyFill="1" applyBorder="1" applyAlignment="1">
      <alignment horizontal="left" wrapText="1"/>
    </xf>
    <xf numFmtId="0" fontId="6" fillId="12" borderId="6" xfId="0" applyFont="1" applyFill="1" applyBorder="1" applyAlignment="1">
      <alignment horizontal="left"/>
    </xf>
    <xf numFmtId="0" fontId="6" fillId="12" borderId="1" xfId="0" quotePrefix="1" applyFont="1" applyFill="1" applyBorder="1" applyAlignment="1">
      <alignment horizontal="left"/>
    </xf>
    <xf numFmtId="0" fontId="10" fillId="12" borderId="7" xfId="0" applyFont="1" applyFill="1" applyBorder="1" applyAlignment="1">
      <alignment horizontal="left" wrapText="1"/>
    </xf>
    <xf numFmtId="1" fontId="6" fillId="4" borderId="1" xfId="0" quotePrefix="1" applyNumberFormat="1" applyFont="1" applyFill="1" applyBorder="1" applyAlignment="1">
      <alignment horizontal="left"/>
    </xf>
    <xf numFmtId="0" fontId="6" fillId="12" borderId="0" xfId="0" applyFont="1" applyFill="1"/>
    <xf numFmtId="0" fontId="6" fillId="3" borderId="2" xfId="0" applyFont="1" applyFill="1" applyBorder="1" applyAlignment="1">
      <alignment horizontal="left"/>
    </xf>
    <xf numFmtId="17" fontId="6" fillId="4" borderId="2" xfId="0" applyNumberFormat="1" applyFont="1" applyFill="1" applyBorder="1" applyAlignment="1">
      <alignment horizontal="left"/>
    </xf>
    <xf numFmtId="9" fontId="0" fillId="0" borderId="0" xfId="3" applyFont="1" applyAlignment="1">
      <alignment horizontal="center"/>
    </xf>
    <xf numFmtId="14" fontId="6" fillId="12" borderId="0" xfId="0" applyNumberFormat="1" applyFont="1" applyFill="1"/>
    <xf numFmtId="0" fontId="7" fillId="0" borderId="1" xfId="0" applyFont="1" applyBorder="1" applyAlignment="1">
      <alignment horizontal="center"/>
    </xf>
    <xf numFmtId="0" fontId="0" fillId="4" borderId="2" xfId="0" applyFill="1" applyBorder="1"/>
    <xf numFmtId="168" fontId="0" fillId="9" borderId="1" xfId="0" applyNumberFormat="1" applyFill="1" applyBorder="1" applyAlignment="1">
      <alignment horizontal="center"/>
    </xf>
    <xf numFmtId="0" fontId="0" fillId="9" borderId="1" xfId="0" quotePrefix="1" applyFill="1" applyBorder="1" applyAlignment="1">
      <alignment horizontal="center"/>
    </xf>
    <xf numFmtId="169" fontId="0" fillId="9" borderId="1" xfId="0" applyNumberFormat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2" xfId="0" applyFill="1" applyBorder="1" applyAlignment="1">
      <alignment horizontal="left" vertical="center"/>
    </xf>
    <xf numFmtId="0" fontId="0" fillId="4" borderId="4" xfId="0" quotePrefix="1" applyFill="1" applyBorder="1" applyAlignment="1">
      <alignment horizontal="left"/>
    </xf>
    <xf numFmtId="0" fontId="8" fillId="4" borderId="2" xfId="0" applyFont="1" applyFill="1" applyBorder="1"/>
    <xf numFmtId="0" fontId="8" fillId="4" borderId="4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3" borderId="2" xfId="0" applyFill="1" applyBorder="1"/>
    <xf numFmtId="168" fontId="0" fillId="3" borderId="1" xfId="0" applyNumberFormat="1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0" borderId="2" xfId="0" applyBorder="1"/>
    <xf numFmtId="0" fontId="0" fillId="0" borderId="4" xfId="0" applyBorder="1" applyAlignment="1">
      <alignment horizontal="left"/>
    </xf>
    <xf numFmtId="0" fontId="0" fillId="12" borderId="1" xfId="0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0" fillId="12" borderId="2" xfId="0" applyFill="1" applyBorder="1"/>
    <xf numFmtId="168" fontId="0" fillId="12" borderId="1" xfId="0" applyNumberFormat="1" applyFill="1" applyBorder="1" applyAlignment="1">
      <alignment horizontal="center"/>
    </xf>
    <xf numFmtId="0" fontId="0" fillId="12" borderId="1" xfId="0" quotePrefix="1" applyFill="1" applyBorder="1" applyAlignment="1">
      <alignment horizontal="center"/>
    </xf>
    <xf numFmtId="169" fontId="0" fillId="12" borderId="1" xfId="0" applyNumberFormat="1" applyFill="1" applyBorder="1" applyAlignment="1">
      <alignment horizontal="center"/>
    </xf>
    <xf numFmtId="0" fontId="0" fillId="12" borderId="4" xfId="0" applyFill="1" applyBorder="1" applyAlignment="1">
      <alignment horizontal="left"/>
    </xf>
    <xf numFmtId="0" fontId="0" fillId="9" borderId="1" xfId="0" applyFill="1" applyBorder="1" applyAlignment="1">
      <alignment horizontal="center"/>
    </xf>
    <xf numFmtId="0" fontId="0" fillId="8" borderId="0" xfId="0" applyFill="1"/>
    <xf numFmtId="0" fontId="0" fillId="12" borderId="0" xfId="0" applyFill="1"/>
    <xf numFmtId="0" fontId="0" fillId="12" borderId="4" xfId="0" quotePrefix="1" applyFill="1" applyBorder="1" applyAlignment="1">
      <alignment horizontal="left"/>
    </xf>
    <xf numFmtId="14" fontId="0" fillId="4" borderId="0" xfId="0" applyNumberFormat="1" applyFill="1"/>
    <xf numFmtId="14" fontId="2" fillId="7" borderId="0" xfId="1" applyNumberFormat="1" applyFont="1" applyFill="1" applyBorder="1" applyAlignment="1">
      <alignment horizontal="left" vertical="center"/>
    </xf>
    <xf numFmtId="0" fontId="0" fillId="12" borderId="2" xfId="0" applyFill="1" applyBorder="1" applyAlignment="1">
      <alignment horizontal="left"/>
    </xf>
    <xf numFmtId="173" fontId="14" fillId="7" borderId="0" xfId="1" applyNumberFormat="1" applyFont="1" applyFill="1" applyBorder="1" applyAlignment="1">
      <alignment horizontal="left" vertical="center"/>
    </xf>
    <xf numFmtId="173" fontId="0" fillId="5" borderId="0" xfId="0" applyNumberFormat="1" applyFill="1" applyAlignment="1">
      <alignment horizontal="left"/>
    </xf>
    <xf numFmtId="173" fontId="2" fillId="0" borderId="0" xfId="0" applyNumberFormat="1" applyFont="1" applyAlignment="1">
      <alignment horizontal="left"/>
    </xf>
    <xf numFmtId="173" fontId="6" fillId="4" borderId="0" xfId="0" applyNumberFormat="1" applyFont="1" applyFill="1" applyAlignment="1">
      <alignment horizontal="left"/>
    </xf>
    <xf numFmtId="173" fontId="6" fillId="3" borderId="0" xfId="0" applyNumberFormat="1" applyFont="1" applyFill="1" applyAlignment="1">
      <alignment horizontal="left"/>
    </xf>
    <xf numFmtId="173" fontId="6" fillId="0" borderId="0" xfId="0" applyNumberFormat="1" applyFont="1" applyAlignment="1">
      <alignment horizontal="left"/>
    </xf>
    <xf numFmtId="173" fontId="6" fillId="12" borderId="0" xfId="0" applyNumberFormat="1" applyFont="1" applyFill="1" applyAlignment="1">
      <alignment horizontal="left"/>
    </xf>
    <xf numFmtId="173" fontId="0" fillId="0" borderId="0" xfId="0" applyNumberFormat="1" applyAlignment="1">
      <alignment horizontal="left"/>
    </xf>
    <xf numFmtId="0" fontId="0" fillId="3" borderId="2" xfId="0" applyFill="1" applyBorder="1" applyAlignment="1">
      <alignment horizontal="left" vertical="center"/>
    </xf>
    <xf numFmtId="0" fontId="6" fillId="10" borderId="2" xfId="0" applyFont="1" applyFill="1" applyBorder="1" applyAlignment="1">
      <alignment horizontal="center"/>
    </xf>
    <xf numFmtId="14" fontId="6" fillId="10" borderId="0" xfId="0" applyNumberFormat="1" applyFont="1" applyFill="1"/>
    <xf numFmtId="0" fontId="6" fillId="10" borderId="0" xfId="0" applyFont="1" applyFill="1"/>
    <xf numFmtId="14" fontId="6" fillId="10" borderId="2" xfId="0" applyNumberFormat="1" applyFont="1" applyFill="1" applyBorder="1" applyAlignment="1">
      <alignment horizontal="left"/>
    </xf>
    <xf numFmtId="3" fontId="6" fillId="10" borderId="0" xfId="0" applyNumberFormat="1" applyFont="1" applyFill="1"/>
    <xf numFmtId="166" fontId="0" fillId="4" borderId="2" xfId="0" applyNumberFormat="1" applyFill="1" applyBorder="1" applyAlignment="1">
      <alignment horizontal="center"/>
    </xf>
    <xf numFmtId="166" fontId="0" fillId="4" borderId="2" xfId="0" applyNumberFormat="1" applyFill="1" applyBorder="1" applyAlignment="1">
      <alignment horizontal="left"/>
    </xf>
    <xf numFmtId="166" fontId="0" fillId="4" borderId="2" xfId="0" quotePrefix="1" applyNumberFormat="1" applyFill="1" applyBorder="1" applyAlignment="1">
      <alignment horizontal="left"/>
    </xf>
    <xf numFmtId="166" fontId="0" fillId="3" borderId="2" xfId="0" quotePrefix="1" applyNumberFormat="1" applyFill="1" applyBorder="1" applyAlignment="1">
      <alignment horizontal="left"/>
    </xf>
    <xf numFmtId="166" fontId="0" fillId="12" borderId="2" xfId="0" quotePrefix="1" applyNumberFormat="1" applyFill="1" applyBorder="1" applyAlignment="1">
      <alignment horizontal="left"/>
    </xf>
    <xf numFmtId="166" fontId="0" fillId="3" borderId="2" xfId="0" applyNumberFormat="1" applyFill="1" applyBorder="1" applyAlignment="1">
      <alignment horizontal="center"/>
    </xf>
    <xf numFmtId="166" fontId="0" fillId="12" borderId="2" xfId="0" applyNumberFormat="1" applyFill="1" applyBorder="1" applyAlignment="1">
      <alignment horizontal="center"/>
    </xf>
    <xf numFmtId="166" fontId="8" fillId="4" borderId="2" xfId="0" applyNumberFormat="1" applyFont="1" applyFill="1" applyBorder="1" applyAlignment="1">
      <alignment horizontal="left"/>
    </xf>
    <xf numFmtId="166" fontId="8" fillId="4" borderId="7" xfId="0" applyNumberFormat="1" applyFont="1" applyFill="1" applyBorder="1" applyAlignment="1">
      <alignment horizontal="left" wrapText="1"/>
    </xf>
    <xf numFmtId="166" fontId="8" fillId="12" borderId="7" xfId="0" applyNumberFormat="1" applyFont="1" applyFill="1" applyBorder="1" applyAlignment="1">
      <alignment horizontal="left" wrapText="1"/>
    </xf>
    <xf numFmtId="166" fontId="2" fillId="7" borderId="2" xfId="1" applyNumberFormat="1" applyFont="1" applyFill="1" applyBorder="1" applyAlignment="1">
      <alignment horizontal="left" vertical="center"/>
    </xf>
    <xf numFmtId="0" fontId="0" fillId="3" borderId="5" xfId="0" applyFill="1" applyBorder="1" applyAlignment="1">
      <alignment horizontal="left"/>
    </xf>
    <xf numFmtId="0" fontId="0" fillId="3" borderId="5" xfId="0" quotePrefix="1" applyFill="1" applyBorder="1" applyAlignment="1">
      <alignment horizontal="left"/>
    </xf>
    <xf numFmtId="166" fontId="8" fillId="3" borderId="7" xfId="0" applyNumberFormat="1" applyFont="1" applyFill="1" applyBorder="1" applyAlignment="1">
      <alignment horizontal="left" wrapText="1"/>
    </xf>
    <xf numFmtId="0" fontId="0" fillId="12" borderId="5" xfId="0" applyFill="1" applyBorder="1" applyAlignment="1">
      <alignment horizontal="left"/>
    </xf>
    <xf numFmtId="0" fontId="0" fillId="12" borderId="5" xfId="0" quotePrefix="1" applyFill="1" applyBorder="1" applyAlignment="1">
      <alignment horizontal="left"/>
    </xf>
    <xf numFmtId="166" fontId="0" fillId="4" borderId="1" xfId="0" applyNumberFormat="1" applyFill="1" applyBorder="1"/>
    <xf numFmtId="0" fontId="0" fillId="12" borderId="1" xfId="0" quotePrefix="1" applyFill="1" applyBorder="1" applyAlignment="1">
      <alignment horizontal="left"/>
    </xf>
    <xf numFmtId="166" fontId="0" fillId="3" borderId="2" xfId="0" applyNumberFormat="1" applyFill="1" applyBorder="1" applyAlignment="1">
      <alignment horizontal="left"/>
    </xf>
    <xf numFmtId="2" fontId="6" fillId="3" borderId="1" xfId="0" applyNumberFormat="1" applyFont="1" applyFill="1" applyBorder="1" applyAlignment="1">
      <alignment horizontal="center"/>
    </xf>
    <xf numFmtId="14" fontId="0" fillId="3" borderId="0" xfId="0" applyNumberFormat="1" applyFill="1"/>
    <xf numFmtId="14" fontId="0" fillId="12" borderId="2" xfId="0" quotePrefix="1" applyNumberFormat="1" applyFill="1" applyBorder="1" applyAlignment="1">
      <alignment horizontal="left"/>
    </xf>
    <xf numFmtId="14" fontId="0" fillId="12" borderId="0" xfId="0" applyNumberFormat="1" applyFill="1"/>
    <xf numFmtId="14" fontId="8" fillId="12" borderId="7" xfId="0" applyNumberFormat="1" applyFont="1" applyFill="1" applyBorder="1" applyAlignment="1">
      <alignment horizontal="left" wrapText="1"/>
    </xf>
    <xf numFmtId="3" fontId="6" fillId="12" borderId="0" xfId="0" applyNumberFormat="1" applyFont="1" applyFill="1"/>
    <xf numFmtId="0" fontId="6" fillId="9" borderId="1" xfId="0" quotePrefix="1" applyFont="1" applyFill="1" applyBorder="1" applyAlignment="1">
      <alignment horizontal="center"/>
    </xf>
    <xf numFmtId="168" fontId="6" fillId="3" borderId="0" xfId="0" applyNumberFormat="1" applyFont="1" applyFill="1"/>
    <xf numFmtId="0" fontId="6" fillId="4" borderId="2" xfId="0" applyFont="1" applyFill="1" applyBorder="1"/>
    <xf numFmtId="168" fontId="6" fillId="9" borderId="1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left"/>
    </xf>
    <xf numFmtId="166" fontId="6" fillId="4" borderId="2" xfId="0" applyNumberFormat="1" applyFont="1" applyFill="1" applyBorder="1" applyAlignment="1">
      <alignment horizontal="center"/>
    </xf>
    <xf numFmtId="166" fontId="6" fillId="4" borderId="2" xfId="0" applyNumberFormat="1" applyFont="1" applyFill="1" applyBorder="1" applyAlignment="1">
      <alignment horizontal="left"/>
    </xf>
    <xf numFmtId="0" fontId="6" fillId="12" borderId="2" xfId="0" applyFont="1" applyFill="1" applyBorder="1"/>
    <xf numFmtId="0" fontId="6" fillId="12" borderId="4" xfId="0" applyFont="1" applyFill="1" applyBorder="1" applyAlignment="1">
      <alignment horizontal="left"/>
    </xf>
    <xf numFmtId="0" fontId="6" fillId="4" borderId="4" xfId="0" quotePrefix="1" applyFont="1" applyFill="1" applyBorder="1" applyAlignment="1">
      <alignment horizontal="left"/>
    </xf>
    <xf numFmtId="0" fontId="10" fillId="4" borderId="2" xfId="0" applyFont="1" applyFill="1" applyBorder="1"/>
    <xf numFmtId="0" fontId="10" fillId="4" borderId="4" xfId="0" applyFont="1" applyFill="1" applyBorder="1" applyAlignment="1">
      <alignment horizontal="left"/>
    </xf>
    <xf numFmtId="0" fontId="6" fillId="3" borderId="2" xfId="0" applyFont="1" applyFill="1" applyBorder="1"/>
    <xf numFmtId="0" fontId="6" fillId="3" borderId="4" xfId="0" applyFont="1" applyFill="1" applyBorder="1" applyAlignment="1">
      <alignment horizontal="left"/>
    </xf>
    <xf numFmtId="17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6" fillId="0" borderId="4" xfId="0" applyFont="1" applyBorder="1" applyAlignment="1">
      <alignment horizontal="left"/>
    </xf>
    <xf numFmtId="0" fontId="6" fillId="9" borderId="1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left"/>
    </xf>
    <xf numFmtId="0" fontId="6" fillId="12" borderId="4" xfId="0" quotePrefix="1" applyFont="1" applyFill="1" applyBorder="1" applyAlignment="1">
      <alignment horizontal="left"/>
    </xf>
    <xf numFmtId="1" fontId="0" fillId="12" borderId="2" xfId="0" quotePrefix="1" applyNumberFormat="1" applyFill="1" applyBorder="1" applyAlignment="1">
      <alignment horizontal="left"/>
    </xf>
    <xf numFmtId="0" fontId="6" fillId="3" borderId="4" xfId="0" quotePrefix="1" applyFont="1" applyFill="1" applyBorder="1" applyAlignment="1">
      <alignment horizontal="left"/>
    </xf>
    <xf numFmtId="168" fontId="6" fillId="4" borderId="1" xfId="0" applyNumberFormat="1" applyFont="1" applyFill="1" applyBorder="1"/>
    <xf numFmtId="0" fontId="17" fillId="0" borderId="0" xfId="0" applyFont="1" applyAlignment="1">
      <alignment horizontal="center"/>
    </xf>
    <xf numFmtId="0" fontId="18" fillId="0" borderId="0" xfId="0" applyFont="1"/>
    <xf numFmtId="0" fontId="2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9" fillId="0" borderId="0" xfId="0" applyFont="1"/>
    <xf numFmtId="0" fontId="17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19" fillId="0" borderId="0" xfId="0" applyFont="1" applyAlignment="1" applyProtection="1">
      <alignment horizontal="left" vertical="center"/>
      <protection locked="0"/>
    </xf>
    <xf numFmtId="166" fontId="1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2" fillId="14" borderId="1" xfId="0" applyFont="1" applyFill="1" applyBorder="1" applyAlignment="1">
      <alignment horizontal="left" vertical="center"/>
    </xf>
    <xf numFmtId="0" fontId="22" fillId="1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left" wrapText="1"/>
    </xf>
    <xf numFmtId="0" fontId="22" fillId="4" borderId="1" xfId="0" applyFont="1" applyFill="1" applyBorder="1" applyAlignment="1">
      <alignment horizontal="center" vertical="center"/>
    </xf>
    <xf numFmtId="165" fontId="22" fillId="4" borderId="1" xfId="0" applyNumberFormat="1" applyFont="1" applyFill="1" applyBorder="1" applyAlignment="1">
      <alignment horizontal="center" vertical="center"/>
    </xf>
    <xf numFmtId="1" fontId="24" fillId="4" borderId="1" xfId="0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Alignment="1">
      <alignment horizontal="center" vertical="center"/>
    </xf>
    <xf numFmtId="165" fontId="0" fillId="0" borderId="0" xfId="0" applyNumberFormat="1"/>
    <xf numFmtId="0" fontId="25" fillId="0" borderId="0" xfId="0" applyFont="1" applyAlignment="1" applyProtection="1">
      <alignment horizontal="center" vertical="center"/>
      <protection locked="0"/>
    </xf>
    <xf numFmtId="0" fontId="26" fillId="4" borderId="0" xfId="0" applyFont="1" applyFill="1" applyAlignment="1">
      <alignment horizontal="center" vertical="center"/>
    </xf>
    <xf numFmtId="0" fontId="27" fillId="14" borderId="2" xfId="0" applyFont="1" applyFill="1" applyBorder="1" applyAlignment="1">
      <alignment horizontal="center"/>
    </xf>
    <xf numFmtId="0" fontId="27" fillId="14" borderId="3" xfId="0" applyFont="1" applyFill="1" applyBorder="1" applyAlignment="1">
      <alignment horizontal="center"/>
    </xf>
    <xf numFmtId="0" fontId="27" fillId="14" borderId="4" xfId="0" applyFont="1" applyFill="1" applyBorder="1" applyAlignment="1">
      <alignment horizontal="center"/>
    </xf>
    <xf numFmtId="165" fontId="27" fillId="14" borderId="1" xfId="0" applyNumberFormat="1" applyFont="1" applyFill="1" applyBorder="1" applyAlignment="1">
      <alignment horizontal="center" vertical="center"/>
    </xf>
    <xf numFmtId="165" fontId="25" fillId="0" borderId="0" xfId="0" applyNumberFormat="1" applyFont="1" applyAlignment="1">
      <alignment horizontal="center" vertical="center"/>
    </xf>
    <xf numFmtId="0" fontId="18" fillId="0" borderId="9" xfId="0" applyFont="1" applyBorder="1"/>
    <xf numFmtId="0" fontId="25" fillId="0" borderId="0" xfId="0" applyFont="1" applyAlignment="1">
      <alignment horizontal="center" vertical="center"/>
    </xf>
    <xf numFmtId="0" fontId="29" fillId="0" borderId="0" xfId="0" applyFont="1"/>
    <xf numFmtId="0" fontId="5" fillId="0" borderId="0" xfId="0" applyFont="1" applyAlignment="1">
      <alignment horizontal="right"/>
    </xf>
    <xf numFmtId="0" fontId="30" fillId="0" borderId="0" xfId="0" applyFont="1" applyAlignment="1">
      <alignment horizontal="right"/>
    </xf>
    <xf numFmtId="166" fontId="31" fillId="0" borderId="0" xfId="0" applyNumberFormat="1" applyFont="1" applyAlignment="1">
      <alignment horizontal="center" vertical="center"/>
    </xf>
    <xf numFmtId="0" fontId="17" fillId="0" borderId="1" xfId="0" applyFont="1" applyBorder="1" applyAlignment="1">
      <alignment horizontal="center"/>
    </xf>
    <xf numFmtId="1" fontId="22" fillId="4" borderId="1" xfId="0" applyNumberFormat="1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left"/>
    </xf>
    <xf numFmtId="0" fontId="23" fillId="4" borderId="0" xfId="0" applyFont="1" applyFill="1" applyAlignment="1">
      <alignment horizontal="left"/>
    </xf>
    <xf numFmtId="0" fontId="23" fillId="4" borderId="0" xfId="0" applyFont="1" applyFill="1"/>
    <xf numFmtId="0" fontId="0" fillId="0" borderId="9" xfId="0" applyBorder="1"/>
    <xf numFmtId="0" fontId="17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14" fontId="6" fillId="12" borderId="2" xfId="0" applyNumberFormat="1" applyFont="1" applyFill="1" applyBorder="1" applyAlignment="1">
      <alignment horizontal="center"/>
    </xf>
    <xf numFmtId="17" fontId="6" fillId="12" borderId="2" xfId="0" applyNumberFormat="1" applyFont="1" applyFill="1" applyBorder="1" applyAlignment="1">
      <alignment horizontal="center"/>
    </xf>
    <xf numFmtId="0" fontId="0" fillId="0" borderId="1" xfId="0" applyBorder="1"/>
    <xf numFmtId="168" fontId="6" fillId="4" borderId="0" xfId="0" applyNumberFormat="1" applyFont="1" applyFill="1" applyAlignment="1">
      <alignment horizontal="center"/>
    </xf>
    <xf numFmtId="0" fontId="6" fillId="10" borderId="5" xfId="0" applyFont="1" applyFill="1" applyBorder="1" applyAlignment="1">
      <alignment horizontal="left"/>
    </xf>
    <xf numFmtId="0" fontId="6" fillId="10" borderId="5" xfId="0" quotePrefix="1" applyFont="1" applyFill="1" applyBorder="1" applyAlignment="1">
      <alignment horizontal="left"/>
    </xf>
    <xf numFmtId="0" fontId="6" fillId="10" borderId="6" xfId="0" applyFont="1" applyFill="1" applyBorder="1" applyAlignment="1">
      <alignment horizontal="left"/>
    </xf>
    <xf numFmtId="0" fontId="0" fillId="12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left"/>
    </xf>
    <xf numFmtId="0" fontId="35" fillId="0" borderId="0" xfId="0" applyFont="1" applyAlignment="1">
      <alignment horizontal="center" vertical="center"/>
    </xf>
    <xf numFmtId="0" fontId="36" fillId="0" borderId="0" xfId="0" applyFont="1"/>
    <xf numFmtId="14" fontId="6" fillId="10" borderId="2" xfId="0" applyNumberFormat="1" applyFont="1" applyFill="1" applyBorder="1" applyAlignment="1">
      <alignment horizontal="center"/>
    </xf>
    <xf numFmtId="0" fontId="10" fillId="10" borderId="7" xfId="0" applyFont="1" applyFill="1" applyBorder="1" applyAlignment="1">
      <alignment horizontal="left" wrapText="1"/>
    </xf>
    <xf numFmtId="3" fontId="6" fillId="11" borderId="0" xfId="0" applyNumberFormat="1" applyFont="1" applyFill="1"/>
    <xf numFmtId="0" fontId="6" fillId="11" borderId="0" xfId="0" applyFont="1" applyFill="1"/>
    <xf numFmtId="14" fontId="6" fillId="11" borderId="0" xfId="0" applyNumberFormat="1" applyFont="1" applyFill="1"/>
    <xf numFmtId="0" fontId="0" fillId="12" borderId="1" xfId="0" applyFill="1" applyBorder="1"/>
    <xf numFmtId="14" fontId="0" fillId="12" borderId="2" xfId="0" applyNumberFormat="1" applyFill="1" applyBorder="1" applyAlignment="1">
      <alignment horizontal="left"/>
    </xf>
    <xf numFmtId="169" fontId="6" fillId="4" borderId="1" xfId="0" applyNumberFormat="1" applyFont="1" applyFill="1" applyBorder="1"/>
    <xf numFmtId="169" fontId="6" fillId="12" borderId="1" xfId="0" applyNumberFormat="1" applyFont="1" applyFill="1" applyBorder="1"/>
    <xf numFmtId="169" fontId="6" fillId="10" borderId="1" xfId="0" applyNumberFormat="1" applyFont="1" applyFill="1" applyBorder="1"/>
    <xf numFmtId="0" fontId="6" fillId="10" borderId="4" xfId="0" applyFont="1" applyFill="1" applyBorder="1" applyAlignment="1">
      <alignment horizontal="left"/>
    </xf>
    <xf numFmtId="3" fontId="18" fillId="0" borderId="0" xfId="0" applyNumberFormat="1" applyFont="1"/>
    <xf numFmtId="0" fontId="17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right" vertical="center"/>
    </xf>
    <xf numFmtId="0" fontId="6" fillId="0" borderId="1" xfId="0" quotePrefix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168" fontId="0" fillId="0" borderId="1" xfId="0" applyNumberFormat="1" applyBorder="1" applyAlignment="1">
      <alignment horizontal="center"/>
    </xf>
    <xf numFmtId="0" fontId="8" fillId="4" borderId="1" xfId="0" applyFont="1" applyFill="1" applyBorder="1" applyAlignment="1">
      <alignment horizontal="left" wrapText="1"/>
    </xf>
    <xf numFmtId="0" fontId="34" fillId="12" borderId="1" xfId="4" applyFont="1" applyFill="1" applyBorder="1" applyAlignment="1">
      <alignment horizontal="left" vertical="center"/>
    </xf>
    <xf numFmtId="0" fontId="6" fillId="12" borderId="1" xfId="0" quotePrefix="1" applyFont="1" applyFill="1" applyBorder="1" applyAlignment="1">
      <alignment vertical="center"/>
    </xf>
    <xf numFmtId="0" fontId="6" fillId="12" borderId="1" xfId="0" applyFont="1" applyFill="1" applyBorder="1" applyAlignment="1">
      <alignment vertical="center"/>
    </xf>
    <xf numFmtId="3" fontId="0" fillId="12" borderId="0" xfId="0" applyNumberFormat="1" applyFill="1"/>
    <xf numFmtId="0" fontId="0" fillId="12" borderId="0" xfId="0" applyFill="1" applyAlignment="1">
      <alignment vertical="center"/>
    </xf>
    <xf numFmtId="0" fontId="6" fillId="10" borderId="4" xfId="0" quotePrefix="1" applyFont="1" applyFill="1" applyBorder="1" applyAlignment="1">
      <alignment horizontal="left"/>
    </xf>
    <xf numFmtId="169" fontId="17" fillId="7" borderId="1" xfId="0" applyNumberFormat="1" applyFont="1" applyFill="1" applyBorder="1" applyAlignment="1">
      <alignment horizontal="center" vertical="center"/>
    </xf>
    <xf numFmtId="168" fontId="17" fillId="7" borderId="1" xfId="0" applyNumberFormat="1" applyFont="1" applyFill="1" applyBorder="1" applyAlignment="1">
      <alignment horizontal="center" vertical="center"/>
    </xf>
    <xf numFmtId="0" fontId="37" fillId="0" borderId="0" xfId="0" applyFont="1"/>
    <xf numFmtId="0" fontId="37" fillId="0" borderId="1" xfId="0" applyFont="1" applyBorder="1"/>
    <xf numFmtId="0" fontId="37" fillId="0" borderId="1" xfId="0" applyFont="1" applyBorder="1" applyAlignment="1">
      <alignment horizontal="left"/>
    </xf>
    <xf numFmtId="0" fontId="38" fillId="0" borderId="1" xfId="0" applyFont="1" applyBorder="1" applyAlignment="1">
      <alignment horizontal="center"/>
    </xf>
    <xf numFmtId="0" fontId="37" fillId="0" borderId="1" xfId="0" quotePrefix="1" applyFont="1" applyBorder="1"/>
    <xf numFmtId="0" fontId="37" fillId="0" borderId="0" xfId="0" applyFont="1" applyAlignment="1">
      <alignment horizontal="left"/>
    </xf>
    <xf numFmtId="0" fontId="6" fillId="4" borderId="1" xfId="0" applyFont="1" applyFill="1" applyBorder="1" applyAlignment="1">
      <alignment vertical="center"/>
    </xf>
    <xf numFmtId="0" fontId="6" fillId="4" borderId="1" xfId="0" quotePrefix="1" applyFont="1" applyFill="1" applyBorder="1" applyAlignment="1">
      <alignment vertical="center"/>
    </xf>
    <xf numFmtId="0" fontId="38" fillId="0" borderId="0" xfId="0" applyFont="1" applyAlignment="1">
      <alignment horizontal="center"/>
    </xf>
    <xf numFmtId="169" fontId="6" fillId="4" borderId="0" xfId="0" applyNumberFormat="1" applyFont="1" applyFill="1" applyAlignment="1">
      <alignment horizontal="center"/>
    </xf>
    <xf numFmtId="3" fontId="11" fillId="12" borderId="0" xfId="0" applyNumberFormat="1" applyFont="1" applyFill="1"/>
    <xf numFmtId="3" fontId="0" fillId="5" borderId="0" xfId="0" applyNumberFormat="1" applyFill="1" applyAlignment="1">
      <alignment horizontal="left"/>
    </xf>
    <xf numFmtId="3" fontId="2" fillId="0" borderId="0" xfId="0" applyNumberFormat="1" applyFont="1" applyAlignment="1">
      <alignment horizontal="left"/>
    </xf>
    <xf numFmtId="3" fontId="6" fillId="4" borderId="0" xfId="0" applyNumberFormat="1" applyFont="1" applyFill="1" applyAlignment="1">
      <alignment horizontal="left"/>
    </xf>
    <xf numFmtId="17" fontId="6" fillId="12" borderId="2" xfId="0" applyNumberFormat="1" applyFont="1" applyFill="1" applyBorder="1" applyAlignment="1">
      <alignment horizontal="left"/>
    </xf>
    <xf numFmtId="3" fontId="6" fillId="12" borderId="0" xfId="0" applyNumberFormat="1" applyFont="1" applyFill="1" applyAlignment="1">
      <alignment horizontal="left"/>
    </xf>
    <xf numFmtId="3" fontId="6" fillId="10" borderId="0" xfId="0" applyNumberFormat="1" applyFont="1" applyFill="1" applyAlignment="1">
      <alignment horizontal="left"/>
    </xf>
    <xf numFmtId="3" fontId="0" fillId="0" borderId="0" xfId="0" applyNumberFormat="1" applyAlignment="1">
      <alignment horizontal="left"/>
    </xf>
    <xf numFmtId="14" fontId="8" fillId="12" borderId="7" xfId="0" applyNumberFormat="1" applyFont="1" applyFill="1" applyBorder="1" applyAlignment="1">
      <alignment wrapText="1"/>
    </xf>
    <xf numFmtId="0" fontId="6" fillId="10" borderId="2" xfId="0" applyFont="1" applyFill="1" applyBorder="1" applyAlignment="1">
      <alignment horizontal="left"/>
    </xf>
    <xf numFmtId="14" fontId="6" fillId="12" borderId="0" xfId="0" applyNumberFormat="1" applyFont="1" applyFill="1" applyAlignment="1">
      <alignment horizontal="left"/>
    </xf>
    <xf numFmtId="3" fontId="6" fillId="11" borderId="0" xfId="0" applyNumberFormat="1" applyFont="1" applyFill="1" applyAlignment="1">
      <alignment horizontal="left"/>
    </xf>
    <xf numFmtId="0" fontId="0" fillId="0" borderId="1" xfId="0" applyBorder="1" applyAlignment="1">
      <alignment horizontal="left"/>
    </xf>
    <xf numFmtId="14" fontId="0" fillId="12" borderId="1" xfId="0" applyNumberFormat="1" applyFill="1" applyBorder="1" applyAlignment="1">
      <alignment horizontal="left"/>
    </xf>
    <xf numFmtId="0" fontId="17" fillId="7" borderId="1" xfId="0" applyFont="1" applyFill="1" applyBorder="1" applyAlignment="1">
      <alignment horizontal="left" vertical="center"/>
    </xf>
    <xf numFmtId="169" fontId="6" fillId="15" borderId="1" xfId="0" applyNumberFormat="1" applyFont="1" applyFill="1" applyBorder="1" applyAlignment="1">
      <alignment horizontal="center"/>
    </xf>
    <xf numFmtId="0" fontId="6" fillId="15" borderId="1" xfId="0" applyFont="1" applyFill="1" applyBorder="1" applyAlignment="1">
      <alignment horizontal="left"/>
    </xf>
    <xf numFmtId="0" fontId="6" fillId="15" borderId="1" xfId="0" quotePrefix="1" applyFont="1" applyFill="1" applyBorder="1" applyAlignment="1">
      <alignment horizontal="left"/>
    </xf>
    <xf numFmtId="0" fontId="6" fillId="15" borderId="2" xfId="0" applyFont="1" applyFill="1" applyBorder="1" applyAlignment="1">
      <alignment horizontal="center"/>
    </xf>
    <xf numFmtId="0" fontId="0" fillId="15" borderId="1" xfId="0" applyFill="1" applyBorder="1" applyAlignment="1">
      <alignment horizontal="left"/>
    </xf>
    <xf numFmtId="0" fontId="6" fillId="15" borderId="2" xfId="0" applyFont="1" applyFill="1" applyBorder="1" applyAlignment="1">
      <alignment horizontal="left"/>
    </xf>
    <xf numFmtId="1" fontId="0" fillId="15" borderId="2" xfId="0" quotePrefix="1" applyNumberFormat="1" applyFill="1" applyBorder="1" applyAlignment="1">
      <alignment horizontal="left"/>
    </xf>
    <xf numFmtId="0" fontId="6" fillId="15" borderId="2" xfId="0" quotePrefix="1" applyFont="1" applyFill="1" applyBorder="1" applyAlignment="1">
      <alignment horizontal="left"/>
    </xf>
    <xf numFmtId="0" fontId="6" fillId="15" borderId="0" xfId="0" applyFont="1" applyFill="1"/>
    <xf numFmtId="1" fontId="6" fillId="15" borderId="1" xfId="0" quotePrefix="1" applyNumberFormat="1" applyFont="1" applyFill="1" applyBorder="1" applyAlignment="1">
      <alignment horizontal="left"/>
    </xf>
    <xf numFmtId="0" fontId="10" fillId="15" borderId="1" xfId="0" applyFont="1" applyFill="1" applyBorder="1" applyAlignment="1">
      <alignment horizontal="left"/>
    </xf>
    <xf numFmtId="0" fontId="10" fillId="15" borderId="1" xfId="0" quotePrefix="1" applyFont="1" applyFill="1" applyBorder="1" applyAlignment="1">
      <alignment horizontal="left"/>
    </xf>
    <xf numFmtId="0" fontId="10" fillId="15" borderId="2" xfId="0" applyFont="1" applyFill="1" applyBorder="1" applyAlignment="1">
      <alignment horizontal="left"/>
    </xf>
    <xf numFmtId="0" fontId="10" fillId="15" borderId="7" xfId="0" applyFont="1" applyFill="1" applyBorder="1" applyAlignment="1">
      <alignment horizontal="left" wrapText="1"/>
    </xf>
    <xf numFmtId="0" fontId="6" fillId="15" borderId="5" xfId="0" quotePrefix="1" applyFont="1" applyFill="1" applyBorder="1" applyAlignment="1">
      <alignment horizontal="left"/>
    </xf>
    <xf numFmtId="0" fontId="6" fillId="15" borderId="6" xfId="0" applyFont="1" applyFill="1" applyBorder="1" applyAlignment="1">
      <alignment horizontal="left"/>
    </xf>
    <xf numFmtId="0" fontId="8" fillId="15" borderId="7" xfId="0" applyFont="1" applyFill="1" applyBorder="1" applyAlignment="1">
      <alignment horizontal="left" wrapText="1"/>
    </xf>
    <xf numFmtId="0" fontId="6" fillId="15" borderId="5" xfId="0" applyFont="1" applyFill="1" applyBorder="1" applyAlignment="1">
      <alignment horizontal="left"/>
    </xf>
    <xf numFmtId="169" fontId="6" fillId="16" borderId="1" xfId="0" applyNumberFormat="1" applyFont="1" applyFill="1" applyBorder="1" applyAlignment="1">
      <alignment horizontal="center"/>
    </xf>
    <xf numFmtId="0" fontId="6" fillId="16" borderId="1" xfId="0" quotePrefix="1" applyFont="1" applyFill="1" applyBorder="1" applyAlignment="1">
      <alignment horizontal="left"/>
    </xf>
    <xf numFmtId="0" fontId="6" fillId="16" borderId="1" xfId="0" applyFont="1" applyFill="1" applyBorder="1" applyAlignment="1">
      <alignment horizontal="left"/>
    </xf>
    <xf numFmtId="0" fontId="8" fillId="16" borderId="7" xfId="0" applyFont="1" applyFill="1" applyBorder="1" applyAlignment="1">
      <alignment horizontal="left" wrapText="1"/>
    </xf>
    <xf numFmtId="0" fontId="6" fillId="16" borderId="5" xfId="0" quotePrefix="1" applyFont="1" applyFill="1" applyBorder="1" applyAlignment="1">
      <alignment horizontal="left"/>
    </xf>
    <xf numFmtId="0" fontId="6" fillId="16" borderId="5" xfId="0" applyFont="1" applyFill="1" applyBorder="1" applyAlignment="1">
      <alignment horizontal="left"/>
    </xf>
    <xf numFmtId="0" fontId="6" fillId="16" borderId="6" xfId="0" applyFont="1" applyFill="1" applyBorder="1" applyAlignment="1">
      <alignment horizontal="left"/>
    </xf>
    <xf numFmtId="0" fontId="10" fillId="16" borderId="1" xfId="0" applyFont="1" applyFill="1" applyBorder="1" applyAlignment="1">
      <alignment horizontal="left"/>
    </xf>
    <xf numFmtId="0" fontId="10" fillId="16" borderId="1" xfId="0" quotePrefix="1" applyFont="1" applyFill="1" applyBorder="1" applyAlignment="1">
      <alignment horizontal="left"/>
    </xf>
    <xf numFmtId="0" fontId="6" fillId="16" borderId="2" xfId="0" applyFont="1" applyFill="1" applyBorder="1" applyAlignment="1">
      <alignment horizontal="center"/>
    </xf>
    <xf numFmtId="0" fontId="0" fillId="16" borderId="2" xfId="0" applyFill="1" applyBorder="1" applyAlignment="1">
      <alignment horizontal="left"/>
    </xf>
    <xf numFmtId="14" fontId="6" fillId="4" borderId="2" xfId="0" quotePrefix="1" applyNumberFormat="1" applyFont="1" applyFill="1" applyBorder="1" applyAlignment="1">
      <alignment horizontal="left"/>
    </xf>
    <xf numFmtId="14" fontId="10" fillId="4" borderId="2" xfId="0" applyNumberFormat="1" applyFont="1" applyFill="1" applyBorder="1" applyAlignment="1">
      <alignment horizontal="left"/>
    </xf>
    <xf numFmtId="14" fontId="10" fillId="4" borderId="7" xfId="0" applyNumberFormat="1" applyFont="1" applyFill="1" applyBorder="1" applyAlignment="1">
      <alignment horizontal="left" wrapText="1"/>
    </xf>
    <xf numFmtId="14" fontId="8" fillId="4" borderId="1" xfId="0" applyNumberFormat="1" applyFont="1" applyFill="1" applyBorder="1" applyAlignment="1">
      <alignment horizontal="left" wrapText="1"/>
    </xf>
    <xf numFmtId="14" fontId="0" fillId="12" borderId="1" xfId="0" applyNumberFormat="1" applyFill="1" applyBorder="1"/>
    <xf numFmtId="0" fontId="37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7" fillId="0" borderId="1" xfId="0" quotePrefix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68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7" fillId="0" borderId="0" xfId="0" applyFont="1" applyAlignment="1">
      <alignment horizontal="center"/>
    </xf>
    <xf numFmtId="0" fontId="6" fillId="0" borderId="1" xfId="0" quotePrefix="1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169" fontId="6" fillId="13" borderId="1" xfId="0" applyNumberFormat="1" applyFont="1" applyFill="1" applyBorder="1"/>
    <xf numFmtId="0" fontId="6" fillId="13" borderId="4" xfId="0" applyFont="1" applyFill="1" applyBorder="1" applyAlignment="1">
      <alignment horizontal="left"/>
    </xf>
    <xf numFmtId="3" fontId="6" fillId="13" borderId="0" xfId="0" applyNumberFormat="1" applyFont="1" applyFill="1" applyAlignment="1">
      <alignment horizontal="left"/>
    </xf>
    <xf numFmtId="0" fontId="6" fillId="13" borderId="5" xfId="0" applyFont="1" applyFill="1" applyBorder="1" applyAlignment="1">
      <alignment horizontal="left"/>
    </xf>
    <xf numFmtId="168" fontId="6" fillId="13" borderId="5" xfId="0" applyNumberFormat="1" applyFont="1" applyFill="1" applyBorder="1" applyAlignment="1">
      <alignment horizontal="center"/>
    </xf>
    <xf numFmtId="0" fontId="6" fillId="13" borderId="5" xfId="0" quotePrefix="1" applyFont="1" applyFill="1" applyBorder="1" applyAlignment="1">
      <alignment horizontal="left"/>
    </xf>
    <xf numFmtId="0" fontId="6" fillId="13" borderId="6" xfId="0" applyFont="1" applyFill="1" applyBorder="1" applyAlignment="1">
      <alignment horizontal="left"/>
    </xf>
    <xf numFmtId="14" fontId="8" fillId="13" borderId="7" xfId="0" applyNumberFormat="1" applyFont="1" applyFill="1" applyBorder="1" applyAlignment="1">
      <alignment horizontal="left" wrapText="1"/>
    </xf>
    <xf numFmtId="14" fontId="18" fillId="0" borderId="0" xfId="0" applyNumberFormat="1" applyFont="1"/>
    <xf numFmtId="0" fontId="9" fillId="16" borderId="1" xfId="0" applyFont="1" applyFill="1" applyBorder="1" applyAlignment="1">
      <alignment horizontal="center"/>
    </xf>
    <xf numFmtId="0" fontId="0" fillId="16" borderId="1" xfId="0" applyFill="1" applyBorder="1"/>
    <xf numFmtId="168" fontId="0" fillId="16" borderId="1" xfId="0" applyNumberFormat="1" applyFill="1" applyBorder="1" applyAlignment="1">
      <alignment horizontal="center"/>
    </xf>
    <xf numFmtId="0" fontId="6" fillId="16" borderId="1" xfId="0" quotePrefix="1" applyFont="1" applyFill="1" applyBorder="1" applyAlignment="1">
      <alignment horizontal="center"/>
    </xf>
    <xf numFmtId="0" fontId="6" fillId="16" borderId="1" xfId="0" quotePrefix="1" applyFont="1" applyFill="1" applyBorder="1" applyAlignment="1">
      <alignment vertical="center"/>
    </xf>
    <xf numFmtId="0" fontId="6" fillId="16" borderId="1" xfId="0" applyFont="1" applyFill="1" applyBorder="1" applyAlignment="1">
      <alignment vertical="center"/>
    </xf>
    <xf numFmtId="0" fontId="6" fillId="16" borderId="1" xfId="0" applyFont="1" applyFill="1" applyBorder="1"/>
    <xf numFmtId="3" fontId="0" fillId="16" borderId="0" xfId="0" applyNumberFormat="1" applyFill="1"/>
    <xf numFmtId="0" fontId="0" fillId="16" borderId="0" xfId="0" applyFill="1"/>
    <xf numFmtId="168" fontId="6" fillId="16" borderId="1" xfId="0" applyNumberFormat="1" applyFont="1" applyFill="1" applyBorder="1" applyAlignment="1">
      <alignment horizontal="center"/>
    </xf>
    <xf numFmtId="14" fontId="8" fillId="16" borderId="7" xfId="0" applyNumberFormat="1" applyFont="1" applyFill="1" applyBorder="1" applyAlignment="1">
      <alignment horizontal="left" wrapText="1"/>
    </xf>
    <xf numFmtId="3" fontId="6" fillId="16" borderId="0" xfId="0" applyNumberFormat="1" applyFont="1" applyFill="1"/>
    <xf numFmtId="0" fontId="6" fillId="16" borderId="0" xfId="0" applyFont="1" applyFill="1"/>
    <xf numFmtId="169" fontId="6" fillId="16" borderId="5" xfId="0" applyNumberFormat="1" applyFont="1" applyFill="1" applyBorder="1" applyAlignment="1">
      <alignment horizontal="center"/>
    </xf>
    <xf numFmtId="0" fontId="0" fillId="16" borderId="1" xfId="0" applyFill="1" applyBorder="1" applyAlignment="1">
      <alignment horizontal="left" vertical="center"/>
    </xf>
    <xf numFmtId="14" fontId="0" fillId="16" borderId="2" xfId="0" applyNumberFormat="1" applyFill="1" applyBorder="1" applyAlignment="1">
      <alignment horizontal="left"/>
    </xf>
    <xf numFmtId="0" fontId="0" fillId="12" borderId="0" xfId="0" applyFill="1" applyAlignment="1">
      <alignment horizontal="left"/>
    </xf>
    <xf numFmtId="14" fontId="6" fillId="4" borderId="0" xfId="0" applyNumberFormat="1" applyFont="1" applyFill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0" xfId="0" applyNumberFormat="1" applyAlignment="1">
      <alignment horizontal="left"/>
    </xf>
    <xf numFmtId="14" fontId="0" fillId="16" borderId="1" xfId="0" applyNumberFormat="1" applyFill="1" applyBorder="1" applyAlignment="1">
      <alignment horizontal="left"/>
    </xf>
    <xf numFmtId="14" fontId="17" fillId="7" borderId="1" xfId="0" applyNumberFormat="1" applyFont="1" applyFill="1" applyBorder="1" applyAlignment="1">
      <alignment horizontal="left" vertical="center"/>
    </xf>
    <xf numFmtId="0" fontId="38" fillId="12" borderId="1" xfId="0" applyFont="1" applyFill="1" applyBorder="1" applyAlignment="1">
      <alignment horizontal="center"/>
    </xf>
    <xf numFmtId="0" fontId="37" fillId="12" borderId="1" xfId="0" applyFont="1" applyFill="1" applyBorder="1"/>
    <xf numFmtId="0" fontId="37" fillId="12" borderId="1" xfId="0" applyFont="1" applyFill="1" applyBorder="1" applyAlignment="1">
      <alignment horizontal="left"/>
    </xf>
    <xf numFmtId="0" fontId="37" fillId="12" borderId="1" xfId="0" quotePrefix="1" applyFont="1" applyFill="1" applyBorder="1"/>
    <xf numFmtId="0" fontId="37" fillId="12" borderId="0" xfId="0" applyFont="1" applyFill="1"/>
    <xf numFmtId="0" fontId="38" fillId="0" borderId="10" xfId="0" applyFont="1" applyBorder="1" applyAlignment="1">
      <alignment horizontal="center"/>
    </xf>
    <xf numFmtId="0" fontId="0" fillId="4" borderId="0" xfId="0" applyFill="1" applyAlignment="1">
      <alignment horizontal="center"/>
    </xf>
    <xf numFmtId="0" fontId="5" fillId="5" borderId="1" xfId="0" applyFont="1" applyFill="1" applyBorder="1" applyAlignment="1">
      <alignment vertical="center" wrapText="1"/>
    </xf>
    <xf numFmtId="168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4" fontId="2" fillId="6" borderId="1" xfId="0" applyNumberFormat="1" applyFont="1" applyFill="1" applyBorder="1" applyAlignment="1">
      <alignment horizontal="left" vertical="center"/>
    </xf>
    <xf numFmtId="14" fontId="2" fillId="6" borderId="2" xfId="0" applyNumberFormat="1" applyFont="1" applyFill="1" applyBorder="1" applyAlignment="1">
      <alignment horizontal="left" vertical="center"/>
    </xf>
    <xf numFmtId="0" fontId="2" fillId="6" borderId="11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wrapText="1" readingOrder="2"/>
    </xf>
    <xf numFmtId="0" fontId="3" fillId="3" borderId="1" xfId="0" applyFont="1" applyFill="1" applyBorder="1" applyAlignment="1">
      <alignment horizontal="center"/>
    </xf>
  </cellXfs>
  <cellStyles count="5">
    <cellStyle name="Comma" xfId="1" builtinId="3"/>
    <cellStyle name="Comma 2" xfId="2" xr:uid="{DDC0BA5F-6255-4803-AEF4-00805E912AB2}"/>
    <cellStyle name="Explanatory Text" xfId="4" builtinId="53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7B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123826</xdr:rowOff>
    </xdr:from>
    <xdr:ext cx="883047" cy="934603"/>
    <xdr:pic>
      <xdr:nvPicPr>
        <xdr:cNvPr id="2" name="Picture 1">
          <a:extLst>
            <a:ext uri="{FF2B5EF4-FFF2-40B4-BE49-F238E27FC236}">
              <a16:creationId xmlns:a16="http://schemas.microsoft.com/office/drawing/2014/main" id="{DD347B8F-92AD-4561-A8B4-2E5D09106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5326"/>
          <a:ext cx="883047" cy="93460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65422" cy="1028825"/>
    <xdr:pic>
      <xdr:nvPicPr>
        <xdr:cNvPr id="2" name="Picture 1">
          <a:extLst>
            <a:ext uri="{FF2B5EF4-FFF2-40B4-BE49-F238E27FC236}">
              <a16:creationId xmlns:a16="http://schemas.microsoft.com/office/drawing/2014/main" id="{D0A55C04-E63F-438E-B345-EE2C6CDB1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65422" cy="1028825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D42D5-8FC9-428E-9D8D-E932081D2741}">
  <sheetPr codeName="Sheet1"/>
  <dimension ref="A1:Y43"/>
  <sheetViews>
    <sheetView view="pageBreakPreview" zoomScaleNormal="100" zoomScaleSheetLayoutView="100" workbookViewId="0">
      <pane xSplit="3" ySplit="3" topLeftCell="D4" activePane="bottomRight" state="frozen"/>
      <selection activeCell="E23" sqref="E23"/>
      <selection pane="topRight" activeCell="E23" sqref="E23"/>
      <selection pane="bottomLeft" activeCell="E23" sqref="E23"/>
      <selection pane="bottomRight" activeCell="C35" sqref="C35:C37"/>
    </sheetView>
  </sheetViews>
  <sheetFormatPr defaultRowHeight="15" x14ac:dyDescent="0.25"/>
  <cols>
    <col min="1" max="1" width="5.7109375" customWidth="1"/>
    <col min="2" max="2" width="9.28515625" customWidth="1"/>
    <col min="3" max="3" width="51.7109375" customWidth="1"/>
    <col min="4" max="4" width="19" style="6" bestFit="1" customWidth="1"/>
    <col min="5" max="5" width="12.42578125" style="6" customWidth="1"/>
    <col min="6" max="6" width="16" style="6" bestFit="1" customWidth="1"/>
    <col min="7" max="8" width="16" style="6" customWidth="1"/>
    <col min="9" max="9" width="12.28515625" style="44" customWidth="1"/>
    <col min="10" max="10" width="21.42578125" style="41" bestFit="1" customWidth="1"/>
    <col min="11" max="11" width="15.42578125" style="41" bestFit="1" customWidth="1"/>
    <col min="12" max="12" width="16.5703125" style="41" bestFit="1" customWidth="1"/>
    <col min="13" max="13" width="12" style="41" bestFit="1" customWidth="1"/>
    <col min="14" max="14" width="17.42578125" customWidth="1"/>
    <col min="15" max="15" width="11" style="43" customWidth="1"/>
    <col min="16" max="16" width="5" bestFit="1" customWidth="1"/>
    <col min="17" max="17" width="14" customWidth="1"/>
    <col min="18" max="18" width="39.28515625" customWidth="1"/>
    <col min="19" max="19" width="14.28515625" customWidth="1"/>
    <col min="22" max="22" width="17.28515625" bestFit="1" customWidth="1"/>
    <col min="24" max="24" width="15.28515625" bestFit="1" customWidth="1"/>
    <col min="257" max="257" width="5.7109375" customWidth="1"/>
    <col min="258" max="258" width="9.28515625" customWidth="1"/>
    <col min="259" max="259" width="51.7109375" customWidth="1"/>
    <col min="260" max="260" width="19" bestFit="1" customWidth="1"/>
    <col min="261" max="261" width="12.42578125" customWidth="1"/>
    <col min="262" max="262" width="16" bestFit="1" customWidth="1"/>
    <col min="263" max="264" width="16" customWidth="1"/>
    <col min="265" max="265" width="12.28515625" customWidth="1"/>
    <col min="266" max="266" width="21.42578125" bestFit="1" customWidth="1"/>
    <col min="267" max="267" width="15.42578125" bestFit="1" customWidth="1"/>
    <col min="268" max="268" width="16.5703125" bestFit="1" customWidth="1"/>
    <col min="269" max="269" width="12" bestFit="1" customWidth="1"/>
    <col min="270" max="270" width="17.42578125" customWidth="1"/>
    <col min="271" max="271" width="11" customWidth="1"/>
    <col min="272" max="272" width="5" bestFit="1" customWidth="1"/>
    <col min="273" max="273" width="14" customWidth="1"/>
    <col min="274" max="274" width="39.28515625" customWidth="1"/>
    <col min="275" max="275" width="14.28515625" customWidth="1"/>
    <col min="278" max="278" width="17.28515625" bestFit="1" customWidth="1"/>
    <col min="280" max="280" width="15.28515625" bestFit="1" customWidth="1"/>
    <col min="513" max="513" width="5.7109375" customWidth="1"/>
    <col min="514" max="514" width="9.28515625" customWidth="1"/>
    <col min="515" max="515" width="51.7109375" customWidth="1"/>
    <col min="516" max="516" width="19" bestFit="1" customWidth="1"/>
    <col min="517" max="517" width="12.42578125" customWidth="1"/>
    <col min="518" max="518" width="16" bestFit="1" customWidth="1"/>
    <col min="519" max="520" width="16" customWidth="1"/>
    <col min="521" max="521" width="12.28515625" customWidth="1"/>
    <col min="522" max="522" width="21.42578125" bestFit="1" customWidth="1"/>
    <col min="523" max="523" width="15.42578125" bestFit="1" customWidth="1"/>
    <col min="524" max="524" width="16.5703125" bestFit="1" customWidth="1"/>
    <col min="525" max="525" width="12" bestFit="1" customWidth="1"/>
    <col min="526" max="526" width="17.42578125" customWidth="1"/>
    <col min="527" max="527" width="11" customWidth="1"/>
    <col min="528" max="528" width="5" bestFit="1" customWidth="1"/>
    <col min="529" max="529" width="14" customWidth="1"/>
    <col min="530" max="530" width="39.28515625" customWidth="1"/>
    <col min="531" max="531" width="14.28515625" customWidth="1"/>
    <col min="534" max="534" width="17.28515625" bestFit="1" customWidth="1"/>
    <col min="536" max="536" width="15.28515625" bestFit="1" customWidth="1"/>
    <col min="769" max="769" width="5.7109375" customWidth="1"/>
    <col min="770" max="770" width="9.28515625" customWidth="1"/>
    <col min="771" max="771" width="51.7109375" customWidth="1"/>
    <col min="772" max="772" width="19" bestFit="1" customWidth="1"/>
    <col min="773" max="773" width="12.42578125" customWidth="1"/>
    <col min="774" max="774" width="16" bestFit="1" customWidth="1"/>
    <col min="775" max="776" width="16" customWidth="1"/>
    <col min="777" max="777" width="12.28515625" customWidth="1"/>
    <col min="778" max="778" width="21.42578125" bestFit="1" customWidth="1"/>
    <col min="779" max="779" width="15.42578125" bestFit="1" customWidth="1"/>
    <col min="780" max="780" width="16.5703125" bestFit="1" customWidth="1"/>
    <col min="781" max="781" width="12" bestFit="1" customWidth="1"/>
    <col min="782" max="782" width="17.42578125" customWidth="1"/>
    <col min="783" max="783" width="11" customWidth="1"/>
    <col min="784" max="784" width="5" bestFit="1" customWidth="1"/>
    <col min="785" max="785" width="14" customWidth="1"/>
    <col min="786" max="786" width="39.28515625" customWidth="1"/>
    <col min="787" max="787" width="14.28515625" customWidth="1"/>
    <col min="790" max="790" width="17.28515625" bestFit="1" customWidth="1"/>
    <col min="792" max="792" width="15.28515625" bestFit="1" customWidth="1"/>
    <col min="1025" max="1025" width="5.7109375" customWidth="1"/>
    <col min="1026" max="1026" width="9.28515625" customWidth="1"/>
    <col min="1027" max="1027" width="51.7109375" customWidth="1"/>
    <col min="1028" max="1028" width="19" bestFit="1" customWidth="1"/>
    <col min="1029" max="1029" width="12.42578125" customWidth="1"/>
    <col min="1030" max="1030" width="16" bestFit="1" customWidth="1"/>
    <col min="1031" max="1032" width="16" customWidth="1"/>
    <col min="1033" max="1033" width="12.28515625" customWidth="1"/>
    <col min="1034" max="1034" width="21.42578125" bestFit="1" customWidth="1"/>
    <col min="1035" max="1035" width="15.42578125" bestFit="1" customWidth="1"/>
    <col min="1036" max="1036" width="16.5703125" bestFit="1" customWidth="1"/>
    <col min="1037" max="1037" width="12" bestFit="1" customWidth="1"/>
    <col min="1038" max="1038" width="17.42578125" customWidth="1"/>
    <col min="1039" max="1039" width="11" customWidth="1"/>
    <col min="1040" max="1040" width="5" bestFit="1" customWidth="1"/>
    <col min="1041" max="1041" width="14" customWidth="1"/>
    <col min="1042" max="1042" width="39.28515625" customWidth="1"/>
    <col min="1043" max="1043" width="14.28515625" customWidth="1"/>
    <col min="1046" max="1046" width="17.28515625" bestFit="1" customWidth="1"/>
    <col min="1048" max="1048" width="15.28515625" bestFit="1" customWidth="1"/>
    <col min="1281" max="1281" width="5.7109375" customWidth="1"/>
    <col min="1282" max="1282" width="9.28515625" customWidth="1"/>
    <col min="1283" max="1283" width="51.7109375" customWidth="1"/>
    <col min="1284" max="1284" width="19" bestFit="1" customWidth="1"/>
    <col min="1285" max="1285" width="12.42578125" customWidth="1"/>
    <col min="1286" max="1286" width="16" bestFit="1" customWidth="1"/>
    <col min="1287" max="1288" width="16" customWidth="1"/>
    <col min="1289" max="1289" width="12.28515625" customWidth="1"/>
    <col min="1290" max="1290" width="21.42578125" bestFit="1" customWidth="1"/>
    <col min="1291" max="1291" width="15.42578125" bestFit="1" customWidth="1"/>
    <col min="1292" max="1292" width="16.5703125" bestFit="1" customWidth="1"/>
    <col min="1293" max="1293" width="12" bestFit="1" customWidth="1"/>
    <col min="1294" max="1294" width="17.42578125" customWidth="1"/>
    <col min="1295" max="1295" width="11" customWidth="1"/>
    <col min="1296" max="1296" width="5" bestFit="1" customWidth="1"/>
    <col min="1297" max="1297" width="14" customWidth="1"/>
    <col min="1298" max="1298" width="39.28515625" customWidth="1"/>
    <col min="1299" max="1299" width="14.28515625" customWidth="1"/>
    <col min="1302" max="1302" width="17.28515625" bestFit="1" customWidth="1"/>
    <col min="1304" max="1304" width="15.28515625" bestFit="1" customWidth="1"/>
    <col min="1537" max="1537" width="5.7109375" customWidth="1"/>
    <col min="1538" max="1538" width="9.28515625" customWidth="1"/>
    <col min="1539" max="1539" width="51.7109375" customWidth="1"/>
    <col min="1540" max="1540" width="19" bestFit="1" customWidth="1"/>
    <col min="1541" max="1541" width="12.42578125" customWidth="1"/>
    <col min="1542" max="1542" width="16" bestFit="1" customWidth="1"/>
    <col min="1543" max="1544" width="16" customWidth="1"/>
    <col min="1545" max="1545" width="12.28515625" customWidth="1"/>
    <col min="1546" max="1546" width="21.42578125" bestFit="1" customWidth="1"/>
    <col min="1547" max="1547" width="15.42578125" bestFit="1" customWidth="1"/>
    <col min="1548" max="1548" width="16.5703125" bestFit="1" customWidth="1"/>
    <col min="1549" max="1549" width="12" bestFit="1" customWidth="1"/>
    <col min="1550" max="1550" width="17.42578125" customWidth="1"/>
    <col min="1551" max="1551" width="11" customWidth="1"/>
    <col min="1552" max="1552" width="5" bestFit="1" customWidth="1"/>
    <col min="1553" max="1553" width="14" customWidth="1"/>
    <col min="1554" max="1554" width="39.28515625" customWidth="1"/>
    <col min="1555" max="1555" width="14.28515625" customWidth="1"/>
    <col min="1558" max="1558" width="17.28515625" bestFit="1" customWidth="1"/>
    <col min="1560" max="1560" width="15.28515625" bestFit="1" customWidth="1"/>
    <col min="1793" max="1793" width="5.7109375" customWidth="1"/>
    <col min="1794" max="1794" width="9.28515625" customWidth="1"/>
    <col min="1795" max="1795" width="51.7109375" customWidth="1"/>
    <col min="1796" max="1796" width="19" bestFit="1" customWidth="1"/>
    <col min="1797" max="1797" width="12.42578125" customWidth="1"/>
    <col min="1798" max="1798" width="16" bestFit="1" customWidth="1"/>
    <col min="1799" max="1800" width="16" customWidth="1"/>
    <col min="1801" max="1801" width="12.28515625" customWidth="1"/>
    <col min="1802" max="1802" width="21.42578125" bestFit="1" customWidth="1"/>
    <col min="1803" max="1803" width="15.42578125" bestFit="1" customWidth="1"/>
    <col min="1804" max="1804" width="16.5703125" bestFit="1" customWidth="1"/>
    <col min="1805" max="1805" width="12" bestFit="1" customWidth="1"/>
    <col min="1806" max="1806" width="17.42578125" customWidth="1"/>
    <col min="1807" max="1807" width="11" customWidth="1"/>
    <col min="1808" max="1808" width="5" bestFit="1" customWidth="1"/>
    <col min="1809" max="1809" width="14" customWidth="1"/>
    <col min="1810" max="1810" width="39.28515625" customWidth="1"/>
    <col min="1811" max="1811" width="14.28515625" customWidth="1"/>
    <col min="1814" max="1814" width="17.28515625" bestFit="1" customWidth="1"/>
    <col min="1816" max="1816" width="15.28515625" bestFit="1" customWidth="1"/>
    <col min="2049" max="2049" width="5.7109375" customWidth="1"/>
    <col min="2050" max="2050" width="9.28515625" customWidth="1"/>
    <col min="2051" max="2051" width="51.7109375" customWidth="1"/>
    <col min="2052" max="2052" width="19" bestFit="1" customWidth="1"/>
    <col min="2053" max="2053" width="12.42578125" customWidth="1"/>
    <col min="2054" max="2054" width="16" bestFit="1" customWidth="1"/>
    <col min="2055" max="2056" width="16" customWidth="1"/>
    <col min="2057" max="2057" width="12.28515625" customWidth="1"/>
    <col min="2058" max="2058" width="21.42578125" bestFit="1" customWidth="1"/>
    <col min="2059" max="2059" width="15.42578125" bestFit="1" customWidth="1"/>
    <col min="2060" max="2060" width="16.5703125" bestFit="1" customWidth="1"/>
    <col min="2061" max="2061" width="12" bestFit="1" customWidth="1"/>
    <col min="2062" max="2062" width="17.42578125" customWidth="1"/>
    <col min="2063" max="2063" width="11" customWidth="1"/>
    <col min="2064" max="2064" width="5" bestFit="1" customWidth="1"/>
    <col min="2065" max="2065" width="14" customWidth="1"/>
    <col min="2066" max="2066" width="39.28515625" customWidth="1"/>
    <col min="2067" max="2067" width="14.28515625" customWidth="1"/>
    <col min="2070" max="2070" width="17.28515625" bestFit="1" customWidth="1"/>
    <col min="2072" max="2072" width="15.28515625" bestFit="1" customWidth="1"/>
    <col min="2305" max="2305" width="5.7109375" customWidth="1"/>
    <col min="2306" max="2306" width="9.28515625" customWidth="1"/>
    <col min="2307" max="2307" width="51.7109375" customWidth="1"/>
    <col min="2308" max="2308" width="19" bestFit="1" customWidth="1"/>
    <col min="2309" max="2309" width="12.42578125" customWidth="1"/>
    <col min="2310" max="2310" width="16" bestFit="1" customWidth="1"/>
    <col min="2311" max="2312" width="16" customWidth="1"/>
    <col min="2313" max="2313" width="12.28515625" customWidth="1"/>
    <col min="2314" max="2314" width="21.42578125" bestFit="1" customWidth="1"/>
    <col min="2315" max="2315" width="15.42578125" bestFit="1" customWidth="1"/>
    <col min="2316" max="2316" width="16.5703125" bestFit="1" customWidth="1"/>
    <col min="2317" max="2317" width="12" bestFit="1" customWidth="1"/>
    <col min="2318" max="2318" width="17.42578125" customWidth="1"/>
    <col min="2319" max="2319" width="11" customWidth="1"/>
    <col min="2320" max="2320" width="5" bestFit="1" customWidth="1"/>
    <col min="2321" max="2321" width="14" customWidth="1"/>
    <col min="2322" max="2322" width="39.28515625" customWidth="1"/>
    <col min="2323" max="2323" width="14.28515625" customWidth="1"/>
    <col min="2326" max="2326" width="17.28515625" bestFit="1" customWidth="1"/>
    <col min="2328" max="2328" width="15.28515625" bestFit="1" customWidth="1"/>
    <col min="2561" max="2561" width="5.7109375" customWidth="1"/>
    <col min="2562" max="2562" width="9.28515625" customWidth="1"/>
    <col min="2563" max="2563" width="51.7109375" customWidth="1"/>
    <col min="2564" max="2564" width="19" bestFit="1" customWidth="1"/>
    <col min="2565" max="2565" width="12.42578125" customWidth="1"/>
    <col min="2566" max="2566" width="16" bestFit="1" customWidth="1"/>
    <col min="2567" max="2568" width="16" customWidth="1"/>
    <col min="2569" max="2569" width="12.28515625" customWidth="1"/>
    <col min="2570" max="2570" width="21.42578125" bestFit="1" customWidth="1"/>
    <col min="2571" max="2571" width="15.42578125" bestFit="1" customWidth="1"/>
    <col min="2572" max="2572" width="16.5703125" bestFit="1" customWidth="1"/>
    <col min="2573" max="2573" width="12" bestFit="1" customWidth="1"/>
    <col min="2574" max="2574" width="17.42578125" customWidth="1"/>
    <col min="2575" max="2575" width="11" customWidth="1"/>
    <col min="2576" max="2576" width="5" bestFit="1" customWidth="1"/>
    <col min="2577" max="2577" width="14" customWidth="1"/>
    <col min="2578" max="2578" width="39.28515625" customWidth="1"/>
    <col min="2579" max="2579" width="14.28515625" customWidth="1"/>
    <col min="2582" max="2582" width="17.28515625" bestFit="1" customWidth="1"/>
    <col min="2584" max="2584" width="15.28515625" bestFit="1" customWidth="1"/>
    <col min="2817" max="2817" width="5.7109375" customWidth="1"/>
    <col min="2818" max="2818" width="9.28515625" customWidth="1"/>
    <col min="2819" max="2819" width="51.7109375" customWidth="1"/>
    <col min="2820" max="2820" width="19" bestFit="1" customWidth="1"/>
    <col min="2821" max="2821" width="12.42578125" customWidth="1"/>
    <col min="2822" max="2822" width="16" bestFit="1" customWidth="1"/>
    <col min="2823" max="2824" width="16" customWidth="1"/>
    <col min="2825" max="2825" width="12.28515625" customWidth="1"/>
    <col min="2826" max="2826" width="21.42578125" bestFit="1" customWidth="1"/>
    <col min="2827" max="2827" width="15.42578125" bestFit="1" customWidth="1"/>
    <col min="2828" max="2828" width="16.5703125" bestFit="1" customWidth="1"/>
    <col min="2829" max="2829" width="12" bestFit="1" customWidth="1"/>
    <col min="2830" max="2830" width="17.42578125" customWidth="1"/>
    <col min="2831" max="2831" width="11" customWidth="1"/>
    <col min="2832" max="2832" width="5" bestFit="1" customWidth="1"/>
    <col min="2833" max="2833" width="14" customWidth="1"/>
    <col min="2834" max="2834" width="39.28515625" customWidth="1"/>
    <col min="2835" max="2835" width="14.28515625" customWidth="1"/>
    <col min="2838" max="2838" width="17.28515625" bestFit="1" customWidth="1"/>
    <col min="2840" max="2840" width="15.28515625" bestFit="1" customWidth="1"/>
    <col min="3073" max="3073" width="5.7109375" customWidth="1"/>
    <col min="3074" max="3074" width="9.28515625" customWidth="1"/>
    <col min="3075" max="3075" width="51.7109375" customWidth="1"/>
    <col min="3076" max="3076" width="19" bestFit="1" customWidth="1"/>
    <col min="3077" max="3077" width="12.42578125" customWidth="1"/>
    <col min="3078" max="3078" width="16" bestFit="1" customWidth="1"/>
    <col min="3079" max="3080" width="16" customWidth="1"/>
    <col min="3081" max="3081" width="12.28515625" customWidth="1"/>
    <col min="3082" max="3082" width="21.42578125" bestFit="1" customWidth="1"/>
    <col min="3083" max="3083" width="15.42578125" bestFit="1" customWidth="1"/>
    <col min="3084" max="3084" width="16.5703125" bestFit="1" customWidth="1"/>
    <col min="3085" max="3085" width="12" bestFit="1" customWidth="1"/>
    <col min="3086" max="3086" width="17.42578125" customWidth="1"/>
    <col min="3087" max="3087" width="11" customWidth="1"/>
    <col min="3088" max="3088" width="5" bestFit="1" customWidth="1"/>
    <col min="3089" max="3089" width="14" customWidth="1"/>
    <col min="3090" max="3090" width="39.28515625" customWidth="1"/>
    <col min="3091" max="3091" width="14.28515625" customWidth="1"/>
    <col min="3094" max="3094" width="17.28515625" bestFit="1" customWidth="1"/>
    <col min="3096" max="3096" width="15.28515625" bestFit="1" customWidth="1"/>
    <col min="3329" max="3329" width="5.7109375" customWidth="1"/>
    <col min="3330" max="3330" width="9.28515625" customWidth="1"/>
    <col min="3331" max="3331" width="51.7109375" customWidth="1"/>
    <col min="3332" max="3332" width="19" bestFit="1" customWidth="1"/>
    <col min="3333" max="3333" width="12.42578125" customWidth="1"/>
    <col min="3334" max="3334" width="16" bestFit="1" customWidth="1"/>
    <col min="3335" max="3336" width="16" customWidth="1"/>
    <col min="3337" max="3337" width="12.28515625" customWidth="1"/>
    <col min="3338" max="3338" width="21.42578125" bestFit="1" customWidth="1"/>
    <col min="3339" max="3339" width="15.42578125" bestFit="1" customWidth="1"/>
    <col min="3340" max="3340" width="16.5703125" bestFit="1" customWidth="1"/>
    <col min="3341" max="3341" width="12" bestFit="1" customWidth="1"/>
    <col min="3342" max="3342" width="17.42578125" customWidth="1"/>
    <col min="3343" max="3343" width="11" customWidth="1"/>
    <col min="3344" max="3344" width="5" bestFit="1" customWidth="1"/>
    <col min="3345" max="3345" width="14" customWidth="1"/>
    <col min="3346" max="3346" width="39.28515625" customWidth="1"/>
    <col min="3347" max="3347" width="14.28515625" customWidth="1"/>
    <col min="3350" max="3350" width="17.28515625" bestFit="1" customWidth="1"/>
    <col min="3352" max="3352" width="15.28515625" bestFit="1" customWidth="1"/>
    <col min="3585" max="3585" width="5.7109375" customWidth="1"/>
    <col min="3586" max="3586" width="9.28515625" customWidth="1"/>
    <col min="3587" max="3587" width="51.7109375" customWidth="1"/>
    <col min="3588" max="3588" width="19" bestFit="1" customWidth="1"/>
    <col min="3589" max="3589" width="12.42578125" customWidth="1"/>
    <col min="3590" max="3590" width="16" bestFit="1" customWidth="1"/>
    <col min="3591" max="3592" width="16" customWidth="1"/>
    <col min="3593" max="3593" width="12.28515625" customWidth="1"/>
    <col min="3594" max="3594" width="21.42578125" bestFit="1" customWidth="1"/>
    <col min="3595" max="3595" width="15.42578125" bestFit="1" customWidth="1"/>
    <col min="3596" max="3596" width="16.5703125" bestFit="1" customWidth="1"/>
    <col min="3597" max="3597" width="12" bestFit="1" customWidth="1"/>
    <col min="3598" max="3598" width="17.42578125" customWidth="1"/>
    <col min="3599" max="3599" width="11" customWidth="1"/>
    <col min="3600" max="3600" width="5" bestFit="1" customWidth="1"/>
    <col min="3601" max="3601" width="14" customWidth="1"/>
    <col min="3602" max="3602" width="39.28515625" customWidth="1"/>
    <col min="3603" max="3603" width="14.28515625" customWidth="1"/>
    <col min="3606" max="3606" width="17.28515625" bestFit="1" customWidth="1"/>
    <col min="3608" max="3608" width="15.28515625" bestFit="1" customWidth="1"/>
    <col min="3841" max="3841" width="5.7109375" customWidth="1"/>
    <col min="3842" max="3842" width="9.28515625" customWidth="1"/>
    <col min="3843" max="3843" width="51.7109375" customWidth="1"/>
    <col min="3844" max="3844" width="19" bestFit="1" customWidth="1"/>
    <col min="3845" max="3845" width="12.42578125" customWidth="1"/>
    <col min="3846" max="3846" width="16" bestFit="1" customWidth="1"/>
    <col min="3847" max="3848" width="16" customWidth="1"/>
    <col min="3849" max="3849" width="12.28515625" customWidth="1"/>
    <col min="3850" max="3850" width="21.42578125" bestFit="1" customWidth="1"/>
    <col min="3851" max="3851" width="15.42578125" bestFit="1" customWidth="1"/>
    <col min="3852" max="3852" width="16.5703125" bestFit="1" customWidth="1"/>
    <col min="3853" max="3853" width="12" bestFit="1" customWidth="1"/>
    <col min="3854" max="3854" width="17.42578125" customWidth="1"/>
    <col min="3855" max="3855" width="11" customWidth="1"/>
    <col min="3856" max="3856" width="5" bestFit="1" customWidth="1"/>
    <col min="3857" max="3857" width="14" customWidth="1"/>
    <col min="3858" max="3858" width="39.28515625" customWidth="1"/>
    <col min="3859" max="3859" width="14.28515625" customWidth="1"/>
    <col min="3862" max="3862" width="17.28515625" bestFit="1" customWidth="1"/>
    <col min="3864" max="3864" width="15.28515625" bestFit="1" customWidth="1"/>
    <col min="4097" max="4097" width="5.7109375" customWidth="1"/>
    <col min="4098" max="4098" width="9.28515625" customWidth="1"/>
    <col min="4099" max="4099" width="51.7109375" customWidth="1"/>
    <col min="4100" max="4100" width="19" bestFit="1" customWidth="1"/>
    <col min="4101" max="4101" width="12.42578125" customWidth="1"/>
    <col min="4102" max="4102" width="16" bestFit="1" customWidth="1"/>
    <col min="4103" max="4104" width="16" customWidth="1"/>
    <col min="4105" max="4105" width="12.28515625" customWidth="1"/>
    <col min="4106" max="4106" width="21.42578125" bestFit="1" customWidth="1"/>
    <col min="4107" max="4107" width="15.42578125" bestFit="1" customWidth="1"/>
    <col min="4108" max="4108" width="16.5703125" bestFit="1" customWidth="1"/>
    <col min="4109" max="4109" width="12" bestFit="1" customWidth="1"/>
    <col min="4110" max="4110" width="17.42578125" customWidth="1"/>
    <col min="4111" max="4111" width="11" customWidth="1"/>
    <col min="4112" max="4112" width="5" bestFit="1" customWidth="1"/>
    <col min="4113" max="4113" width="14" customWidth="1"/>
    <col min="4114" max="4114" width="39.28515625" customWidth="1"/>
    <col min="4115" max="4115" width="14.28515625" customWidth="1"/>
    <col min="4118" max="4118" width="17.28515625" bestFit="1" customWidth="1"/>
    <col min="4120" max="4120" width="15.28515625" bestFit="1" customWidth="1"/>
    <col min="4353" max="4353" width="5.7109375" customWidth="1"/>
    <col min="4354" max="4354" width="9.28515625" customWidth="1"/>
    <col min="4355" max="4355" width="51.7109375" customWidth="1"/>
    <col min="4356" max="4356" width="19" bestFit="1" customWidth="1"/>
    <col min="4357" max="4357" width="12.42578125" customWidth="1"/>
    <col min="4358" max="4358" width="16" bestFit="1" customWidth="1"/>
    <col min="4359" max="4360" width="16" customWidth="1"/>
    <col min="4361" max="4361" width="12.28515625" customWidth="1"/>
    <col min="4362" max="4362" width="21.42578125" bestFit="1" customWidth="1"/>
    <col min="4363" max="4363" width="15.42578125" bestFit="1" customWidth="1"/>
    <col min="4364" max="4364" width="16.5703125" bestFit="1" customWidth="1"/>
    <col min="4365" max="4365" width="12" bestFit="1" customWidth="1"/>
    <col min="4366" max="4366" width="17.42578125" customWidth="1"/>
    <col min="4367" max="4367" width="11" customWidth="1"/>
    <col min="4368" max="4368" width="5" bestFit="1" customWidth="1"/>
    <col min="4369" max="4369" width="14" customWidth="1"/>
    <col min="4370" max="4370" width="39.28515625" customWidth="1"/>
    <col min="4371" max="4371" width="14.28515625" customWidth="1"/>
    <col min="4374" max="4374" width="17.28515625" bestFit="1" customWidth="1"/>
    <col min="4376" max="4376" width="15.28515625" bestFit="1" customWidth="1"/>
    <col min="4609" max="4609" width="5.7109375" customWidth="1"/>
    <col min="4610" max="4610" width="9.28515625" customWidth="1"/>
    <col min="4611" max="4611" width="51.7109375" customWidth="1"/>
    <col min="4612" max="4612" width="19" bestFit="1" customWidth="1"/>
    <col min="4613" max="4613" width="12.42578125" customWidth="1"/>
    <col min="4614" max="4614" width="16" bestFit="1" customWidth="1"/>
    <col min="4615" max="4616" width="16" customWidth="1"/>
    <col min="4617" max="4617" width="12.28515625" customWidth="1"/>
    <col min="4618" max="4618" width="21.42578125" bestFit="1" customWidth="1"/>
    <col min="4619" max="4619" width="15.42578125" bestFit="1" customWidth="1"/>
    <col min="4620" max="4620" width="16.5703125" bestFit="1" customWidth="1"/>
    <col min="4621" max="4621" width="12" bestFit="1" customWidth="1"/>
    <col min="4622" max="4622" width="17.42578125" customWidth="1"/>
    <col min="4623" max="4623" width="11" customWidth="1"/>
    <col min="4624" max="4624" width="5" bestFit="1" customWidth="1"/>
    <col min="4625" max="4625" width="14" customWidth="1"/>
    <col min="4626" max="4626" width="39.28515625" customWidth="1"/>
    <col min="4627" max="4627" width="14.28515625" customWidth="1"/>
    <col min="4630" max="4630" width="17.28515625" bestFit="1" customWidth="1"/>
    <col min="4632" max="4632" width="15.28515625" bestFit="1" customWidth="1"/>
    <col min="4865" max="4865" width="5.7109375" customWidth="1"/>
    <col min="4866" max="4866" width="9.28515625" customWidth="1"/>
    <col min="4867" max="4867" width="51.7109375" customWidth="1"/>
    <col min="4868" max="4868" width="19" bestFit="1" customWidth="1"/>
    <col min="4869" max="4869" width="12.42578125" customWidth="1"/>
    <col min="4870" max="4870" width="16" bestFit="1" customWidth="1"/>
    <col min="4871" max="4872" width="16" customWidth="1"/>
    <col min="4873" max="4873" width="12.28515625" customWidth="1"/>
    <col min="4874" max="4874" width="21.42578125" bestFit="1" customWidth="1"/>
    <col min="4875" max="4875" width="15.42578125" bestFit="1" customWidth="1"/>
    <col min="4876" max="4876" width="16.5703125" bestFit="1" customWidth="1"/>
    <col min="4877" max="4877" width="12" bestFit="1" customWidth="1"/>
    <col min="4878" max="4878" width="17.42578125" customWidth="1"/>
    <col min="4879" max="4879" width="11" customWidth="1"/>
    <col min="4880" max="4880" width="5" bestFit="1" customWidth="1"/>
    <col min="4881" max="4881" width="14" customWidth="1"/>
    <col min="4882" max="4882" width="39.28515625" customWidth="1"/>
    <col min="4883" max="4883" width="14.28515625" customWidth="1"/>
    <col min="4886" max="4886" width="17.28515625" bestFit="1" customWidth="1"/>
    <col min="4888" max="4888" width="15.28515625" bestFit="1" customWidth="1"/>
    <col min="5121" max="5121" width="5.7109375" customWidth="1"/>
    <col min="5122" max="5122" width="9.28515625" customWidth="1"/>
    <col min="5123" max="5123" width="51.7109375" customWidth="1"/>
    <col min="5124" max="5124" width="19" bestFit="1" customWidth="1"/>
    <col min="5125" max="5125" width="12.42578125" customWidth="1"/>
    <col min="5126" max="5126" width="16" bestFit="1" customWidth="1"/>
    <col min="5127" max="5128" width="16" customWidth="1"/>
    <col min="5129" max="5129" width="12.28515625" customWidth="1"/>
    <col min="5130" max="5130" width="21.42578125" bestFit="1" customWidth="1"/>
    <col min="5131" max="5131" width="15.42578125" bestFit="1" customWidth="1"/>
    <col min="5132" max="5132" width="16.5703125" bestFit="1" customWidth="1"/>
    <col min="5133" max="5133" width="12" bestFit="1" customWidth="1"/>
    <col min="5134" max="5134" width="17.42578125" customWidth="1"/>
    <col min="5135" max="5135" width="11" customWidth="1"/>
    <col min="5136" max="5136" width="5" bestFit="1" customWidth="1"/>
    <col min="5137" max="5137" width="14" customWidth="1"/>
    <col min="5138" max="5138" width="39.28515625" customWidth="1"/>
    <col min="5139" max="5139" width="14.28515625" customWidth="1"/>
    <col min="5142" max="5142" width="17.28515625" bestFit="1" customWidth="1"/>
    <col min="5144" max="5144" width="15.28515625" bestFit="1" customWidth="1"/>
    <col min="5377" max="5377" width="5.7109375" customWidth="1"/>
    <col min="5378" max="5378" width="9.28515625" customWidth="1"/>
    <col min="5379" max="5379" width="51.7109375" customWidth="1"/>
    <col min="5380" max="5380" width="19" bestFit="1" customWidth="1"/>
    <col min="5381" max="5381" width="12.42578125" customWidth="1"/>
    <col min="5382" max="5382" width="16" bestFit="1" customWidth="1"/>
    <col min="5383" max="5384" width="16" customWidth="1"/>
    <col min="5385" max="5385" width="12.28515625" customWidth="1"/>
    <col min="5386" max="5386" width="21.42578125" bestFit="1" customWidth="1"/>
    <col min="5387" max="5387" width="15.42578125" bestFit="1" customWidth="1"/>
    <col min="5388" max="5388" width="16.5703125" bestFit="1" customWidth="1"/>
    <col min="5389" max="5389" width="12" bestFit="1" customWidth="1"/>
    <col min="5390" max="5390" width="17.42578125" customWidth="1"/>
    <col min="5391" max="5391" width="11" customWidth="1"/>
    <col min="5392" max="5392" width="5" bestFit="1" customWidth="1"/>
    <col min="5393" max="5393" width="14" customWidth="1"/>
    <col min="5394" max="5394" width="39.28515625" customWidth="1"/>
    <col min="5395" max="5395" width="14.28515625" customWidth="1"/>
    <col min="5398" max="5398" width="17.28515625" bestFit="1" customWidth="1"/>
    <col min="5400" max="5400" width="15.28515625" bestFit="1" customWidth="1"/>
    <col min="5633" max="5633" width="5.7109375" customWidth="1"/>
    <col min="5634" max="5634" width="9.28515625" customWidth="1"/>
    <col min="5635" max="5635" width="51.7109375" customWidth="1"/>
    <col min="5636" max="5636" width="19" bestFit="1" customWidth="1"/>
    <col min="5637" max="5637" width="12.42578125" customWidth="1"/>
    <col min="5638" max="5638" width="16" bestFit="1" customWidth="1"/>
    <col min="5639" max="5640" width="16" customWidth="1"/>
    <col min="5641" max="5641" width="12.28515625" customWidth="1"/>
    <col min="5642" max="5642" width="21.42578125" bestFit="1" customWidth="1"/>
    <col min="5643" max="5643" width="15.42578125" bestFit="1" customWidth="1"/>
    <col min="5644" max="5644" width="16.5703125" bestFit="1" customWidth="1"/>
    <col min="5645" max="5645" width="12" bestFit="1" customWidth="1"/>
    <col min="5646" max="5646" width="17.42578125" customWidth="1"/>
    <col min="5647" max="5647" width="11" customWidth="1"/>
    <col min="5648" max="5648" width="5" bestFit="1" customWidth="1"/>
    <col min="5649" max="5649" width="14" customWidth="1"/>
    <col min="5650" max="5650" width="39.28515625" customWidth="1"/>
    <col min="5651" max="5651" width="14.28515625" customWidth="1"/>
    <col min="5654" max="5654" width="17.28515625" bestFit="1" customWidth="1"/>
    <col min="5656" max="5656" width="15.28515625" bestFit="1" customWidth="1"/>
    <col min="5889" max="5889" width="5.7109375" customWidth="1"/>
    <col min="5890" max="5890" width="9.28515625" customWidth="1"/>
    <col min="5891" max="5891" width="51.7109375" customWidth="1"/>
    <col min="5892" max="5892" width="19" bestFit="1" customWidth="1"/>
    <col min="5893" max="5893" width="12.42578125" customWidth="1"/>
    <col min="5894" max="5894" width="16" bestFit="1" customWidth="1"/>
    <col min="5895" max="5896" width="16" customWidth="1"/>
    <col min="5897" max="5897" width="12.28515625" customWidth="1"/>
    <col min="5898" max="5898" width="21.42578125" bestFit="1" customWidth="1"/>
    <col min="5899" max="5899" width="15.42578125" bestFit="1" customWidth="1"/>
    <col min="5900" max="5900" width="16.5703125" bestFit="1" customWidth="1"/>
    <col min="5901" max="5901" width="12" bestFit="1" customWidth="1"/>
    <col min="5902" max="5902" width="17.42578125" customWidth="1"/>
    <col min="5903" max="5903" width="11" customWidth="1"/>
    <col min="5904" max="5904" width="5" bestFit="1" customWidth="1"/>
    <col min="5905" max="5905" width="14" customWidth="1"/>
    <col min="5906" max="5906" width="39.28515625" customWidth="1"/>
    <col min="5907" max="5907" width="14.28515625" customWidth="1"/>
    <col min="5910" max="5910" width="17.28515625" bestFit="1" customWidth="1"/>
    <col min="5912" max="5912" width="15.28515625" bestFit="1" customWidth="1"/>
    <col min="6145" max="6145" width="5.7109375" customWidth="1"/>
    <col min="6146" max="6146" width="9.28515625" customWidth="1"/>
    <col min="6147" max="6147" width="51.7109375" customWidth="1"/>
    <col min="6148" max="6148" width="19" bestFit="1" customWidth="1"/>
    <col min="6149" max="6149" width="12.42578125" customWidth="1"/>
    <col min="6150" max="6150" width="16" bestFit="1" customWidth="1"/>
    <col min="6151" max="6152" width="16" customWidth="1"/>
    <col min="6153" max="6153" width="12.28515625" customWidth="1"/>
    <col min="6154" max="6154" width="21.42578125" bestFit="1" customWidth="1"/>
    <col min="6155" max="6155" width="15.42578125" bestFit="1" customWidth="1"/>
    <col min="6156" max="6156" width="16.5703125" bestFit="1" customWidth="1"/>
    <col min="6157" max="6157" width="12" bestFit="1" customWidth="1"/>
    <col min="6158" max="6158" width="17.42578125" customWidth="1"/>
    <col min="6159" max="6159" width="11" customWidth="1"/>
    <col min="6160" max="6160" width="5" bestFit="1" customWidth="1"/>
    <col min="6161" max="6161" width="14" customWidth="1"/>
    <col min="6162" max="6162" width="39.28515625" customWidth="1"/>
    <col min="6163" max="6163" width="14.28515625" customWidth="1"/>
    <col min="6166" max="6166" width="17.28515625" bestFit="1" customWidth="1"/>
    <col min="6168" max="6168" width="15.28515625" bestFit="1" customWidth="1"/>
    <col min="6401" max="6401" width="5.7109375" customWidth="1"/>
    <col min="6402" max="6402" width="9.28515625" customWidth="1"/>
    <col min="6403" max="6403" width="51.7109375" customWidth="1"/>
    <col min="6404" max="6404" width="19" bestFit="1" customWidth="1"/>
    <col min="6405" max="6405" width="12.42578125" customWidth="1"/>
    <col min="6406" max="6406" width="16" bestFit="1" customWidth="1"/>
    <col min="6407" max="6408" width="16" customWidth="1"/>
    <col min="6409" max="6409" width="12.28515625" customWidth="1"/>
    <col min="6410" max="6410" width="21.42578125" bestFit="1" customWidth="1"/>
    <col min="6411" max="6411" width="15.42578125" bestFit="1" customWidth="1"/>
    <col min="6412" max="6412" width="16.5703125" bestFit="1" customWidth="1"/>
    <col min="6413" max="6413" width="12" bestFit="1" customWidth="1"/>
    <col min="6414" max="6414" width="17.42578125" customWidth="1"/>
    <col min="6415" max="6415" width="11" customWidth="1"/>
    <col min="6416" max="6416" width="5" bestFit="1" customWidth="1"/>
    <col min="6417" max="6417" width="14" customWidth="1"/>
    <col min="6418" max="6418" width="39.28515625" customWidth="1"/>
    <col min="6419" max="6419" width="14.28515625" customWidth="1"/>
    <col min="6422" max="6422" width="17.28515625" bestFit="1" customWidth="1"/>
    <col min="6424" max="6424" width="15.28515625" bestFit="1" customWidth="1"/>
    <col min="6657" max="6657" width="5.7109375" customWidth="1"/>
    <col min="6658" max="6658" width="9.28515625" customWidth="1"/>
    <col min="6659" max="6659" width="51.7109375" customWidth="1"/>
    <col min="6660" max="6660" width="19" bestFit="1" customWidth="1"/>
    <col min="6661" max="6661" width="12.42578125" customWidth="1"/>
    <col min="6662" max="6662" width="16" bestFit="1" customWidth="1"/>
    <col min="6663" max="6664" width="16" customWidth="1"/>
    <col min="6665" max="6665" width="12.28515625" customWidth="1"/>
    <col min="6666" max="6666" width="21.42578125" bestFit="1" customWidth="1"/>
    <col min="6667" max="6667" width="15.42578125" bestFit="1" customWidth="1"/>
    <col min="6668" max="6668" width="16.5703125" bestFit="1" customWidth="1"/>
    <col min="6669" max="6669" width="12" bestFit="1" customWidth="1"/>
    <col min="6670" max="6670" width="17.42578125" customWidth="1"/>
    <col min="6671" max="6671" width="11" customWidth="1"/>
    <col min="6672" max="6672" width="5" bestFit="1" customWidth="1"/>
    <col min="6673" max="6673" width="14" customWidth="1"/>
    <col min="6674" max="6674" width="39.28515625" customWidth="1"/>
    <col min="6675" max="6675" width="14.28515625" customWidth="1"/>
    <col min="6678" max="6678" width="17.28515625" bestFit="1" customWidth="1"/>
    <col min="6680" max="6680" width="15.28515625" bestFit="1" customWidth="1"/>
    <col min="6913" max="6913" width="5.7109375" customWidth="1"/>
    <col min="6914" max="6914" width="9.28515625" customWidth="1"/>
    <col min="6915" max="6915" width="51.7109375" customWidth="1"/>
    <col min="6916" max="6916" width="19" bestFit="1" customWidth="1"/>
    <col min="6917" max="6917" width="12.42578125" customWidth="1"/>
    <col min="6918" max="6918" width="16" bestFit="1" customWidth="1"/>
    <col min="6919" max="6920" width="16" customWidth="1"/>
    <col min="6921" max="6921" width="12.28515625" customWidth="1"/>
    <col min="6922" max="6922" width="21.42578125" bestFit="1" customWidth="1"/>
    <col min="6923" max="6923" width="15.42578125" bestFit="1" customWidth="1"/>
    <col min="6924" max="6924" width="16.5703125" bestFit="1" customWidth="1"/>
    <col min="6925" max="6925" width="12" bestFit="1" customWidth="1"/>
    <col min="6926" max="6926" width="17.42578125" customWidth="1"/>
    <col min="6927" max="6927" width="11" customWidth="1"/>
    <col min="6928" max="6928" width="5" bestFit="1" customWidth="1"/>
    <col min="6929" max="6929" width="14" customWidth="1"/>
    <col min="6930" max="6930" width="39.28515625" customWidth="1"/>
    <col min="6931" max="6931" width="14.28515625" customWidth="1"/>
    <col min="6934" max="6934" width="17.28515625" bestFit="1" customWidth="1"/>
    <col min="6936" max="6936" width="15.28515625" bestFit="1" customWidth="1"/>
    <col min="7169" max="7169" width="5.7109375" customWidth="1"/>
    <col min="7170" max="7170" width="9.28515625" customWidth="1"/>
    <col min="7171" max="7171" width="51.7109375" customWidth="1"/>
    <col min="7172" max="7172" width="19" bestFit="1" customWidth="1"/>
    <col min="7173" max="7173" width="12.42578125" customWidth="1"/>
    <col min="7174" max="7174" width="16" bestFit="1" customWidth="1"/>
    <col min="7175" max="7176" width="16" customWidth="1"/>
    <col min="7177" max="7177" width="12.28515625" customWidth="1"/>
    <col min="7178" max="7178" width="21.42578125" bestFit="1" customWidth="1"/>
    <col min="7179" max="7179" width="15.42578125" bestFit="1" customWidth="1"/>
    <col min="7180" max="7180" width="16.5703125" bestFit="1" customWidth="1"/>
    <col min="7181" max="7181" width="12" bestFit="1" customWidth="1"/>
    <col min="7182" max="7182" width="17.42578125" customWidth="1"/>
    <col min="7183" max="7183" width="11" customWidth="1"/>
    <col min="7184" max="7184" width="5" bestFit="1" customWidth="1"/>
    <col min="7185" max="7185" width="14" customWidth="1"/>
    <col min="7186" max="7186" width="39.28515625" customWidth="1"/>
    <col min="7187" max="7187" width="14.28515625" customWidth="1"/>
    <col min="7190" max="7190" width="17.28515625" bestFit="1" customWidth="1"/>
    <col min="7192" max="7192" width="15.28515625" bestFit="1" customWidth="1"/>
    <col min="7425" max="7425" width="5.7109375" customWidth="1"/>
    <col min="7426" max="7426" width="9.28515625" customWidth="1"/>
    <col min="7427" max="7427" width="51.7109375" customWidth="1"/>
    <col min="7428" max="7428" width="19" bestFit="1" customWidth="1"/>
    <col min="7429" max="7429" width="12.42578125" customWidth="1"/>
    <col min="7430" max="7430" width="16" bestFit="1" customWidth="1"/>
    <col min="7431" max="7432" width="16" customWidth="1"/>
    <col min="7433" max="7433" width="12.28515625" customWidth="1"/>
    <col min="7434" max="7434" width="21.42578125" bestFit="1" customWidth="1"/>
    <col min="7435" max="7435" width="15.42578125" bestFit="1" customWidth="1"/>
    <col min="7436" max="7436" width="16.5703125" bestFit="1" customWidth="1"/>
    <col min="7437" max="7437" width="12" bestFit="1" customWidth="1"/>
    <col min="7438" max="7438" width="17.42578125" customWidth="1"/>
    <col min="7439" max="7439" width="11" customWidth="1"/>
    <col min="7440" max="7440" width="5" bestFit="1" customWidth="1"/>
    <col min="7441" max="7441" width="14" customWidth="1"/>
    <col min="7442" max="7442" width="39.28515625" customWidth="1"/>
    <col min="7443" max="7443" width="14.28515625" customWidth="1"/>
    <col min="7446" max="7446" width="17.28515625" bestFit="1" customWidth="1"/>
    <col min="7448" max="7448" width="15.28515625" bestFit="1" customWidth="1"/>
    <col min="7681" max="7681" width="5.7109375" customWidth="1"/>
    <col min="7682" max="7682" width="9.28515625" customWidth="1"/>
    <col min="7683" max="7683" width="51.7109375" customWidth="1"/>
    <col min="7684" max="7684" width="19" bestFit="1" customWidth="1"/>
    <col min="7685" max="7685" width="12.42578125" customWidth="1"/>
    <col min="7686" max="7686" width="16" bestFit="1" customWidth="1"/>
    <col min="7687" max="7688" width="16" customWidth="1"/>
    <col min="7689" max="7689" width="12.28515625" customWidth="1"/>
    <col min="7690" max="7690" width="21.42578125" bestFit="1" customWidth="1"/>
    <col min="7691" max="7691" width="15.42578125" bestFit="1" customWidth="1"/>
    <col min="7692" max="7692" width="16.5703125" bestFit="1" customWidth="1"/>
    <col min="7693" max="7693" width="12" bestFit="1" customWidth="1"/>
    <col min="7694" max="7694" width="17.42578125" customWidth="1"/>
    <col min="7695" max="7695" width="11" customWidth="1"/>
    <col min="7696" max="7696" width="5" bestFit="1" customWidth="1"/>
    <col min="7697" max="7697" width="14" customWidth="1"/>
    <col min="7698" max="7698" width="39.28515625" customWidth="1"/>
    <col min="7699" max="7699" width="14.28515625" customWidth="1"/>
    <col min="7702" max="7702" width="17.28515625" bestFit="1" customWidth="1"/>
    <col min="7704" max="7704" width="15.28515625" bestFit="1" customWidth="1"/>
    <col min="7937" max="7937" width="5.7109375" customWidth="1"/>
    <col min="7938" max="7938" width="9.28515625" customWidth="1"/>
    <col min="7939" max="7939" width="51.7109375" customWidth="1"/>
    <col min="7940" max="7940" width="19" bestFit="1" customWidth="1"/>
    <col min="7941" max="7941" width="12.42578125" customWidth="1"/>
    <col min="7942" max="7942" width="16" bestFit="1" customWidth="1"/>
    <col min="7943" max="7944" width="16" customWidth="1"/>
    <col min="7945" max="7945" width="12.28515625" customWidth="1"/>
    <col min="7946" max="7946" width="21.42578125" bestFit="1" customWidth="1"/>
    <col min="7947" max="7947" width="15.42578125" bestFit="1" customWidth="1"/>
    <col min="7948" max="7948" width="16.5703125" bestFit="1" customWidth="1"/>
    <col min="7949" max="7949" width="12" bestFit="1" customWidth="1"/>
    <col min="7950" max="7950" width="17.42578125" customWidth="1"/>
    <col min="7951" max="7951" width="11" customWidth="1"/>
    <col min="7952" max="7952" width="5" bestFit="1" customWidth="1"/>
    <col min="7953" max="7953" width="14" customWidth="1"/>
    <col min="7954" max="7954" width="39.28515625" customWidth="1"/>
    <col min="7955" max="7955" width="14.28515625" customWidth="1"/>
    <col min="7958" max="7958" width="17.28515625" bestFit="1" customWidth="1"/>
    <col min="7960" max="7960" width="15.28515625" bestFit="1" customWidth="1"/>
    <col min="8193" max="8193" width="5.7109375" customWidth="1"/>
    <col min="8194" max="8194" width="9.28515625" customWidth="1"/>
    <col min="8195" max="8195" width="51.7109375" customWidth="1"/>
    <col min="8196" max="8196" width="19" bestFit="1" customWidth="1"/>
    <col min="8197" max="8197" width="12.42578125" customWidth="1"/>
    <col min="8198" max="8198" width="16" bestFit="1" customWidth="1"/>
    <col min="8199" max="8200" width="16" customWidth="1"/>
    <col min="8201" max="8201" width="12.28515625" customWidth="1"/>
    <col min="8202" max="8202" width="21.42578125" bestFit="1" customWidth="1"/>
    <col min="8203" max="8203" width="15.42578125" bestFit="1" customWidth="1"/>
    <col min="8204" max="8204" width="16.5703125" bestFit="1" customWidth="1"/>
    <col min="8205" max="8205" width="12" bestFit="1" customWidth="1"/>
    <col min="8206" max="8206" width="17.42578125" customWidth="1"/>
    <col min="8207" max="8207" width="11" customWidth="1"/>
    <col min="8208" max="8208" width="5" bestFit="1" customWidth="1"/>
    <col min="8209" max="8209" width="14" customWidth="1"/>
    <col min="8210" max="8210" width="39.28515625" customWidth="1"/>
    <col min="8211" max="8211" width="14.28515625" customWidth="1"/>
    <col min="8214" max="8214" width="17.28515625" bestFit="1" customWidth="1"/>
    <col min="8216" max="8216" width="15.28515625" bestFit="1" customWidth="1"/>
    <col min="8449" max="8449" width="5.7109375" customWidth="1"/>
    <col min="8450" max="8450" width="9.28515625" customWidth="1"/>
    <col min="8451" max="8451" width="51.7109375" customWidth="1"/>
    <col min="8452" max="8452" width="19" bestFit="1" customWidth="1"/>
    <col min="8453" max="8453" width="12.42578125" customWidth="1"/>
    <col min="8454" max="8454" width="16" bestFit="1" customWidth="1"/>
    <col min="8455" max="8456" width="16" customWidth="1"/>
    <col min="8457" max="8457" width="12.28515625" customWidth="1"/>
    <col min="8458" max="8458" width="21.42578125" bestFit="1" customWidth="1"/>
    <col min="8459" max="8459" width="15.42578125" bestFit="1" customWidth="1"/>
    <col min="8460" max="8460" width="16.5703125" bestFit="1" customWidth="1"/>
    <col min="8461" max="8461" width="12" bestFit="1" customWidth="1"/>
    <col min="8462" max="8462" width="17.42578125" customWidth="1"/>
    <col min="8463" max="8463" width="11" customWidth="1"/>
    <col min="8464" max="8464" width="5" bestFit="1" customWidth="1"/>
    <col min="8465" max="8465" width="14" customWidth="1"/>
    <col min="8466" max="8466" width="39.28515625" customWidth="1"/>
    <col min="8467" max="8467" width="14.28515625" customWidth="1"/>
    <col min="8470" max="8470" width="17.28515625" bestFit="1" customWidth="1"/>
    <col min="8472" max="8472" width="15.28515625" bestFit="1" customWidth="1"/>
    <col min="8705" max="8705" width="5.7109375" customWidth="1"/>
    <col min="8706" max="8706" width="9.28515625" customWidth="1"/>
    <col min="8707" max="8707" width="51.7109375" customWidth="1"/>
    <col min="8708" max="8708" width="19" bestFit="1" customWidth="1"/>
    <col min="8709" max="8709" width="12.42578125" customWidth="1"/>
    <col min="8710" max="8710" width="16" bestFit="1" customWidth="1"/>
    <col min="8711" max="8712" width="16" customWidth="1"/>
    <col min="8713" max="8713" width="12.28515625" customWidth="1"/>
    <col min="8714" max="8714" width="21.42578125" bestFit="1" customWidth="1"/>
    <col min="8715" max="8715" width="15.42578125" bestFit="1" customWidth="1"/>
    <col min="8716" max="8716" width="16.5703125" bestFit="1" customWidth="1"/>
    <col min="8717" max="8717" width="12" bestFit="1" customWidth="1"/>
    <col min="8718" max="8718" width="17.42578125" customWidth="1"/>
    <col min="8719" max="8719" width="11" customWidth="1"/>
    <col min="8720" max="8720" width="5" bestFit="1" customWidth="1"/>
    <col min="8721" max="8721" width="14" customWidth="1"/>
    <col min="8722" max="8722" width="39.28515625" customWidth="1"/>
    <col min="8723" max="8723" width="14.28515625" customWidth="1"/>
    <col min="8726" max="8726" width="17.28515625" bestFit="1" customWidth="1"/>
    <col min="8728" max="8728" width="15.28515625" bestFit="1" customWidth="1"/>
    <col min="8961" max="8961" width="5.7109375" customWidth="1"/>
    <col min="8962" max="8962" width="9.28515625" customWidth="1"/>
    <col min="8963" max="8963" width="51.7109375" customWidth="1"/>
    <col min="8964" max="8964" width="19" bestFit="1" customWidth="1"/>
    <col min="8965" max="8965" width="12.42578125" customWidth="1"/>
    <col min="8966" max="8966" width="16" bestFit="1" customWidth="1"/>
    <col min="8967" max="8968" width="16" customWidth="1"/>
    <col min="8969" max="8969" width="12.28515625" customWidth="1"/>
    <col min="8970" max="8970" width="21.42578125" bestFit="1" customWidth="1"/>
    <col min="8971" max="8971" width="15.42578125" bestFit="1" customWidth="1"/>
    <col min="8972" max="8972" width="16.5703125" bestFit="1" customWidth="1"/>
    <col min="8973" max="8973" width="12" bestFit="1" customWidth="1"/>
    <col min="8974" max="8974" width="17.42578125" customWidth="1"/>
    <col min="8975" max="8975" width="11" customWidth="1"/>
    <col min="8976" max="8976" width="5" bestFit="1" customWidth="1"/>
    <col min="8977" max="8977" width="14" customWidth="1"/>
    <col min="8978" max="8978" width="39.28515625" customWidth="1"/>
    <col min="8979" max="8979" width="14.28515625" customWidth="1"/>
    <col min="8982" max="8982" width="17.28515625" bestFit="1" customWidth="1"/>
    <col min="8984" max="8984" width="15.28515625" bestFit="1" customWidth="1"/>
    <col min="9217" max="9217" width="5.7109375" customWidth="1"/>
    <col min="9218" max="9218" width="9.28515625" customWidth="1"/>
    <col min="9219" max="9219" width="51.7109375" customWidth="1"/>
    <col min="9220" max="9220" width="19" bestFit="1" customWidth="1"/>
    <col min="9221" max="9221" width="12.42578125" customWidth="1"/>
    <col min="9222" max="9222" width="16" bestFit="1" customWidth="1"/>
    <col min="9223" max="9224" width="16" customWidth="1"/>
    <col min="9225" max="9225" width="12.28515625" customWidth="1"/>
    <col min="9226" max="9226" width="21.42578125" bestFit="1" customWidth="1"/>
    <col min="9227" max="9227" width="15.42578125" bestFit="1" customWidth="1"/>
    <col min="9228" max="9228" width="16.5703125" bestFit="1" customWidth="1"/>
    <col min="9229" max="9229" width="12" bestFit="1" customWidth="1"/>
    <col min="9230" max="9230" width="17.42578125" customWidth="1"/>
    <col min="9231" max="9231" width="11" customWidth="1"/>
    <col min="9232" max="9232" width="5" bestFit="1" customWidth="1"/>
    <col min="9233" max="9233" width="14" customWidth="1"/>
    <col min="9234" max="9234" width="39.28515625" customWidth="1"/>
    <col min="9235" max="9235" width="14.28515625" customWidth="1"/>
    <col min="9238" max="9238" width="17.28515625" bestFit="1" customWidth="1"/>
    <col min="9240" max="9240" width="15.28515625" bestFit="1" customWidth="1"/>
    <col min="9473" max="9473" width="5.7109375" customWidth="1"/>
    <col min="9474" max="9474" width="9.28515625" customWidth="1"/>
    <col min="9475" max="9475" width="51.7109375" customWidth="1"/>
    <col min="9476" max="9476" width="19" bestFit="1" customWidth="1"/>
    <col min="9477" max="9477" width="12.42578125" customWidth="1"/>
    <col min="9478" max="9478" width="16" bestFit="1" customWidth="1"/>
    <col min="9479" max="9480" width="16" customWidth="1"/>
    <col min="9481" max="9481" width="12.28515625" customWidth="1"/>
    <col min="9482" max="9482" width="21.42578125" bestFit="1" customWidth="1"/>
    <col min="9483" max="9483" width="15.42578125" bestFit="1" customWidth="1"/>
    <col min="9484" max="9484" width="16.5703125" bestFit="1" customWidth="1"/>
    <col min="9485" max="9485" width="12" bestFit="1" customWidth="1"/>
    <col min="9486" max="9486" width="17.42578125" customWidth="1"/>
    <col min="9487" max="9487" width="11" customWidth="1"/>
    <col min="9488" max="9488" width="5" bestFit="1" customWidth="1"/>
    <col min="9489" max="9489" width="14" customWidth="1"/>
    <col min="9490" max="9490" width="39.28515625" customWidth="1"/>
    <col min="9491" max="9491" width="14.28515625" customWidth="1"/>
    <col min="9494" max="9494" width="17.28515625" bestFit="1" customWidth="1"/>
    <col min="9496" max="9496" width="15.28515625" bestFit="1" customWidth="1"/>
    <col min="9729" max="9729" width="5.7109375" customWidth="1"/>
    <col min="9730" max="9730" width="9.28515625" customWidth="1"/>
    <col min="9731" max="9731" width="51.7109375" customWidth="1"/>
    <col min="9732" max="9732" width="19" bestFit="1" customWidth="1"/>
    <col min="9733" max="9733" width="12.42578125" customWidth="1"/>
    <col min="9734" max="9734" width="16" bestFit="1" customWidth="1"/>
    <col min="9735" max="9736" width="16" customWidth="1"/>
    <col min="9737" max="9737" width="12.28515625" customWidth="1"/>
    <col min="9738" max="9738" width="21.42578125" bestFit="1" customWidth="1"/>
    <col min="9739" max="9739" width="15.42578125" bestFit="1" customWidth="1"/>
    <col min="9740" max="9740" width="16.5703125" bestFit="1" customWidth="1"/>
    <col min="9741" max="9741" width="12" bestFit="1" customWidth="1"/>
    <col min="9742" max="9742" width="17.42578125" customWidth="1"/>
    <col min="9743" max="9743" width="11" customWidth="1"/>
    <col min="9744" max="9744" width="5" bestFit="1" customWidth="1"/>
    <col min="9745" max="9745" width="14" customWidth="1"/>
    <col min="9746" max="9746" width="39.28515625" customWidth="1"/>
    <col min="9747" max="9747" width="14.28515625" customWidth="1"/>
    <col min="9750" max="9750" width="17.28515625" bestFit="1" customWidth="1"/>
    <col min="9752" max="9752" width="15.28515625" bestFit="1" customWidth="1"/>
    <col min="9985" max="9985" width="5.7109375" customWidth="1"/>
    <col min="9986" max="9986" width="9.28515625" customWidth="1"/>
    <col min="9987" max="9987" width="51.7109375" customWidth="1"/>
    <col min="9988" max="9988" width="19" bestFit="1" customWidth="1"/>
    <col min="9989" max="9989" width="12.42578125" customWidth="1"/>
    <col min="9990" max="9990" width="16" bestFit="1" customWidth="1"/>
    <col min="9991" max="9992" width="16" customWidth="1"/>
    <col min="9993" max="9993" width="12.28515625" customWidth="1"/>
    <col min="9994" max="9994" width="21.42578125" bestFit="1" customWidth="1"/>
    <col min="9995" max="9995" width="15.42578125" bestFit="1" customWidth="1"/>
    <col min="9996" max="9996" width="16.5703125" bestFit="1" customWidth="1"/>
    <col min="9997" max="9997" width="12" bestFit="1" customWidth="1"/>
    <col min="9998" max="9998" width="17.42578125" customWidth="1"/>
    <col min="9999" max="9999" width="11" customWidth="1"/>
    <col min="10000" max="10000" width="5" bestFit="1" customWidth="1"/>
    <col min="10001" max="10001" width="14" customWidth="1"/>
    <col min="10002" max="10002" width="39.28515625" customWidth="1"/>
    <col min="10003" max="10003" width="14.28515625" customWidth="1"/>
    <col min="10006" max="10006" width="17.28515625" bestFit="1" customWidth="1"/>
    <col min="10008" max="10008" width="15.28515625" bestFit="1" customWidth="1"/>
    <col min="10241" max="10241" width="5.7109375" customWidth="1"/>
    <col min="10242" max="10242" width="9.28515625" customWidth="1"/>
    <col min="10243" max="10243" width="51.7109375" customWidth="1"/>
    <col min="10244" max="10244" width="19" bestFit="1" customWidth="1"/>
    <col min="10245" max="10245" width="12.42578125" customWidth="1"/>
    <col min="10246" max="10246" width="16" bestFit="1" customWidth="1"/>
    <col min="10247" max="10248" width="16" customWidth="1"/>
    <col min="10249" max="10249" width="12.28515625" customWidth="1"/>
    <col min="10250" max="10250" width="21.42578125" bestFit="1" customWidth="1"/>
    <col min="10251" max="10251" width="15.42578125" bestFit="1" customWidth="1"/>
    <col min="10252" max="10252" width="16.5703125" bestFit="1" customWidth="1"/>
    <col min="10253" max="10253" width="12" bestFit="1" customWidth="1"/>
    <col min="10254" max="10254" width="17.42578125" customWidth="1"/>
    <col min="10255" max="10255" width="11" customWidth="1"/>
    <col min="10256" max="10256" width="5" bestFit="1" customWidth="1"/>
    <col min="10257" max="10257" width="14" customWidth="1"/>
    <col min="10258" max="10258" width="39.28515625" customWidth="1"/>
    <col min="10259" max="10259" width="14.28515625" customWidth="1"/>
    <col min="10262" max="10262" width="17.28515625" bestFit="1" customWidth="1"/>
    <col min="10264" max="10264" width="15.28515625" bestFit="1" customWidth="1"/>
    <col min="10497" max="10497" width="5.7109375" customWidth="1"/>
    <col min="10498" max="10498" width="9.28515625" customWidth="1"/>
    <col min="10499" max="10499" width="51.7109375" customWidth="1"/>
    <col min="10500" max="10500" width="19" bestFit="1" customWidth="1"/>
    <col min="10501" max="10501" width="12.42578125" customWidth="1"/>
    <col min="10502" max="10502" width="16" bestFit="1" customWidth="1"/>
    <col min="10503" max="10504" width="16" customWidth="1"/>
    <col min="10505" max="10505" width="12.28515625" customWidth="1"/>
    <col min="10506" max="10506" width="21.42578125" bestFit="1" customWidth="1"/>
    <col min="10507" max="10507" width="15.42578125" bestFit="1" customWidth="1"/>
    <col min="10508" max="10508" width="16.5703125" bestFit="1" customWidth="1"/>
    <col min="10509" max="10509" width="12" bestFit="1" customWidth="1"/>
    <col min="10510" max="10510" width="17.42578125" customWidth="1"/>
    <col min="10511" max="10511" width="11" customWidth="1"/>
    <col min="10512" max="10512" width="5" bestFit="1" customWidth="1"/>
    <col min="10513" max="10513" width="14" customWidth="1"/>
    <col min="10514" max="10514" width="39.28515625" customWidth="1"/>
    <col min="10515" max="10515" width="14.28515625" customWidth="1"/>
    <col min="10518" max="10518" width="17.28515625" bestFit="1" customWidth="1"/>
    <col min="10520" max="10520" width="15.28515625" bestFit="1" customWidth="1"/>
    <col min="10753" max="10753" width="5.7109375" customWidth="1"/>
    <col min="10754" max="10754" width="9.28515625" customWidth="1"/>
    <col min="10755" max="10755" width="51.7109375" customWidth="1"/>
    <col min="10756" max="10756" width="19" bestFit="1" customWidth="1"/>
    <col min="10757" max="10757" width="12.42578125" customWidth="1"/>
    <col min="10758" max="10758" width="16" bestFit="1" customWidth="1"/>
    <col min="10759" max="10760" width="16" customWidth="1"/>
    <col min="10761" max="10761" width="12.28515625" customWidth="1"/>
    <col min="10762" max="10762" width="21.42578125" bestFit="1" customWidth="1"/>
    <col min="10763" max="10763" width="15.42578125" bestFit="1" customWidth="1"/>
    <col min="10764" max="10764" width="16.5703125" bestFit="1" customWidth="1"/>
    <col min="10765" max="10765" width="12" bestFit="1" customWidth="1"/>
    <col min="10766" max="10766" width="17.42578125" customWidth="1"/>
    <col min="10767" max="10767" width="11" customWidth="1"/>
    <col min="10768" max="10768" width="5" bestFit="1" customWidth="1"/>
    <col min="10769" max="10769" width="14" customWidth="1"/>
    <col min="10770" max="10770" width="39.28515625" customWidth="1"/>
    <col min="10771" max="10771" width="14.28515625" customWidth="1"/>
    <col min="10774" max="10774" width="17.28515625" bestFit="1" customWidth="1"/>
    <col min="10776" max="10776" width="15.28515625" bestFit="1" customWidth="1"/>
    <col min="11009" max="11009" width="5.7109375" customWidth="1"/>
    <col min="11010" max="11010" width="9.28515625" customWidth="1"/>
    <col min="11011" max="11011" width="51.7109375" customWidth="1"/>
    <col min="11012" max="11012" width="19" bestFit="1" customWidth="1"/>
    <col min="11013" max="11013" width="12.42578125" customWidth="1"/>
    <col min="11014" max="11014" width="16" bestFit="1" customWidth="1"/>
    <col min="11015" max="11016" width="16" customWidth="1"/>
    <col min="11017" max="11017" width="12.28515625" customWidth="1"/>
    <col min="11018" max="11018" width="21.42578125" bestFit="1" customWidth="1"/>
    <col min="11019" max="11019" width="15.42578125" bestFit="1" customWidth="1"/>
    <col min="11020" max="11020" width="16.5703125" bestFit="1" customWidth="1"/>
    <col min="11021" max="11021" width="12" bestFit="1" customWidth="1"/>
    <col min="11022" max="11022" width="17.42578125" customWidth="1"/>
    <col min="11023" max="11023" width="11" customWidth="1"/>
    <col min="11024" max="11024" width="5" bestFit="1" customWidth="1"/>
    <col min="11025" max="11025" width="14" customWidth="1"/>
    <col min="11026" max="11026" width="39.28515625" customWidth="1"/>
    <col min="11027" max="11027" width="14.28515625" customWidth="1"/>
    <col min="11030" max="11030" width="17.28515625" bestFit="1" customWidth="1"/>
    <col min="11032" max="11032" width="15.28515625" bestFit="1" customWidth="1"/>
    <col min="11265" max="11265" width="5.7109375" customWidth="1"/>
    <col min="11266" max="11266" width="9.28515625" customWidth="1"/>
    <col min="11267" max="11267" width="51.7109375" customWidth="1"/>
    <col min="11268" max="11268" width="19" bestFit="1" customWidth="1"/>
    <col min="11269" max="11269" width="12.42578125" customWidth="1"/>
    <col min="11270" max="11270" width="16" bestFit="1" customWidth="1"/>
    <col min="11271" max="11272" width="16" customWidth="1"/>
    <col min="11273" max="11273" width="12.28515625" customWidth="1"/>
    <col min="11274" max="11274" width="21.42578125" bestFit="1" customWidth="1"/>
    <col min="11275" max="11275" width="15.42578125" bestFit="1" customWidth="1"/>
    <col min="11276" max="11276" width="16.5703125" bestFit="1" customWidth="1"/>
    <col min="11277" max="11277" width="12" bestFit="1" customWidth="1"/>
    <col min="11278" max="11278" width="17.42578125" customWidth="1"/>
    <col min="11279" max="11279" width="11" customWidth="1"/>
    <col min="11280" max="11280" width="5" bestFit="1" customWidth="1"/>
    <col min="11281" max="11281" width="14" customWidth="1"/>
    <col min="11282" max="11282" width="39.28515625" customWidth="1"/>
    <col min="11283" max="11283" width="14.28515625" customWidth="1"/>
    <col min="11286" max="11286" width="17.28515625" bestFit="1" customWidth="1"/>
    <col min="11288" max="11288" width="15.28515625" bestFit="1" customWidth="1"/>
    <col min="11521" max="11521" width="5.7109375" customWidth="1"/>
    <col min="11522" max="11522" width="9.28515625" customWidth="1"/>
    <col min="11523" max="11523" width="51.7109375" customWidth="1"/>
    <col min="11524" max="11524" width="19" bestFit="1" customWidth="1"/>
    <col min="11525" max="11525" width="12.42578125" customWidth="1"/>
    <col min="11526" max="11526" width="16" bestFit="1" customWidth="1"/>
    <col min="11527" max="11528" width="16" customWidth="1"/>
    <col min="11529" max="11529" width="12.28515625" customWidth="1"/>
    <col min="11530" max="11530" width="21.42578125" bestFit="1" customWidth="1"/>
    <col min="11531" max="11531" width="15.42578125" bestFit="1" customWidth="1"/>
    <col min="11532" max="11532" width="16.5703125" bestFit="1" customWidth="1"/>
    <col min="11533" max="11533" width="12" bestFit="1" customWidth="1"/>
    <col min="11534" max="11534" width="17.42578125" customWidth="1"/>
    <col min="11535" max="11535" width="11" customWidth="1"/>
    <col min="11536" max="11536" width="5" bestFit="1" customWidth="1"/>
    <col min="11537" max="11537" width="14" customWidth="1"/>
    <col min="11538" max="11538" width="39.28515625" customWidth="1"/>
    <col min="11539" max="11539" width="14.28515625" customWidth="1"/>
    <col min="11542" max="11542" width="17.28515625" bestFit="1" customWidth="1"/>
    <col min="11544" max="11544" width="15.28515625" bestFit="1" customWidth="1"/>
    <col min="11777" max="11777" width="5.7109375" customWidth="1"/>
    <col min="11778" max="11778" width="9.28515625" customWidth="1"/>
    <col min="11779" max="11779" width="51.7109375" customWidth="1"/>
    <col min="11780" max="11780" width="19" bestFit="1" customWidth="1"/>
    <col min="11781" max="11781" width="12.42578125" customWidth="1"/>
    <col min="11782" max="11782" width="16" bestFit="1" customWidth="1"/>
    <col min="11783" max="11784" width="16" customWidth="1"/>
    <col min="11785" max="11785" width="12.28515625" customWidth="1"/>
    <col min="11786" max="11786" width="21.42578125" bestFit="1" customWidth="1"/>
    <col min="11787" max="11787" width="15.42578125" bestFit="1" customWidth="1"/>
    <col min="11788" max="11788" width="16.5703125" bestFit="1" customWidth="1"/>
    <col min="11789" max="11789" width="12" bestFit="1" customWidth="1"/>
    <col min="11790" max="11790" width="17.42578125" customWidth="1"/>
    <col min="11791" max="11791" width="11" customWidth="1"/>
    <col min="11792" max="11792" width="5" bestFit="1" customWidth="1"/>
    <col min="11793" max="11793" width="14" customWidth="1"/>
    <col min="11794" max="11794" width="39.28515625" customWidth="1"/>
    <col min="11795" max="11795" width="14.28515625" customWidth="1"/>
    <col min="11798" max="11798" width="17.28515625" bestFit="1" customWidth="1"/>
    <col min="11800" max="11800" width="15.28515625" bestFit="1" customWidth="1"/>
    <col min="12033" max="12033" width="5.7109375" customWidth="1"/>
    <col min="12034" max="12034" width="9.28515625" customWidth="1"/>
    <col min="12035" max="12035" width="51.7109375" customWidth="1"/>
    <col min="12036" max="12036" width="19" bestFit="1" customWidth="1"/>
    <col min="12037" max="12037" width="12.42578125" customWidth="1"/>
    <col min="12038" max="12038" width="16" bestFit="1" customWidth="1"/>
    <col min="12039" max="12040" width="16" customWidth="1"/>
    <col min="12041" max="12041" width="12.28515625" customWidth="1"/>
    <col min="12042" max="12042" width="21.42578125" bestFit="1" customWidth="1"/>
    <col min="12043" max="12043" width="15.42578125" bestFit="1" customWidth="1"/>
    <col min="12044" max="12044" width="16.5703125" bestFit="1" customWidth="1"/>
    <col min="12045" max="12045" width="12" bestFit="1" customWidth="1"/>
    <col min="12046" max="12046" width="17.42578125" customWidth="1"/>
    <col min="12047" max="12047" width="11" customWidth="1"/>
    <col min="12048" max="12048" width="5" bestFit="1" customWidth="1"/>
    <col min="12049" max="12049" width="14" customWidth="1"/>
    <col min="12050" max="12050" width="39.28515625" customWidth="1"/>
    <col min="12051" max="12051" width="14.28515625" customWidth="1"/>
    <col min="12054" max="12054" width="17.28515625" bestFit="1" customWidth="1"/>
    <col min="12056" max="12056" width="15.28515625" bestFit="1" customWidth="1"/>
    <col min="12289" max="12289" width="5.7109375" customWidth="1"/>
    <col min="12290" max="12290" width="9.28515625" customWidth="1"/>
    <col min="12291" max="12291" width="51.7109375" customWidth="1"/>
    <col min="12292" max="12292" width="19" bestFit="1" customWidth="1"/>
    <col min="12293" max="12293" width="12.42578125" customWidth="1"/>
    <col min="12294" max="12294" width="16" bestFit="1" customWidth="1"/>
    <col min="12295" max="12296" width="16" customWidth="1"/>
    <col min="12297" max="12297" width="12.28515625" customWidth="1"/>
    <col min="12298" max="12298" width="21.42578125" bestFit="1" customWidth="1"/>
    <col min="12299" max="12299" width="15.42578125" bestFit="1" customWidth="1"/>
    <col min="12300" max="12300" width="16.5703125" bestFit="1" customWidth="1"/>
    <col min="12301" max="12301" width="12" bestFit="1" customWidth="1"/>
    <col min="12302" max="12302" width="17.42578125" customWidth="1"/>
    <col min="12303" max="12303" width="11" customWidth="1"/>
    <col min="12304" max="12304" width="5" bestFit="1" customWidth="1"/>
    <col min="12305" max="12305" width="14" customWidth="1"/>
    <col min="12306" max="12306" width="39.28515625" customWidth="1"/>
    <col min="12307" max="12307" width="14.28515625" customWidth="1"/>
    <col min="12310" max="12310" width="17.28515625" bestFit="1" customWidth="1"/>
    <col min="12312" max="12312" width="15.28515625" bestFit="1" customWidth="1"/>
    <col min="12545" max="12545" width="5.7109375" customWidth="1"/>
    <col min="12546" max="12546" width="9.28515625" customWidth="1"/>
    <col min="12547" max="12547" width="51.7109375" customWidth="1"/>
    <col min="12548" max="12548" width="19" bestFit="1" customWidth="1"/>
    <col min="12549" max="12549" width="12.42578125" customWidth="1"/>
    <col min="12550" max="12550" width="16" bestFit="1" customWidth="1"/>
    <col min="12551" max="12552" width="16" customWidth="1"/>
    <col min="12553" max="12553" width="12.28515625" customWidth="1"/>
    <col min="12554" max="12554" width="21.42578125" bestFit="1" customWidth="1"/>
    <col min="12555" max="12555" width="15.42578125" bestFit="1" customWidth="1"/>
    <col min="12556" max="12556" width="16.5703125" bestFit="1" customWidth="1"/>
    <col min="12557" max="12557" width="12" bestFit="1" customWidth="1"/>
    <col min="12558" max="12558" width="17.42578125" customWidth="1"/>
    <col min="12559" max="12559" width="11" customWidth="1"/>
    <col min="12560" max="12560" width="5" bestFit="1" customWidth="1"/>
    <col min="12561" max="12561" width="14" customWidth="1"/>
    <col min="12562" max="12562" width="39.28515625" customWidth="1"/>
    <col min="12563" max="12563" width="14.28515625" customWidth="1"/>
    <col min="12566" max="12566" width="17.28515625" bestFit="1" customWidth="1"/>
    <col min="12568" max="12568" width="15.28515625" bestFit="1" customWidth="1"/>
    <col min="12801" max="12801" width="5.7109375" customWidth="1"/>
    <col min="12802" max="12802" width="9.28515625" customWidth="1"/>
    <col min="12803" max="12803" width="51.7109375" customWidth="1"/>
    <col min="12804" max="12804" width="19" bestFit="1" customWidth="1"/>
    <col min="12805" max="12805" width="12.42578125" customWidth="1"/>
    <col min="12806" max="12806" width="16" bestFit="1" customWidth="1"/>
    <col min="12807" max="12808" width="16" customWidth="1"/>
    <col min="12809" max="12809" width="12.28515625" customWidth="1"/>
    <col min="12810" max="12810" width="21.42578125" bestFit="1" customWidth="1"/>
    <col min="12811" max="12811" width="15.42578125" bestFit="1" customWidth="1"/>
    <col min="12812" max="12812" width="16.5703125" bestFit="1" customWidth="1"/>
    <col min="12813" max="12813" width="12" bestFit="1" customWidth="1"/>
    <col min="12814" max="12814" width="17.42578125" customWidth="1"/>
    <col min="12815" max="12815" width="11" customWidth="1"/>
    <col min="12816" max="12816" width="5" bestFit="1" customWidth="1"/>
    <col min="12817" max="12817" width="14" customWidth="1"/>
    <col min="12818" max="12818" width="39.28515625" customWidth="1"/>
    <col min="12819" max="12819" width="14.28515625" customWidth="1"/>
    <col min="12822" max="12822" width="17.28515625" bestFit="1" customWidth="1"/>
    <col min="12824" max="12824" width="15.28515625" bestFit="1" customWidth="1"/>
    <col min="13057" max="13057" width="5.7109375" customWidth="1"/>
    <col min="13058" max="13058" width="9.28515625" customWidth="1"/>
    <col min="13059" max="13059" width="51.7109375" customWidth="1"/>
    <col min="13060" max="13060" width="19" bestFit="1" customWidth="1"/>
    <col min="13061" max="13061" width="12.42578125" customWidth="1"/>
    <col min="13062" max="13062" width="16" bestFit="1" customWidth="1"/>
    <col min="13063" max="13064" width="16" customWidth="1"/>
    <col min="13065" max="13065" width="12.28515625" customWidth="1"/>
    <col min="13066" max="13066" width="21.42578125" bestFit="1" customWidth="1"/>
    <col min="13067" max="13067" width="15.42578125" bestFit="1" customWidth="1"/>
    <col min="13068" max="13068" width="16.5703125" bestFit="1" customWidth="1"/>
    <col min="13069" max="13069" width="12" bestFit="1" customWidth="1"/>
    <col min="13070" max="13070" width="17.42578125" customWidth="1"/>
    <col min="13071" max="13071" width="11" customWidth="1"/>
    <col min="13072" max="13072" width="5" bestFit="1" customWidth="1"/>
    <col min="13073" max="13073" width="14" customWidth="1"/>
    <col min="13074" max="13074" width="39.28515625" customWidth="1"/>
    <col min="13075" max="13075" width="14.28515625" customWidth="1"/>
    <col min="13078" max="13078" width="17.28515625" bestFit="1" customWidth="1"/>
    <col min="13080" max="13080" width="15.28515625" bestFit="1" customWidth="1"/>
    <col min="13313" max="13313" width="5.7109375" customWidth="1"/>
    <col min="13314" max="13314" width="9.28515625" customWidth="1"/>
    <col min="13315" max="13315" width="51.7109375" customWidth="1"/>
    <col min="13316" max="13316" width="19" bestFit="1" customWidth="1"/>
    <col min="13317" max="13317" width="12.42578125" customWidth="1"/>
    <col min="13318" max="13318" width="16" bestFit="1" customWidth="1"/>
    <col min="13319" max="13320" width="16" customWidth="1"/>
    <col min="13321" max="13321" width="12.28515625" customWidth="1"/>
    <col min="13322" max="13322" width="21.42578125" bestFit="1" customWidth="1"/>
    <col min="13323" max="13323" width="15.42578125" bestFit="1" customWidth="1"/>
    <col min="13324" max="13324" width="16.5703125" bestFit="1" customWidth="1"/>
    <col min="13325" max="13325" width="12" bestFit="1" customWidth="1"/>
    <col min="13326" max="13326" width="17.42578125" customWidth="1"/>
    <col min="13327" max="13327" width="11" customWidth="1"/>
    <col min="13328" max="13328" width="5" bestFit="1" customWidth="1"/>
    <col min="13329" max="13329" width="14" customWidth="1"/>
    <col min="13330" max="13330" width="39.28515625" customWidth="1"/>
    <col min="13331" max="13331" width="14.28515625" customWidth="1"/>
    <col min="13334" max="13334" width="17.28515625" bestFit="1" customWidth="1"/>
    <col min="13336" max="13336" width="15.28515625" bestFit="1" customWidth="1"/>
    <col min="13569" max="13569" width="5.7109375" customWidth="1"/>
    <col min="13570" max="13570" width="9.28515625" customWidth="1"/>
    <col min="13571" max="13571" width="51.7109375" customWidth="1"/>
    <col min="13572" max="13572" width="19" bestFit="1" customWidth="1"/>
    <col min="13573" max="13573" width="12.42578125" customWidth="1"/>
    <col min="13574" max="13574" width="16" bestFit="1" customWidth="1"/>
    <col min="13575" max="13576" width="16" customWidth="1"/>
    <col min="13577" max="13577" width="12.28515625" customWidth="1"/>
    <col min="13578" max="13578" width="21.42578125" bestFit="1" customWidth="1"/>
    <col min="13579" max="13579" width="15.42578125" bestFit="1" customWidth="1"/>
    <col min="13580" max="13580" width="16.5703125" bestFit="1" customWidth="1"/>
    <col min="13581" max="13581" width="12" bestFit="1" customWidth="1"/>
    <col min="13582" max="13582" width="17.42578125" customWidth="1"/>
    <col min="13583" max="13583" width="11" customWidth="1"/>
    <col min="13584" max="13584" width="5" bestFit="1" customWidth="1"/>
    <col min="13585" max="13585" width="14" customWidth="1"/>
    <col min="13586" max="13586" width="39.28515625" customWidth="1"/>
    <col min="13587" max="13587" width="14.28515625" customWidth="1"/>
    <col min="13590" max="13590" width="17.28515625" bestFit="1" customWidth="1"/>
    <col min="13592" max="13592" width="15.28515625" bestFit="1" customWidth="1"/>
    <col min="13825" max="13825" width="5.7109375" customWidth="1"/>
    <col min="13826" max="13826" width="9.28515625" customWidth="1"/>
    <col min="13827" max="13827" width="51.7109375" customWidth="1"/>
    <col min="13828" max="13828" width="19" bestFit="1" customWidth="1"/>
    <col min="13829" max="13829" width="12.42578125" customWidth="1"/>
    <col min="13830" max="13830" width="16" bestFit="1" customWidth="1"/>
    <col min="13831" max="13832" width="16" customWidth="1"/>
    <col min="13833" max="13833" width="12.28515625" customWidth="1"/>
    <col min="13834" max="13834" width="21.42578125" bestFit="1" customWidth="1"/>
    <col min="13835" max="13835" width="15.42578125" bestFit="1" customWidth="1"/>
    <col min="13836" max="13836" width="16.5703125" bestFit="1" customWidth="1"/>
    <col min="13837" max="13837" width="12" bestFit="1" customWidth="1"/>
    <col min="13838" max="13838" width="17.42578125" customWidth="1"/>
    <col min="13839" max="13839" width="11" customWidth="1"/>
    <col min="13840" max="13840" width="5" bestFit="1" customWidth="1"/>
    <col min="13841" max="13841" width="14" customWidth="1"/>
    <col min="13842" max="13842" width="39.28515625" customWidth="1"/>
    <col min="13843" max="13843" width="14.28515625" customWidth="1"/>
    <col min="13846" max="13846" width="17.28515625" bestFit="1" customWidth="1"/>
    <col min="13848" max="13848" width="15.28515625" bestFit="1" customWidth="1"/>
    <col min="14081" max="14081" width="5.7109375" customWidth="1"/>
    <col min="14082" max="14082" width="9.28515625" customWidth="1"/>
    <col min="14083" max="14083" width="51.7109375" customWidth="1"/>
    <col min="14084" max="14084" width="19" bestFit="1" customWidth="1"/>
    <col min="14085" max="14085" width="12.42578125" customWidth="1"/>
    <col min="14086" max="14086" width="16" bestFit="1" customWidth="1"/>
    <col min="14087" max="14088" width="16" customWidth="1"/>
    <col min="14089" max="14089" width="12.28515625" customWidth="1"/>
    <col min="14090" max="14090" width="21.42578125" bestFit="1" customWidth="1"/>
    <col min="14091" max="14091" width="15.42578125" bestFit="1" customWidth="1"/>
    <col min="14092" max="14092" width="16.5703125" bestFit="1" customWidth="1"/>
    <col min="14093" max="14093" width="12" bestFit="1" customWidth="1"/>
    <col min="14094" max="14094" width="17.42578125" customWidth="1"/>
    <col min="14095" max="14095" width="11" customWidth="1"/>
    <col min="14096" max="14096" width="5" bestFit="1" customWidth="1"/>
    <col min="14097" max="14097" width="14" customWidth="1"/>
    <col min="14098" max="14098" width="39.28515625" customWidth="1"/>
    <col min="14099" max="14099" width="14.28515625" customWidth="1"/>
    <col min="14102" max="14102" width="17.28515625" bestFit="1" customWidth="1"/>
    <col min="14104" max="14104" width="15.28515625" bestFit="1" customWidth="1"/>
    <col min="14337" max="14337" width="5.7109375" customWidth="1"/>
    <col min="14338" max="14338" width="9.28515625" customWidth="1"/>
    <col min="14339" max="14339" width="51.7109375" customWidth="1"/>
    <col min="14340" max="14340" width="19" bestFit="1" customWidth="1"/>
    <col min="14341" max="14341" width="12.42578125" customWidth="1"/>
    <col min="14342" max="14342" width="16" bestFit="1" customWidth="1"/>
    <col min="14343" max="14344" width="16" customWidth="1"/>
    <col min="14345" max="14345" width="12.28515625" customWidth="1"/>
    <col min="14346" max="14346" width="21.42578125" bestFit="1" customWidth="1"/>
    <col min="14347" max="14347" width="15.42578125" bestFit="1" customWidth="1"/>
    <col min="14348" max="14348" width="16.5703125" bestFit="1" customWidth="1"/>
    <col min="14349" max="14349" width="12" bestFit="1" customWidth="1"/>
    <col min="14350" max="14350" width="17.42578125" customWidth="1"/>
    <col min="14351" max="14351" width="11" customWidth="1"/>
    <col min="14352" max="14352" width="5" bestFit="1" customWidth="1"/>
    <col min="14353" max="14353" width="14" customWidth="1"/>
    <col min="14354" max="14354" width="39.28515625" customWidth="1"/>
    <col min="14355" max="14355" width="14.28515625" customWidth="1"/>
    <col min="14358" max="14358" width="17.28515625" bestFit="1" customWidth="1"/>
    <col min="14360" max="14360" width="15.28515625" bestFit="1" customWidth="1"/>
    <col min="14593" max="14593" width="5.7109375" customWidth="1"/>
    <col min="14594" max="14594" width="9.28515625" customWidth="1"/>
    <col min="14595" max="14595" width="51.7109375" customWidth="1"/>
    <col min="14596" max="14596" width="19" bestFit="1" customWidth="1"/>
    <col min="14597" max="14597" width="12.42578125" customWidth="1"/>
    <col min="14598" max="14598" width="16" bestFit="1" customWidth="1"/>
    <col min="14599" max="14600" width="16" customWidth="1"/>
    <col min="14601" max="14601" width="12.28515625" customWidth="1"/>
    <col min="14602" max="14602" width="21.42578125" bestFit="1" customWidth="1"/>
    <col min="14603" max="14603" width="15.42578125" bestFit="1" customWidth="1"/>
    <col min="14604" max="14604" width="16.5703125" bestFit="1" customWidth="1"/>
    <col min="14605" max="14605" width="12" bestFit="1" customWidth="1"/>
    <col min="14606" max="14606" width="17.42578125" customWidth="1"/>
    <col min="14607" max="14607" width="11" customWidth="1"/>
    <col min="14608" max="14608" width="5" bestFit="1" customWidth="1"/>
    <col min="14609" max="14609" width="14" customWidth="1"/>
    <col min="14610" max="14610" width="39.28515625" customWidth="1"/>
    <col min="14611" max="14611" width="14.28515625" customWidth="1"/>
    <col min="14614" max="14614" width="17.28515625" bestFit="1" customWidth="1"/>
    <col min="14616" max="14616" width="15.28515625" bestFit="1" customWidth="1"/>
    <col min="14849" max="14849" width="5.7109375" customWidth="1"/>
    <col min="14850" max="14850" width="9.28515625" customWidth="1"/>
    <col min="14851" max="14851" width="51.7109375" customWidth="1"/>
    <col min="14852" max="14852" width="19" bestFit="1" customWidth="1"/>
    <col min="14853" max="14853" width="12.42578125" customWidth="1"/>
    <col min="14854" max="14854" width="16" bestFit="1" customWidth="1"/>
    <col min="14855" max="14856" width="16" customWidth="1"/>
    <col min="14857" max="14857" width="12.28515625" customWidth="1"/>
    <col min="14858" max="14858" width="21.42578125" bestFit="1" customWidth="1"/>
    <col min="14859" max="14859" width="15.42578125" bestFit="1" customWidth="1"/>
    <col min="14860" max="14860" width="16.5703125" bestFit="1" customWidth="1"/>
    <col min="14861" max="14861" width="12" bestFit="1" customWidth="1"/>
    <col min="14862" max="14862" width="17.42578125" customWidth="1"/>
    <col min="14863" max="14863" width="11" customWidth="1"/>
    <col min="14864" max="14864" width="5" bestFit="1" customWidth="1"/>
    <col min="14865" max="14865" width="14" customWidth="1"/>
    <col min="14866" max="14866" width="39.28515625" customWidth="1"/>
    <col min="14867" max="14867" width="14.28515625" customWidth="1"/>
    <col min="14870" max="14870" width="17.28515625" bestFit="1" customWidth="1"/>
    <col min="14872" max="14872" width="15.28515625" bestFit="1" customWidth="1"/>
    <col min="15105" max="15105" width="5.7109375" customWidth="1"/>
    <col min="15106" max="15106" width="9.28515625" customWidth="1"/>
    <col min="15107" max="15107" width="51.7109375" customWidth="1"/>
    <col min="15108" max="15108" width="19" bestFit="1" customWidth="1"/>
    <col min="15109" max="15109" width="12.42578125" customWidth="1"/>
    <col min="15110" max="15110" width="16" bestFit="1" customWidth="1"/>
    <col min="15111" max="15112" width="16" customWidth="1"/>
    <col min="15113" max="15113" width="12.28515625" customWidth="1"/>
    <col min="15114" max="15114" width="21.42578125" bestFit="1" customWidth="1"/>
    <col min="15115" max="15115" width="15.42578125" bestFit="1" customWidth="1"/>
    <col min="15116" max="15116" width="16.5703125" bestFit="1" customWidth="1"/>
    <col min="15117" max="15117" width="12" bestFit="1" customWidth="1"/>
    <col min="15118" max="15118" width="17.42578125" customWidth="1"/>
    <col min="15119" max="15119" width="11" customWidth="1"/>
    <col min="15120" max="15120" width="5" bestFit="1" customWidth="1"/>
    <col min="15121" max="15121" width="14" customWidth="1"/>
    <col min="15122" max="15122" width="39.28515625" customWidth="1"/>
    <col min="15123" max="15123" width="14.28515625" customWidth="1"/>
    <col min="15126" max="15126" width="17.28515625" bestFit="1" customWidth="1"/>
    <col min="15128" max="15128" width="15.28515625" bestFit="1" customWidth="1"/>
    <col min="15361" max="15361" width="5.7109375" customWidth="1"/>
    <col min="15362" max="15362" width="9.28515625" customWidth="1"/>
    <col min="15363" max="15363" width="51.7109375" customWidth="1"/>
    <col min="15364" max="15364" width="19" bestFit="1" customWidth="1"/>
    <col min="15365" max="15365" width="12.42578125" customWidth="1"/>
    <col min="15366" max="15366" width="16" bestFit="1" customWidth="1"/>
    <col min="15367" max="15368" width="16" customWidth="1"/>
    <col min="15369" max="15369" width="12.28515625" customWidth="1"/>
    <col min="15370" max="15370" width="21.42578125" bestFit="1" customWidth="1"/>
    <col min="15371" max="15371" width="15.42578125" bestFit="1" customWidth="1"/>
    <col min="15372" max="15372" width="16.5703125" bestFit="1" customWidth="1"/>
    <col min="15373" max="15373" width="12" bestFit="1" customWidth="1"/>
    <col min="15374" max="15374" width="17.42578125" customWidth="1"/>
    <col min="15375" max="15375" width="11" customWidth="1"/>
    <col min="15376" max="15376" width="5" bestFit="1" customWidth="1"/>
    <col min="15377" max="15377" width="14" customWidth="1"/>
    <col min="15378" max="15378" width="39.28515625" customWidth="1"/>
    <col min="15379" max="15379" width="14.28515625" customWidth="1"/>
    <col min="15382" max="15382" width="17.28515625" bestFit="1" customWidth="1"/>
    <col min="15384" max="15384" width="15.28515625" bestFit="1" customWidth="1"/>
    <col min="15617" max="15617" width="5.7109375" customWidth="1"/>
    <col min="15618" max="15618" width="9.28515625" customWidth="1"/>
    <col min="15619" max="15619" width="51.7109375" customWidth="1"/>
    <col min="15620" max="15620" width="19" bestFit="1" customWidth="1"/>
    <col min="15621" max="15621" width="12.42578125" customWidth="1"/>
    <col min="15622" max="15622" width="16" bestFit="1" customWidth="1"/>
    <col min="15623" max="15624" width="16" customWidth="1"/>
    <col min="15625" max="15625" width="12.28515625" customWidth="1"/>
    <col min="15626" max="15626" width="21.42578125" bestFit="1" customWidth="1"/>
    <col min="15627" max="15627" width="15.42578125" bestFit="1" customWidth="1"/>
    <col min="15628" max="15628" width="16.5703125" bestFit="1" customWidth="1"/>
    <col min="15629" max="15629" width="12" bestFit="1" customWidth="1"/>
    <col min="15630" max="15630" width="17.42578125" customWidth="1"/>
    <col min="15631" max="15631" width="11" customWidth="1"/>
    <col min="15632" max="15632" width="5" bestFit="1" customWidth="1"/>
    <col min="15633" max="15633" width="14" customWidth="1"/>
    <col min="15634" max="15634" width="39.28515625" customWidth="1"/>
    <col min="15635" max="15635" width="14.28515625" customWidth="1"/>
    <col min="15638" max="15638" width="17.28515625" bestFit="1" customWidth="1"/>
    <col min="15640" max="15640" width="15.28515625" bestFit="1" customWidth="1"/>
    <col min="15873" max="15873" width="5.7109375" customWidth="1"/>
    <col min="15874" max="15874" width="9.28515625" customWidth="1"/>
    <col min="15875" max="15875" width="51.7109375" customWidth="1"/>
    <col min="15876" max="15876" width="19" bestFit="1" customWidth="1"/>
    <col min="15877" max="15877" width="12.42578125" customWidth="1"/>
    <col min="15878" max="15878" width="16" bestFit="1" customWidth="1"/>
    <col min="15879" max="15880" width="16" customWidth="1"/>
    <col min="15881" max="15881" width="12.28515625" customWidth="1"/>
    <col min="15882" max="15882" width="21.42578125" bestFit="1" customWidth="1"/>
    <col min="15883" max="15883" width="15.42578125" bestFit="1" customWidth="1"/>
    <col min="15884" max="15884" width="16.5703125" bestFit="1" customWidth="1"/>
    <col min="15885" max="15885" width="12" bestFit="1" customWidth="1"/>
    <col min="15886" max="15886" width="17.42578125" customWidth="1"/>
    <col min="15887" max="15887" width="11" customWidth="1"/>
    <col min="15888" max="15888" width="5" bestFit="1" customWidth="1"/>
    <col min="15889" max="15889" width="14" customWidth="1"/>
    <col min="15890" max="15890" width="39.28515625" customWidth="1"/>
    <col min="15891" max="15891" width="14.28515625" customWidth="1"/>
    <col min="15894" max="15894" width="17.28515625" bestFit="1" customWidth="1"/>
    <col min="15896" max="15896" width="15.28515625" bestFit="1" customWidth="1"/>
    <col min="16129" max="16129" width="5.7109375" customWidth="1"/>
    <col min="16130" max="16130" width="9.28515625" customWidth="1"/>
    <col min="16131" max="16131" width="51.7109375" customWidth="1"/>
    <col min="16132" max="16132" width="19" bestFit="1" customWidth="1"/>
    <col min="16133" max="16133" width="12.42578125" customWidth="1"/>
    <col min="16134" max="16134" width="16" bestFit="1" customWidth="1"/>
    <col min="16135" max="16136" width="16" customWidth="1"/>
    <col min="16137" max="16137" width="12.28515625" customWidth="1"/>
    <col min="16138" max="16138" width="21.42578125" bestFit="1" customWidth="1"/>
    <col min="16139" max="16139" width="15.42578125" bestFit="1" customWidth="1"/>
    <col min="16140" max="16140" width="16.5703125" bestFit="1" customWidth="1"/>
    <col min="16141" max="16141" width="12" bestFit="1" customWidth="1"/>
    <col min="16142" max="16142" width="17.42578125" customWidth="1"/>
    <col min="16143" max="16143" width="11" customWidth="1"/>
    <col min="16144" max="16144" width="5" bestFit="1" customWidth="1"/>
    <col min="16145" max="16145" width="14" customWidth="1"/>
    <col min="16146" max="16146" width="39.28515625" customWidth="1"/>
    <col min="16147" max="16147" width="14.28515625" customWidth="1"/>
    <col min="16150" max="16150" width="17.28515625" bestFit="1" customWidth="1"/>
    <col min="16152" max="16152" width="15.28515625" bestFit="1" customWidth="1"/>
  </cols>
  <sheetData>
    <row r="1" spans="1:25" s="8" customFormat="1" ht="30" customHeight="1" x14ac:dyDescent="0.25">
      <c r="A1" s="485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7"/>
    </row>
    <row r="2" spans="1:25" s="3" customFormat="1" ht="19.5" customHeight="1" x14ac:dyDescent="0.25">
      <c r="A2" s="486" t="s">
        <v>1</v>
      </c>
      <c r="B2" s="487" t="s">
        <v>2</v>
      </c>
      <c r="C2" s="483" t="s">
        <v>3</v>
      </c>
      <c r="D2" s="486" t="s">
        <v>4</v>
      </c>
      <c r="E2" s="487" t="s">
        <v>5</v>
      </c>
      <c r="F2" s="486" t="s">
        <v>6</v>
      </c>
      <c r="G2" s="486" t="s">
        <v>7</v>
      </c>
      <c r="H2" s="486" t="s">
        <v>8</v>
      </c>
      <c r="I2" s="488" t="s">
        <v>9</v>
      </c>
      <c r="J2" s="482" t="s">
        <v>10</v>
      </c>
      <c r="K2" s="483" t="s">
        <v>11</v>
      </c>
      <c r="L2" s="482" t="s">
        <v>12</v>
      </c>
      <c r="M2" s="483" t="s">
        <v>13</v>
      </c>
      <c r="N2" s="482" t="s">
        <v>14</v>
      </c>
      <c r="O2" s="11"/>
    </row>
    <row r="3" spans="1:25" s="3" customFormat="1" ht="26.25" customHeight="1" x14ac:dyDescent="0.25">
      <c r="A3" s="486"/>
      <c r="B3" s="487"/>
      <c r="C3" s="483"/>
      <c r="D3" s="486"/>
      <c r="E3" s="487"/>
      <c r="F3" s="486"/>
      <c r="G3" s="486"/>
      <c r="H3" s="486"/>
      <c r="I3" s="488"/>
      <c r="J3" s="482"/>
      <c r="K3" s="483"/>
      <c r="L3" s="482"/>
      <c r="M3" s="483"/>
      <c r="N3" s="484"/>
      <c r="O3" s="11"/>
    </row>
    <row r="4" spans="1:25" s="21" customFormat="1" x14ac:dyDescent="0.25">
      <c r="A4" s="12">
        <v>31</v>
      </c>
      <c r="B4" s="13">
        <v>3153</v>
      </c>
      <c r="C4" s="14" t="s">
        <v>15</v>
      </c>
      <c r="D4" s="15">
        <v>1897.7</v>
      </c>
      <c r="E4" s="16" t="s">
        <v>16</v>
      </c>
      <c r="F4" s="175">
        <f>D4*E4</f>
        <v>474.42500000000001</v>
      </c>
      <c r="G4" s="175">
        <f>473.5+0.925</f>
        <v>474.42500000000001</v>
      </c>
      <c r="H4" s="175">
        <f>F4-G4</f>
        <v>0</v>
      </c>
      <c r="I4" s="17">
        <v>6989479</v>
      </c>
      <c r="J4" s="18" t="s">
        <v>17</v>
      </c>
      <c r="K4" s="17" t="s">
        <v>18</v>
      </c>
      <c r="L4" s="18" t="s">
        <v>19</v>
      </c>
      <c r="M4" s="17">
        <v>99699500</v>
      </c>
      <c r="N4" s="19" t="s">
        <v>20</v>
      </c>
      <c r="O4" s="20"/>
      <c r="P4" s="21">
        <v>3153</v>
      </c>
      <c r="Q4" s="21" t="b">
        <f>P4=B4</f>
        <v>1</v>
      </c>
      <c r="R4" s="21" t="s">
        <v>15</v>
      </c>
      <c r="S4" s="21" t="b">
        <f>R4=C4</f>
        <v>1</v>
      </c>
      <c r="T4" s="21">
        <v>6989479</v>
      </c>
      <c r="U4" s="21" t="b">
        <f>T4=I4</f>
        <v>1</v>
      </c>
      <c r="V4" s="21" t="s">
        <v>17</v>
      </c>
      <c r="W4" s="21" t="b">
        <f>V4=J4</f>
        <v>1</v>
      </c>
      <c r="X4" s="21" t="s">
        <v>19</v>
      </c>
      <c r="Y4" s="21" t="b">
        <f>X4=L4</f>
        <v>1</v>
      </c>
    </row>
    <row r="5" spans="1:25" s="21" customFormat="1" x14ac:dyDescent="0.25">
      <c r="A5" s="12">
        <v>76</v>
      </c>
      <c r="B5" s="13">
        <v>3511</v>
      </c>
      <c r="C5" s="22" t="s">
        <v>21</v>
      </c>
      <c r="D5" s="23">
        <v>1359.8</v>
      </c>
      <c r="E5" s="16" t="s">
        <v>16</v>
      </c>
      <c r="F5" s="175">
        <f>D5*E5</f>
        <v>339.95</v>
      </c>
      <c r="G5" s="176">
        <f>337.05+2.9</f>
        <v>339.95</v>
      </c>
      <c r="H5" s="175">
        <f>F5-G5</f>
        <v>0</v>
      </c>
      <c r="I5" s="24">
        <v>2640016</v>
      </c>
      <c r="J5" s="24" t="s">
        <v>22</v>
      </c>
      <c r="K5" s="22" t="s">
        <v>23</v>
      </c>
      <c r="L5" s="24" t="s">
        <v>24</v>
      </c>
      <c r="M5" s="25">
        <v>92953388</v>
      </c>
      <c r="N5" s="19" t="s">
        <v>25</v>
      </c>
      <c r="O5" s="20">
        <v>45630</v>
      </c>
      <c r="P5" s="21">
        <v>3511</v>
      </c>
      <c r="Q5" s="21" t="b">
        <f>P5=B5</f>
        <v>1</v>
      </c>
      <c r="R5" s="21" t="s">
        <v>21</v>
      </c>
      <c r="S5" s="21" t="b">
        <f>R5=C5</f>
        <v>1</v>
      </c>
      <c r="T5" s="21">
        <v>2640016</v>
      </c>
      <c r="U5" s="21" t="b">
        <f>T5=I5</f>
        <v>1</v>
      </c>
      <c r="V5" s="21" t="s">
        <v>22</v>
      </c>
      <c r="W5" s="21" t="b">
        <f>V5=J5</f>
        <v>1</v>
      </c>
      <c r="X5" s="21" t="s">
        <v>24</v>
      </c>
      <c r="Y5" s="21" t="b">
        <f>X5=L5</f>
        <v>1</v>
      </c>
    </row>
    <row r="6" spans="1:25" s="21" customFormat="1" x14ac:dyDescent="0.25">
      <c r="A6" s="28"/>
      <c r="B6" s="28"/>
      <c r="C6" s="28"/>
      <c r="D6" s="29">
        <f>SUM(D4:D5)</f>
        <v>3257.5</v>
      </c>
      <c r="E6" s="28" t="s">
        <v>26</v>
      </c>
      <c r="F6" s="28">
        <f>SUM(F4:F5)</f>
        <v>814.375</v>
      </c>
      <c r="G6" s="28">
        <f>SUM(G4:G5)</f>
        <v>814.375</v>
      </c>
      <c r="H6" s="28">
        <f>SUM(H4:H5)</f>
        <v>0</v>
      </c>
      <c r="I6" s="28"/>
      <c r="J6" s="28"/>
      <c r="K6" s="28"/>
      <c r="L6" s="28"/>
      <c r="M6" s="28"/>
      <c r="N6" s="30"/>
      <c r="O6" s="31"/>
    </row>
    <row r="7" spans="1:25" s="21" customFormat="1" x14ac:dyDescent="0.25">
      <c r="A7" s="32"/>
      <c r="B7" s="32"/>
      <c r="C7" s="32"/>
      <c r="D7" s="33"/>
      <c r="E7" s="34"/>
      <c r="F7" s="33"/>
      <c r="G7" s="33"/>
      <c r="H7" s="33"/>
      <c r="I7" s="35"/>
      <c r="J7" s="31"/>
      <c r="K7" s="31"/>
      <c r="L7" s="31"/>
      <c r="M7" s="31"/>
      <c r="N7" s="31"/>
      <c r="O7" s="31"/>
    </row>
    <row r="8" spans="1:25" s="21" customFormat="1" x14ac:dyDescent="0.25">
      <c r="A8"/>
      <c r="C8" s="36"/>
      <c r="D8" s="37"/>
      <c r="E8" s="37"/>
      <c r="F8" s="37"/>
      <c r="G8" s="37"/>
      <c r="H8" s="37"/>
      <c r="I8" s="38"/>
      <c r="J8" s="36"/>
      <c r="K8" s="39"/>
      <c r="N8" s="31"/>
      <c r="O8" s="20"/>
    </row>
    <row r="9" spans="1:25" x14ac:dyDescent="0.25">
      <c r="A9" t="s">
        <v>27</v>
      </c>
      <c r="C9" s="6" t="s">
        <v>28</v>
      </c>
      <c r="D9"/>
      <c r="F9" s="480"/>
      <c r="G9" s="480"/>
      <c r="H9" s="480"/>
      <c r="I9" s="480"/>
      <c r="K9" s="481"/>
      <c r="L9" s="481"/>
      <c r="N9" s="42"/>
      <c r="P9" t="s">
        <v>26</v>
      </c>
      <c r="R9" t="s">
        <v>26</v>
      </c>
    </row>
    <row r="10" spans="1:25" x14ac:dyDescent="0.25">
      <c r="A10" t="s">
        <v>29</v>
      </c>
      <c r="C10" s="6" t="s">
        <v>30</v>
      </c>
      <c r="D10"/>
      <c r="F10" s="480"/>
      <c r="G10" s="480"/>
      <c r="H10" s="480"/>
      <c r="I10" s="480"/>
      <c r="K10" s="481"/>
      <c r="L10" s="481"/>
    </row>
    <row r="11" spans="1:25" x14ac:dyDescent="0.25">
      <c r="F11" s="40"/>
      <c r="G11" s="40"/>
      <c r="H11" s="40"/>
    </row>
    <row r="12" spans="1:25" x14ac:dyDescent="0.25">
      <c r="F12" s="40"/>
      <c r="G12" s="40"/>
      <c r="H12" s="40"/>
      <c r="V12" t="s">
        <v>31</v>
      </c>
    </row>
    <row r="13" spans="1:25" x14ac:dyDescent="0.25">
      <c r="F13" s="40"/>
      <c r="G13" s="40"/>
      <c r="H13" s="40"/>
      <c r="V13" t="s">
        <v>32</v>
      </c>
    </row>
    <row r="14" spans="1:25" x14ac:dyDescent="0.25">
      <c r="D14" s="45"/>
      <c r="F14" s="45"/>
      <c r="G14" s="45"/>
      <c r="H14" s="45"/>
    </row>
    <row r="15" spans="1:25" x14ac:dyDescent="0.25">
      <c r="F15" s="40"/>
      <c r="G15" s="40"/>
      <c r="H15" s="40"/>
    </row>
    <row r="16" spans="1:25" x14ac:dyDescent="0.25">
      <c r="F16" s="40"/>
      <c r="G16" s="40"/>
      <c r="H16" s="40"/>
    </row>
    <row r="17" spans="1:15" x14ac:dyDescent="0.25">
      <c r="F17" s="40"/>
      <c r="G17" s="40"/>
      <c r="H17" s="40"/>
    </row>
    <row r="18" spans="1:15" x14ac:dyDescent="0.25">
      <c r="F18" s="40"/>
      <c r="G18" s="40"/>
      <c r="H18" s="40"/>
    </row>
    <row r="19" spans="1:15" x14ac:dyDescent="0.25">
      <c r="F19" s="40"/>
      <c r="G19" s="40"/>
      <c r="H19" s="40"/>
    </row>
    <row r="20" spans="1:15" x14ac:dyDescent="0.25">
      <c r="F20" s="40"/>
      <c r="G20" s="40"/>
      <c r="H20" s="40"/>
    </row>
    <row r="21" spans="1:15" s="41" customFormat="1" x14ac:dyDescent="0.25">
      <c r="A21"/>
      <c r="B21"/>
      <c r="C21"/>
      <c r="D21" s="6"/>
      <c r="E21" s="6"/>
      <c r="F21" s="40"/>
      <c r="G21" s="40"/>
      <c r="H21" s="40"/>
      <c r="I21" s="44"/>
      <c r="N21"/>
      <c r="O21" s="43"/>
    </row>
    <row r="22" spans="1:15" s="41" customFormat="1" x14ac:dyDescent="0.25">
      <c r="A22"/>
      <c r="B22"/>
      <c r="C22"/>
      <c r="D22" s="6"/>
      <c r="E22" s="6"/>
      <c r="F22" s="40"/>
      <c r="G22" s="40"/>
      <c r="H22" s="40"/>
      <c r="I22" s="44"/>
      <c r="N22"/>
      <c r="O22" s="43"/>
    </row>
    <row r="23" spans="1:15" s="41" customFormat="1" x14ac:dyDescent="0.25">
      <c r="A23"/>
      <c r="B23"/>
      <c r="C23"/>
      <c r="D23" s="6"/>
      <c r="E23" s="6"/>
      <c r="F23" s="40"/>
      <c r="G23" s="40"/>
      <c r="H23" s="40"/>
      <c r="I23" s="44"/>
      <c r="N23"/>
      <c r="O23" s="43"/>
    </row>
    <row r="24" spans="1:15" s="41" customFormat="1" x14ac:dyDescent="0.25">
      <c r="A24"/>
      <c r="B24"/>
      <c r="C24"/>
      <c r="D24" s="6"/>
      <c r="E24" s="6"/>
      <c r="F24" s="40"/>
      <c r="G24" s="40"/>
      <c r="H24" s="40"/>
      <c r="I24" s="44"/>
      <c r="N24"/>
      <c r="O24" s="43"/>
    </row>
    <row r="25" spans="1:15" s="41" customFormat="1" x14ac:dyDescent="0.25">
      <c r="A25"/>
      <c r="B25"/>
      <c r="C25"/>
      <c r="D25" s="6"/>
      <c r="E25" s="6"/>
      <c r="F25" s="40"/>
      <c r="G25" s="40"/>
      <c r="H25" s="40"/>
      <c r="I25" s="44"/>
      <c r="N25"/>
      <c r="O25" s="43"/>
    </row>
    <row r="26" spans="1:15" s="41" customFormat="1" x14ac:dyDescent="0.25">
      <c r="A26"/>
      <c r="B26"/>
      <c r="C26"/>
      <c r="D26" s="6"/>
      <c r="E26" s="6"/>
      <c r="F26" s="40"/>
      <c r="G26" s="40"/>
      <c r="H26" s="40"/>
      <c r="I26" s="44"/>
      <c r="N26"/>
      <c r="O26" s="43"/>
    </row>
    <row r="27" spans="1:15" s="41" customFormat="1" x14ac:dyDescent="0.25">
      <c r="A27"/>
      <c r="B27"/>
      <c r="C27"/>
      <c r="D27" s="6"/>
      <c r="E27" s="6"/>
      <c r="F27" s="40"/>
      <c r="G27" s="40"/>
      <c r="H27" s="40"/>
      <c r="I27" s="44"/>
      <c r="N27"/>
      <c r="O27" s="43"/>
    </row>
    <row r="28" spans="1:15" s="41" customFormat="1" x14ac:dyDescent="0.25">
      <c r="A28"/>
      <c r="B28"/>
      <c r="C28"/>
      <c r="D28" s="6"/>
      <c r="E28" s="6"/>
      <c r="F28" s="40"/>
      <c r="G28" s="40"/>
      <c r="H28" s="40"/>
      <c r="I28" s="44"/>
      <c r="N28"/>
      <c r="O28" s="43"/>
    </row>
    <row r="29" spans="1:15" s="41" customFormat="1" x14ac:dyDescent="0.25">
      <c r="A29"/>
      <c r="B29"/>
      <c r="C29"/>
      <c r="D29" s="6"/>
      <c r="E29" s="6"/>
      <c r="F29" s="40"/>
      <c r="G29" s="40"/>
      <c r="H29" s="40"/>
      <c r="I29" s="44"/>
      <c r="N29"/>
      <c r="O29" s="43"/>
    </row>
    <row r="30" spans="1:15" s="41" customFormat="1" x14ac:dyDescent="0.25">
      <c r="A30"/>
      <c r="B30"/>
      <c r="C30"/>
      <c r="D30" s="6"/>
      <c r="E30" s="6"/>
      <c r="F30" s="40"/>
      <c r="G30" s="40"/>
      <c r="H30" s="40"/>
      <c r="I30" s="44"/>
      <c r="N30"/>
      <c r="O30" s="43"/>
    </row>
    <row r="31" spans="1:15" s="41" customFormat="1" x14ac:dyDescent="0.25">
      <c r="A31"/>
      <c r="B31"/>
      <c r="C31"/>
      <c r="D31" s="6"/>
      <c r="E31" s="6"/>
      <c r="F31" s="40"/>
      <c r="G31" s="40"/>
      <c r="H31" s="40"/>
      <c r="I31" s="44"/>
      <c r="N31"/>
      <c r="O31" s="43"/>
    </row>
    <row r="32" spans="1:15" s="41" customFormat="1" x14ac:dyDescent="0.25">
      <c r="A32"/>
      <c r="B32"/>
      <c r="C32"/>
      <c r="D32" s="6"/>
      <c r="E32" s="6"/>
      <c r="F32" s="40"/>
      <c r="G32" s="40"/>
      <c r="H32" s="40"/>
      <c r="I32" s="44"/>
      <c r="N32"/>
      <c r="O32" s="43"/>
    </row>
    <row r="33" spans="1:15" s="41" customFormat="1" x14ac:dyDescent="0.25">
      <c r="A33"/>
      <c r="B33"/>
      <c r="C33"/>
      <c r="D33" s="6"/>
      <c r="E33" s="6"/>
      <c r="F33" s="40"/>
      <c r="G33" s="40"/>
      <c r="H33" s="40"/>
      <c r="I33" s="44"/>
      <c r="N33"/>
      <c r="O33" s="43"/>
    </row>
    <row r="34" spans="1:15" s="41" customFormat="1" x14ac:dyDescent="0.25">
      <c r="A34"/>
      <c r="B34"/>
      <c r="C34"/>
      <c r="D34" s="6"/>
      <c r="E34" s="6"/>
      <c r="F34" s="40"/>
      <c r="G34" s="40"/>
      <c r="H34" s="40"/>
      <c r="I34" s="44"/>
      <c r="N34"/>
      <c r="O34" s="43"/>
    </row>
    <row r="35" spans="1:15" s="41" customFormat="1" x14ac:dyDescent="0.25">
      <c r="A35"/>
      <c r="B35"/>
      <c r="C35"/>
      <c r="D35" s="6"/>
      <c r="E35" s="6"/>
      <c r="F35" s="40"/>
      <c r="G35" s="40"/>
      <c r="H35" s="40"/>
      <c r="I35" s="44"/>
      <c r="N35"/>
      <c r="O35" s="43"/>
    </row>
    <row r="36" spans="1:15" s="41" customFormat="1" x14ac:dyDescent="0.25">
      <c r="A36"/>
      <c r="B36"/>
      <c r="C36"/>
      <c r="D36" s="6"/>
      <c r="E36" s="6"/>
      <c r="F36" s="40"/>
      <c r="G36" s="40"/>
      <c r="H36" s="40"/>
      <c r="I36" s="44"/>
      <c r="N36"/>
      <c r="O36" s="43"/>
    </row>
    <row r="37" spans="1:15" s="41" customFormat="1" x14ac:dyDescent="0.25">
      <c r="A37"/>
      <c r="B37"/>
      <c r="C37"/>
      <c r="D37" s="6"/>
      <c r="E37" s="6"/>
      <c r="F37" s="40"/>
      <c r="G37" s="40"/>
      <c r="H37" s="40"/>
      <c r="I37" s="44"/>
      <c r="N37"/>
      <c r="O37" s="43"/>
    </row>
    <row r="38" spans="1:15" s="41" customFormat="1" x14ac:dyDescent="0.25">
      <c r="A38"/>
      <c r="B38"/>
      <c r="C38"/>
      <c r="D38" s="6"/>
      <c r="E38" s="6"/>
      <c r="F38" s="40"/>
      <c r="G38" s="40"/>
      <c r="H38" s="40"/>
      <c r="I38" s="44"/>
      <c r="N38"/>
      <c r="O38" s="43"/>
    </row>
    <row r="39" spans="1:15" s="41" customFormat="1" x14ac:dyDescent="0.25">
      <c r="A39"/>
      <c r="B39"/>
      <c r="C39"/>
      <c r="D39" s="6"/>
      <c r="E39" s="6"/>
      <c r="F39" s="40"/>
      <c r="G39" s="40"/>
      <c r="H39" s="40"/>
      <c r="I39" s="44"/>
      <c r="N39"/>
      <c r="O39" s="43"/>
    </row>
    <row r="40" spans="1:15" s="41" customFormat="1" x14ac:dyDescent="0.25">
      <c r="A40"/>
      <c r="B40"/>
      <c r="C40"/>
      <c r="D40" s="6"/>
      <c r="E40" s="6"/>
      <c r="F40" s="40"/>
      <c r="G40" s="40"/>
      <c r="H40" s="40"/>
      <c r="I40" s="44"/>
      <c r="N40"/>
      <c r="O40" s="43"/>
    </row>
    <row r="41" spans="1:15" s="41" customFormat="1" x14ac:dyDescent="0.25">
      <c r="A41"/>
      <c r="B41"/>
      <c r="C41"/>
      <c r="D41" s="6"/>
      <c r="E41" s="6"/>
      <c r="F41" s="40"/>
      <c r="G41" s="40"/>
      <c r="H41" s="40"/>
      <c r="I41" s="44"/>
      <c r="N41"/>
      <c r="O41" s="43"/>
    </row>
    <row r="42" spans="1:15" s="41" customFormat="1" x14ac:dyDescent="0.25">
      <c r="A42"/>
      <c r="B42"/>
      <c r="C42"/>
      <c r="D42" s="6"/>
      <c r="E42" s="6"/>
      <c r="F42" s="40"/>
      <c r="G42" s="40"/>
      <c r="H42" s="40"/>
      <c r="I42" s="44"/>
      <c r="N42"/>
      <c r="O42" s="43"/>
    </row>
    <row r="43" spans="1:15" s="41" customFormat="1" x14ac:dyDescent="0.25">
      <c r="A43"/>
      <c r="B43"/>
      <c r="C43"/>
      <c r="D43" s="6"/>
      <c r="E43" s="6"/>
      <c r="F43" s="40"/>
      <c r="G43" s="40"/>
      <c r="H43" s="40"/>
      <c r="I43" s="44"/>
      <c r="N43"/>
      <c r="O43" s="43"/>
    </row>
  </sheetData>
  <autoFilter ref="A2:N6" xr:uid="{CD7BF64B-F0E8-4764-A89E-10477EEED9CB}"/>
  <mergeCells count="19">
    <mergeCell ref="M2:M3"/>
    <mergeCell ref="N2:N3"/>
    <mergeCell ref="F9:I9"/>
    <mergeCell ref="K9:L9"/>
    <mergeCell ref="A1:N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F10:I10"/>
    <mergeCell ref="K10:L10"/>
    <mergeCell ref="J2:J3"/>
    <mergeCell ref="K2:K3"/>
    <mergeCell ref="L2:L3"/>
  </mergeCells>
  <pageMargins left="0.7" right="0.7" top="0.75" bottom="0.75" header="0.3" footer="0.3"/>
  <pageSetup paperSize="8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CD68C-592D-4188-9A7B-69F9CBC96336}">
  <sheetPr codeName="Sheet2"/>
  <dimension ref="A1:Y47"/>
  <sheetViews>
    <sheetView view="pageBreakPreview" zoomScaleNormal="100" zoomScaleSheetLayoutView="100" workbookViewId="0">
      <pane xSplit="3" ySplit="3" topLeftCell="E4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RowHeight="15" x14ac:dyDescent="0.25"/>
  <cols>
    <col min="1" max="1" width="5.7109375" customWidth="1"/>
    <col min="2" max="2" width="9.28515625" customWidth="1"/>
    <col min="3" max="3" width="51.7109375" customWidth="1"/>
    <col min="4" max="4" width="19" style="6" bestFit="1" customWidth="1"/>
    <col min="5" max="5" width="12.42578125" style="6" customWidth="1"/>
    <col min="6" max="6" width="16" style="6" bestFit="1" customWidth="1"/>
    <col min="7" max="8" width="16" style="6" customWidth="1"/>
    <col min="9" max="9" width="12.28515625" style="44" customWidth="1"/>
    <col min="10" max="10" width="21.42578125" style="41" bestFit="1" customWidth="1"/>
    <col min="11" max="11" width="15.42578125" style="41" bestFit="1" customWidth="1"/>
    <col min="12" max="12" width="16.5703125" style="41" bestFit="1" customWidth="1"/>
    <col min="13" max="13" width="12" style="41" bestFit="1" customWidth="1"/>
    <col min="14" max="14" width="28" style="113" customWidth="1"/>
    <col min="15" max="15" width="11" style="43" customWidth="1"/>
    <col min="16" max="17" width="9.28515625" customWidth="1"/>
    <col min="18" max="18" width="51.7109375" customWidth="1"/>
    <col min="19" max="19" width="12.28515625" customWidth="1"/>
    <col min="20" max="21" width="12.28515625" style="41" customWidth="1"/>
    <col min="22" max="22" width="21.42578125" style="41" bestFit="1" customWidth="1"/>
    <col min="23" max="23" width="18.28515625" style="41" bestFit="1" customWidth="1"/>
    <col min="24" max="24" width="17.5703125" style="41" bestFit="1" customWidth="1"/>
    <col min="257" max="257" width="5.7109375" customWidth="1"/>
    <col min="258" max="258" width="9.28515625" customWidth="1"/>
    <col min="259" max="259" width="51.7109375" customWidth="1"/>
    <col min="260" max="260" width="19" bestFit="1" customWidth="1"/>
    <col min="261" max="261" width="12.42578125" customWidth="1"/>
    <col min="262" max="262" width="16" bestFit="1" customWidth="1"/>
    <col min="263" max="264" width="16" customWidth="1"/>
    <col min="265" max="265" width="12.28515625" customWidth="1"/>
    <col min="266" max="266" width="21.42578125" bestFit="1" customWidth="1"/>
    <col min="267" max="267" width="15.42578125" bestFit="1" customWidth="1"/>
    <col min="268" max="268" width="16.5703125" bestFit="1" customWidth="1"/>
    <col min="269" max="269" width="12" bestFit="1" customWidth="1"/>
    <col min="270" max="270" width="28" customWidth="1"/>
    <col min="271" max="271" width="11" customWidth="1"/>
    <col min="272" max="273" width="9.28515625" customWidth="1"/>
    <col min="274" max="274" width="51.7109375" customWidth="1"/>
    <col min="275" max="277" width="12.28515625" customWidth="1"/>
    <col min="278" max="278" width="21.42578125" bestFit="1" customWidth="1"/>
    <col min="279" max="279" width="18.28515625" bestFit="1" customWidth="1"/>
    <col min="280" max="280" width="17.5703125" bestFit="1" customWidth="1"/>
    <col min="513" max="513" width="5.7109375" customWidth="1"/>
    <col min="514" max="514" width="9.28515625" customWidth="1"/>
    <col min="515" max="515" width="51.7109375" customWidth="1"/>
    <col min="516" max="516" width="19" bestFit="1" customWidth="1"/>
    <col min="517" max="517" width="12.42578125" customWidth="1"/>
    <col min="518" max="518" width="16" bestFit="1" customWidth="1"/>
    <col min="519" max="520" width="16" customWidth="1"/>
    <col min="521" max="521" width="12.28515625" customWidth="1"/>
    <col min="522" max="522" width="21.42578125" bestFit="1" customWidth="1"/>
    <col min="523" max="523" width="15.42578125" bestFit="1" customWidth="1"/>
    <col min="524" max="524" width="16.5703125" bestFit="1" customWidth="1"/>
    <col min="525" max="525" width="12" bestFit="1" customWidth="1"/>
    <col min="526" max="526" width="28" customWidth="1"/>
    <col min="527" max="527" width="11" customWidth="1"/>
    <col min="528" max="529" width="9.28515625" customWidth="1"/>
    <col min="530" max="530" width="51.7109375" customWidth="1"/>
    <col min="531" max="533" width="12.28515625" customWidth="1"/>
    <col min="534" max="534" width="21.42578125" bestFit="1" customWidth="1"/>
    <col min="535" max="535" width="18.28515625" bestFit="1" customWidth="1"/>
    <col min="536" max="536" width="17.5703125" bestFit="1" customWidth="1"/>
    <col min="769" max="769" width="5.7109375" customWidth="1"/>
    <col min="770" max="770" width="9.28515625" customWidth="1"/>
    <col min="771" max="771" width="51.7109375" customWidth="1"/>
    <col min="772" max="772" width="19" bestFit="1" customWidth="1"/>
    <col min="773" max="773" width="12.42578125" customWidth="1"/>
    <col min="774" max="774" width="16" bestFit="1" customWidth="1"/>
    <col min="775" max="776" width="16" customWidth="1"/>
    <col min="777" max="777" width="12.28515625" customWidth="1"/>
    <col min="778" max="778" width="21.42578125" bestFit="1" customWidth="1"/>
    <col min="779" max="779" width="15.42578125" bestFit="1" customWidth="1"/>
    <col min="780" max="780" width="16.5703125" bestFit="1" customWidth="1"/>
    <col min="781" max="781" width="12" bestFit="1" customWidth="1"/>
    <col min="782" max="782" width="28" customWidth="1"/>
    <col min="783" max="783" width="11" customWidth="1"/>
    <col min="784" max="785" width="9.28515625" customWidth="1"/>
    <col min="786" max="786" width="51.7109375" customWidth="1"/>
    <col min="787" max="789" width="12.28515625" customWidth="1"/>
    <col min="790" max="790" width="21.42578125" bestFit="1" customWidth="1"/>
    <col min="791" max="791" width="18.28515625" bestFit="1" customWidth="1"/>
    <col min="792" max="792" width="17.5703125" bestFit="1" customWidth="1"/>
    <col min="1025" max="1025" width="5.7109375" customWidth="1"/>
    <col min="1026" max="1026" width="9.28515625" customWidth="1"/>
    <col min="1027" max="1027" width="51.7109375" customWidth="1"/>
    <col min="1028" max="1028" width="19" bestFit="1" customWidth="1"/>
    <col min="1029" max="1029" width="12.42578125" customWidth="1"/>
    <col min="1030" max="1030" width="16" bestFit="1" customWidth="1"/>
    <col min="1031" max="1032" width="16" customWidth="1"/>
    <col min="1033" max="1033" width="12.28515625" customWidth="1"/>
    <col min="1034" max="1034" width="21.42578125" bestFit="1" customWidth="1"/>
    <col min="1035" max="1035" width="15.42578125" bestFit="1" customWidth="1"/>
    <col min="1036" max="1036" width="16.5703125" bestFit="1" customWidth="1"/>
    <col min="1037" max="1037" width="12" bestFit="1" customWidth="1"/>
    <col min="1038" max="1038" width="28" customWidth="1"/>
    <col min="1039" max="1039" width="11" customWidth="1"/>
    <col min="1040" max="1041" width="9.28515625" customWidth="1"/>
    <col min="1042" max="1042" width="51.7109375" customWidth="1"/>
    <col min="1043" max="1045" width="12.28515625" customWidth="1"/>
    <col min="1046" max="1046" width="21.42578125" bestFit="1" customWidth="1"/>
    <col min="1047" max="1047" width="18.28515625" bestFit="1" customWidth="1"/>
    <col min="1048" max="1048" width="17.5703125" bestFit="1" customWidth="1"/>
    <col min="1281" max="1281" width="5.7109375" customWidth="1"/>
    <col min="1282" max="1282" width="9.28515625" customWidth="1"/>
    <col min="1283" max="1283" width="51.7109375" customWidth="1"/>
    <col min="1284" max="1284" width="19" bestFit="1" customWidth="1"/>
    <col min="1285" max="1285" width="12.42578125" customWidth="1"/>
    <col min="1286" max="1286" width="16" bestFit="1" customWidth="1"/>
    <col min="1287" max="1288" width="16" customWidth="1"/>
    <col min="1289" max="1289" width="12.28515625" customWidth="1"/>
    <col min="1290" max="1290" width="21.42578125" bestFit="1" customWidth="1"/>
    <col min="1291" max="1291" width="15.42578125" bestFit="1" customWidth="1"/>
    <col min="1292" max="1292" width="16.5703125" bestFit="1" customWidth="1"/>
    <col min="1293" max="1293" width="12" bestFit="1" customWidth="1"/>
    <col min="1294" max="1294" width="28" customWidth="1"/>
    <col min="1295" max="1295" width="11" customWidth="1"/>
    <col min="1296" max="1297" width="9.28515625" customWidth="1"/>
    <col min="1298" max="1298" width="51.7109375" customWidth="1"/>
    <col min="1299" max="1301" width="12.28515625" customWidth="1"/>
    <col min="1302" max="1302" width="21.42578125" bestFit="1" customWidth="1"/>
    <col min="1303" max="1303" width="18.28515625" bestFit="1" customWidth="1"/>
    <col min="1304" max="1304" width="17.5703125" bestFit="1" customWidth="1"/>
    <col min="1537" max="1537" width="5.7109375" customWidth="1"/>
    <col min="1538" max="1538" width="9.28515625" customWidth="1"/>
    <col min="1539" max="1539" width="51.7109375" customWidth="1"/>
    <col min="1540" max="1540" width="19" bestFit="1" customWidth="1"/>
    <col min="1541" max="1541" width="12.42578125" customWidth="1"/>
    <col min="1542" max="1542" width="16" bestFit="1" customWidth="1"/>
    <col min="1543" max="1544" width="16" customWidth="1"/>
    <col min="1545" max="1545" width="12.28515625" customWidth="1"/>
    <col min="1546" max="1546" width="21.42578125" bestFit="1" customWidth="1"/>
    <col min="1547" max="1547" width="15.42578125" bestFit="1" customWidth="1"/>
    <col min="1548" max="1548" width="16.5703125" bestFit="1" customWidth="1"/>
    <col min="1549" max="1549" width="12" bestFit="1" customWidth="1"/>
    <col min="1550" max="1550" width="28" customWidth="1"/>
    <col min="1551" max="1551" width="11" customWidth="1"/>
    <col min="1552" max="1553" width="9.28515625" customWidth="1"/>
    <col min="1554" max="1554" width="51.7109375" customWidth="1"/>
    <col min="1555" max="1557" width="12.28515625" customWidth="1"/>
    <col min="1558" max="1558" width="21.42578125" bestFit="1" customWidth="1"/>
    <col min="1559" max="1559" width="18.28515625" bestFit="1" customWidth="1"/>
    <col min="1560" max="1560" width="17.5703125" bestFit="1" customWidth="1"/>
    <col min="1793" max="1793" width="5.7109375" customWidth="1"/>
    <col min="1794" max="1794" width="9.28515625" customWidth="1"/>
    <col min="1795" max="1795" width="51.7109375" customWidth="1"/>
    <col min="1796" max="1796" width="19" bestFit="1" customWidth="1"/>
    <col min="1797" max="1797" width="12.42578125" customWidth="1"/>
    <col min="1798" max="1798" width="16" bestFit="1" customWidth="1"/>
    <col min="1799" max="1800" width="16" customWidth="1"/>
    <col min="1801" max="1801" width="12.28515625" customWidth="1"/>
    <col min="1802" max="1802" width="21.42578125" bestFit="1" customWidth="1"/>
    <col min="1803" max="1803" width="15.42578125" bestFit="1" customWidth="1"/>
    <col min="1804" max="1804" width="16.5703125" bestFit="1" customWidth="1"/>
    <col min="1805" max="1805" width="12" bestFit="1" customWidth="1"/>
    <col min="1806" max="1806" width="28" customWidth="1"/>
    <col min="1807" max="1807" width="11" customWidth="1"/>
    <col min="1808" max="1809" width="9.28515625" customWidth="1"/>
    <col min="1810" max="1810" width="51.7109375" customWidth="1"/>
    <col min="1811" max="1813" width="12.28515625" customWidth="1"/>
    <col min="1814" max="1814" width="21.42578125" bestFit="1" customWidth="1"/>
    <col min="1815" max="1815" width="18.28515625" bestFit="1" customWidth="1"/>
    <col min="1816" max="1816" width="17.5703125" bestFit="1" customWidth="1"/>
    <col min="2049" max="2049" width="5.7109375" customWidth="1"/>
    <col min="2050" max="2050" width="9.28515625" customWidth="1"/>
    <col min="2051" max="2051" width="51.7109375" customWidth="1"/>
    <col min="2052" max="2052" width="19" bestFit="1" customWidth="1"/>
    <col min="2053" max="2053" width="12.42578125" customWidth="1"/>
    <col min="2054" max="2054" width="16" bestFit="1" customWidth="1"/>
    <col min="2055" max="2056" width="16" customWidth="1"/>
    <col min="2057" max="2057" width="12.28515625" customWidth="1"/>
    <col min="2058" max="2058" width="21.42578125" bestFit="1" customWidth="1"/>
    <col min="2059" max="2059" width="15.42578125" bestFit="1" customWidth="1"/>
    <col min="2060" max="2060" width="16.5703125" bestFit="1" customWidth="1"/>
    <col min="2061" max="2061" width="12" bestFit="1" customWidth="1"/>
    <col min="2062" max="2062" width="28" customWidth="1"/>
    <col min="2063" max="2063" width="11" customWidth="1"/>
    <col min="2064" max="2065" width="9.28515625" customWidth="1"/>
    <col min="2066" max="2066" width="51.7109375" customWidth="1"/>
    <col min="2067" max="2069" width="12.28515625" customWidth="1"/>
    <col min="2070" max="2070" width="21.42578125" bestFit="1" customWidth="1"/>
    <col min="2071" max="2071" width="18.28515625" bestFit="1" customWidth="1"/>
    <col min="2072" max="2072" width="17.5703125" bestFit="1" customWidth="1"/>
    <col min="2305" max="2305" width="5.7109375" customWidth="1"/>
    <col min="2306" max="2306" width="9.28515625" customWidth="1"/>
    <col min="2307" max="2307" width="51.7109375" customWidth="1"/>
    <col min="2308" max="2308" width="19" bestFit="1" customWidth="1"/>
    <col min="2309" max="2309" width="12.42578125" customWidth="1"/>
    <col min="2310" max="2310" width="16" bestFit="1" customWidth="1"/>
    <col min="2311" max="2312" width="16" customWidth="1"/>
    <col min="2313" max="2313" width="12.28515625" customWidth="1"/>
    <col min="2314" max="2314" width="21.42578125" bestFit="1" customWidth="1"/>
    <col min="2315" max="2315" width="15.42578125" bestFit="1" customWidth="1"/>
    <col min="2316" max="2316" width="16.5703125" bestFit="1" customWidth="1"/>
    <col min="2317" max="2317" width="12" bestFit="1" customWidth="1"/>
    <col min="2318" max="2318" width="28" customWidth="1"/>
    <col min="2319" max="2319" width="11" customWidth="1"/>
    <col min="2320" max="2321" width="9.28515625" customWidth="1"/>
    <col min="2322" max="2322" width="51.7109375" customWidth="1"/>
    <col min="2323" max="2325" width="12.28515625" customWidth="1"/>
    <col min="2326" max="2326" width="21.42578125" bestFit="1" customWidth="1"/>
    <col min="2327" max="2327" width="18.28515625" bestFit="1" customWidth="1"/>
    <col min="2328" max="2328" width="17.5703125" bestFit="1" customWidth="1"/>
    <col min="2561" max="2561" width="5.7109375" customWidth="1"/>
    <col min="2562" max="2562" width="9.28515625" customWidth="1"/>
    <col min="2563" max="2563" width="51.7109375" customWidth="1"/>
    <col min="2564" max="2564" width="19" bestFit="1" customWidth="1"/>
    <col min="2565" max="2565" width="12.42578125" customWidth="1"/>
    <col min="2566" max="2566" width="16" bestFit="1" customWidth="1"/>
    <col min="2567" max="2568" width="16" customWidth="1"/>
    <col min="2569" max="2569" width="12.28515625" customWidth="1"/>
    <col min="2570" max="2570" width="21.42578125" bestFit="1" customWidth="1"/>
    <col min="2571" max="2571" width="15.42578125" bestFit="1" customWidth="1"/>
    <col min="2572" max="2572" width="16.5703125" bestFit="1" customWidth="1"/>
    <col min="2573" max="2573" width="12" bestFit="1" customWidth="1"/>
    <col min="2574" max="2574" width="28" customWidth="1"/>
    <col min="2575" max="2575" width="11" customWidth="1"/>
    <col min="2576" max="2577" width="9.28515625" customWidth="1"/>
    <col min="2578" max="2578" width="51.7109375" customWidth="1"/>
    <col min="2579" max="2581" width="12.28515625" customWidth="1"/>
    <col min="2582" max="2582" width="21.42578125" bestFit="1" customWidth="1"/>
    <col min="2583" max="2583" width="18.28515625" bestFit="1" customWidth="1"/>
    <col min="2584" max="2584" width="17.5703125" bestFit="1" customWidth="1"/>
    <col min="2817" max="2817" width="5.7109375" customWidth="1"/>
    <col min="2818" max="2818" width="9.28515625" customWidth="1"/>
    <col min="2819" max="2819" width="51.7109375" customWidth="1"/>
    <col min="2820" max="2820" width="19" bestFit="1" customWidth="1"/>
    <col min="2821" max="2821" width="12.42578125" customWidth="1"/>
    <col min="2822" max="2822" width="16" bestFit="1" customWidth="1"/>
    <col min="2823" max="2824" width="16" customWidth="1"/>
    <col min="2825" max="2825" width="12.28515625" customWidth="1"/>
    <col min="2826" max="2826" width="21.42578125" bestFit="1" customWidth="1"/>
    <col min="2827" max="2827" width="15.42578125" bestFit="1" customWidth="1"/>
    <col min="2828" max="2828" width="16.5703125" bestFit="1" customWidth="1"/>
    <col min="2829" max="2829" width="12" bestFit="1" customWidth="1"/>
    <col min="2830" max="2830" width="28" customWidth="1"/>
    <col min="2831" max="2831" width="11" customWidth="1"/>
    <col min="2832" max="2833" width="9.28515625" customWidth="1"/>
    <col min="2834" max="2834" width="51.7109375" customWidth="1"/>
    <col min="2835" max="2837" width="12.28515625" customWidth="1"/>
    <col min="2838" max="2838" width="21.42578125" bestFit="1" customWidth="1"/>
    <col min="2839" max="2839" width="18.28515625" bestFit="1" customWidth="1"/>
    <col min="2840" max="2840" width="17.5703125" bestFit="1" customWidth="1"/>
    <col min="3073" max="3073" width="5.7109375" customWidth="1"/>
    <col min="3074" max="3074" width="9.28515625" customWidth="1"/>
    <col min="3075" max="3075" width="51.7109375" customWidth="1"/>
    <col min="3076" max="3076" width="19" bestFit="1" customWidth="1"/>
    <col min="3077" max="3077" width="12.42578125" customWidth="1"/>
    <col min="3078" max="3078" width="16" bestFit="1" customWidth="1"/>
    <col min="3079" max="3080" width="16" customWidth="1"/>
    <col min="3081" max="3081" width="12.28515625" customWidth="1"/>
    <col min="3082" max="3082" width="21.42578125" bestFit="1" customWidth="1"/>
    <col min="3083" max="3083" width="15.42578125" bestFit="1" customWidth="1"/>
    <col min="3084" max="3084" width="16.5703125" bestFit="1" customWidth="1"/>
    <col min="3085" max="3085" width="12" bestFit="1" customWidth="1"/>
    <col min="3086" max="3086" width="28" customWidth="1"/>
    <col min="3087" max="3087" width="11" customWidth="1"/>
    <col min="3088" max="3089" width="9.28515625" customWidth="1"/>
    <col min="3090" max="3090" width="51.7109375" customWidth="1"/>
    <col min="3091" max="3093" width="12.28515625" customWidth="1"/>
    <col min="3094" max="3094" width="21.42578125" bestFit="1" customWidth="1"/>
    <col min="3095" max="3095" width="18.28515625" bestFit="1" customWidth="1"/>
    <col min="3096" max="3096" width="17.5703125" bestFit="1" customWidth="1"/>
    <col min="3329" max="3329" width="5.7109375" customWidth="1"/>
    <col min="3330" max="3330" width="9.28515625" customWidth="1"/>
    <col min="3331" max="3331" width="51.7109375" customWidth="1"/>
    <col min="3332" max="3332" width="19" bestFit="1" customWidth="1"/>
    <col min="3333" max="3333" width="12.42578125" customWidth="1"/>
    <col min="3334" max="3334" width="16" bestFit="1" customWidth="1"/>
    <col min="3335" max="3336" width="16" customWidth="1"/>
    <col min="3337" max="3337" width="12.28515625" customWidth="1"/>
    <col min="3338" max="3338" width="21.42578125" bestFit="1" customWidth="1"/>
    <col min="3339" max="3339" width="15.42578125" bestFit="1" customWidth="1"/>
    <col min="3340" max="3340" width="16.5703125" bestFit="1" customWidth="1"/>
    <col min="3341" max="3341" width="12" bestFit="1" customWidth="1"/>
    <col min="3342" max="3342" width="28" customWidth="1"/>
    <col min="3343" max="3343" width="11" customWidth="1"/>
    <col min="3344" max="3345" width="9.28515625" customWidth="1"/>
    <col min="3346" max="3346" width="51.7109375" customWidth="1"/>
    <col min="3347" max="3349" width="12.28515625" customWidth="1"/>
    <col min="3350" max="3350" width="21.42578125" bestFit="1" customWidth="1"/>
    <col min="3351" max="3351" width="18.28515625" bestFit="1" customWidth="1"/>
    <col min="3352" max="3352" width="17.5703125" bestFit="1" customWidth="1"/>
    <col min="3585" max="3585" width="5.7109375" customWidth="1"/>
    <col min="3586" max="3586" width="9.28515625" customWidth="1"/>
    <col min="3587" max="3587" width="51.7109375" customWidth="1"/>
    <col min="3588" max="3588" width="19" bestFit="1" customWidth="1"/>
    <col min="3589" max="3589" width="12.42578125" customWidth="1"/>
    <col min="3590" max="3590" width="16" bestFit="1" customWidth="1"/>
    <col min="3591" max="3592" width="16" customWidth="1"/>
    <col min="3593" max="3593" width="12.28515625" customWidth="1"/>
    <col min="3594" max="3594" width="21.42578125" bestFit="1" customWidth="1"/>
    <col min="3595" max="3595" width="15.42578125" bestFit="1" customWidth="1"/>
    <col min="3596" max="3596" width="16.5703125" bestFit="1" customWidth="1"/>
    <col min="3597" max="3597" width="12" bestFit="1" customWidth="1"/>
    <col min="3598" max="3598" width="28" customWidth="1"/>
    <col min="3599" max="3599" width="11" customWidth="1"/>
    <col min="3600" max="3601" width="9.28515625" customWidth="1"/>
    <col min="3602" max="3602" width="51.7109375" customWidth="1"/>
    <col min="3603" max="3605" width="12.28515625" customWidth="1"/>
    <col min="3606" max="3606" width="21.42578125" bestFit="1" customWidth="1"/>
    <col min="3607" max="3607" width="18.28515625" bestFit="1" customWidth="1"/>
    <col min="3608" max="3608" width="17.5703125" bestFit="1" customWidth="1"/>
    <col min="3841" max="3841" width="5.7109375" customWidth="1"/>
    <col min="3842" max="3842" width="9.28515625" customWidth="1"/>
    <col min="3843" max="3843" width="51.7109375" customWidth="1"/>
    <col min="3844" max="3844" width="19" bestFit="1" customWidth="1"/>
    <col min="3845" max="3845" width="12.42578125" customWidth="1"/>
    <col min="3846" max="3846" width="16" bestFit="1" customWidth="1"/>
    <col min="3847" max="3848" width="16" customWidth="1"/>
    <col min="3849" max="3849" width="12.28515625" customWidth="1"/>
    <col min="3850" max="3850" width="21.42578125" bestFit="1" customWidth="1"/>
    <col min="3851" max="3851" width="15.42578125" bestFit="1" customWidth="1"/>
    <col min="3852" max="3852" width="16.5703125" bestFit="1" customWidth="1"/>
    <col min="3853" max="3853" width="12" bestFit="1" customWidth="1"/>
    <col min="3854" max="3854" width="28" customWidth="1"/>
    <col min="3855" max="3855" width="11" customWidth="1"/>
    <col min="3856" max="3857" width="9.28515625" customWidth="1"/>
    <col min="3858" max="3858" width="51.7109375" customWidth="1"/>
    <col min="3859" max="3861" width="12.28515625" customWidth="1"/>
    <col min="3862" max="3862" width="21.42578125" bestFit="1" customWidth="1"/>
    <col min="3863" max="3863" width="18.28515625" bestFit="1" customWidth="1"/>
    <col min="3864" max="3864" width="17.5703125" bestFit="1" customWidth="1"/>
    <col min="4097" max="4097" width="5.7109375" customWidth="1"/>
    <col min="4098" max="4098" width="9.28515625" customWidth="1"/>
    <col min="4099" max="4099" width="51.7109375" customWidth="1"/>
    <col min="4100" max="4100" width="19" bestFit="1" customWidth="1"/>
    <col min="4101" max="4101" width="12.42578125" customWidth="1"/>
    <col min="4102" max="4102" width="16" bestFit="1" customWidth="1"/>
    <col min="4103" max="4104" width="16" customWidth="1"/>
    <col min="4105" max="4105" width="12.28515625" customWidth="1"/>
    <col min="4106" max="4106" width="21.42578125" bestFit="1" customWidth="1"/>
    <col min="4107" max="4107" width="15.42578125" bestFit="1" customWidth="1"/>
    <col min="4108" max="4108" width="16.5703125" bestFit="1" customWidth="1"/>
    <col min="4109" max="4109" width="12" bestFit="1" customWidth="1"/>
    <col min="4110" max="4110" width="28" customWidth="1"/>
    <col min="4111" max="4111" width="11" customWidth="1"/>
    <col min="4112" max="4113" width="9.28515625" customWidth="1"/>
    <col min="4114" max="4114" width="51.7109375" customWidth="1"/>
    <col min="4115" max="4117" width="12.28515625" customWidth="1"/>
    <col min="4118" max="4118" width="21.42578125" bestFit="1" customWidth="1"/>
    <col min="4119" max="4119" width="18.28515625" bestFit="1" customWidth="1"/>
    <col min="4120" max="4120" width="17.5703125" bestFit="1" customWidth="1"/>
    <col min="4353" max="4353" width="5.7109375" customWidth="1"/>
    <col min="4354" max="4354" width="9.28515625" customWidth="1"/>
    <col min="4355" max="4355" width="51.7109375" customWidth="1"/>
    <col min="4356" max="4356" width="19" bestFit="1" customWidth="1"/>
    <col min="4357" max="4357" width="12.42578125" customWidth="1"/>
    <col min="4358" max="4358" width="16" bestFit="1" customWidth="1"/>
    <col min="4359" max="4360" width="16" customWidth="1"/>
    <col min="4361" max="4361" width="12.28515625" customWidth="1"/>
    <col min="4362" max="4362" width="21.42578125" bestFit="1" customWidth="1"/>
    <col min="4363" max="4363" width="15.42578125" bestFit="1" customWidth="1"/>
    <col min="4364" max="4364" width="16.5703125" bestFit="1" customWidth="1"/>
    <col min="4365" max="4365" width="12" bestFit="1" customWidth="1"/>
    <col min="4366" max="4366" width="28" customWidth="1"/>
    <col min="4367" max="4367" width="11" customWidth="1"/>
    <col min="4368" max="4369" width="9.28515625" customWidth="1"/>
    <col min="4370" max="4370" width="51.7109375" customWidth="1"/>
    <col min="4371" max="4373" width="12.28515625" customWidth="1"/>
    <col min="4374" max="4374" width="21.42578125" bestFit="1" customWidth="1"/>
    <col min="4375" max="4375" width="18.28515625" bestFit="1" customWidth="1"/>
    <col min="4376" max="4376" width="17.5703125" bestFit="1" customWidth="1"/>
    <col min="4609" max="4609" width="5.7109375" customWidth="1"/>
    <col min="4610" max="4610" width="9.28515625" customWidth="1"/>
    <col min="4611" max="4611" width="51.7109375" customWidth="1"/>
    <col min="4612" max="4612" width="19" bestFit="1" customWidth="1"/>
    <col min="4613" max="4613" width="12.42578125" customWidth="1"/>
    <col min="4614" max="4614" width="16" bestFit="1" customWidth="1"/>
    <col min="4615" max="4616" width="16" customWidth="1"/>
    <col min="4617" max="4617" width="12.28515625" customWidth="1"/>
    <col min="4618" max="4618" width="21.42578125" bestFit="1" customWidth="1"/>
    <col min="4619" max="4619" width="15.42578125" bestFit="1" customWidth="1"/>
    <col min="4620" max="4620" width="16.5703125" bestFit="1" customWidth="1"/>
    <col min="4621" max="4621" width="12" bestFit="1" customWidth="1"/>
    <col min="4622" max="4622" width="28" customWidth="1"/>
    <col min="4623" max="4623" width="11" customWidth="1"/>
    <col min="4624" max="4625" width="9.28515625" customWidth="1"/>
    <col min="4626" max="4626" width="51.7109375" customWidth="1"/>
    <col min="4627" max="4629" width="12.28515625" customWidth="1"/>
    <col min="4630" max="4630" width="21.42578125" bestFit="1" customWidth="1"/>
    <col min="4631" max="4631" width="18.28515625" bestFit="1" customWidth="1"/>
    <col min="4632" max="4632" width="17.5703125" bestFit="1" customWidth="1"/>
    <col min="4865" max="4865" width="5.7109375" customWidth="1"/>
    <col min="4866" max="4866" width="9.28515625" customWidth="1"/>
    <col min="4867" max="4867" width="51.7109375" customWidth="1"/>
    <col min="4868" max="4868" width="19" bestFit="1" customWidth="1"/>
    <col min="4869" max="4869" width="12.42578125" customWidth="1"/>
    <col min="4870" max="4870" width="16" bestFit="1" customWidth="1"/>
    <col min="4871" max="4872" width="16" customWidth="1"/>
    <col min="4873" max="4873" width="12.28515625" customWidth="1"/>
    <col min="4874" max="4874" width="21.42578125" bestFit="1" customWidth="1"/>
    <col min="4875" max="4875" width="15.42578125" bestFit="1" customWidth="1"/>
    <col min="4876" max="4876" width="16.5703125" bestFit="1" customWidth="1"/>
    <col min="4877" max="4877" width="12" bestFit="1" customWidth="1"/>
    <col min="4878" max="4878" width="28" customWidth="1"/>
    <col min="4879" max="4879" width="11" customWidth="1"/>
    <col min="4880" max="4881" width="9.28515625" customWidth="1"/>
    <col min="4882" max="4882" width="51.7109375" customWidth="1"/>
    <col min="4883" max="4885" width="12.28515625" customWidth="1"/>
    <col min="4886" max="4886" width="21.42578125" bestFit="1" customWidth="1"/>
    <col min="4887" max="4887" width="18.28515625" bestFit="1" customWidth="1"/>
    <col min="4888" max="4888" width="17.5703125" bestFit="1" customWidth="1"/>
    <col min="5121" max="5121" width="5.7109375" customWidth="1"/>
    <col min="5122" max="5122" width="9.28515625" customWidth="1"/>
    <col min="5123" max="5123" width="51.7109375" customWidth="1"/>
    <col min="5124" max="5124" width="19" bestFit="1" customWidth="1"/>
    <col min="5125" max="5125" width="12.42578125" customWidth="1"/>
    <col min="5126" max="5126" width="16" bestFit="1" customWidth="1"/>
    <col min="5127" max="5128" width="16" customWidth="1"/>
    <col min="5129" max="5129" width="12.28515625" customWidth="1"/>
    <col min="5130" max="5130" width="21.42578125" bestFit="1" customWidth="1"/>
    <col min="5131" max="5131" width="15.42578125" bestFit="1" customWidth="1"/>
    <col min="5132" max="5132" width="16.5703125" bestFit="1" customWidth="1"/>
    <col min="5133" max="5133" width="12" bestFit="1" customWidth="1"/>
    <col min="5134" max="5134" width="28" customWidth="1"/>
    <col min="5135" max="5135" width="11" customWidth="1"/>
    <col min="5136" max="5137" width="9.28515625" customWidth="1"/>
    <col min="5138" max="5138" width="51.7109375" customWidth="1"/>
    <col min="5139" max="5141" width="12.28515625" customWidth="1"/>
    <col min="5142" max="5142" width="21.42578125" bestFit="1" customWidth="1"/>
    <col min="5143" max="5143" width="18.28515625" bestFit="1" customWidth="1"/>
    <col min="5144" max="5144" width="17.5703125" bestFit="1" customWidth="1"/>
    <col min="5377" max="5377" width="5.7109375" customWidth="1"/>
    <col min="5378" max="5378" width="9.28515625" customWidth="1"/>
    <col min="5379" max="5379" width="51.7109375" customWidth="1"/>
    <col min="5380" max="5380" width="19" bestFit="1" customWidth="1"/>
    <col min="5381" max="5381" width="12.42578125" customWidth="1"/>
    <col min="5382" max="5382" width="16" bestFit="1" customWidth="1"/>
    <col min="5383" max="5384" width="16" customWidth="1"/>
    <col min="5385" max="5385" width="12.28515625" customWidth="1"/>
    <col min="5386" max="5386" width="21.42578125" bestFit="1" customWidth="1"/>
    <col min="5387" max="5387" width="15.42578125" bestFit="1" customWidth="1"/>
    <col min="5388" max="5388" width="16.5703125" bestFit="1" customWidth="1"/>
    <col min="5389" max="5389" width="12" bestFit="1" customWidth="1"/>
    <col min="5390" max="5390" width="28" customWidth="1"/>
    <col min="5391" max="5391" width="11" customWidth="1"/>
    <col min="5392" max="5393" width="9.28515625" customWidth="1"/>
    <col min="5394" max="5394" width="51.7109375" customWidth="1"/>
    <col min="5395" max="5397" width="12.28515625" customWidth="1"/>
    <col min="5398" max="5398" width="21.42578125" bestFit="1" customWidth="1"/>
    <col min="5399" max="5399" width="18.28515625" bestFit="1" customWidth="1"/>
    <col min="5400" max="5400" width="17.5703125" bestFit="1" customWidth="1"/>
    <col min="5633" max="5633" width="5.7109375" customWidth="1"/>
    <col min="5634" max="5634" width="9.28515625" customWidth="1"/>
    <col min="5635" max="5635" width="51.7109375" customWidth="1"/>
    <col min="5636" max="5636" width="19" bestFit="1" customWidth="1"/>
    <col min="5637" max="5637" width="12.42578125" customWidth="1"/>
    <col min="5638" max="5638" width="16" bestFit="1" customWidth="1"/>
    <col min="5639" max="5640" width="16" customWidth="1"/>
    <col min="5641" max="5641" width="12.28515625" customWidth="1"/>
    <col min="5642" max="5642" width="21.42578125" bestFit="1" customWidth="1"/>
    <col min="5643" max="5643" width="15.42578125" bestFit="1" customWidth="1"/>
    <col min="5644" max="5644" width="16.5703125" bestFit="1" customWidth="1"/>
    <col min="5645" max="5645" width="12" bestFit="1" customWidth="1"/>
    <col min="5646" max="5646" width="28" customWidth="1"/>
    <col min="5647" max="5647" width="11" customWidth="1"/>
    <col min="5648" max="5649" width="9.28515625" customWidth="1"/>
    <col min="5650" max="5650" width="51.7109375" customWidth="1"/>
    <col min="5651" max="5653" width="12.28515625" customWidth="1"/>
    <col min="5654" max="5654" width="21.42578125" bestFit="1" customWidth="1"/>
    <col min="5655" max="5655" width="18.28515625" bestFit="1" customWidth="1"/>
    <col min="5656" max="5656" width="17.5703125" bestFit="1" customWidth="1"/>
    <col min="5889" max="5889" width="5.7109375" customWidth="1"/>
    <col min="5890" max="5890" width="9.28515625" customWidth="1"/>
    <col min="5891" max="5891" width="51.7109375" customWidth="1"/>
    <col min="5892" max="5892" width="19" bestFit="1" customWidth="1"/>
    <col min="5893" max="5893" width="12.42578125" customWidth="1"/>
    <col min="5894" max="5894" width="16" bestFit="1" customWidth="1"/>
    <col min="5895" max="5896" width="16" customWidth="1"/>
    <col min="5897" max="5897" width="12.28515625" customWidth="1"/>
    <col min="5898" max="5898" width="21.42578125" bestFit="1" customWidth="1"/>
    <col min="5899" max="5899" width="15.42578125" bestFit="1" customWidth="1"/>
    <col min="5900" max="5900" width="16.5703125" bestFit="1" customWidth="1"/>
    <col min="5901" max="5901" width="12" bestFit="1" customWidth="1"/>
    <col min="5902" max="5902" width="28" customWidth="1"/>
    <col min="5903" max="5903" width="11" customWidth="1"/>
    <col min="5904" max="5905" width="9.28515625" customWidth="1"/>
    <col min="5906" max="5906" width="51.7109375" customWidth="1"/>
    <col min="5907" max="5909" width="12.28515625" customWidth="1"/>
    <col min="5910" max="5910" width="21.42578125" bestFit="1" customWidth="1"/>
    <col min="5911" max="5911" width="18.28515625" bestFit="1" customWidth="1"/>
    <col min="5912" max="5912" width="17.5703125" bestFit="1" customWidth="1"/>
    <col min="6145" max="6145" width="5.7109375" customWidth="1"/>
    <col min="6146" max="6146" width="9.28515625" customWidth="1"/>
    <col min="6147" max="6147" width="51.7109375" customWidth="1"/>
    <col min="6148" max="6148" width="19" bestFit="1" customWidth="1"/>
    <col min="6149" max="6149" width="12.42578125" customWidth="1"/>
    <col min="6150" max="6150" width="16" bestFit="1" customWidth="1"/>
    <col min="6151" max="6152" width="16" customWidth="1"/>
    <col min="6153" max="6153" width="12.28515625" customWidth="1"/>
    <col min="6154" max="6154" width="21.42578125" bestFit="1" customWidth="1"/>
    <col min="6155" max="6155" width="15.42578125" bestFit="1" customWidth="1"/>
    <col min="6156" max="6156" width="16.5703125" bestFit="1" customWidth="1"/>
    <col min="6157" max="6157" width="12" bestFit="1" customWidth="1"/>
    <col min="6158" max="6158" width="28" customWidth="1"/>
    <col min="6159" max="6159" width="11" customWidth="1"/>
    <col min="6160" max="6161" width="9.28515625" customWidth="1"/>
    <col min="6162" max="6162" width="51.7109375" customWidth="1"/>
    <col min="6163" max="6165" width="12.28515625" customWidth="1"/>
    <col min="6166" max="6166" width="21.42578125" bestFit="1" customWidth="1"/>
    <col min="6167" max="6167" width="18.28515625" bestFit="1" customWidth="1"/>
    <col min="6168" max="6168" width="17.5703125" bestFit="1" customWidth="1"/>
    <col min="6401" max="6401" width="5.7109375" customWidth="1"/>
    <col min="6402" max="6402" width="9.28515625" customWidth="1"/>
    <col min="6403" max="6403" width="51.7109375" customWidth="1"/>
    <col min="6404" max="6404" width="19" bestFit="1" customWidth="1"/>
    <col min="6405" max="6405" width="12.42578125" customWidth="1"/>
    <col min="6406" max="6406" width="16" bestFit="1" customWidth="1"/>
    <col min="6407" max="6408" width="16" customWidth="1"/>
    <col min="6409" max="6409" width="12.28515625" customWidth="1"/>
    <col min="6410" max="6410" width="21.42578125" bestFit="1" customWidth="1"/>
    <col min="6411" max="6411" width="15.42578125" bestFit="1" customWidth="1"/>
    <col min="6412" max="6412" width="16.5703125" bestFit="1" customWidth="1"/>
    <col min="6413" max="6413" width="12" bestFit="1" customWidth="1"/>
    <col min="6414" max="6414" width="28" customWidth="1"/>
    <col min="6415" max="6415" width="11" customWidth="1"/>
    <col min="6416" max="6417" width="9.28515625" customWidth="1"/>
    <col min="6418" max="6418" width="51.7109375" customWidth="1"/>
    <col min="6419" max="6421" width="12.28515625" customWidth="1"/>
    <col min="6422" max="6422" width="21.42578125" bestFit="1" customWidth="1"/>
    <col min="6423" max="6423" width="18.28515625" bestFit="1" customWidth="1"/>
    <col min="6424" max="6424" width="17.5703125" bestFit="1" customWidth="1"/>
    <col min="6657" max="6657" width="5.7109375" customWidth="1"/>
    <col min="6658" max="6658" width="9.28515625" customWidth="1"/>
    <col min="6659" max="6659" width="51.7109375" customWidth="1"/>
    <col min="6660" max="6660" width="19" bestFit="1" customWidth="1"/>
    <col min="6661" max="6661" width="12.42578125" customWidth="1"/>
    <col min="6662" max="6662" width="16" bestFit="1" customWidth="1"/>
    <col min="6663" max="6664" width="16" customWidth="1"/>
    <col min="6665" max="6665" width="12.28515625" customWidth="1"/>
    <col min="6666" max="6666" width="21.42578125" bestFit="1" customWidth="1"/>
    <col min="6667" max="6667" width="15.42578125" bestFit="1" customWidth="1"/>
    <col min="6668" max="6668" width="16.5703125" bestFit="1" customWidth="1"/>
    <col min="6669" max="6669" width="12" bestFit="1" customWidth="1"/>
    <col min="6670" max="6670" width="28" customWidth="1"/>
    <col min="6671" max="6671" width="11" customWidth="1"/>
    <col min="6672" max="6673" width="9.28515625" customWidth="1"/>
    <col min="6674" max="6674" width="51.7109375" customWidth="1"/>
    <col min="6675" max="6677" width="12.28515625" customWidth="1"/>
    <col min="6678" max="6678" width="21.42578125" bestFit="1" customWidth="1"/>
    <col min="6679" max="6679" width="18.28515625" bestFit="1" customWidth="1"/>
    <col min="6680" max="6680" width="17.5703125" bestFit="1" customWidth="1"/>
    <col min="6913" max="6913" width="5.7109375" customWidth="1"/>
    <col min="6914" max="6914" width="9.28515625" customWidth="1"/>
    <col min="6915" max="6915" width="51.7109375" customWidth="1"/>
    <col min="6916" max="6916" width="19" bestFit="1" customWidth="1"/>
    <col min="6917" max="6917" width="12.42578125" customWidth="1"/>
    <col min="6918" max="6918" width="16" bestFit="1" customWidth="1"/>
    <col min="6919" max="6920" width="16" customWidth="1"/>
    <col min="6921" max="6921" width="12.28515625" customWidth="1"/>
    <col min="6922" max="6922" width="21.42578125" bestFit="1" customWidth="1"/>
    <col min="6923" max="6923" width="15.42578125" bestFit="1" customWidth="1"/>
    <col min="6924" max="6924" width="16.5703125" bestFit="1" customWidth="1"/>
    <col min="6925" max="6925" width="12" bestFit="1" customWidth="1"/>
    <col min="6926" max="6926" width="28" customWidth="1"/>
    <col min="6927" max="6927" width="11" customWidth="1"/>
    <col min="6928" max="6929" width="9.28515625" customWidth="1"/>
    <col min="6930" max="6930" width="51.7109375" customWidth="1"/>
    <col min="6931" max="6933" width="12.28515625" customWidth="1"/>
    <col min="6934" max="6934" width="21.42578125" bestFit="1" customWidth="1"/>
    <col min="6935" max="6935" width="18.28515625" bestFit="1" customWidth="1"/>
    <col min="6936" max="6936" width="17.5703125" bestFit="1" customWidth="1"/>
    <col min="7169" max="7169" width="5.7109375" customWidth="1"/>
    <col min="7170" max="7170" width="9.28515625" customWidth="1"/>
    <col min="7171" max="7171" width="51.7109375" customWidth="1"/>
    <col min="7172" max="7172" width="19" bestFit="1" customWidth="1"/>
    <col min="7173" max="7173" width="12.42578125" customWidth="1"/>
    <col min="7174" max="7174" width="16" bestFit="1" customWidth="1"/>
    <col min="7175" max="7176" width="16" customWidth="1"/>
    <col min="7177" max="7177" width="12.28515625" customWidth="1"/>
    <col min="7178" max="7178" width="21.42578125" bestFit="1" customWidth="1"/>
    <col min="7179" max="7179" width="15.42578125" bestFit="1" customWidth="1"/>
    <col min="7180" max="7180" width="16.5703125" bestFit="1" customWidth="1"/>
    <col min="7181" max="7181" width="12" bestFit="1" customWidth="1"/>
    <col min="7182" max="7182" width="28" customWidth="1"/>
    <col min="7183" max="7183" width="11" customWidth="1"/>
    <col min="7184" max="7185" width="9.28515625" customWidth="1"/>
    <col min="7186" max="7186" width="51.7109375" customWidth="1"/>
    <col min="7187" max="7189" width="12.28515625" customWidth="1"/>
    <col min="7190" max="7190" width="21.42578125" bestFit="1" customWidth="1"/>
    <col min="7191" max="7191" width="18.28515625" bestFit="1" customWidth="1"/>
    <col min="7192" max="7192" width="17.5703125" bestFit="1" customWidth="1"/>
    <col min="7425" max="7425" width="5.7109375" customWidth="1"/>
    <col min="7426" max="7426" width="9.28515625" customWidth="1"/>
    <col min="7427" max="7427" width="51.7109375" customWidth="1"/>
    <col min="7428" max="7428" width="19" bestFit="1" customWidth="1"/>
    <col min="7429" max="7429" width="12.42578125" customWidth="1"/>
    <col min="7430" max="7430" width="16" bestFit="1" customWidth="1"/>
    <col min="7431" max="7432" width="16" customWidth="1"/>
    <col min="7433" max="7433" width="12.28515625" customWidth="1"/>
    <col min="7434" max="7434" width="21.42578125" bestFit="1" customWidth="1"/>
    <col min="7435" max="7435" width="15.42578125" bestFit="1" customWidth="1"/>
    <col min="7436" max="7436" width="16.5703125" bestFit="1" customWidth="1"/>
    <col min="7437" max="7437" width="12" bestFit="1" customWidth="1"/>
    <col min="7438" max="7438" width="28" customWidth="1"/>
    <col min="7439" max="7439" width="11" customWidth="1"/>
    <col min="7440" max="7441" width="9.28515625" customWidth="1"/>
    <col min="7442" max="7442" width="51.7109375" customWidth="1"/>
    <col min="7443" max="7445" width="12.28515625" customWidth="1"/>
    <col min="7446" max="7446" width="21.42578125" bestFit="1" customWidth="1"/>
    <col min="7447" max="7447" width="18.28515625" bestFit="1" customWidth="1"/>
    <col min="7448" max="7448" width="17.5703125" bestFit="1" customWidth="1"/>
    <col min="7681" max="7681" width="5.7109375" customWidth="1"/>
    <col min="7682" max="7682" width="9.28515625" customWidth="1"/>
    <col min="7683" max="7683" width="51.7109375" customWidth="1"/>
    <col min="7684" max="7684" width="19" bestFit="1" customWidth="1"/>
    <col min="7685" max="7685" width="12.42578125" customWidth="1"/>
    <col min="7686" max="7686" width="16" bestFit="1" customWidth="1"/>
    <col min="7687" max="7688" width="16" customWidth="1"/>
    <col min="7689" max="7689" width="12.28515625" customWidth="1"/>
    <col min="7690" max="7690" width="21.42578125" bestFit="1" customWidth="1"/>
    <col min="7691" max="7691" width="15.42578125" bestFit="1" customWidth="1"/>
    <col min="7692" max="7692" width="16.5703125" bestFit="1" customWidth="1"/>
    <col min="7693" max="7693" width="12" bestFit="1" customWidth="1"/>
    <col min="7694" max="7694" width="28" customWidth="1"/>
    <col min="7695" max="7695" width="11" customWidth="1"/>
    <col min="7696" max="7697" width="9.28515625" customWidth="1"/>
    <col min="7698" max="7698" width="51.7109375" customWidth="1"/>
    <col min="7699" max="7701" width="12.28515625" customWidth="1"/>
    <col min="7702" max="7702" width="21.42578125" bestFit="1" customWidth="1"/>
    <col min="7703" max="7703" width="18.28515625" bestFit="1" customWidth="1"/>
    <col min="7704" max="7704" width="17.5703125" bestFit="1" customWidth="1"/>
    <col min="7937" max="7937" width="5.7109375" customWidth="1"/>
    <col min="7938" max="7938" width="9.28515625" customWidth="1"/>
    <col min="7939" max="7939" width="51.7109375" customWidth="1"/>
    <col min="7940" max="7940" width="19" bestFit="1" customWidth="1"/>
    <col min="7941" max="7941" width="12.42578125" customWidth="1"/>
    <col min="7942" max="7942" width="16" bestFit="1" customWidth="1"/>
    <col min="7943" max="7944" width="16" customWidth="1"/>
    <col min="7945" max="7945" width="12.28515625" customWidth="1"/>
    <col min="7946" max="7946" width="21.42578125" bestFit="1" customWidth="1"/>
    <col min="7947" max="7947" width="15.42578125" bestFit="1" customWidth="1"/>
    <col min="7948" max="7948" width="16.5703125" bestFit="1" customWidth="1"/>
    <col min="7949" max="7949" width="12" bestFit="1" customWidth="1"/>
    <col min="7950" max="7950" width="28" customWidth="1"/>
    <col min="7951" max="7951" width="11" customWidth="1"/>
    <col min="7952" max="7953" width="9.28515625" customWidth="1"/>
    <col min="7954" max="7954" width="51.7109375" customWidth="1"/>
    <col min="7955" max="7957" width="12.28515625" customWidth="1"/>
    <col min="7958" max="7958" width="21.42578125" bestFit="1" customWidth="1"/>
    <col min="7959" max="7959" width="18.28515625" bestFit="1" customWidth="1"/>
    <col min="7960" max="7960" width="17.5703125" bestFit="1" customWidth="1"/>
    <col min="8193" max="8193" width="5.7109375" customWidth="1"/>
    <col min="8194" max="8194" width="9.28515625" customWidth="1"/>
    <col min="8195" max="8195" width="51.7109375" customWidth="1"/>
    <col min="8196" max="8196" width="19" bestFit="1" customWidth="1"/>
    <col min="8197" max="8197" width="12.42578125" customWidth="1"/>
    <col min="8198" max="8198" width="16" bestFit="1" customWidth="1"/>
    <col min="8199" max="8200" width="16" customWidth="1"/>
    <col min="8201" max="8201" width="12.28515625" customWidth="1"/>
    <col min="8202" max="8202" width="21.42578125" bestFit="1" customWidth="1"/>
    <col min="8203" max="8203" width="15.42578125" bestFit="1" customWidth="1"/>
    <col min="8204" max="8204" width="16.5703125" bestFit="1" customWidth="1"/>
    <col min="8205" max="8205" width="12" bestFit="1" customWidth="1"/>
    <col min="8206" max="8206" width="28" customWidth="1"/>
    <col min="8207" max="8207" width="11" customWidth="1"/>
    <col min="8208" max="8209" width="9.28515625" customWidth="1"/>
    <col min="8210" max="8210" width="51.7109375" customWidth="1"/>
    <col min="8211" max="8213" width="12.28515625" customWidth="1"/>
    <col min="8214" max="8214" width="21.42578125" bestFit="1" customWidth="1"/>
    <col min="8215" max="8215" width="18.28515625" bestFit="1" customWidth="1"/>
    <col min="8216" max="8216" width="17.5703125" bestFit="1" customWidth="1"/>
    <col min="8449" max="8449" width="5.7109375" customWidth="1"/>
    <col min="8450" max="8450" width="9.28515625" customWidth="1"/>
    <col min="8451" max="8451" width="51.7109375" customWidth="1"/>
    <col min="8452" max="8452" width="19" bestFit="1" customWidth="1"/>
    <col min="8453" max="8453" width="12.42578125" customWidth="1"/>
    <col min="8454" max="8454" width="16" bestFit="1" customWidth="1"/>
    <col min="8455" max="8456" width="16" customWidth="1"/>
    <col min="8457" max="8457" width="12.28515625" customWidth="1"/>
    <col min="8458" max="8458" width="21.42578125" bestFit="1" customWidth="1"/>
    <col min="8459" max="8459" width="15.42578125" bestFit="1" customWidth="1"/>
    <col min="8460" max="8460" width="16.5703125" bestFit="1" customWidth="1"/>
    <col min="8461" max="8461" width="12" bestFit="1" customWidth="1"/>
    <col min="8462" max="8462" width="28" customWidth="1"/>
    <col min="8463" max="8463" width="11" customWidth="1"/>
    <col min="8464" max="8465" width="9.28515625" customWidth="1"/>
    <col min="8466" max="8466" width="51.7109375" customWidth="1"/>
    <col min="8467" max="8469" width="12.28515625" customWidth="1"/>
    <col min="8470" max="8470" width="21.42578125" bestFit="1" customWidth="1"/>
    <col min="8471" max="8471" width="18.28515625" bestFit="1" customWidth="1"/>
    <col min="8472" max="8472" width="17.5703125" bestFit="1" customWidth="1"/>
    <col min="8705" max="8705" width="5.7109375" customWidth="1"/>
    <col min="8706" max="8706" width="9.28515625" customWidth="1"/>
    <col min="8707" max="8707" width="51.7109375" customWidth="1"/>
    <col min="8708" max="8708" width="19" bestFit="1" customWidth="1"/>
    <col min="8709" max="8709" width="12.42578125" customWidth="1"/>
    <col min="8710" max="8710" width="16" bestFit="1" customWidth="1"/>
    <col min="8711" max="8712" width="16" customWidth="1"/>
    <col min="8713" max="8713" width="12.28515625" customWidth="1"/>
    <col min="8714" max="8714" width="21.42578125" bestFit="1" customWidth="1"/>
    <col min="8715" max="8715" width="15.42578125" bestFit="1" customWidth="1"/>
    <col min="8716" max="8716" width="16.5703125" bestFit="1" customWidth="1"/>
    <col min="8717" max="8717" width="12" bestFit="1" customWidth="1"/>
    <col min="8718" max="8718" width="28" customWidth="1"/>
    <col min="8719" max="8719" width="11" customWidth="1"/>
    <col min="8720" max="8721" width="9.28515625" customWidth="1"/>
    <col min="8722" max="8722" width="51.7109375" customWidth="1"/>
    <col min="8723" max="8725" width="12.28515625" customWidth="1"/>
    <col min="8726" max="8726" width="21.42578125" bestFit="1" customWidth="1"/>
    <col min="8727" max="8727" width="18.28515625" bestFit="1" customWidth="1"/>
    <col min="8728" max="8728" width="17.5703125" bestFit="1" customWidth="1"/>
    <col min="8961" max="8961" width="5.7109375" customWidth="1"/>
    <col min="8962" max="8962" width="9.28515625" customWidth="1"/>
    <col min="8963" max="8963" width="51.7109375" customWidth="1"/>
    <col min="8964" max="8964" width="19" bestFit="1" customWidth="1"/>
    <col min="8965" max="8965" width="12.42578125" customWidth="1"/>
    <col min="8966" max="8966" width="16" bestFit="1" customWidth="1"/>
    <col min="8967" max="8968" width="16" customWidth="1"/>
    <col min="8969" max="8969" width="12.28515625" customWidth="1"/>
    <col min="8970" max="8970" width="21.42578125" bestFit="1" customWidth="1"/>
    <col min="8971" max="8971" width="15.42578125" bestFit="1" customWidth="1"/>
    <col min="8972" max="8972" width="16.5703125" bestFit="1" customWidth="1"/>
    <col min="8973" max="8973" width="12" bestFit="1" customWidth="1"/>
    <col min="8974" max="8974" width="28" customWidth="1"/>
    <col min="8975" max="8975" width="11" customWidth="1"/>
    <col min="8976" max="8977" width="9.28515625" customWidth="1"/>
    <col min="8978" max="8978" width="51.7109375" customWidth="1"/>
    <col min="8979" max="8981" width="12.28515625" customWidth="1"/>
    <col min="8982" max="8982" width="21.42578125" bestFit="1" customWidth="1"/>
    <col min="8983" max="8983" width="18.28515625" bestFit="1" customWidth="1"/>
    <col min="8984" max="8984" width="17.5703125" bestFit="1" customWidth="1"/>
    <col min="9217" max="9217" width="5.7109375" customWidth="1"/>
    <col min="9218" max="9218" width="9.28515625" customWidth="1"/>
    <col min="9219" max="9219" width="51.7109375" customWidth="1"/>
    <col min="9220" max="9220" width="19" bestFit="1" customWidth="1"/>
    <col min="9221" max="9221" width="12.42578125" customWidth="1"/>
    <col min="9222" max="9222" width="16" bestFit="1" customWidth="1"/>
    <col min="9223" max="9224" width="16" customWidth="1"/>
    <col min="9225" max="9225" width="12.28515625" customWidth="1"/>
    <col min="9226" max="9226" width="21.42578125" bestFit="1" customWidth="1"/>
    <col min="9227" max="9227" width="15.42578125" bestFit="1" customWidth="1"/>
    <col min="9228" max="9228" width="16.5703125" bestFit="1" customWidth="1"/>
    <col min="9229" max="9229" width="12" bestFit="1" customWidth="1"/>
    <col min="9230" max="9230" width="28" customWidth="1"/>
    <col min="9231" max="9231" width="11" customWidth="1"/>
    <col min="9232" max="9233" width="9.28515625" customWidth="1"/>
    <col min="9234" max="9234" width="51.7109375" customWidth="1"/>
    <col min="9235" max="9237" width="12.28515625" customWidth="1"/>
    <col min="9238" max="9238" width="21.42578125" bestFit="1" customWidth="1"/>
    <col min="9239" max="9239" width="18.28515625" bestFit="1" customWidth="1"/>
    <col min="9240" max="9240" width="17.5703125" bestFit="1" customWidth="1"/>
    <col min="9473" max="9473" width="5.7109375" customWidth="1"/>
    <col min="9474" max="9474" width="9.28515625" customWidth="1"/>
    <col min="9475" max="9475" width="51.7109375" customWidth="1"/>
    <col min="9476" max="9476" width="19" bestFit="1" customWidth="1"/>
    <col min="9477" max="9477" width="12.42578125" customWidth="1"/>
    <col min="9478" max="9478" width="16" bestFit="1" customWidth="1"/>
    <col min="9479" max="9480" width="16" customWidth="1"/>
    <col min="9481" max="9481" width="12.28515625" customWidth="1"/>
    <col min="9482" max="9482" width="21.42578125" bestFit="1" customWidth="1"/>
    <col min="9483" max="9483" width="15.42578125" bestFit="1" customWidth="1"/>
    <col min="9484" max="9484" width="16.5703125" bestFit="1" customWidth="1"/>
    <col min="9485" max="9485" width="12" bestFit="1" customWidth="1"/>
    <col min="9486" max="9486" width="28" customWidth="1"/>
    <col min="9487" max="9487" width="11" customWidth="1"/>
    <col min="9488" max="9489" width="9.28515625" customWidth="1"/>
    <col min="9490" max="9490" width="51.7109375" customWidth="1"/>
    <col min="9491" max="9493" width="12.28515625" customWidth="1"/>
    <col min="9494" max="9494" width="21.42578125" bestFit="1" customWidth="1"/>
    <col min="9495" max="9495" width="18.28515625" bestFit="1" customWidth="1"/>
    <col min="9496" max="9496" width="17.5703125" bestFit="1" customWidth="1"/>
    <col min="9729" max="9729" width="5.7109375" customWidth="1"/>
    <col min="9730" max="9730" width="9.28515625" customWidth="1"/>
    <col min="9731" max="9731" width="51.7109375" customWidth="1"/>
    <col min="9732" max="9732" width="19" bestFit="1" customWidth="1"/>
    <col min="9733" max="9733" width="12.42578125" customWidth="1"/>
    <col min="9734" max="9734" width="16" bestFit="1" customWidth="1"/>
    <col min="9735" max="9736" width="16" customWidth="1"/>
    <col min="9737" max="9737" width="12.28515625" customWidth="1"/>
    <col min="9738" max="9738" width="21.42578125" bestFit="1" customWidth="1"/>
    <col min="9739" max="9739" width="15.42578125" bestFit="1" customWidth="1"/>
    <col min="9740" max="9740" width="16.5703125" bestFit="1" customWidth="1"/>
    <col min="9741" max="9741" width="12" bestFit="1" customWidth="1"/>
    <col min="9742" max="9742" width="28" customWidth="1"/>
    <col min="9743" max="9743" width="11" customWidth="1"/>
    <col min="9744" max="9745" width="9.28515625" customWidth="1"/>
    <col min="9746" max="9746" width="51.7109375" customWidth="1"/>
    <col min="9747" max="9749" width="12.28515625" customWidth="1"/>
    <col min="9750" max="9750" width="21.42578125" bestFit="1" customWidth="1"/>
    <col min="9751" max="9751" width="18.28515625" bestFit="1" customWidth="1"/>
    <col min="9752" max="9752" width="17.5703125" bestFit="1" customWidth="1"/>
    <col min="9985" max="9985" width="5.7109375" customWidth="1"/>
    <col min="9986" max="9986" width="9.28515625" customWidth="1"/>
    <col min="9987" max="9987" width="51.7109375" customWidth="1"/>
    <col min="9988" max="9988" width="19" bestFit="1" customWidth="1"/>
    <col min="9989" max="9989" width="12.42578125" customWidth="1"/>
    <col min="9990" max="9990" width="16" bestFit="1" customWidth="1"/>
    <col min="9991" max="9992" width="16" customWidth="1"/>
    <col min="9993" max="9993" width="12.28515625" customWidth="1"/>
    <col min="9994" max="9994" width="21.42578125" bestFit="1" customWidth="1"/>
    <col min="9995" max="9995" width="15.42578125" bestFit="1" customWidth="1"/>
    <col min="9996" max="9996" width="16.5703125" bestFit="1" customWidth="1"/>
    <col min="9997" max="9997" width="12" bestFit="1" customWidth="1"/>
    <col min="9998" max="9998" width="28" customWidth="1"/>
    <col min="9999" max="9999" width="11" customWidth="1"/>
    <col min="10000" max="10001" width="9.28515625" customWidth="1"/>
    <col min="10002" max="10002" width="51.7109375" customWidth="1"/>
    <col min="10003" max="10005" width="12.28515625" customWidth="1"/>
    <col min="10006" max="10006" width="21.42578125" bestFit="1" customWidth="1"/>
    <col min="10007" max="10007" width="18.28515625" bestFit="1" customWidth="1"/>
    <col min="10008" max="10008" width="17.5703125" bestFit="1" customWidth="1"/>
    <col min="10241" max="10241" width="5.7109375" customWidth="1"/>
    <col min="10242" max="10242" width="9.28515625" customWidth="1"/>
    <col min="10243" max="10243" width="51.7109375" customWidth="1"/>
    <col min="10244" max="10244" width="19" bestFit="1" customWidth="1"/>
    <col min="10245" max="10245" width="12.42578125" customWidth="1"/>
    <col min="10246" max="10246" width="16" bestFit="1" customWidth="1"/>
    <col min="10247" max="10248" width="16" customWidth="1"/>
    <col min="10249" max="10249" width="12.28515625" customWidth="1"/>
    <col min="10250" max="10250" width="21.42578125" bestFit="1" customWidth="1"/>
    <col min="10251" max="10251" width="15.42578125" bestFit="1" customWidth="1"/>
    <col min="10252" max="10252" width="16.5703125" bestFit="1" customWidth="1"/>
    <col min="10253" max="10253" width="12" bestFit="1" customWidth="1"/>
    <col min="10254" max="10254" width="28" customWidth="1"/>
    <col min="10255" max="10255" width="11" customWidth="1"/>
    <col min="10256" max="10257" width="9.28515625" customWidth="1"/>
    <col min="10258" max="10258" width="51.7109375" customWidth="1"/>
    <col min="10259" max="10261" width="12.28515625" customWidth="1"/>
    <col min="10262" max="10262" width="21.42578125" bestFit="1" customWidth="1"/>
    <col min="10263" max="10263" width="18.28515625" bestFit="1" customWidth="1"/>
    <col min="10264" max="10264" width="17.5703125" bestFit="1" customWidth="1"/>
    <col min="10497" max="10497" width="5.7109375" customWidth="1"/>
    <col min="10498" max="10498" width="9.28515625" customWidth="1"/>
    <col min="10499" max="10499" width="51.7109375" customWidth="1"/>
    <col min="10500" max="10500" width="19" bestFit="1" customWidth="1"/>
    <col min="10501" max="10501" width="12.42578125" customWidth="1"/>
    <col min="10502" max="10502" width="16" bestFit="1" customWidth="1"/>
    <col min="10503" max="10504" width="16" customWidth="1"/>
    <col min="10505" max="10505" width="12.28515625" customWidth="1"/>
    <col min="10506" max="10506" width="21.42578125" bestFit="1" customWidth="1"/>
    <col min="10507" max="10507" width="15.42578125" bestFit="1" customWidth="1"/>
    <col min="10508" max="10508" width="16.5703125" bestFit="1" customWidth="1"/>
    <col min="10509" max="10509" width="12" bestFit="1" customWidth="1"/>
    <col min="10510" max="10510" width="28" customWidth="1"/>
    <col min="10511" max="10511" width="11" customWidth="1"/>
    <col min="10512" max="10513" width="9.28515625" customWidth="1"/>
    <col min="10514" max="10514" width="51.7109375" customWidth="1"/>
    <col min="10515" max="10517" width="12.28515625" customWidth="1"/>
    <col min="10518" max="10518" width="21.42578125" bestFit="1" customWidth="1"/>
    <col min="10519" max="10519" width="18.28515625" bestFit="1" customWidth="1"/>
    <col min="10520" max="10520" width="17.5703125" bestFit="1" customWidth="1"/>
    <col min="10753" max="10753" width="5.7109375" customWidth="1"/>
    <col min="10754" max="10754" width="9.28515625" customWidth="1"/>
    <col min="10755" max="10755" width="51.7109375" customWidth="1"/>
    <col min="10756" max="10756" width="19" bestFit="1" customWidth="1"/>
    <col min="10757" max="10757" width="12.42578125" customWidth="1"/>
    <col min="10758" max="10758" width="16" bestFit="1" customWidth="1"/>
    <col min="10759" max="10760" width="16" customWidth="1"/>
    <col min="10761" max="10761" width="12.28515625" customWidth="1"/>
    <col min="10762" max="10762" width="21.42578125" bestFit="1" customWidth="1"/>
    <col min="10763" max="10763" width="15.42578125" bestFit="1" customWidth="1"/>
    <col min="10764" max="10764" width="16.5703125" bestFit="1" customWidth="1"/>
    <col min="10765" max="10765" width="12" bestFit="1" customWidth="1"/>
    <col min="10766" max="10766" width="28" customWidth="1"/>
    <col min="10767" max="10767" width="11" customWidth="1"/>
    <col min="10768" max="10769" width="9.28515625" customWidth="1"/>
    <col min="10770" max="10770" width="51.7109375" customWidth="1"/>
    <col min="10771" max="10773" width="12.28515625" customWidth="1"/>
    <col min="10774" max="10774" width="21.42578125" bestFit="1" customWidth="1"/>
    <col min="10775" max="10775" width="18.28515625" bestFit="1" customWidth="1"/>
    <col min="10776" max="10776" width="17.5703125" bestFit="1" customWidth="1"/>
    <col min="11009" max="11009" width="5.7109375" customWidth="1"/>
    <col min="11010" max="11010" width="9.28515625" customWidth="1"/>
    <col min="11011" max="11011" width="51.7109375" customWidth="1"/>
    <col min="11012" max="11012" width="19" bestFit="1" customWidth="1"/>
    <col min="11013" max="11013" width="12.42578125" customWidth="1"/>
    <col min="11014" max="11014" width="16" bestFit="1" customWidth="1"/>
    <col min="11015" max="11016" width="16" customWidth="1"/>
    <col min="11017" max="11017" width="12.28515625" customWidth="1"/>
    <col min="11018" max="11018" width="21.42578125" bestFit="1" customWidth="1"/>
    <col min="11019" max="11019" width="15.42578125" bestFit="1" customWidth="1"/>
    <col min="11020" max="11020" width="16.5703125" bestFit="1" customWidth="1"/>
    <col min="11021" max="11021" width="12" bestFit="1" customWidth="1"/>
    <col min="11022" max="11022" width="28" customWidth="1"/>
    <col min="11023" max="11023" width="11" customWidth="1"/>
    <col min="11024" max="11025" width="9.28515625" customWidth="1"/>
    <col min="11026" max="11026" width="51.7109375" customWidth="1"/>
    <col min="11027" max="11029" width="12.28515625" customWidth="1"/>
    <col min="11030" max="11030" width="21.42578125" bestFit="1" customWidth="1"/>
    <col min="11031" max="11031" width="18.28515625" bestFit="1" customWidth="1"/>
    <col min="11032" max="11032" width="17.5703125" bestFit="1" customWidth="1"/>
    <col min="11265" max="11265" width="5.7109375" customWidth="1"/>
    <col min="11266" max="11266" width="9.28515625" customWidth="1"/>
    <col min="11267" max="11267" width="51.7109375" customWidth="1"/>
    <col min="11268" max="11268" width="19" bestFit="1" customWidth="1"/>
    <col min="11269" max="11269" width="12.42578125" customWidth="1"/>
    <col min="11270" max="11270" width="16" bestFit="1" customWidth="1"/>
    <col min="11271" max="11272" width="16" customWidth="1"/>
    <col min="11273" max="11273" width="12.28515625" customWidth="1"/>
    <col min="11274" max="11274" width="21.42578125" bestFit="1" customWidth="1"/>
    <col min="11275" max="11275" width="15.42578125" bestFit="1" customWidth="1"/>
    <col min="11276" max="11276" width="16.5703125" bestFit="1" customWidth="1"/>
    <col min="11277" max="11277" width="12" bestFit="1" customWidth="1"/>
    <col min="11278" max="11278" width="28" customWidth="1"/>
    <col min="11279" max="11279" width="11" customWidth="1"/>
    <col min="11280" max="11281" width="9.28515625" customWidth="1"/>
    <col min="11282" max="11282" width="51.7109375" customWidth="1"/>
    <col min="11283" max="11285" width="12.28515625" customWidth="1"/>
    <col min="11286" max="11286" width="21.42578125" bestFit="1" customWidth="1"/>
    <col min="11287" max="11287" width="18.28515625" bestFit="1" customWidth="1"/>
    <col min="11288" max="11288" width="17.5703125" bestFit="1" customWidth="1"/>
    <col min="11521" max="11521" width="5.7109375" customWidth="1"/>
    <col min="11522" max="11522" width="9.28515625" customWidth="1"/>
    <col min="11523" max="11523" width="51.7109375" customWidth="1"/>
    <col min="11524" max="11524" width="19" bestFit="1" customWidth="1"/>
    <col min="11525" max="11525" width="12.42578125" customWidth="1"/>
    <col min="11526" max="11526" width="16" bestFit="1" customWidth="1"/>
    <col min="11527" max="11528" width="16" customWidth="1"/>
    <col min="11529" max="11529" width="12.28515625" customWidth="1"/>
    <col min="11530" max="11530" width="21.42578125" bestFit="1" customWidth="1"/>
    <col min="11531" max="11531" width="15.42578125" bestFit="1" customWidth="1"/>
    <col min="11532" max="11532" width="16.5703125" bestFit="1" customWidth="1"/>
    <col min="11533" max="11533" width="12" bestFit="1" customWidth="1"/>
    <col min="11534" max="11534" width="28" customWidth="1"/>
    <col min="11535" max="11535" width="11" customWidth="1"/>
    <col min="11536" max="11537" width="9.28515625" customWidth="1"/>
    <col min="11538" max="11538" width="51.7109375" customWidth="1"/>
    <col min="11539" max="11541" width="12.28515625" customWidth="1"/>
    <col min="11542" max="11542" width="21.42578125" bestFit="1" customWidth="1"/>
    <col min="11543" max="11543" width="18.28515625" bestFit="1" customWidth="1"/>
    <col min="11544" max="11544" width="17.5703125" bestFit="1" customWidth="1"/>
    <col min="11777" max="11777" width="5.7109375" customWidth="1"/>
    <col min="11778" max="11778" width="9.28515625" customWidth="1"/>
    <col min="11779" max="11779" width="51.7109375" customWidth="1"/>
    <col min="11780" max="11780" width="19" bestFit="1" customWidth="1"/>
    <col min="11781" max="11781" width="12.42578125" customWidth="1"/>
    <col min="11782" max="11782" width="16" bestFit="1" customWidth="1"/>
    <col min="11783" max="11784" width="16" customWidth="1"/>
    <col min="11785" max="11785" width="12.28515625" customWidth="1"/>
    <col min="11786" max="11786" width="21.42578125" bestFit="1" customWidth="1"/>
    <col min="11787" max="11787" width="15.42578125" bestFit="1" customWidth="1"/>
    <col min="11788" max="11788" width="16.5703125" bestFit="1" customWidth="1"/>
    <col min="11789" max="11789" width="12" bestFit="1" customWidth="1"/>
    <col min="11790" max="11790" width="28" customWidth="1"/>
    <col min="11791" max="11791" width="11" customWidth="1"/>
    <col min="11792" max="11793" width="9.28515625" customWidth="1"/>
    <col min="11794" max="11794" width="51.7109375" customWidth="1"/>
    <col min="11795" max="11797" width="12.28515625" customWidth="1"/>
    <col min="11798" max="11798" width="21.42578125" bestFit="1" customWidth="1"/>
    <col min="11799" max="11799" width="18.28515625" bestFit="1" customWidth="1"/>
    <col min="11800" max="11800" width="17.5703125" bestFit="1" customWidth="1"/>
    <col min="12033" max="12033" width="5.7109375" customWidth="1"/>
    <col min="12034" max="12034" width="9.28515625" customWidth="1"/>
    <col min="12035" max="12035" width="51.7109375" customWidth="1"/>
    <col min="12036" max="12036" width="19" bestFit="1" customWidth="1"/>
    <col min="12037" max="12037" width="12.42578125" customWidth="1"/>
    <col min="12038" max="12038" width="16" bestFit="1" customWidth="1"/>
    <col min="12039" max="12040" width="16" customWidth="1"/>
    <col min="12041" max="12041" width="12.28515625" customWidth="1"/>
    <col min="12042" max="12042" width="21.42578125" bestFit="1" customWidth="1"/>
    <col min="12043" max="12043" width="15.42578125" bestFit="1" customWidth="1"/>
    <col min="12044" max="12044" width="16.5703125" bestFit="1" customWidth="1"/>
    <col min="12045" max="12045" width="12" bestFit="1" customWidth="1"/>
    <col min="12046" max="12046" width="28" customWidth="1"/>
    <col min="12047" max="12047" width="11" customWidth="1"/>
    <col min="12048" max="12049" width="9.28515625" customWidth="1"/>
    <col min="12050" max="12050" width="51.7109375" customWidth="1"/>
    <col min="12051" max="12053" width="12.28515625" customWidth="1"/>
    <col min="12054" max="12054" width="21.42578125" bestFit="1" customWidth="1"/>
    <col min="12055" max="12055" width="18.28515625" bestFit="1" customWidth="1"/>
    <col min="12056" max="12056" width="17.5703125" bestFit="1" customWidth="1"/>
    <col min="12289" max="12289" width="5.7109375" customWidth="1"/>
    <col min="12290" max="12290" width="9.28515625" customWidth="1"/>
    <col min="12291" max="12291" width="51.7109375" customWidth="1"/>
    <col min="12292" max="12292" width="19" bestFit="1" customWidth="1"/>
    <col min="12293" max="12293" width="12.42578125" customWidth="1"/>
    <col min="12294" max="12294" width="16" bestFit="1" customWidth="1"/>
    <col min="12295" max="12296" width="16" customWidth="1"/>
    <col min="12297" max="12297" width="12.28515625" customWidth="1"/>
    <col min="12298" max="12298" width="21.42578125" bestFit="1" customWidth="1"/>
    <col min="12299" max="12299" width="15.42578125" bestFit="1" customWidth="1"/>
    <col min="12300" max="12300" width="16.5703125" bestFit="1" customWidth="1"/>
    <col min="12301" max="12301" width="12" bestFit="1" customWidth="1"/>
    <col min="12302" max="12302" width="28" customWidth="1"/>
    <col min="12303" max="12303" width="11" customWidth="1"/>
    <col min="12304" max="12305" width="9.28515625" customWidth="1"/>
    <col min="12306" max="12306" width="51.7109375" customWidth="1"/>
    <col min="12307" max="12309" width="12.28515625" customWidth="1"/>
    <col min="12310" max="12310" width="21.42578125" bestFit="1" customWidth="1"/>
    <col min="12311" max="12311" width="18.28515625" bestFit="1" customWidth="1"/>
    <col min="12312" max="12312" width="17.5703125" bestFit="1" customWidth="1"/>
    <col min="12545" max="12545" width="5.7109375" customWidth="1"/>
    <col min="12546" max="12546" width="9.28515625" customWidth="1"/>
    <col min="12547" max="12547" width="51.7109375" customWidth="1"/>
    <col min="12548" max="12548" width="19" bestFit="1" customWidth="1"/>
    <col min="12549" max="12549" width="12.42578125" customWidth="1"/>
    <col min="12550" max="12550" width="16" bestFit="1" customWidth="1"/>
    <col min="12551" max="12552" width="16" customWidth="1"/>
    <col min="12553" max="12553" width="12.28515625" customWidth="1"/>
    <col min="12554" max="12554" width="21.42578125" bestFit="1" customWidth="1"/>
    <col min="12555" max="12555" width="15.42578125" bestFit="1" customWidth="1"/>
    <col min="12556" max="12556" width="16.5703125" bestFit="1" customWidth="1"/>
    <col min="12557" max="12557" width="12" bestFit="1" customWidth="1"/>
    <col min="12558" max="12558" width="28" customWidth="1"/>
    <col min="12559" max="12559" width="11" customWidth="1"/>
    <col min="12560" max="12561" width="9.28515625" customWidth="1"/>
    <col min="12562" max="12562" width="51.7109375" customWidth="1"/>
    <col min="12563" max="12565" width="12.28515625" customWidth="1"/>
    <col min="12566" max="12566" width="21.42578125" bestFit="1" customWidth="1"/>
    <col min="12567" max="12567" width="18.28515625" bestFit="1" customWidth="1"/>
    <col min="12568" max="12568" width="17.5703125" bestFit="1" customWidth="1"/>
    <col min="12801" max="12801" width="5.7109375" customWidth="1"/>
    <col min="12802" max="12802" width="9.28515625" customWidth="1"/>
    <col min="12803" max="12803" width="51.7109375" customWidth="1"/>
    <col min="12804" max="12804" width="19" bestFit="1" customWidth="1"/>
    <col min="12805" max="12805" width="12.42578125" customWidth="1"/>
    <col min="12806" max="12806" width="16" bestFit="1" customWidth="1"/>
    <col min="12807" max="12808" width="16" customWidth="1"/>
    <col min="12809" max="12809" width="12.28515625" customWidth="1"/>
    <col min="12810" max="12810" width="21.42578125" bestFit="1" customWidth="1"/>
    <col min="12811" max="12811" width="15.42578125" bestFit="1" customWidth="1"/>
    <col min="12812" max="12812" width="16.5703125" bestFit="1" customWidth="1"/>
    <col min="12813" max="12813" width="12" bestFit="1" customWidth="1"/>
    <col min="12814" max="12814" width="28" customWidth="1"/>
    <col min="12815" max="12815" width="11" customWidth="1"/>
    <col min="12816" max="12817" width="9.28515625" customWidth="1"/>
    <col min="12818" max="12818" width="51.7109375" customWidth="1"/>
    <col min="12819" max="12821" width="12.28515625" customWidth="1"/>
    <col min="12822" max="12822" width="21.42578125" bestFit="1" customWidth="1"/>
    <col min="12823" max="12823" width="18.28515625" bestFit="1" customWidth="1"/>
    <col min="12824" max="12824" width="17.5703125" bestFit="1" customWidth="1"/>
    <col min="13057" max="13057" width="5.7109375" customWidth="1"/>
    <col min="13058" max="13058" width="9.28515625" customWidth="1"/>
    <col min="13059" max="13059" width="51.7109375" customWidth="1"/>
    <col min="13060" max="13060" width="19" bestFit="1" customWidth="1"/>
    <col min="13061" max="13061" width="12.42578125" customWidth="1"/>
    <col min="13062" max="13062" width="16" bestFit="1" customWidth="1"/>
    <col min="13063" max="13064" width="16" customWidth="1"/>
    <col min="13065" max="13065" width="12.28515625" customWidth="1"/>
    <col min="13066" max="13066" width="21.42578125" bestFit="1" customWidth="1"/>
    <col min="13067" max="13067" width="15.42578125" bestFit="1" customWidth="1"/>
    <col min="13068" max="13068" width="16.5703125" bestFit="1" customWidth="1"/>
    <col min="13069" max="13069" width="12" bestFit="1" customWidth="1"/>
    <col min="13070" max="13070" width="28" customWidth="1"/>
    <col min="13071" max="13071" width="11" customWidth="1"/>
    <col min="13072" max="13073" width="9.28515625" customWidth="1"/>
    <col min="13074" max="13074" width="51.7109375" customWidth="1"/>
    <col min="13075" max="13077" width="12.28515625" customWidth="1"/>
    <col min="13078" max="13078" width="21.42578125" bestFit="1" customWidth="1"/>
    <col min="13079" max="13079" width="18.28515625" bestFit="1" customWidth="1"/>
    <col min="13080" max="13080" width="17.5703125" bestFit="1" customWidth="1"/>
    <col min="13313" max="13313" width="5.7109375" customWidth="1"/>
    <col min="13314" max="13314" width="9.28515625" customWidth="1"/>
    <col min="13315" max="13315" width="51.7109375" customWidth="1"/>
    <col min="13316" max="13316" width="19" bestFit="1" customWidth="1"/>
    <col min="13317" max="13317" width="12.42578125" customWidth="1"/>
    <col min="13318" max="13318" width="16" bestFit="1" customWidth="1"/>
    <col min="13319" max="13320" width="16" customWidth="1"/>
    <col min="13321" max="13321" width="12.28515625" customWidth="1"/>
    <col min="13322" max="13322" width="21.42578125" bestFit="1" customWidth="1"/>
    <col min="13323" max="13323" width="15.42578125" bestFit="1" customWidth="1"/>
    <col min="13324" max="13324" width="16.5703125" bestFit="1" customWidth="1"/>
    <col min="13325" max="13325" width="12" bestFit="1" customWidth="1"/>
    <col min="13326" max="13326" width="28" customWidth="1"/>
    <col min="13327" max="13327" width="11" customWidth="1"/>
    <col min="13328" max="13329" width="9.28515625" customWidth="1"/>
    <col min="13330" max="13330" width="51.7109375" customWidth="1"/>
    <col min="13331" max="13333" width="12.28515625" customWidth="1"/>
    <col min="13334" max="13334" width="21.42578125" bestFit="1" customWidth="1"/>
    <col min="13335" max="13335" width="18.28515625" bestFit="1" customWidth="1"/>
    <col min="13336" max="13336" width="17.5703125" bestFit="1" customWidth="1"/>
    <col min="13569" max="13569" width="5.7109375" customWidth="1"/>
    <col min="13570" max="13570" width="9.28515625" customWidth="1"/>
    <col min="13571" max="13571" width="51.7109375" customWidth="1"/>
    <col min="13572" max="13572" width="19" bestFit="1" customWidth="1"/>
    <col min="13573" max="13573" width="12.42578125" customWidth="1"/>
    <col min="13574" max="13574" width="16" bestFit="1" customWidth="1"/>
    <col min="13575" max="13576" width="16" customWidth="1"/>
    <col min="13577" max="13577" width="12.28515625" customWidth="1"/>
    <col min="13578" max="13578" width="21.42578125" bestFit="1" customWidth="1"/>
    <col min="13579" max="13579" width="15.42578125" bestFit="1" customWidth="1"/>
    <col min="13580" max="13580" width="16.5703125" bestFit="1" customWidth="1"/>
    <col min="13581" max="13581" width="12" bestFit="1" customWidth="1"/>
    <col min="13582" max="13582" width="28" customWidth="1"/>
    <col min="13583" max="13583" width="11" customWidth="1"/>
    <col min="13584" max="13585" width="9.28515625" customWidth="1"/>
    <col min="13586" max="13586" width="51.7109375" customWidth="1"/>
    <col min="13587" max="13589" width="12.28515625" customWidth="1"/>
    <col min="13590" max="13590" width="21.42578125" bestFit="1" customWidth="1"/>
    <col min="13591" max="13591" width="18.28515625" bestFit="1" customWidth="1"/>
    <col min="13592" max="13592" width="17.5703125" bestFit="1" customWidth="1"/>
    <col min="13825" max="13825" width="5.7109375" customWidth="1"/>
    <col min="13826" max="13826" width="9.28515625" customWidth="1"/>
    <col min="13827" max="13827" width="51.7109375" customWidth="1"/>
    <col min="13828" max="13828" width="19" bestFit="1" customWidth="1"/>
    <col min="13829" max="13829" width="12.42578125" customWidth="1"/>
    <col min="13830" max="13830" width="16" bestFit="1" customWidth="1"/>
    <col min="13831" max="13832" width="16" customWidth="1"/>
    <col min="13833" max="13833" width="12.28515625" customWidth="1"/>
    <col min="13834" max="13834" width="21.42578125" bestFit="1" customWidth="1"/>
    <col min="13835" max="13835" width="15.42578125" bestFit="1" customWidth="1"/>
    <col min="13836" max="13836" width="16.5703125" bestFit="1" customWidth="1"/>
    <col min="13837" max="13837" width="12" bestFit="1" customWidth="1"/>
    <col min="13838" max="13838" width="28" customWidth="1"/>
    <col min="13839" max="13839" width="11" customWidth="1"/>
    <col min="13840" max="13841" width="9.28515625" customWidth="1"/>
    <col min="13842" max="13842" width="51.7109375" customWidth="1"/>
    <col min="13843" max="13845" width="12.28515625" customWidth="1"/>
    <col min="13846" max="13846" width="21.42578125" bestFit="1" customWidth="1"/>
    <col min="13847" max="13847" width="18.28515625" bestFit="1" customWidth="1"/>
    <col min="13848" max="13848" width="17.5703125" bestFit="1" customWidth="1"/>
    <col min="14081" max="14081" width="5.7109375" customWidth="1"/>
    <col min="14082" max="14082" width="9.28515625" customWidth="1"/>
    <col min="14083" max="14083" width="51.7109375" customWidth="1"/>
    <col min="14084" max="14084" width="19" bestFit="1" customWidth="1"/>
    <col min="14085" max="14085" width="12.42578125" customWidth="1"/>
    <col min="14086" max="14086" width="16" bestFit="1" customWidth="1"/>
    <col min="14087" max="14088" width="16" customWidth="1"/>
    <col min="14089" max="14089" width="12.28515625" customWidth="1"/>
    <col min="14090" max="14090" width="21.42578125" bestFit="1" customWidth="1"/>
    <col min="14091" max="14091" width="15.42578125" bestFit="1" customWidth="1"/>
    <col min="14092" max="14092" width="16.5703125" bestFit="1" customWidth="1"/>
    <col min="14093" max="14093" width="12" bestFit="1" customWidth="1"/>
    <col min="14094" max="14094" width="28" customWidth="1"/>
    <col min="14095" max="14095" width="11" customWidth="1"/>
    <col min="14096" max="14097" width="9.28515625" customWidth="1"/>
    <col min="14098" max="14098" width="51.7109375" customWidth="1"/>
    <col min="14099" max="14101" width="12.28515625" customWidth="1"/>
    <col min="14102" max="14102" width="21.42578125" bestFit="1" customWidth="1"/>
    <col min="14103" max="14103" width="18.28515625" bestFit="1" customWidth="1"/>
    <col min="14104" max="14104" width="17.5703125" bestFit="1" customWidth="1"/>
    <col min="14337" max="14337" width="5.7109375" customWidth="1"/>
    <col min="14338" max="14338" width="9.28515625" customWidth="1"/>
    <col min="14339" max="14339" width="51.7109375" customWidth="1"/>
    <col min="14340" max="14340" width="19" bestFit="1" customWidth="1"/>
    <col min="14341" max="14341" width="12.42578125" customWidth="1"/>
    <col min="14342" max="14342" width="16" bestFit="1" customWidth="1"/>
    <col min="14343" max="14344" width="16" customWidth="1"/>
    <col min="14345" max="14345" width="12.28515625" customWidth="1"/>
    <col min="14346" max="14346" width="21.42578125" bestFit="1" customWidth="1"/>
    <col min="14347" max="14347" width="15.42578125" bestFit="1" customWidth="1"/>
    <col min="14348" max="14348" width="16.5703125" bestFit="1" customWidth="1"/>
    <col min="14349" max="14349" width="12" bestFit="1" customWidth="1"/>
    <col min="14350" max="14350" width="28" customWidth="1"/>
    <col min="14351" max="14351" width="11" customWidth="1"/>
    <col min="14352" max="14353" width="9.28515625" customWidth="1"/>
    <col min="14354" max="14354" width="51.7109375" customWidth="1"/>
    <col min="14355" max="14357" width="12.28515625" customWidth="1"/>
    <col min="14358" max="14358" width="21.42578125" bestFit="1" customWidth="1"/>
    <col min="14359" max="14359" width="18.28515625" bestFit="1" customWidth="1"/>
    <col min="14360" max="14360" width="17.5703125" bestFit="1" customWidth="1"/>
    <col min="14593" max="14593" width="5.7109375" customWidth="1"/>
    <col min="14594" max="14594" width="9.28515625" customWidth="1"/>
    <col min="14595" max="14595" width="51.7109375" customWidth="1"/>
    <col min="14596" max="14596" width="19" bestFit="1" customWidth="1"/>
    <col min="14597" max="14597" width="12.42578125" customWidth="1"/>
    <col min="14598" max="14598" width="16" bestFit="1" customWidth="1"/>
    <col min="14599" max="14600" width="16" customWidth="1"/>
    <col min="14601" max="14601" width="12.28515625" customWidth="1"/>
    <col min="14602" max="14602" width="21.42578125" bestFit="1" customWidth="1"/>
    <col min="14603" max="14603" width="15.42578125" bestFit="1" customWidth="1"/>
    <col min="14604" max="14604" width="16.5703125" bestFit="1" customWidth="1"/>
    <col min="14605" max="14605" width="12" bestFit="1" customWidth="1"/>
    <col min="14606" max="14606" width="28" customWidth="1"/>
    <col min="14607" max="14607" width="11" customWidth="1"/>
    <col min="14608" max="14609" width="9.28515625" customWidth="1"/>
    <col min="14610" max="14610" width="51.7109375" customWidth="1"/>
    <col min="14611" max="14613" width="12.28515625" customWidth="1"/>
    <col min="14614" max="14614" width="21.42578125" bestFit="1" customWidth="1"/>
    <col min="14615" max="14615" width="18.28515625" bestFit="1" customWidth="1"/>
    <col min="14616" max="14616" width="17.5703125" bestFit="1" customWidth="1"/>
    <col min="14849" max="14849" width="5.7109375" customWidth="1"/>
    <col min="14850" max="14850" width="9.28515625" customWidth="1"/>
    <col min="14851" max="14851" width="51.7109375" customWidth="1"/>
    <col min="14852" max="14852" width="19" bestFit="1" customWidth="1"/>
    <col min="14853" max="14853" width="12.42578125" customWidth="1"/>
    <col min="14854" max="14854" width="16" bestFit="1" customWidth="1"/>
    <col min="14855" max="14856" width="16" customWidth="1"/>
    <col min="14857" max="14857" width="12.28515625" customWidth="1"/>
    <col min="14858" max="14858" width="21.42578125" bestFit="1" customWidth="1"/>
    <col min="14859" max="14859" width="15.42578125" bestFit="1" customWidth="1"/>
    <col min="14860" max="14860" width="16.5703125" bestFit="1" customWidth="1"/>
    <col min="14861" max="14861" width="12" bestFit="1" customWidth="1"/>
    <col min="14862" max="14862" width="28" customWidth="1"/>
    <col min="14863" max="14863" width="11" customWidth="1"/>
    <col min="14864" max="14865" width="9.28515625" customWidth="1"/>
    <col min="14866" max="14866" width="51.7109375" customWidth="1"/>
    <col min="14867" max="14869" width="12.28515625" customWidth="1"/>
    <col min="14870" max="14870" width="21.42578125" bestFit="1" customWidth="1"/>
    <col min="14871" max="14871" width="18.28515625" bestFit="1" customWidth="1"/>
    <col min="14872" max="14872" width="17.5703125" bestFit="1" customWidth="1"/>
    <col min="15105" max="15105" width="5.7109375" customWidth="1"/>
    <col min="15106" max="15106" width="9.28515625" customWidth="1"/>
    <col min="15107" max="15107" width="51.7109375" customWidth="1"/>
    <col min="15108" max="15108" width="19" bestFit="1" customWidth="1"/>
    <col min="15109" max="15109" width="12.42578125" customWidth="1"/>
    <col min="15110" max="15110" width="16" bestFit="1" customWidth="1"/>
    <col min="15111" max="15112" width="16" customWidth="1"/>
    <col min="15113" max="15113" width="12.28515625" customWidth="1"/>
    <col min="15114" max="15114" width="21.42578125" bestFit="1" customWidth="1"/>
    <col min="15115" max="15115" width="15.42578125" bestFit="1" customWidth="1"/>
    <col min="15116" max="15116" width="16.5703125" bestFit="1" customWidth="1"/>
    <col min="15117" max="15117" width="12" bestFit="1" customWidth="1"/>
    <col min="15118" max="15118" width="28" customWidth="1"/>
    <col min="15119" max="15119" width="11" customWidth="1"/>
    <col min="15120" max="15121" width="9.28515625" customWidth="1"/>
    <col min="15122" max="15122" width="51.7109375" customWidth="1"/>
    <col min="15123" max="15125" width="12.28515625" customWidth="1"/>
    <col min="15126" max="15126" width="21.42578125" bestFit="1" customWidth="1"/>
    <col min="15127" max="15127" width="18.28515625" bestFit="1" customWidth="1"/>
    <col min="15128" max="15128" width="17.5703125" bestFit="1" customWidth="1"/>
    <col min="15361" max="15361" width="5.7109375" customWidth="1"/>
    <col min="15362" max="15362" width="9.28515625" customWidth="1"/>
    <col min="15363" max="15363" width="51.7109375" customWidth="1"/>
    <col min="15364" max="15364" width="19" bestFit="1" customWidth="1"/>
    <col min="15365" max="15365" width="12.42578125" customWidth="1"/>
    <col min="15366" max="15366" width="16" bestFit="1" customWidth="1"/>
    <col min="15367" max="15368" width="16" customWidth="1"/>
    <col min="15369" max="15369" width="12.28515625" customWidth="1"/>
    <col min="15370" max="15370" width="21.42578125" bestFit="1" customWidth="1"/>
    <col min="15371" max="15371" width="15.42578125" bestFit="1" customWidth="1"/>
    <col min="15372" max="15372" width="16.5703125" bestFit="1" customWidth="1"/>
    <col min="15373" max="15373" width="12" bestFit="1" customWidth="1"/>
    <col min="15374" max="15374" width="28" customWidth="1"/>
    <col min="15375" max="15375" width="11" customWidth="1"/>
    <col min="15376" max="15377" width="9.28515625" customWidth="1"/>
    <col min="15378" max="15378" width="51.7109375" customWidth="1"/>
    <col min="15379" max="15381" width="12.28515625" customWidth="1"/>
    <col min="15382" max="15382" width="21.42578125" bestFit="1" customWidth="1"/>
    <col min="15383" max="15383" width="18.28515625" bestFit="1" customWidth="1"/>
    <col min="15384" max="15384" width="17.5703125" bestFit="1" customWidth="1"/>
    <col min="15617" max="15617" width="5.7109375" customWidth="1"/>
    <col min="15618" max="15618" width="9.28515625" customWidth="1"/>
    <col min="15619" max="15619" width="51.7109375" customWidth="1"/>
    <col min="15620" max="15620" width="19" bestFit="1" customWidth="1"/>
    <col min="15621" max="15621" width="12.42578125" customWidth="1"/>
    <col min="15622" max="15622" width="16" bestFit="1" customWidth="1"/>
    <col min="15623" max="15624" width="16" customWidth="1"/>
    <col min="15625" max="15625" width="12.28515625" customWidth="1"/>
    <col min="15626" max="15626" width="21.42578125" bestFit="1" customWidth="1"/>
    <col min="15627" max="15627" width="15.42578125" bestFit="1" customWidth="1"/>
    <col min="15628" max="15628" width="16.5703125" bestFit="1" customWidth="1"/>
    <col min="15629" max="15629" width="12" bestFit="1" customWidth="1"/>
    <col min="15630" max="15630" width="28" customWidth="1"/>
    <col min="15631" max="15631" width="11" customWidth="1"/>
    <col min="15632" max="15633" width="9.28515625" customWidth="1"/>
    <col min="15634" max="15634" width="51.7109375" customWidth="1"/>
    <col min="15635" max="15637" width="12.28515625" customWidth="1"/>
    <col min="15638" max="15638" width="21.42578125" bestFit="1" customWidth="1"/>
    <col min="15639" max="15639" width="18.28515625" bestFit="1" customWidth="1"/>
    <col min="15640" max="15640" width="17.5703125" bestFit="1" customWidth="1"/>
    <col min="15873" max="15873" width="5.7109375" customWidth="1"/>
    <col min="15874" max="15874" width="9.28515625" customWidth="1"/>
    <col min="15875" max="15875" width="51.7109375" customWidth="1"/>
    <col min="15876" max="15876" width="19" bestFit="1" customWidth="1"/>
    <col min="15877" max="15877" width="12.42578125" customWidth="1"/>
    <col min="15878" max="15878" width="16" bestFit="1" customWidth="1"/>
    <col min="15879" max="15880" width="16" customWidth="1"/>
    <col min="15881" max="15881" width="12.28515625" customWidth="1"/>
    <col min="15882" max="15882" width="21.42578125" bestFit="1" customWidth="1"/>
    <col min="15883" max="15883" width="15.42578125" bestFit="1" customWidth="1"/>
    <col min="15884" max="15884" width="16.5703125" bestFit="1" customWidth="1"/>
    <col min="15885" max="15885" width="12" bestFit="1" customWidth="1"/>
    <col min="15886" max="15886" width="28" customWidth="1"/>
    <col min="15887" max="15887" width="11" customWidth="1"/>
    <col min="15888" max="15889" width="9.28515625" customWidth="1"/>
    <col min="15890" max="15890" width="51.7109375" customWidth="1"/>
    <col min="15891" max="15893" width="12.28515625" customWidth="1"/>
    <col min="15894" max="15894" width="21.42578125" bestFit="1" customWidth="1"/>
    <col min="15895" max="15895" width="18.28515625" bestFit="1" customWidth="1"/>
    <col min="15896" max="15896" width="17.5703125" bestFit="1" customWidth="1"/>
    <col min="16129" max="16129" width="5.7109375" customWidth="1"/>
    <col min="16130" max="16130" width="9.28515625" customWidth="1"/>
    <col min="16131" max="16131" width="51.7109375" customWidth="1"/>
    <col min="16132" max="16132" width="19" bestFit="1" customWidth="1"/>
    <col min="16133" max="16133" width="12.42578125" customWidth="1"/>
    <col min="16134" max="16134" width="16" bestFit="1" customWidth="1"/>
    <col min="16135" max="16136" width="16" customWidth="1"/>
    <col min="16137" max="16137" width="12.28515625" customWidth="1"/>
    <col min="16138" max="16138" width="21.42578125" bestFit="1" customWidth="1"/>
    <col min="16139" max="16139" width="15.42578125" bestFit="1" customWidth="1"/>
    <col min="16140" max="16140" width="16.5703125" bestFit="1" customWidth="1"/>
    <col min="16141" max="16141" width="12" bestFit="1" customWidth="1"/>
    <col min="16142" max="16142" width="28" customWidth="1"/>
    <col min="16143" max="16143" width="11" customWidth="1"/>
    <col min="16144" max="16145" width="9.28515625" customWidth="1"/>
    <col min="16146" max="16146" width="51.7109375" customWidth="1"/>
    <col min="16147" max="16149" width="12.28515625" customWidth="1"/>
    <col min="16150" max="16150" width="21.42578125" bestFit="1" customWidth="1"/>
    <col min="16151" max="16151" width="18.28515625" bestFit="1" customWidth="1"/>
    <col min="16152" max="16152" width="17.5703125" bestFit="1" customWidth="1"/>
  </cols>
  <sheetData>
    <row r="1" spans="1:25" s="8" customFormat="1" ht="30" customHeight="1" x14ac:dyDescent="0.25">
      <c r="A1" s="491" t="s">
        <v>33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7"/>
      <c r="P1" s="46"/>
      <c r="Q1" s="46"/>
      <c r="R1" s="46"/>
      <c r="S1" s="46"/>
      <c r="T1" s="46"/>
      <c r="U1" s="46"/>
      <c r="V1" s="46"/>
      <c r="W1" s="46"/>
      <c r="X1" s="47"/>
    </row>
    <row r="2" spans="1:25" s="3" customFormat="1" ht="19.5" customHeight="1" x14ac:dyDescent="0.25">
      <c r="A2" s="486" t="s">
        <v>1</v>
      </c>
      <c r="B2" s="487" t="s">
        <v>2</v>
      </c>
      <c r="C2" s="483" t="s">
        <v>3</v>
      </c>
      <c r="D2" s="486" t="s">
        <v>4</v>
      </c>
      <c r="E2" s="487" t="s">
        <v>5</v>
      </c>
      <c r="F2" s="486" t="s">
        <v>6</v>
      </c>
      <c r="G2" s="486" t="s">
        <v>6</v>
      </c>
      <c r="H2" s="486" t="s">
        <v>6</v>
      </c>
      <c r="I2" s="488" t="s">
        <v>9</v>
      </c>
      <c r="J2" s="482" t="s">
        <v>10</v>
      </c>
      <c r="K2" s="483" t="s">
        <v>11</v>
      </c>
      <c r="L2" s="482" t="s">
        <v>12</v>
      </c>
      <c r="M2" s="483" t="s">
        <v>13</v>
      </c>
      <c r="N2" s="489" t="s">
        <v>14</v>
      </c>
      <c r="O2" s="11"/>
      <c r="P2" s="487"/>
      <c r="Q2" s="9"/>
      <c r="R2" s="483"/>
      <c r="S2" s="10"/>
      <c r="T2" s="483"/>
      <c r="U2" s="10"/>
      <c r="V2" s="483"/>
      <c r="W2" s="483"/>
      <c r="X2" s="483"/>
    </row>
    <row r="3" spans="1:25" s="3" customFormat="1" ht="26.25" customHeight="1" x14ac:dyDescent="0.25">
      <c r="A3" s="486"/>
      <c r="B3" s="487"/>
      <c r="C3" s="483"/>
      <c r="D3" s="486"/>
      <c r="E3" s="487"/>
      <c r="F3" s="486"/>
      <c r="G3" s="486"/>
      <c r="H3" s="486"/>
      <c r="I3" s="488"/>
      <c r="J3" s="482"/>
      <c r="K3" s="483"/>
      <c r="L3" s="482"/>
      <c r="M3" s="483"/>
      <c r="N3" s="490"/>
      <c r="O3" s="11"/>
      <c r="P3" s="487"/>
      <c r="Q3" s="9"/>
      <c r="R3" s="483"/>
      <c r="S3" s="10"/>
      <c r="T3" s="483"/>
      <c r="U3" s="10"/>
      <c r="V3" s="483"/>
      <c r="W3" s="483"/>
      <c r="X3" s="483"/>
    </row>
    <row r="4" spans="1:25" s="53" customFormat="1" ht="15.75" x14ac:dyDescent="0.25">
      <c r="A4" s="54">
        <v>6</v>
      </c>
      <c r="B4" s="85">
        <v>3169</v>
      </c>
      <c r="C4" s="50" t="s">
        <v>34</v>
      </c>
      <c r="D4" s="56">
        <v>1284.0999999999999</v>
      </c>
      <c r="E4" s="57" t="s">
        <v>16</v>
      </c>
      <c r="F4" s="67">
        <f t="shared" ref="F4:F6" si="0">D4*E4</f>
        <v>321.02499999999998</v>
      </c>
      <c r="G4" s="67">
        <f>320.1+0.925</f>
        <v>321.02500000000003</v>
      </c>
      <c r="H4" s="67">
        <f t="shared" ref="H4:H6" si="1">F4-G4</f>
        <v>0</v>
      </c>
      <c r="I4" s="51">
        <v>3068756</v>
      </c>
      <c r="J4" s="52" t="s">
        <v>35</v>
      </c>
      <c r="K4" s="51" t="s">
        <v>36</v>
      </c>
      <c r="L4" s="52" t="s">
        <v>37</v>
      </c>
      <c r="M4" s="51">
        <v>99691806</v>
      </c>
      <c r="N4" s="114">
        <v>45547</v>
      </c>
      <c r="O4" s="48">
        <v>45615</v>
      </c>
      <c r="P4" s="49">
        <v>3169</v>
      </c>
      <c r="Q4" s="49" t="b">
        <f t="shared" ref="Q4:Q6" si="2">P4=B4</f>
        <v>1</v>
      </c>
      <c r="R4" s="50" t="s">
        <v>34</v>
      </c>
      <c r="S4" s="50" t="b">
        <f t="shared" ref="S4:S6" si="3">R4=C4</f>
        <v>1</v>
      </c>
      <c r="T4" s="51">
        <v>3068756</v>
      </c>
      <c r="U4" s="51" t="b">
        <f t="shared" ref="U4:U6" si="4">T4=I4</f>
        <v>1</v>
      </c>
      <c r="V4" s="52" t="s">
        <v>35</v>
      </c>
      <c r="W4" s="51" t="b">
        <f t="shared" ref="W4:W6" si="5">V4=J4</f>
        <v>1</v>
      </c>
      <c r="X4" s="52" t="s">
        <v>37</v>
      </c>
      <c r="Y4" s="53" t="b">
        <f t="shared" ref="Y4:Y6" si="6">X4=L4</f>
        <v>1</v>
      </c>
    </row>
    <row r="5" spans="1:25" s="91" customFormat="1" ht="15.75" x14ac:dyDescent="0.25">
      <c r="A5" s="54">
        <v>7</v>
      </c>
      <c r="B5" s="85">
        <v>3192</v>
      </c>
      <c r="C5" s="50" t="s">
        <v>38</v>
      </c>
      <c r="D5" s="56">
        <v>1124.5</v>
      </c>
      <c r="E5" s="57" t="s">
        <v>16</v>
      </c>
      <c r="F5" s="67">
        <f t="shared" si="0"/>
        <v>281.125</v>
      </c>
      <c r="G5" s="67">
        <f>279.73+1.395</f>
        <v>281.125</v>
      </c>
      <c r="H5" s="67">
        <f t="shared" si="1"/>
        <v>0</v>
      </c>
      <c r="I5" s="51">
        <v>5271448</v>
      </c>
      <c r="J5" s="52" t="s">
        <v>39</v>
      </c>
      <c r="K5" s="51" t="s">
        <v>40</v>
      </c>
      <c r="L5" s="52" t="s">
        <v>19</v>
      </c>
      <c r="M5" s="51">
        <v>99489918</v>
      </c>
      <c r="N5" s="61" t="s">
        <v>41</v>
      </c>
      <c r="O5" s="90" t="s">
        <v>42</v>
      </c>
      <c r="P5" s="63">
        <v>3192</v>
      </c>
      <c r="Q5" s="63" t="b">
        <f t="shared" si="2"/>
        <v>1</v>
      </c>
      <c r="R5" s="64" t="s">
        <v>38</v>
      </c>
      <c r="S5" s="64" t="b">
        <f t="shared" si="3"/>
        <v>1</v>
      </c>
      <c r="T5" s="68">
        <v>5271448</v>
      </c>
      <c r="U5" s="68" t="b">
        <f t="shared" si="4"/>
        <v>1</v>
      </c>
      <c r="V5" s="69" t="s">
        <v>43</v>
      </c>
      <c r="W5" s="68" t="b">
        <f t="shared" si="5"/>
        <v>0</v>
      </c>
      <c r="X5" s="69" t="s">
        <v>19</v>
      </c>
      <c r="Y5" s="91" t="b">
        <f t="shared" si="6"/>
        <v>1</v>
      </c>
    </row>
    <row r="6" spans="1:25" s="92" customFormat="1" ht="15.75" x14ac:dyDescent="0.25">
      <c r="A6" s="54">
        <v>8</v>
      </c>
      <c r="B6" s="85">
        <v>3198</v>
      </c>
      <c r="C6" s="74" t="s">
        <v>44</v>
      </c>
      <c r="D6" s="111">
        <v>591.6</v>
      </c>
      <c r="E6" s="57" t="s">
        <v>16</v>
      </c>
      <c r="F6" s="58">
        <f t="shared" si="0"/>
        <v>147.9</v>
      </c>
      <c r="G6" s="58">
        <f>144.15+3.75</f>
        <v>147.9</v>
      </c>
      <c r="H6" s="58">
        <f t="shared" si="1"/>
        <v>0</v>
      </c>
      <c r="I6" s="75">
        <v>6360793</v>
      </c>
      <c r="J6" s="52" t="s">
        <v>45</v>
      </c>
      <c r="K6" s="75" t="s">
        <v>46</v>
      </c>
      <c r="L6" s="76" t="s">
        <v>47</v>
      </c>
      <c r="M6" s="51">
        <v>99336200</v>
      </c>
      <c r="N6" s="61" t="s">
        <v>48</v>
      </c>
      <c r="O6" s="48"/>
      <c r="P6" s="49">
        <v>3198</v>
      </c>
      <c r="Q6" s="49" t="b">
        <f t="shared" si="2"/>
        <v>1</v>
      </c>
      <c r="R6" s="74" t="s">
        <v>44</v>
      </c>
      <c r="S6" s="50" t="b">
        <f t="shared" si="3"/>
        <v>1</v>
      </c>
      <c r="T6" s="75">
        <v>6360793</v>
      </c>
      <c r="U6" s="51" t="b">
        <f t="shared" si="4"/>
        <v>1</v>
      </c>
      <c r="V6" s="52" t="s">
        <v>45</v>
      </c>
      <c r="W6" s="51" t="b">
        <f t="shared" si="5"/>
        <v>1</v>
      </c>
      <c r="X6" s="76" t="s">
        <v>47</v>
      </c>
      <c r="Y6" s="53" t="b">
        <f t="shared" si="6"/>
        <v>1</v>
      </c>
    </row>
    <row r="7" spans="1:25" s="53" customFormat="1" ht="15.75" x14ac:dyDescent="0.25">
      <c r="A7" s="54">
        <v>9</v>
      </c>
      <c r="B7" s="85">
        <v>3508</v>
      </c>
      <c r="C7" s="51" t="s">
        <v>49</v>
      </c>
      <c r="D7" s="56">
        <v>610.9</v>
      </c>
      <c r="E7" s="57" t="s">
        <v>16</v>
      </c>
      <c r="F7" s="67">
        <f t="shared" ref="F7:F9" si="7">D7*E7</f>
        <v>152.72499999999999</v>
      </c>
      <c r="G7" s="67">
        <f>150.35+2.375</f>
        <v>152.72499999999999</v>
      </c>
      <c r="H7" s="67">
        <f t="shared" ref="H7:H9" si="8">F7-G7</f>
        <v>0</v>
      </c>
      <c r="I7" s="52">
        <v>2567166</v>
      </c>
      <c r="J7" s="52" t="s">
        <v>50</v>
      </c>
      <c r="K7" s="51" t="s">
        <v>40</v>
      </c>
      <c r="L7" s="52" t="s">
        <v>19</v>
      </c>
      <c r="M7" s="51">
        <v>92570156</v>
      </c>
      <c r="N7" s="115">
        <v>45547</v>
      </c>
      <c r="O7" s="48">
        <v>45615</v>
      </c>
      <c r="P7" s="49">
        <v>3508</v>
      </c>
      <c r="Q7" s="49" t="b">
        <f t="shared" ref="Q7:Q9" si="9">P7=B7</f>
        <v>1</v>
      </c>
      <c r="R7" s="51" t="s">
        <v>49</v>
      </c>
      <c r="S7" s="50" t="b">
        <f t="shared" ref="S7:S9" si="10">R7=C7</f>
        <v>1</v>
      </c>
      <c r="T7" s="52">
        <v>2567166</v>
      </c>
      <c r="U7" s="51" t="b">
        <f t="shared" ref="U7:U9" si="11">T7=I7</f>
        <v>1</v>
      </c>
      <c r="V7" s="52" t="s">
        <v>50</v>
      </c>
      <c r="W7" s="51" t="b">
        <f t="shared" ref="W7:W9" si="12">V7=J7</f>
        <v>1</v>
      </c>
      <c r="X7" s="52" t="s">
        <v>19</v>
      </c>
      <c r="Y7" s="53" t="b">
        <f t="shared" ref="Y7:Y9" si="13">X7=L7</f>
        <v>1</v>
      </c>
    </row>
    <row r="8" spans="1:25" s="53" customFormat="1" ht="15.75" x14ac:dyDescent="0.25">
      <c r="A8" s="54">
        <v>11</v>
      </c>
      <c r="B8" s="85">
        <v>3515</v>
      </c>
      <c r="C8" s="98" t="s">
        <v>51</v>
      </c>
      <c r="D8" s="99">
        <v>1267.5</v>
      </c>
      <c r="E8" s="57" t="s">
        <v>16</v>
      </c>
      <c r="F8" s="67">
        <f t="shared" si="7"/>
        <v>316.875</v>
      </c>
      <c r="G8" s="102">
        <f>315.625+1.25</f>
        <v>316.875</v>
      </c>
      <c r="H8" s="67">
        <f t="shared" si="8"/>
        <v>0</v>
      </c>
      <c r="I8" s="96">
        <v>6645198</v>
      </c>
      <c r="J8" s="96" t="s">
        <v>52</v>
      </c>
      <c r="K8" s="51" t="s">
        <v>36</v>
      </c>
      <c r="L8" s="52" t="s">
        <v>37</v>
      </c>
      <c r="M8" s="97">
        <v>94411217</v>
      </c>
      <c r="N8" s="26" t="s">
        <v>53</v>
      </c>
      <c r="O8" s="48">
        <v>45635</v>
      </c>
      <c r="P8" s="49">
        <v>3515</v>
      </c>
      <c r="Q8" s="49" t="b">
        <f t="shared" si="9"/>
        <v>1</v>
      </c>
      <c r="R8" s="98" t="s">
        <v>51</v>
      </c>
      <c r="S8" s="50" t="b">
        <f t="shared" si="10"/>
        <v>1</v>
      </c>
      <c r="T8" s="96">
        <v>6645198</v>
      </c>
      <c r="U8" s="51" t="b">
        <f t="shared" si="11"/>
        <v>1</v>
      </c>
      <c r="V8" s="96" t="s">
        <v>52</v>
      </c>
      <c r="W8" s="51" t="b">
        <f t="shared" si="12"/>
        <v>1</v>
      </c>
      <c r="X8" s="52" t="s">
        <v>37</v>
      </c>
      <c r="Y8" s="53" t="b">
        <f t="shared" si="13"/>
        <v>1</v>
      </c>
    </row>
    <row r="9" spans="1:25" s="53" customFormat="1" ht="15.75" x14ac:dyDescent="0.25">
      <c r="A9" s="54">
        <v>12</v>
      </c>
      <c r="B9" s="85">
        <v>3518</v>
      </c>
      <c r="C9" s="98" t="s">
        <v>54</v>
      </c>
      <c r="D9" s="99">
        <v>899.8</v>
      </c>
      <c r="E9" s="57" t="s">
        <v>16</v>
      </c>
      <c r="F9" s="58">
        <f t="shared" si="7"/>
        <v>224.95</v>
      </c>
      <c r="G9" s="95">
        <f>221.275+3.675</f>
        <v>224.95000000000002</v>
      </c>
      <c r="H9" s="58">
        <f t="shared" si="8"/>
        <v>0</v>
      </c>
      <c r="I9" s="96">
        <v>20386956</v>
      </c>
      <c r="J9" s="96" t="s">
        <v>55</v>
      </c>
      <c r="K9" s="51" t="s">
        <v>40</v>
      </c>
      <c r="L9" s="52" t="s">
        <v>19</v>
      </c>
      <c r="M9" s="97"/>
      <c r="N9" s="26" t="s">
        <v>53</v>
      </c>
      <c r="O9" s="48"/>
      <c r="P9" s="49">
        <v>3518</v>
      </c>
      <c r="Q9" s="49" t="b">
        <f t="shared" si="9"/>
        <v>1</v>
      </c>
      <c r="R9" s="98" t="s">
        <v>54</v>
      </c>
      <c r="S9" s="50" t="b">
        <f t="shared" si="10"/>
        <v>1</v>
      </c>
      <c r="T9" s="96">
        <v>20386956</v>
      </c>
      <c r="U9" s="51" t="b">
        <f t="shared" si="11"/>
        <v>1</v>
      </c>
      <c r="V9" s="96" t="s">
        <v>55</v>
      </c>
      <c r="W9" s="51" t="b">
        <f t="shared" si="12"/>
        <v>1</v>
      </c>
      <c r="X9" s="52" t="s">
        <v>19</v>
      </c>
      <c r="Y9" s="53" t="b">
        <f t="shared" si="13"/>
        <v>1</v>
      </c>
    </row>
    <row r="10" spans="1:25" s="53" customFormat="1" ht="19.5" x14ac:dyDescent="0.25">
      <c r="A10" s="106"/>
      <c r="B10" s="106"/>
      <c r="C10" s="106"/>
      <c r="D10" s="107">
        <f>SUM(D4:D9)</f>
        <v>5778.4000000000005</v>
      </c>
      <c r="E10" s="106" t="s">
        <v>26</v>
      </c>
      <c r="F10" s="106">
        <f>SUM(F4:F9)</f>
        <v>1444.6000000000001</v>
      </c>
      <c r="G10" s="106">
        <f>SUM(G4:G9)</f>
        <v>1444.6000000000001</v>
      </c>
      <c r="H10" s="106">
        <f>SUM(H4:H9)</f>
        <v>0</v>
      </c>
      <c r="I10" s="106"/>
      <c r="J10" s="106"/>
      <c r="K10" s="106"/>
      <c r="L10" s="106"/>
      <c r="M10" s="106"/>
      <c r="N10" s="108"/>
      <c r="O10" s="109"/>
      <c r="P10" s="106"/>
      <c r="Q10" s="106"/>
      <c r="R10" s="106"/>
      <c r="S10" s="106"/>
      <c r="T10" s="106"/>
      <c r="U10" s="106"/>
      <c r="V10" s="106"/>
      <c r="W10" s="106"/>
      <c r="X10" s="106"/>
    </row>
    <row r="11" spans="1:25" s="53" customFormat="1" ht="15.75" x14ac:dyDescent="0.25">
      <c r="A11" s="32"/>
      <c r="B11" s="32"/>
      <c r="C11" s="32"/>
      <c r="D11" s="33"/>
      <c r="E11" s="34"/>
      <c r="F11" s="33"/>
      <c r="G11" s="33"/>
      <c r="H11" s="33"/>
      <c r="I11" s="35"/>
      <c r="J11" s="110"/>
      <c r="K11" s="31"/>
      <c r="L11" s="110"/>
      <c r="M11" s="31"/>
      <c r="N11" s="35"/>
      <c r="O11" s="31"/>
      <c r="P11" s="32"/>
      <c r="Q11" s="32"/>
      <c r="R11" s="32"/>
      <c r="S11" s="32"/>
      <c r="T11" s="31"/>
      <c r="U11" s="31"/>
      <c r="V11" s="110"/>
      <c r="W11" s="31"/>
      <c r="X11" s="110"/>
    </row>
    <row r="12" spans="1:25" s="53" customFormat="1" ht="15.75" x14ac:dyDescent="0.25">
      <c r="A12"/>
      <c r="B12" s="21"/>
      <c r="C12" s="36"/>
      <c r="D12" s="37"/>
      <c r="E12" s="37"/>
      <c r="F12" s="37"/>
      <c r="G12" s="37"/>
      <c r="H12" s="37"/>
      <c r="I12" s="38"/>
      <c r="J12" s="36"/>
      <c r="K12" s="39"/>
      <c r="L12" s="21"/>
      <c r="M12" s="21"/>
      <c r="N12" s="35"/>
      <c r="O12" s="31"/>
      <c r="P12" s="21"/>
      <c r="Q12" s="21"/>
      <c r="R12" s="21"/>
      <c r="S12" s="21"/>
      <c r="T12" s="39"/>
      <c r="U12" s="39"/>
      <c r="V12" s="36"/>
      <c r="W12" s="39"/>
      <c r="X12" s="21"/>
    </row>
    <row r="13" spans="1:25" s="5" customFormat="1" ht="15.75" x14ac:dyDescent="0.25">
      <c r="A13" t="s">
        <v>27</v>
      </c>
      <c r="B13"/>
      <c r="C13" s="6" t="s">
        <v>28</v>
      </c>
      <c r="D13" s="5" t="s">
        <v>56</v>
      </c>
      <c r="E13" s="6"/>
      <c r="F13" s="480" t="s">
        <v>57</v>
      </c>
      <c r="G13" s="480"/>
      <c r="H13" s="480"/>
      <c r="I13" s="480"/>
      <c r="J13" s="41"/>
      <c r="K13" s="481" t="s">
        <v>58</v>
      </c>
      <c r="L13" s="481"/>
      <c r="M13" s="41"/>
      <c r="N13" s="112"/>
      <c r="O13" s="48"/>
      <c r="P13"/>
      <c r="Q13"/>
      <c r="T13" s="40"/>
      <c r="U13" s="40"/>
      <c r="V13" s="41"/>
      <c r="W13" s="481" t="s">
        <v>59</v>
      </c>
      <c r="X13" s="481"/>
    </row>
    <row r="14" spans="1:25" ht="15.75" x14ac:dyDescent="0.25">
      <c r="A14" t="s">
        <v>29</v>
      </c>
      <c r="C14" s="6" t="s">
        <v>30</v>
      </c>
      <c r="D14" t="s">
        <v>60</v>
      </c>
      <c r="F14" s="480" t="s">
        <v>61</v>
      </c>
      <c r="G14" s="480"/>
      <c r="H14" s="480"/>
      <c r="I14" s="480"/>
      <c r="K14" s="481" t="s">
        <v>62</v>
      </c>
      <c r="L14" s="481"/>
      <c r="O14" s="77"/>
      <c r="T14" s="40"/>
      <c r="U14" s="40"/>
      <c r="W14" s="481" t="s">
        <v>32</v>
      </c>
      <c r="X14" s="481"/>
    </row>
    <row r="15" spans="1:25" x14ac:dyDescent="0.25">
      <c r="F15" s="40"/>
      <c r="G15" s="40"/>
      <c r="H15" s="40"/>
    </row>
    <row r="16" spans="1:25" x14ac:dyDescent="0.25">
      <c r="F16" s="40"/>
      <c r="G16" s="40"/>
      <c r="H16" s="40"/>
    </row>
    <row r="17" spans="1:19" x14ac:dyDescent="0.25">
      <c r="F17" s="40"/>
      <c r="G17" s="40"/>
      <c r="H17" s="40"/>
    </row>
    <row r="18" spans="1:19" x14ac:dyDescent="0.25">
      <c r="D18" s="45"/>
      <c r="F18" s="45"/>
      <c r="G18" s="45"/>
      <c r="H18" s="45"/>
    </row>
    <row r="19" spans="1:19" x14ac:dyDescent="0.25">
      <c r="F19" s="40"/>
      <c r="G19" s="40"/>
      <c r="H19" s="40"/>
    </row>
    <row r="20" spans="1:19" x14ac:dyDescent="0.25">
      <c r="F20" s="40"/>
      <c r="G20" s="40"/>
      <c r="H20" s="40"/>
    </row>
    <row r="21" spans="1:19" x14ac:dyDescent="0.25">
      <c r="F21" s="40"/>
      <c r="G21" s="40"/>
      <c r="H21" s="40"/>
    </row>
    <row r="22" spans="1:19" x14ac:dyDescent="0.25">
      <c r="F22" s="40"/>
      <c r="G22" s="40"/>
      <c r="H22" s="40"/>
    </row>
    <row r="23" spans="1:19" x14ac:dyDescent="0.25">
      <c r="F23" s="40"/>
      <c r="G23" s="40"/>
      <c r="H23" s="40"/>
    </row>
    <row r="24" spans="1:19" x14ac:dyDescent="0.25">
      <c r="F24" s="40"/>
      <c r="G24" s="40"/>
      <c r="H24" s="40"/>
    </row>
    <row r="25" spans="1:19" s="41" customFormat="1" x14ac:dyDescent="0.25">
      <c r="A25"/>
      <c r="B25"/>
      <c r="C25"/>
      <c r="D25" s="6"/>
      <c r="E25" s="6"/>
      <c r="F25" s="40"/>
      <c r="G25" s="40"/>
      <c r="H25" s="40"/>
      <c r="I25" s="44"/>
      <c r="N25" s="113"/>
      <c r="O25" s="43"/>
      <c r="P25"/>
      <c r="Q25"/>
      <c r="R25"/>
      <c r="S25"/>
    </row>
    <row r="26" spans="1:19" s="41" customFormat="1" x14ac:dyDescent="0.25">
      <c r="A26"/>
      <c r="B26"/>
      <c r="C26"/>
      <c r="D26" s="6"/>
      <c r="E26" s="6"/>
      <c r="F26" s="40"/>
      <c r="G26" s="40"/>
      <c r="H26" s="40"/>
      <c r="I26" s="44"/>
      <c r="N26" s="113"/>
      <c r="O26" s="43"/>
      <c r="P26"/>
      <c r="Q26"/>
      <c r="R26"/>
      <c r="S26"/>
    </row>
    <row r="27" spans="1:19" s="41" customFormat="1" x14ac:dyDescent="0.25">
      <c r="A27"/>
      <c r="B27"/>
      <c r="C27"/>
      <c r="D27" s="6"/>
      <c r="E27" s="6"/>
      <c r="F27" s="40"/>
      <c r="G27" s="40"/>
      <c r="H27" s="40"/>
      <c r="I27" s="44"/>
      <c r="N27" s="113"/>
      <c r="O27" s="43"/>
      <c r="P27"/>
      <c r="Q27"/>
      <c r="R27"/>
      <c r="S27"/>
    </row>
    <row r="28" spans="1:19" s="41" customFormat="1" x14ac:dyDescent="0.25">
      <c r="A28"/>
      <c r="B28"/>
      <c r="C28"/>
      <c r="D28" s="6"/>
      <c r="E28" s="6"/>
      <c r="F28" s="40"/>
      <c r="G28" s="40"/>
      <c r="H28" s="40"/>
      <c r="I28" s="44"/>
      <c r="N28" s="113"/>
      <c r="O28" s="43"/>
      <c r="P28"/>
      <c r="Q28"/>
      <c r="R28"/>
      <c r="S28"/>
    </row>
    <row r="29" spans="1:19" s="41" customFormat="1" x14ac:dyDescent="0.25">
      <c r="A29"/>
      <c r="B29"/>
      <c r="C29"/>
      <c r="D29" s="6"/>
      <c r="E29" s="6"/>
      <c r="F29" s="40"/>
      <c r="G29" s="40"/>
      <c r="H29" s="40"/>
      <c r="I29" s="44"/>
      <c r="N29" s="113"/>
      <c r="O29" s="43"/>
      <c r="P29"/>
      <c r="Q29"/>
      <c r="R29"/>
      <c r="S29"/>
    </row>
    <row r="30" spans="1:19" s="41" customFormat="1" x14ac:dyDescent="0.25">
      <c r="A30"/>
      <c r="B30"/>
      <c r="C30"/>
      <c r="D30" s="6"/>
      <c r="E30" s="6"/>
      <c r="F30" s="40"/>
      <c r="G30" s="40"/>
      <c r="H30" s="40"/>
      <c r="I30" s="44"/>
      <c r="N30" s="113"/>
      <c r="O30" s="43"/>
      <c r="P30"/>
      <c r="Q30"/>
      <c r="R30"/>
      <c r="S30"/>
    </row>
    <row r="31" spans="1:19" s="41" customFormat="1" x14ac:dyDescent="0.25">
      <c r="A31"/>
      <c r="B31"/>
      <c r="C31"/>
      <c r="D31" s="6"/>
      <c r="E31" s="6"/>
      <c r="F31" s="40"/>
      <c r="G31" s="40"/>
      <c r="H31" s="40"/>
      <c r="I31" s="44"/>
      <c r="N31" s="113"/>
      <c r="O31" s="43"/>
      <c r="P31"/>
      <c r="Q31"/>
      <c r="R31"/>
      <c r="S31"/>
    </row>
    <row r="32" spans="1:19" s="41" customFormat="1" x14ac:dyDescent="0.25">
      <c r="A32"/>
      <c r="B32"/>
      <c r="C32"/>
      <c r="D32" s="6"/>
      <c r="E32" s="6"/>
      <c r="F32" s="40"/>
      <c r="G32" s="40"/>
      <c r="H32" s="40"/>
      <c r="I32" s="44"/>
      <c r="N32" s="113"/>
      <c r="O32" s="43"/>
      <c r="P32"/>
      <c r="Q32"/>
      <c r="R32"/>
      <c r="S32"/>
    </row>
    <row r="33" spans="1:19" s="41" customFormat="1" x14ac:dyDescent="0.25">
      <c r="A33"/>
      <c r="B33"/>
      <c r="C33"/>
      <c r="D33" s="6"/>
      <c r="E33" s="6"/>
      <c r="F33" s="40"/>
      <c r="G33" s="40"/>
      <c r="H33" s="40"/>
      <c r="I33" s="44"/>
      <c r="N33" s="113"/>
      <c r="O33" s="43"/>
      <c r="P33"/>
      <c r="Q33"/>
      <c r="R33"/>
      <c r="S33"/>
    </row>
    <row r="34" spans="1:19" s="41" customFormat="1" x14ac:dyDescent="0.25">
      <c r="A34"/>
      <c r="B34"/>
      <c r="C34"/>
      <c r="D34" s="6"/>
      <c r="E34" s="6"/>
      <c r="F34" s="40"/>
      <c r="G34" s="40"/>
      <c r="H34" s="40"/>
      <c r="I34" s="44"/>
      <c r="N34" s="113"/>
      <c r="O34" s="43"/>
      <c r="P34"/>
      <c r="Q34"/>
      <c r="R34"/>
      <c r="S34"/>
    </row>
    <row r="35" spans="1:19" s="41" customFormat="1" x14ac:dyDescent="0.25">
      <c r="A35"/>
      <c r="B35"/>
      <c r="C35"/>
      <c r="D35" s="6"/>
      <c r="E35" s="6"/>
      <c r="F35" s="40"/>
      <c r="G35" s="40"/>
      <c r="H35" s="40"/>
      <c r="I35" s="44"/>
      <c r="N35" s="113"/>
      <c r="O35" s="43"/>
      <c r="P35"/>
      <c r="Q35"/>
      <c r="R35"/>
      <c r="S35"/>
    </row>
    <row r="36" spans="1:19" s="41" customFormat="1" x14ac:dyDescent="0.25">
      <c r="A36"/>
      <c r="B36"/>
      <c r="C36"/>
      <c r="D36" s="6"/>
      <c r="E36" s="6"/>
      <c r="F36" s="40"/>
      <c r="G36" s="40"/>
      <c r="H36" s="40"/>
      <c r="I36" s="44"/>
      <c r="N36" s="113"/>
      <c r="O36" s="43"/>
      <c r="P36"/>
      <c r="Q36"/>
      <c r="R36"/>
      <c r="S36"/>
    </row>
    <row r="37" spans="1:19" s="41" customFormat="1" x14ac:dyDescent="0.25">
      <c r="A37"/>
      <c r="B37"/>
      <c r="C37"/>
      <c r="D37" s="6"/>
      <c r="E37" s="6"/>
      <c r="F37" s="40"/>
      <c r="G37" s="40"/>
      <c r="H37" s="40"/>
      <c r="I37" s="44"/>
      <c r="N37" s="113"/>
      <c r="O37" s="43"/>
      <c r="P37"/>
      <c r="Q37"/>
      <c r="R37"/>
      <c r="S37"/>
    </row>
    <row r="38" spans="1:19" s="41" customFormat="1" x14ac:dyDescent="0.25">
      <c r="A38"/>
      <c r="B38"/>
      <c r="C38"/>
      <c r="D38" s="6"/>
      <c r="E38" s="6"/>
      <c r="F38" s="40"/>
      <c r="G38" s="40"/>
      <c r="H38" s="40"/>
      <c r="I38" s="44"/>
      <c r="N38" s="113"/>
      <c r="O38" s="43"/>
      <c r="P38"/>
      <c r="Q38"/>
      <c r="R38"/>
      <c r="S38"/>
    </row>
    <row r="39" spans="1:19" s="41" customFormat="1" x14ac:dyDescent="0.25">
      <c r="A39"/>
      <c r="B39"/>
      <c r="C39"/>
      <c r="D39" s="6"/>
      <c r="E39" s="6"/>
      <c r="F39" s="40"/>
      <c r="G39" s="40"/>
      <c r="H39" s="40"/>
      <c r="I39" s="44"/>
      <c r="N39" s="113"/>
      <c r="O39" s="43"/>
      <c r="P39"/>
      <c r="Q39"/>
      <c r="R39"/>
      <c r="S39"/>
    </row>
    <row r="40" spans="1:19" s="41" customFormat="1" x14ac:dyDescent="0.25">
      <c r="A40"/>
      <c r="B40"/>
      <c r="C40"/>
      <c r="D40" s="6"/>
      <c r="E40" s="6"/>
      <c r="F40" s="40"/>
      <c r="G40" s="40"/>
      <c r="H40" s="40"/>
      <c r="I40" s="44"/>
      <c r="N40" s="113"/>
      <c r="O40" s="43"/>
      <c r="P40"/>
      <c r="Q40"/>
      <c r="R40"/>
      <c r="S40"/>
    </row>
    <row r="41" spans="1:19" s="41" customFormat="1" x14ac:dyDescent="0.25">
      <c r="A41"/>
      <c r="B41"/>
      <c r="C41"/>
      <c r="D41" s="6"/>
      <c r="E41" s="6"/>
      <c r="F41" s="40"/>
      <c r="G41" s="40"/>
      <c r="H41" s="40"/>
      <c r="I41" s="44"/>
      <c r="N41" s="113"/>
      <c r="O41" s="43"/>
      <c r="P41"/>
      <c r="Q41"/>
      <c r="R41"/>
      <c r="S41"/>
    </row>
    <row r="42" spans="1:19" s="41" customFormat="1" x14ac:dyDescent="0.25">
      <c r="A42"/>
      <c r="B42"/>
      <c r="C42"/>
      <c r="D42" s="6"/>
      <c r="E42" s="6"/>
      <c r="F42" s="40"/>
      <c r="G42" s="40"/>
      <c r="H42" s="40"/>
      <c r="I42" s="44"/>
      <c r="N42" s="113"/>
      <c r="O42" s="43"/>
      <c r="P42"/>
      <c r="Q42"/>
      <c r="R42"/>
      <c r="S42"/>
    </row>
    <row r="43" spans="1:19" s="41" customFormat="1" x14ac:dyDescent="0.25">
      <c r="A43"/>
      <c r="B43"/>
      <c r="C43"/>
      <c r="D43" s="6"/>
      <c r="E43" s="6"/>
      <c r="F43" s="40"/>
      <c r="G43" s="40"/>
      <c r="H43" s="40"/>
      <c r="I43" s="44"/>
      <c r="N43" s="113"/>
      <c r="O43" s="43"/>
      <c r="P43"/>
      <c r="Q43"/>
      <c r="R43"/>
      <c r="S43"/>
    </row>
    <row r="44" spans="1:19" s="41" customFormat="1" x14ac:dyDescent="0.25">
      <c r="A44"/>
      <c r="B44"/>
      <c r="C44"/>
      <c r="D44" s="6"/>
      <c r="E44" s="6"/>
      <c r="F44" s="40"/>
      <c r="G44" s="40"/>
      <c r="H44" s="40"/>
      <c r="I44" s="44"/>
      <c r="N44" s="113"/>
      <c r="O44" s="43"/>
      <c r="P44"/>
      <c r="Q44"/>
      <c r="R44"/>
      <c r="S44"/>
    </row>
    <row r="45" spans="1:19" s="41" customFormat="1" x14ac:dyDescent="0.25">
      <c r="A45"/>
      <c r="B45"/>
      <c r="C45"/>
      <c r="D45" s="6"/>
      <c r="E45" s="6"/>
      <c r="F45" s="40"/>
      <c r="G45" s="40"/>
      <c r="H45" s="40"/>
      <c r="I45" s="44"/>
      <c r="N45" s="113"/>
      <c r="O45" s="43"/>
      <c r="P45"/>
      <c r="Q45"/>
      <c r="R45"/>
      <c r="S45"/>
    </row>
    <row r="46" spans="1:19" s="41" customFormat="1" x14ac:dyDescent="0.25">
      <c r="A46"/>
      <c r="B46"/>
      <c r="C46"/>
      <c r="D46" s="6"/>
      <c r="E46" s="6"/>
      <c r="F46" s="40"/>
      <c r="G46" s="40"/>
      <c r="H46" s="40"/>
      <c r="I46" s="44"/>
      <c r="N46" s="113"/>
      <c r="O46" s="43"/>
      <c r="P46"/>
      <c r="Q46"/>
      <c r="R46"/>
      <c r="S46"/>
    </row>
    <row r="47" spans="1:19" s="41" customFormat="1" x14ac:dyDescent="0.25">
      <c r="A47"/>
      <c r="B47"/>
      <c r="C47"/>
      <c r="D47" s="6"/>
      <c r="E47" s="6"/>
      <c r="F47" s="40"/>
      <c r="G47" s="40"/>
      <c r="H47" s="40"/>
      <c r="I47" s="44"/>
      <c r="N47" s="113"/>
      <c r="O47" s="43"/>
      <c r="P47"/>
      <c r="Q47"/>
      <c r="R47"/>
      <c r="S47"/>
    </row>
  </sheetData>
  <autoFilter ref="A2:N10" xr:uid="{64FCD68C-592D-4188-9A7B-69F9CBC96336}"/>
  <mergeCells count="27">
    <mergeCell ref="A1:N1"/>
    <mergeCell ref="A2:A3"/>
    <mergeCell ref="B2:B3"/>
    <mergeCell ref="C2:C3"/>
    <mergeCell ref="D2:D3"/>
    <mergeCell ref="E2:E3"/>
    <mergeCell ref="F2:F3"/>
    <mergeCell ref="I2:I3"/>
    <mergeCell ref="J2:J3"/>
    <mergeCell ref="K2:K3"/>
    <mergeCell ref="G2:G3"/>
    <mergeCell ref="H2:H3"/>
    <mergeCell ref="F14:I14"/>
    <mergeCell ref="K14:L14"/>
    <mergeCell ref="W14:X14"/>
    <mergeCell ref="V2:V3"/>
    <mergeCell ref="W2:W3"/>
    <mergeCell ref="X2:X3"/>
    <mergeCell ref="F13:I13"/>
    <mergeCell ref="K13:L13"/>
    <mergeCell ref="W13:X13"/>
    <mergeCell ref="L2:L3"/>
    <mergeCell ref="M2:M3"/>
    <mergeCell ref="N2:N3"/>
    <mergeCell ref="P2:P3"/>
    <mergeCell ref="R2:R3"/>
    <mergeCell ref="T2:T3"/>
  </mergeCells>
  <pageMargins left="0.7" right="0.7" top="0.75" bottom="0.75" header="0.3" footer="0.3"/>
  <pageSetup paperSize="8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D0259-A6A4-449F-ACB5-B7351DA75297}">
  <sheetPr codeName="Sheet3"/>
  <dimension ref="A1:K46"/>
  <sheetViews>
    <sheetView view="pageBreakPreview" zoomScaleNormal="100" zoomScaleSheetLayoutView="100" workbookViewId="0">
      <pane xSplit="3" ySplit="3" topLeftCell="D4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RowHeight="15" x14ac:dyDescent="0.25"/>
  <cols>
    <col min="1" max="1" width="5.7109375" customWidth="1"/>
    <col min="2" max="2" width="9.28515625" customWidth="1"/>
    <col min="3" max="3" width="51.7109375" customWidth="1"/>
    <col min="4" max="4" width="19" style="6" customWidth="1"/>
    <col min="5" max="5" width="12.42578125" style="6" customWidth="1"/>
    <col min="6" max="6" width="16" style="6" bestFit="1" customWidth="1"/>
    <col min="7" max="8" width="16" style="6" customWidth="1"/>
    <col min="9" max="9" width="12.28515625" style="44" customWidth="1"/>
    <col min="10" max="10" width="28" customWidth="1"/>
    <col min="11" max="11" width="14.42578125" style="167" customWidth="1"/>
    <col min="239" max="239" width="5.7109375" customWidth="1"/>
    <col min="240" max="240" width="9.28515625" customWidth="1"/>
    <col min="241" max="241" width="51.7109375" customWidth="1"/>
    <col min="242" max="242" width="19" customWidth="1"/>
    <col min="243" max="243" width="12.42578125" customWidth="1"/>
    <col min="244" max="244" width="16" bestFit="1" customWidth="1"/>
    <col min="245" max="246" width="16" customWidth="1"/>
    <col min="247" max="247" width="12.28515625" customWidth="1"/>
    <col min="248" max="248" width="21.42578125" bestFit="1" customWidth="1"/>
    <col min="249" max="249" width="15.42578125" bestFit="1" customWidth="1"/>
    <col min="250" max="250" width="16.5703125" bestFit="1" customWidth="1"/>
    <col min="251" max="251" width="12" bestFit="1" customWidth="1"/>
    <col min="252" max="252" width="28" customWidth="1"/>
    <col min="253" max="253" width="11" customWidth="1"/>
    <col min="254" max="255" width="9.28515625" customWidth="1"/>
    <col min="256" max="256" width="51.7109375" customWidth="1"/>
    <col min="257" max="259" width="12.28515625" customWidth="1"/>
    <col min="260" max="260" width="21.42578125" bestFit="1" customWidth="1"/>
    <col min="261" max="261" width="18.28515625" bestFit="1" customWidth="1"/>
    <col min="262" max="262" width="17.5703125" bestFit="1" customWidth="1"/>
    <col min="495" max="495" width="5.7109375" customWidth="1"/>
    <col min="496" max="496" width="9.28515625" customWidth="1"/>
    <col min="497" max="497" width="51.7109375" customWidth="1"/>
    <col min="498" max="498" width="19" customWidth="1"/>
    <col min="499" max="499" width="12.42578125" customWidth="1"/>
    <col min="500" max="500" width="16" bestFit="1" customWidth="1"/>
    <col min="501" max="502" width="16" customWidth="1"/>
    <col min="503" max="503" width="12.28515625" customWidth="1"/>
    <col min="504" max="504" width="21.42578125" bestFit="1" customWidth="1"/>
    <col min="505" max="505" width="15.42578125" bestFit="1" customWidth="1"/>
    <col min="506" max="506" width="16.5703125" bestFit="1" customWidth="1"/>
    <col min="507" max="507" width="12" bestFit="1" customWidth="1"/>
    <col min="508" max="508" width="28" customWidth="1"/>
    <col min="509" max="509" width="11" customWidth="1"/>
    <col min="510" max="511" width="9.28515625" customWidth="1"/>
    <col min="512" max="512" width="51.7109375" customWidth="1"/>
    <col min="513" max="515" width="12.28515625" customWidth="1"/>
    <col min="516" max="516" width="21.42578125" bestFit="1" customWidth="1"/>
    <col min="517" max="517" width="18.28515625" bestFit="1" customWidth="1"/>
    <col min="518" max="518" width="17.5703125" bestFit="1" customWidth="1"/>
    <col min="751" max="751" width="5.7109375" customWidth="1"/>
    <col min="752" max="752" width="9.28515625" customWidth="1"/>
    <col min="753" max="753" width="51.7109375" customWidth="1"/>
    <col min="754" max="754" width="19" customWidth="1"/>
    <col min="755" max="755" width="12.42578125" customWidth="1"/>
    <col min="756" max="756" width="16" bestFit="1" customWidth="1"/>
    <col min="757" max="758" width="16" customWidth="1"/>
    <col min="759" max="759" width="12.28515625" customWidth="1"/>
    <col min="760" max="760" width="21.42578125" bestFit="1" customWidth="1"/>
    <col min="761" max="761" width="15.42578125" bestFit="1" customWidth="1"/>
    <col min="762" max="762" width="16.5703125" bestFit="1" customWidth="1"/>
    <col min="763" max="763" width="12" bestFit="1" customWidth="1"/>
    <col min="764" max="764" width="28" customWidth="1"/>
    <col min="765" max="765" width="11" customWidth="1"/>
    <col min="766" max="767" width="9.28515625" customWidth="1"/>
    <col min="768" max="768" width="51.7109375" customWidth="1"/>
    <col min="769" max="771" width="12.28515625" customWidth="1"/>
    <col min="772" max="772" width="21.42578125" bestFit="1" customWidth="1"/>
    <col min="773" max="773" width="18.28515625" bestFit="1" customWidth="1"/>
    <col min="774" max="774" width="17.5703125" bestFit="1" customWidth="1"/>
    <col min="1007" max="1007" width="5.7109375" customWidth="1"/>
    <col min="1008" max="1008" width="9.28515625" customWidth="1"/>
    <col min="1009" max="1009" width="51.7109375" customWidth="1"/>
    <col min="1010" max="1010" width="19" customWidth="1"/>
    <col min="1011" max="1011" width="12.42578125" customWidth="1"/>
    <col min="1012" max="1012" width="16" bestFit="1" customWidth="1"/>
    <col min="1013" max="1014" width="16" customWidth="1"/>
    <col min="1015" max="1015" width="12.28515625" customWidth="1"/>
    <col min="1016" max="1016" width="21.42578125" bestFit="1" customWidth="1"/>
    <col min="1017" max="1017" width="15.42578125" bestFit="1" customWidth="1"/>
    <col min="1018" max="1018" width="16.5703125" bestFit="1" customWidth="1"/>
    <col min="1019" max="1019" width="12" bestFit="1" customWidth="1"/>
    <col min="1020" max="1020" width="28" customWidth="1"/>
    <col min="1021" max="1021" width="11" customWidth="1"/>
    <col min="1022" max="1023" width="9.28515625" customWidth="1"/>
    <col min="1024" max="1024" width="51.7109375" customWidth="1"/>
    <col min="1025" max="1027" width="12.28515625" customWidth="1"/>
    <col min="1028" max="1028" width="21.42578125" bestFit="1" customWidth="1"/>
    <col min="1029" max="1029" width="18.28515625" bestFit="1" customWidth="1"/>
    <col min="1030" max="1030" width="17.5703125" bestFit="1" customWidth="1"/>
    <col min="1263" max="1263" width="5.7109375" customWidth="1"/>
    <col min="1264" max="1264" width="9.28515625" customWidth="1"/>
    <col min="1265" max="1265" width="51.7109375" customWidth="1"/>
    <col min="1266" max="1266" width="19" customWidth="1"/>
    <col min="1267" max="1267" width="12.42578125" customWidth="1"/>
    <col min="1268" max="1268" width="16" bestFit="1" customWidth="1"/>
    <col min="1269" max="1270" width="16" customWidth="1"/>
    <col min="1271" max="1271" width="12.28515625" customWidth="1"/>
    <col min="1272" max="1272" width="21.42578125" bestFit="1" customWidth="1"/>
    <col min="1273" max="1273" width="15.42578125" bestFit="1" customWidth="1"/>
    <col min="1274" max="1274" width="16.5703125" bestFit="1" customWidth="1"/>
    <col min="1275" max="1275" width="12" bestFit="1" customWidth="1"/>
    <col min="1276" max="1276" width="28" customWidth="1"/>
    <col min="1277" max="1277" width="11" customWidth="1"/>
    <col min="1278" max="1279" width="9.28515625" customWidth="1"/>
    <col min="1280" max="1280" width="51.7109375" customWidth="1"/>
    <col min="1281" max="1283" width="12.28515625" customWidth="1"/>
    <col min="1284" max="1284" width="21.42578125" bestFit="1" customWidth="1"/>
    <col min="1285" max="1285" width="18.28515625" bestFit="1" customWidth="1"/>
    <col min="1286" max="1286" width="17.5703125" bestFit="1" customWidth="1"/>
    <col min="1519" max="1519" width="5.7109375" customWidth="1"/>
    <col min="1520" max="1520" width="9.28515625" customWidth="1"/>
    <col min="1521" max="1521" width="51.7109375" customWidth="1"/>
    <col min="1522" max="1522" width="19" customWidth="1"/>
    <col min="1523" max="1523" width="12.42578125" customWidth="1"/>
    <col min="1524" max="1524" width="16" bestFit="1" customWidth="1"/>
    <col min="1525" max="1526" width="16" customWidth="1"/>
    <col min="1527" max="1527" width="12.28515625" customWidth="1"/>
    <col min="1528" max="1528" width="21.42578125" bestFit="1" customWidth="1"/>
    <col min="1529" max="1529" width="15.42578125" bestFit="1" customWidth="1"/>
    <col min="1530" max="1530" width="16.5703125" bestFit="1" customWidth="1"/>
    <col min="1531" max="1531" width="12" bestFit="1" customWidth="1"/>
    <col min="1532" max="1532" width="28" customWidth="1"/>
    <col min="1533" max="1533" width="11" customWidth="1"/>
    <col min="1534" max="1535" width="9.28515625" customWidth="1"/>
    <col min="1536" max="1536" width="51.7109375" customWidth="1"/>
    <col min="1537" max="1539" width="12.28515625" customWidth="1"/>
    <col min="1540" max="1540" width="21.42578125" bestFit="1" customWidth="1"/>
    <col min="1541" max="1541" width="18.28515625" bestFit="1" customWidth="1"/>
    <col min="1542" max="1542" width="17.5703125" bestFit="1" customWidth="1"/>
    <col min="1775" max="1775" width="5.7109375" customWidth="1"/>
    <col min="1776" max="1776" width="9.28515625" customWidth="1"/>
    <col min="1777" max="1777" width="51.7109375" customWidth="1"/>
    <col min="1778" max="1778" width="19" customWidth="1"/>
    <col min="1779" max="1779" width="12.42578125" customWidth="1"/>
    <col min="1780" max="1780" width="16" bestFit="1" customWidth="1"/>
    <col min="1781" max="1782" width="16" customWidth="1"/>
    <col min="1783" max="1783" width="12.28515625" customWidth="1"/>
    <col min="1784" max="1784" width="21.42578125" bestFit="1" customWidth="1"/>
    <col min="1785" max="1785" width="15.42578125" bestFit="1" customWidth="1"/>
    <col min="1786" max="1786" width="16.5703125" bestFit="1" customWidth="1"/>
    <col min="1787" max="1787" width="12" bestFit="1" customWidth="1"/>
    <col min="1788" max="1788" width="28" customWidth="1"/>
    <col min="1789" max="1789" width="11" customWidth="1"/>
    <col min="1790" max="1791" width="9.28515625" customWidth="1"/>
    <col min="1792" max="1792" width="51.7109375" customWidth="1"/>
    <col min="1793" max="1795" width="12.28515625" customWidth="1"/>
    <col min="1796" max="1796" width="21.42578125" bestFit="1" customWidth="1"/>
    <col min="1797" max="1797" width="18.28515625" bestFit="1" customWidth="1"/>
    <col min="1798" max="1798" width="17.5703125" bestFit="1" customWidth="1"/>
    <col min="2031" max="2031" width="5.7109375" customWidth="1"/>
    <col min="2032" max="2032" width="9.28515625" customWidth="1"/>
    <col min="2033" max="2033" width="51.7109375" customWidth="1"/>
    <col min="2034" max="2034" width="19" customWidth="1"/>
    <col min="2035" max="2035" width="12.42578125" customWidth="1"/>
    <col min="2036" max="2036" width="16" bestFit="1" customWidth="1"/>
    <col min="2037" max="2038" width="16" customWidth="1"/>
    <col min="2039" max="2039" width="12.28515625" customWidth="1"/>
    <col min="2040" max="2040" width="21.42578125" bestFit="1" customWidth="1"/>
    <col min="2041" max="2041" width="15.42578125" bestFit="1" customWidth="1"/>
    <col min="2042" max="2042" width="16.5703125" bestFit="1" customWidth="1"/>
    <col min="2043" max="2043" width="12" bestFit="1" customWidth="1"/>
    <col min="2044" max="2044" width="28" customWidth="1"/>
    <col min="2045" max="2045" width="11" customWidth="1"/>
    <col min="2046" max="2047" width="9.28515625" customWidth="1"/>
    <col min="2048" max="2048" width="51.7109375" customWidth="1"/>
    <col min="2049" max="2051" width="12.28515625" customWidth="1"/>
    <col min="2052" max="2052" width="21.42578125" bestFit="1" customWidth="1"/>
    <col min="2053" max="2053" width="18.28515625" bestFit="1" customWidth="1"/>
    <col min="2054" max="2054" width="17.5703125" bestFit="1" customWidth="1"/>
    <col min="2287" max="2287" width="5.7109375" customWidth="1"/>
    <col min="2288" max="2288" width="9.28515625" customWidth="1"/>
    <col min="2289" max="2289" width="51.7109375" customWidth="1"/>
    <col min="2290" max="2290" width="19" customWidth="1"/>
    <col min="2291" max="2291" width="12.42578125" customWidth="1"/>
    <col min="2292" max="2292" width="16" bestFit="1" customWidth="1"/>
    <col min="2293" max="2294" width="16" customWidth="1"/>
    <col min="2295" max="2295" width="12.28515625" customWidth="1"/>
    <col min="2296" max="2296" width="21.42578125" bestFit="1" customWidth="1"/>
    <col min="2297" max="2297" width="15.42578125" bestFit="1" customWidth="1"/>
    <col min="2298" max="2298" width="16.5703125" bestFit="1" customWidth="1"/>
    <col min="2299" max="2299" width="12" bestFit="1" customWidth="1"/>
    <col min="2300" max="2300" width="28" customWidth="1"/>
    <col min="2301" max="2301" width="11" customWidth="1"/>
    <col min="2302" max="2303" width="9.28515625" customWidth="1"/>
    <col min="2304" max="2304" width="51.7109375" customWidth="1"/>
    <col min="2305" max="2307" width="12.28515625" customWidth="1"/>
    <col min="2308" max="2308" width="21.42578125" bestFit="1" customWidth="1"/>
    <col min="2309" max="2309" width="18.28515625" bestFit="1" customWidth="1"/>
    <col min="2310" max="2310" width="17.5703125" bestFit="1" customWidth="1"/>
    <col min="2543" max="2543" width="5.7109375" customWidth="1"/>
    <col min="2544" max="2544" width="9.28515625" customWidth="1"/>
    <col min="2545" max="2545" width="51.7109375" customWidth="1"/>
    <col min="2546" max="2546" width="19" customWidth="1"/>
    <col min="2547" max="2547" width="12.42578125" customWidth="1"/>
    <col min="2548" max="2548" width="16" bestFit="1" customWidth="1"/>
    <col min="2549" max="2550" width="16" customWidth="1"/>
    <col min="2551" max="2551" width="12.28515625" customWidth="1"/>
    <col min="2552" max="2552" width="21.42578125" bestFit="1" customWidth="1"/>
    <col min="2553" max="2553" width="15.42578125" bestFit="1" customWidth="1"/>
    <col min="2554" max="2554" width="16.5703125" bestFit="1" customWidth="1"/>
    <col min="2555" max="2555" width="12" bestFit="1" customWidth="1"/>
    <col min="2556" max="2556" width="28" customWidth="1"/>
    <col min="2557" max="2557" width="11" customWidth="1"/>
    <col min="2558" max="2559" width="9.28515625" customWidth="1"/>
    <col min="2560" max="2560" width="51.7109375" customWidth="1"/>
    <col min="2561" max="2563" width="12.28515625" customWidth="1"/>
    <col min="2564" max="2564" width="21.42578125" bestFit="1" customWidth="1"/>
    <col min="2565" max="2565" width="18.28515625" bestFit="1" customWidth="1"/>
    <col min="2566" max="2566" width="17.5703125" bestFit="1" customWidth="1"/>
    <col min="2799" max="2799" width="5.7109375" customWidth="1"/>
    <col min="2800" max="2800" width="9.28515625" customWidth="1"/>
    <col min="2801" max="2801" width="51.7109375" customWidth="1"/>
    <col min="2802" max="2802" width="19" customWidth="1"/>
    <col min="2803" max="2803" width="12.42578125" customWidth="1"/>
    <col min="2804" max="2804" width="16" bestFit="1" customWidth="1"/>
    <col min="2805" max="2806" width="16" customWidth="1"/>
    <col min="2807" max="2807" width="12.28515625" customWidth="1"/>
    <col min="2808" max="2808" width="21.42578125" bestFit="1" customWidth="1"/>
    <col min="2809" max="2809" width="15.42578125" bestFit="1" customWidth="1"/>
    <col min="2810" max="2810" width="16.5703125" bestFit="1" customWidth="1"/>
    <col min="2811" max="2811" width="12" bestFit="1" customWidth="1"/>
    <col min="2812" max="2812" width="28" customWidth="1"/>
    <col min="2813" max="2813" width="11" customWidth="1"/>
    <col min="2814" max="2815" width="9.28515625" customWidth="1"/>
    <col min="2816" max="2816" width="51.7109375" customWidth="1"/>
    <col min="2817" max="2819" width="12.28515625" customWidth="1"/>
    <col min="2820" max="2820" width="21.42578125" bestFit="1" customWidth="1"/>
    <col min="2821" max="2821" width="18.28515625" bestFit="1" customWidth="1"/>
    <col min="2822" max="2822" width="17.5703125" bestFit="1" customWidth="1"/>
    <col min="3055" max="3055" width="5.7109375" customWidth="1"/>
    <col min="3056" max="3056" width="9.28515625" customWidth="1"/>
    <col min="3057" max="3057" width="51.7109375" customWidth="1"/>
    <col min="3058" max="3058" width="19" customWidth="1"/>
    <col min="3059" max="3059" width="12.42578125" customWidth="1"/>
    <col min="3060" max="3060" width="16" bestFit="1" customWidth="1"/>
    <col min="3061" max="3062" width="16" customWidth="1"/>
    <col min="3063" max="3063" width="12.28515625" customWidth="1"/>
    <col min="3064" max="3064" width="21.42578125" bestFit="1" customWidth="1"/>
    <col min="3065" max="3065" width="15.42578125" bestFit="1" customWidth="1"/>
    <col min="3066" max="3066" width="16.5703125" bestFit="1" customWidth="1"/>
    <col min="3067" max="3067" width="12" bestFit="1" customWidth="1"/>
    <col min="3068" max="3068" width="28" customWidth="1"/>
    <col min="3069" max="3069" width="11" customWidth="1"/>
    <col min="3070" max="3071" width="9.28515625" customWidth="1"/>
    <col min="3072" max="3072" width="51.7109375" customWidth="1"/>
    <col min="3073" max="3075" width="12.28515625" customWidth="1"/>
    <col min="3076" max="3076" width="21.42578125" bestFit="1" customWidth="1"/>
    <col min="3077" max="3077" width="18.28515625" bestFit="1" customWidth="1"/>
    <col min="3078" max="3078" width="17.5703125" bestFit="1" customWidth="1"/>
    <col min="3311" max="3311" width="5.7109375" customWidth="1"/>
    <col min="3312" max="3312" width="9.28515625" customWidth="1"/>
    <col min="3313" max="3313" width="51.7109375" customWidth="1"/>
    <col min="3314" max="3314" width="19" customWidth="1"/>
    <col min="3315" max="3315" width="12.42578125" customWidth="1"/>
    <col min="3316" max="3316" width="16" bestFit="1" customWidth="1"/>
    <col min="3317" max="3318" width="16" customWidth="1"/>
    <col min="3319" max="3319" width="12.28515625" customWidth="1"/>
    <col min="3320" max="3320" width="21.42578125" bestFit="1" customWidth="1"/>
    <col min="3321" max="3321" width="15.42578125" bestFit="1" customWidth="1"/>
    <col min="3322" max="3322" width="16.5703125" bestFit="1" customWidth="1"/>
    <col min="3323" max="3323" width="12" bestFit="1" customWidth="1"/>
    <col min="3324" max="3324" width="28" customWidth="1"/>
    <col min="3325" max="3325" width="11" customWidth="1"/>
    <col min="3326" max="3327" width="9.28515625" customWidth="1"/>
    <col min="3328" max="3328" width="51.7109375" customWidth="1"/>
    <col min="3329" max="3331" width="12.28515625" customWidth="1"/>
    <col min="3332" max="3332" width="21.42578125" bestFit="1" customWidth="1"/>
    <col min="3333" max="3333" width="18.28515625" bestFit="1" customWidth="1"/>
    <col min="3334" max="3334" width="17.5703125" bestFit="1" customWidth="1"/>
    <col min="3567" max="3567" width="5.7109375" customWidth="1"/>
    <col min="3568" max="3568" width="9.28515625" customWidth="1"/>
    <col min="3569" max="3569" width="51.7109375" customWidth="1"/>
    <col min="3570" max="3570" width="19" customWidth="1"/>
    <col min="3571" max="3571" width="12.42578125" customWidth="1"/>
    <col min="3572" max="3572" width="16" bestFit="1" customWidth="1"/>
    <col min="3573" max="3574" width="16" customWidth="1"/>
    <col min="3575" max="3575" width="12.28515625" customWidth="1"/>
    <col min="3576" max="3576" width="21.42578125" bestFit="1" customWidth="1"/>
    <col min="3577" max="3577" width="15.42578125" bestFit="1" customWidth="1"/>
    <col min="3578" max="3578" width="16.5703125" bestFit="1" customWidth="1"/>
    <col min="3579" max="3579" width="12" bestFit="1" customWidth="1"/>
    <col min="3580" max="3580" width="28" customWidth="1"/>
    <col min="3581" max="3581" width="11" customWidth="1"/>
    <col min="3582" max="3583" width="9.28515625" customWidth="1"/>
    <col min="3584" max="3584" width="51.7109375" customWidth="1"/>
    <col min="3585" max="3587" width="12.28515625" customWidth="1"/>
    <col min="3588" max="3588" width="21.42578125" bestFit="1" customWidth="1"/>
    <col min="3589" max="3589" width="18.28515625" bestFit="1" customWidth="1"/>
    <col min="3590" max="3590" width="17.5703125" bestFit="1" customWidth="1"/>
    <col min="3823" max="3823" width="5.7109375" customWidth="1"/>
    <col min="3824" max="3824" width="9.28515625" customWidth="1"/>
    <col min="3825" max="3825" width="51.7109375" customWidth="1"/>
    <col min="3826" max="3826" width="19" customWidth="1"/>
    <col min="3827" max="3827" width="12.42578125" customWidth="1"/>
    <col min="3828" max="3828" width="16" bestFit="1" customWidth="1"/>
    <col min="3829" max="3830" width="16" customWidth="1"/>
    <col min="3831" max="3831" width="12.28515625" customWidth="1"/>
    <col min="3832" max="3832" width="21.42578125" bestFit="1" customWidth="1"/>
    <col min="3833" max="3833" width="15.42578125" bestFit="1" customWidth="1"/>
    <col min="3834" max="3834" width="16.5703125" bestFit="1" customWidth="1"/>
    <col min="3835" max="3835" width="12" bestFit="1" customWidth="1"/>
    <col min="3836" max="3836" width="28" customWidth="1"/>
    <col min="3837" max="3837" width="11" customWidth="1"/>
    <col min="3838" max="3839" width="9.28515625" customWidth="1"/>
    <col min="3840" max="3840" width="51.7109375" customWidth="1"/>
    <col min="3841" max="3843" width="12.28515625" customWidth="1"/>
    <col min="3844" max="3844" width="21.42578125" bestFit="1" customWidth="1"/>
    <col min="3845" max="3845" width="18.28515625" bestFit="1" customWidth="1"/>
    <col min="3846" max="3846" width="17.5703125" bestFit="1" customWidth="1"/>
    <col min="4079" max="4079" width="5.7109375" customWidth="1"/>
    <col min="4080" max="4080" width="9.28515625" customWidth="1"/>
    <col min="4081" max="4081" width="51.7109375" customWidth="1"/>
    <col min="4082" max="4082" width="19" customWidth="1"/>
    <col min="4083" max="4083" width="12.42578125" customWidth="1"/>
    <col min="4084" max="4084" width="16" bestFit="1" customWidth="1"/>
    <col min="4085" max="4086" width="16" customWidth="1"/>
    <col min="4087" max="4087" width="12.28515625" customWidth="1"/>
    <col min="4088" max="4088" width="21.42578125" bestFit="1" customWidth="1"/>
    <col min="4089" max="4089" width="15.42578125" bestFit="1" customWidth="1"/>
    <col min="4090" max="4090" width="16.5703125" bestFit="1" customWidth="1"/>
    <col min="4091" max="4091" width="12" bestFit="1" customWidth="1"/>
    <col min="4092" max="4092" width="28" customWidth="1"/>
    <col min="4093" max="4093" width="11" customWidth="1"/>
    <col min="4094" max="4095" width="9.28515625" customWidth="1"/>
    <col min="4096" max="4096" width="51.7109375" customWidth="1"/>
    <col min="4097" max="4099" width="12.28515625" customWidth="1"/>
    <col min="4100" max="4100" width="21.42578125" bestFit="1" customWidth="1"/>
    <col min="4101" max="4101" width="18.28515625" bestFit="1" customWidth="1"/>
    <col min="4102" max="4102" width="17.5703125" bestFit="1" customWidth="1"/>
    <col min="4335" max="4335" width="5.7109375" customWidth="1"/>
    <col min="4336" max="4336" width="9.28515625" customWidth="1"/>
    <col min="4337" max="4337" width="51.7109375" customWidth="1"/>
    <col min="4338" max="4338" width="19" customWidth="1"/>
    <col min="4339" max="4339" width="12.42578125" customWidth="1"/>
    <col min="4340" max="4340" width="16" bestFit="1" customWidth="1"/>
    <col min="4341" max="4342" width="16" customWidth="1"/>
    <col min="4343" max="4343" width="12.28515625" customWidth="1"/>
    <col min="4344" max="4344" width="21.42578125" bestFit="1" customWidth="1"/>
    <col min="4345" max="4345" width="15.42578125" bestFit="1" customWidth="1"/>
    <col min="4346" max="4346" width="16.5703125" bestFit="1" customWidth="1"/>
    <col min="4347" max="4347" width="12" bestFit="1" customWidth="1"/>
    <col min="4348" max="4348" width="28" customWidth="1"/>
    <col min="4349" max="4349" width="11" customWidth="1"/>
    <col min="4350" max="4351" width="9.28515625" customWidth="1"/>
    <col min="4352" max="4352" width="51.7109375" customWidth="1"/>
    <col min="4353" max="4355" width="12.28515625" customWidth="1"/>
    <col min="4356" max="4356" width="21.42578125" bestFit="1" customWidth="1"/>
    <col min="4357" max="4357" width="18.28515625" bestFit="1" customWidth="1"/>
    <col min="4358" max="4358" width="17.5703125" bestFit="1" customWidth="1"/>
    <col min="4591" max="4591" width="5.7109375" customWidth="1"/>
    <col min="4592" max="4592" width="9.28515625" customWidth="1"/>
    <col min="4593" max="4593" width="51.7109375" customWidth="1"/>
    <col min="4594" max="4594" width="19" customWidth="1"/>
    <col min="4595" max="4595" width="12.42578125" customWidth="1"/>
    <col min="4596" max="4596" width="16" bestFit="1" customWidth="1"/>
    <col min="4597" max="4598" width="16" customWidth="1"/>
    <col min="4599" max="4599" width="12.28515625" customWidth="1"/>
    <col min="4600" max="4600" width="21.42578125" bestFit="1" customWidth="1"/>
    <col min="4601" max="4601" width="15.42578125" bestFit="1" customWidth="1"/>
    <col min="4602" max="4602" width="16.5703125" bestFit="1" customWidth="1"/>
    <col min="4603" max="4603" width="12" bestFit="1" customWidth="1"/>
    <col min="4604" max="4604" width="28" customWidth="1"/>
    <col min="4605" max="4605" width="11" customWidth="1"/>
    <col min="4606" max="4607" width="9.28515625" customWidth="1"/>
    <col min="4608" max="4608" width="51.7109375" customWidth="1"/>
    <col min="4609" max="4611" width="12.28515625" customWidth="1"/>
    <col min="4612" max="4612" width="21.42578125" bestFit="1" customWidth="1"/>
    <col min="4613" max="4613" width="18.28515625" bestFit="1" customWidth="1"/>
    <col min="4614" max="4614" width="17.5703125" bestFit="1" customWidth="1"/>
    <col min="4847" max="4847" width="5.7109375" customWidth="1"/>
    <col min="4848" max="4848" width="9.28515625" customWidth="1"/>
    <col min="4849" max="4849" width="51.7109375" customWidth="1"/>
    <col min="4850" max="4850" width="19" customWidth="1"/>
    <col min="4851" max="4851" width="12.42578125" customWidth="1"/>
    <col min="4852" max="4852" width="16" bestFit="1" customWidth="1"/>
    <col min="4853" max="4854" width="16" customWidth="1"/>
    <col min="4855" max="4855" width="12.28515625" customWidth="1"/>
    <col min="4856" max="4856" width="21.42578125" bestFit="1" customWidth="1"/>
    <col min="4857" max="4857" width="15.42578125" bestFit="1" customWidth="1"/>
    <col min="4858" max="4858" width="16.5703125" bestFit="1" customWidth="1"/>
    <col min="4859" max="4859" width="12" bestFit="1" customWidth="1"/>
    <col min="4860" max="4860" width="28" customWidth="1"/>
    <col min="4861" max="4861" width="11" customWidth="1"/>
    <col min="4862" max="4863" width="9.28515625" customWidth="1"/>
    <col min="4864" max="4864" width="51.7109375" customWidth="1"/>
    <col min="4865" max="4867" width="12.28515625" customWidth="1"/>
    <col min="4868" max="4868" width="21.42578125" bestFit="1" customWidth="1"/>
    <col min="4869" max="4869" width="18.28515625" bestFit="1" customWidth="1"/>
    <col min="4870" max="4870" width="17.5703125" bestFit="1" customWidth="1"/>
    <col min="5103" max="5103" width="5.7109375" customWidth="1"/>
    <col min="5104" max="5104" width="9.28515625" customWidth="1"/>
    <col min="5105" max="5105" width="51.7109375" customWidth="1"/>
    <col min="5106" max="5106" width="19" customWidth="1"/>
    <col min="5107" max="5107" width="12.42578125" customWidth="1"/>
    <col min="5108" max="5108" width="16" bestFit="1" customWidth="1"/>
    <col min="5109" max="5110" width="16" customWidth="1"/>
    <col min="5111" max="5111" width="12.28515625" customWidth="1"/>
    <col min="5112" max="5112" width="21.42578125" bestFit="1" customWidth="1"/>
    <col min="5113" max="5113" width="15.42578125" bestFit="1" customWidth="1"/>
    <col min="5114" max="5114" width="16.5703125" bestFit="1" customWidth="1"/>
    <col min="5115" max="5115" width="12" bestFit="1" customWidth="1"/>
    <col min="5116" max="5116" width="28" customWidth="1"/>
    <col min="5117" max="5117" width="11" customWidth="1"/>
    <col min="5118" max="5119" width="9.28515625" customWidth="1"/>
    <col min="5120" max="5120" width="51.7109375" customWidth="1"/>
    <col min="5121" max="5123" width="12.28515625" customWidth="1"/>
    <col min="5124" max="5124" width="21.42578125" bestFit="1" customWidth="1"/>
    <col min="5125" max="5125" width="18.28515625" bestFit="1" customWidth="1"/>
    <col min="5126" max="5126" width="17.5703125" bestFit="1" customWidth="1"/>
    <col min="5359" max="5359" width="5.7109375" customWidth="1"/>
    <col min="5360" max="5360" width="9.28515625" customWidth="1"/>
    <col min="5361" max="5361" width="51.7109375" customWidth="1"/>
    <col min="5362" max="5362" width="19" customWidth="1"/>
    <col min="5363" max="5363" width="12.42578125" customWidth="1"/>
    <col min="5364" max="5364" width="16" bestFit="1" customWidth="1"/>
    <col min="5365" max="5366" width="16" customWidth="1"/>
    <col min="5367" max="5367" width="12.28515625" customWidth="1"/>
    <col min="5368" max="5368" width="21.42578125" bestFit="1" customWidth="1"/>
    <col min="5369" max="5369" width="15.42578125" bestFit="1" customWidth="1"/>
    <col min="5370" max="5370" width="16.5703125" bestFit="1" customWidth="1"/>
    <col min="5371" max="5371" width="12" bestFit="1" customWidth="1"/>
    <col min="5372" max="5372" width="28" customWidth="1"/>
    <col min="5373" max="5373" width="11" customWidth="1"/>
    <col min="5374" max="5375" width="9.28515625" customWidth="1"/>
    <col min="5376" max="5376" width="51.7109375" customWidth="1"/>
    <col min="5377" max="5379" width="12.28515625" customWidth="1"/>
    <col min="5380" max="5380" width="21.42578125" bestFit="1" customWidth="1"/>
    <col min="5381" max="5381" width="18.28515625" bestFit="1" customWidth="1"/>
    <col min="5382" max="5382" width="17.5703125" bestFit="1" customWidth="1"/>
    <col min="5615" max="5615" width="5.7109375" customWidth="1"/>
    <col min="5616" max="5616" width="9.28515625" customWidth="1"/>
    <col min="5617" max="5617" width="51.7109375" customWidth="1"/>
    <col min="5618" max="5618" width="19" customWidth="1"/>
    <col min="5619" max="5619" width="12.42578125" customWidth="1"/>
    <col min="5620" max="5620" width="16" bestFit="1" customWidth="1"/>
    <col min="5621" max="5622" width="16" customWidth="1"/>
    <col min="5623" max="5623" width="12.28515625" customWidth="1"/>
    <col min="5624" max="5624" width="21.42578125" bestFit="1" customWidth="1"/>
    <col min="5625" max="5625" width="15.42578125" bestFit="1" customWidth="1"/>
    <col min="5626" max="5626" width="16.5703125" bestFit="1" customWidth="1"/>
    <col min="5627" max="5627" width="12" bestFit="1" customWidth="1"/>
    <col min="5628" max="5628" width="28" customWidth="1"/>
    <col min="5629" max="5629" width="11" customWidth="1"/>
    <col min="5630" max="5631" width="9.28515625" customWidth="1"/>
    <col min="5632" max="5632" width="51.7109375" customWidth="1"/>
    <col min="5633" max="5635" width="12.28515625" customWidth="1"/>
    <col min="5636" max="5636" width="21.42578125" bestFit="1" customWidth="1"/>
    <col min="5637" max="5637" width="18.28515625" bestFit="1" customWidth="1"/>
    <col min="5638" max="5638" width="17.5703125" bestFit="1" customWidth="1"/>
    <col min="5871" max="5871" width="5.7109375" customWidth="1"/>
    <col min="5872" max="5872" width="9.28515625" customWidth="1"/>
    <col min="5873" max="5873" width="51.7109375" customWidth="1"/>
    <col min="5874" max="5874" width="19" customWidth="1"/>
    <col min="5875" max="5875" width="12.42578125" customWidth="1"/>
    <col min="5876" max="5876" width="16" bestFit="1" customWidth="1"/>
    <col min="5877" max="5878" width="16" customWidth="1"/>
    <col min="5879" max="5879" width="12.28515625" customWidth="1"/>
    <col min="5880" max="5880" width="21.42578125" bestFit="1" customWidth="1"/>
    <col min="5881" max="5881" width="15.42578125" bestFit="1" customWidth="1"/>
    <col min="5882" max="5882" width="16.5703125" bestFit="1" customWidth="1"/>
    <col min="5883" max="5883" width="12" bestFit="1" customWidth="1"/>
    <col min="5884" max="5884" width="28" customWidth="1"/>
    <col min="5885" max="5885" width="11" customWidth="1"/>
    <col min="5886" max="5887" width="9.28515625" customWidth="1"/>
    <col min="5888" max="5888" width="51.7109375" customWidth="1"/>
    <col min="5889" max="5891" width="12.28515625" customWidth="1"/>
    <col min="5892" max="5892" width="21.42578125" bestFit="1" customWidth="1"/>
    <col min="5893" max="5893" width="18.28515625" bestFit="1" customWidth="1"/>
    <col min="5894" max="5894" width="17.5703125" bestFit="1" customWidth="1"/>
    <col min="6127" max="6127" width="5.7109375" customWidth="1"/>
    <col min="6128" max="6128" width="9.28515625" customWidth="1"/>
    <col min="6129" max="6129" width="51.7109375" customWidth="1"/>
    <col min="6130" max="6130" width="19" customWidth="1"/>
    <col min="6131" max="6131" width="12.42578125" customWidth="1"/>
    <col min="6132" max="6132" width="16" bestFit="1" customWidth="1"/>
    <col min="6133" max="6134" width="16" customWidth="1"/>
    <col min="6135" max="6135" width="12.28515625" customWidth="1"/>
    <col min="6136" max="6136" width="21.42578125" bestFit="1" customWidth="1"/>
    <col min="6137" max="6137" width="15.42578125" bestFit="1" customWidth="1"/>
    <col min="6138" max="6138" width="16.5703125" bestFit="1" customWidth="1"/>
    <col min="6139" max="6139" width="12" bestFit="1" customWidth="1"/>
    <col min="6140" max="6140" width="28" customWidth="1"/>
    <col min="6141" max="6141" width="11" customWidth="1"/>
    <col min="6142" max="6143" width="9.28515625" customWidth="1"/>
    <col min="6144" max="6144" width="51.7109375" customWidth="1"/>
    <col min="6145" max="6147" width="12.28515625" customWidth="1"/>
    <col min="6148" max="6148" width="21.42578125" bestFit="1" customWidth="1"/>
    <col min="6149" max="6149" width="18.28515625" bestFit="1" customWidth="1"/>
    <col min="6150" max="6150" width="17.5703125" bestFit="1" customWidth="1"/>
    <col min="6383" max="6383" width="5.7109375" customWidth="1"/>
    <col min="6384" max="6384" width="9.28515625" customWidth="1"/>
    <col min="6385" max="6385" width="51.7109375" customWidth="1"/>
    <col min="6386" max="6386" width="19" customWidth="1"/>
    <col min="6387" max="6387" width="12.42578125" customWidth="1"/>
    <col min="6388" max="6388" width="16" bestFit="1" customWidth="1"/>
    <col min="6389" max="6390" width="16" customWidth="1"/>
    <col min="6391" max="6391" width="12.28515625" customWidth="1"/>
    <col min="6392" max="6392" width="21.42578125" bestFit="1" customWidth="1"/>
    <col min="6393" max="6393" width="15.42578125" bestFit="1" customWidth="1"/>
    <col min="6394" max="6394" width="16.5703125" bestFit="1" customWidth="1"/>
    <col min="6395" max="6395" width="12" bestFit="1" customWidth="1"/>
    <col min="6396" max="6396" width="28" customWidth="1"/>
    <col min="6397" max="6397" width="11" customWidth="1"/>
    <col min="6398" max="6399" width="9.28515625" customWidth="1"/>
    <col min="6400" max="6400" width="51.7109375" customWidth="1"/>
    <col min="6401" max="6403" width="12.28515625" customWidth="1"/>
    <col min="6404" max="6404" width="21.42578125" bestFit="1" customWidth="1"/>
    <col min="6405" max="6405" width="18.28515625" bestFit="1" customWidth="1"/>
    <col min="6406" max="6406" width="17.5703125" bestFit="1" customWidth="1"/>
    <col min="6639" max="6639" width="5.7109375" customWidth="1"/>
    <col min="6640" max="6640" width="9.28515625" customWidth="1"/>
    <col min="6641" max="6641" width="51.7109375" customWidth="1"/>
    <col min="6642" max="6642" width="19" customWidth="1"/>
    <col min="6643" max="6643" width="12.42578125" customWidth="1"/>
    <col min="6644" max="6644" width="16" bestFit="1" customWidth="1"/>
    <col min="6645" max="6646" width="16" customWidth="1"/>
    <col min="6647" max="6647" width="12.28515625" customWidth="1"/>
    <col min="6648" max="6648" width="21.42578125" bestFit="1" customWidth="1"/>
    <col min="6649" max="6649" width="15.42578125" bestFit="1" customWidth="1"/>
    <col min="6650" max="6650" width="16.5703125" bestFit="1" customWidth="1"/>
    <col min="6651" max="6651" width="12" bestFit="1" customWidth="1"/>
    <col min="6652" max="6652" width="28" customWidth="1"/>
    <col min="6653" max="6653" width="11" customWidth="1"/>
    <col min="6654" max="6655" width="9.28515625" customWidth="1"/>
    <col min="6656" max="6656" width="51.7109375" customWidth="1"/>
    <col min="6657" max="6659" width="12.28515625" customWidth="1"/>
    <col min="6660" max="6660" width="21.42578125" bestFit="1" customWidth="1"/>
    <col min="6661" max="6661" width="18.28515625" bestFit="1" customWidth="1"/>
    <col min="6662" max="6662" width="17.5703125" bestFit="1" customWidth="1"/>
    <col min="6895" max="6895" width="5.7109375" customWidth="1"/>
    <col min="6896" max="6896" width="9.28515625" customWidth="1"/>
    <col min="6897" max="6897" width="51.7109375" customWidth="1"/>
    <col min="6898" max="6898" width="19" customWidth="1"/>
    <col min="6899" max="6899" width="12.42578125" customWidth="1"/>
    <col min="6900" max="6900" width="16" bestFit="1" customWidth="1"/>
    <col min="6901" max="6902" width="16" customWidth="1"/>
    <col min="6903" max="6903" width="12.28515625" customWidth="1"/>
    <col min="6904" max="6904" width="21.42578125" bestFit="1" customWidth="1"/>
    <col min="6905" max="6905" width="15.42578125" bestFit="1" customWidth="1"/>
    <col min="6906" max="6906" width="16.5703125" bestFit="1" customWidth="1"/>
    <col min="6907" max="6907" width="12" bestFit="1" customWidth="1"/>
    <col min="6908" max="6908" width="28" customWidth="1"/>
    <col min="6909" max="6909" width="11" customWidth="1"/>
    <col min="6910" max="6911" width="9.28515625" customWidth="1"/>
    <col min="6912" max="6912" width="51.7109375" customWidth="1"/>
    <col min="6913" max="6915" width="12.28515625" customWidth="1"/>
    <col min="6916" max="6916" width="21.42578125" bestFit="1" customWidth="1"/>
    <col min="6917" max="6917" width="18.28515625" bestFit="1" customWidth="1"/>
    <col min="6918" max="6918" width="17.5703125" bestFit="1" customWidth="1"/>
    <col min="7151" max="7151" width="5.7109375" customWidth="1"/>
    <col min="7152" max="7152" width="9.28515625" customWidth="1"/>
    <col min="7153" max="7153" width="51.7109375" customWidth="1"/>
    <col min="7154" max="7154" width="19" customWidth="1"/>
    <col min="7155" max="7155" width="12.42578125" customWidth="1"/>
    <col min="7156" max="7156" width="16" bestFit="1" customWidth="1"/>
    <col min="7157" max="7158" width="16" customWidth="1"/>
    <col min="7159" max="7159" width="12.28515625" customWidth="1"/>
    <col min="7160" max="7160" width="21.42578125" bestFit="1" customWidth="1"/>
    <col min="7161" max="7161" width="15.42578125" bestFit="1" customWidth="1"/>
    <col min="7162" max="7162" width="16.5703125" bestFit="1" customWidth="1"/>
    <col min="7163" max="7163" width="12" bestFit="1" customWidth="1"/>
    <col min="7164" max="7164" width="28" customWidth="1"/>
    <col min="7165" max="7165" width="11" customWidth="1"/>
    <col min="7166" max="7167" width="9.28515625" customWidth="1"/>
    <col min="7168" max="7168" width="51.7109375" customWidth="1"/>
    <col min="7169" max="7171" width="12.28515625" customWidth="1"/>
    <col min="7172" max="7172" width="21.42578125" bestFit="1" customWidth="1"/>
    <col min="7173" max="7173" width="18.28515625" bestFit="1" customWidth="1"/>
    <col min="7174" max="7174" width="17.5703125" bestFit="1" customWidth="1"/>
    <col min="7407" max="7407" width="5.7109375" customWidth="1"/>
    <col min="7408" max="7408" width="9.28515625" customWidth="1"/>
    <col min="7409" max="7409" width="51.7109375" customWidth="1"/>
    <col min="7410" max="7410" width="19" customWidth="1"/>
    <col min="7411" max="7411" width="12.42578125" customWidth="1"/>
    <col min="7412" max="7412" width="16" bestFit="1" customWidth="1"/>
    <col min="7413" max="7414" width="16" customWidth="1"/>
    <col min="7415" max="7415" width="12.28515625" customWidth="1"/>
    <col min="7416" max="7416" width="21.42578125" bestFit="1" customWidth="1"/>
    <col min="7417" max="7417" width="15.42578125" bestFit="1" customWidth="1"/>
    <col min="7418" max="7418" width="16.5703125" bestFit="1" customWidth="1"/>
    <col min="7419" max="7419" width="12" bestFit="1" customWidth="1"/>
    <col min="7420" max="7420" width="28" customWidth="1"/>
    <col min="7421" max="7421" width="11" customWidth="1"/>
    <col min="7422" max="7423" width="9.28515625" customWidth="1"/>
    <col min="7424" max="7424" width="51.7109375" customWidth="1"/>
    <col min="7425" max="7427" width="12.28515625" customWidth="1"/>
    <col min="7428" max="7428" width="21.42578125" bestFit="1" customWidth="1"/>
    <col min="7429" max="7429" width="18.28515625" bestFit="1" customWidth="1"/>
    <col min="7430" max="7430" width="17.5703125" bestFit="1" customWidth="1"/>
    <col min="7663" max="7663" width="5.7109375" customWidth="1"/>
    <col min="7664" max="7664" width="9.28515625" customWidth="1"/>
    <col min="7665" max="7665" width="51.7109375" customWidth="1"/>
    <col min="7666" max="7666" width="19" customWidth="1"/>
    <col min="7667" max="7667" width="12.42578125" customWidth="1"/>
    <col min="7668" max="7668" width="16" bestFit="1" customWidth="1"/>
    <col min="7669" max="7670" width="16" customWidth="1"/>
    <col min="7671" max="7671" width="12.28515625" customWidth="1"/>
    <col min="7672" max="7672" width="21.42578125" bestFit="1" customWidth="1"/>
    <col min="7673" max="7673" width="15.42578125" bestFit="1" customWidth="1"/>
    <col min="7674" max="7674" width="16.5703125" bestFit="1" customWidth="1"/>
    <col min="7675" max="7675" width="12" bestFit="1" customWidth="1"/>
    <col min="7676" max="7676" width="28" customWidth="1"/>
    <col min="7677" max="7677" width="11" customWidth="1"/>
    <col min="7678" max="7679" width="9.28515625" customWidth="1"/>
    <col min="7680" max="7680" width="51.7109375" customWidth="1"/>
    <col min="7681" max="7683" width="12.28515625" customWidth="1"/>
    <col min="7684" max="7684" width="21.42578125" bestFit="1" customWidth="1"/>
    <col min="7685" max="7685" width="18.28515625" bestFit="1" customWidth="1"/>
    <col min="7686" max="7686" width="17.5703125" bestFit="1" customWidth="1"/>
    <col min="7919" max="7919" width="5.7109375" customWidth="1"/>
    <col min="7920" max="7920" width="9.28515625" customWidth="1"/>
    <col min="7921" max="7921" width="51.7109375" customWidth="1"/>
    <col min="7922" max="7922" width="19" customWidth="1"/>
    <col min="7923" max="7923" width="12.42578125" customWidth="1"/>
    <col min="7924" max="7924" width="16" bestFit="1" customWidth="1"/>
    <col min="7925" max="7926" width="16" customWidth="1"/>
    <col min="7927" max="7927" width="12.28515625" customWidth="1"/>
    <col min="7928" max="7928" width="21.42578125" bestFit="1" customWidth="1"/>
    <col min="7929" max="7929" width="15.42578125" bestFit="1" customWidth="1"/>
    <col min="7930" max="7930" width="16.5703125" bestFit="1" customWidth="1"/>
    <col min="7931" max="7931" width="12" bestFit="1" customWidth="1"/>
    <col min="7932" max="7932" width="28" customWidth="1"/>
    <col min="7933" max="7933" width="11" customWidth="1"/>
    <col min="7934" max="7935" width="9.28515625" customWidth="1"/>
    <col min="7936" max="7936" width="51.7109375" customWidth="1"/>
    <col min="7937" max="7939" width="12.28515625" customWidth="1"/>
    <col min="7940" max="7940" width="21.42578125" bestFit="1" customWidth="1"/>
    <col min="7941" max="7941" width="18.28515625" bestFit="1" customWidth="1"/>
    <col min="7942" max="7942" width="17.5703125" bestFit="1" customWidth="1"/>
    <col min="8175" max="8175" width="5.7109375" customWidth="1"/>
    <col min="8176" max="8176" width="9.28515625" customWidth="1"/>
    <col min="8177" max="8177" width="51.7109375" customWidth="1"/>
    <col min="8178" max="8178" width="19" customWidth="1"/>
    <col min="8179" max="8179" width="12.42578125" customWidth="1"/>
    <col min="8180" max="8180" width="16" bestFit="1" customWidth="1"/>
    <col min="8181" max="8182" width="16" customWidth="1"/>
    <col min="8183" max="8183" width="12.28515625" customWidth="1"/>
    <col min="8184" max="8184" width="21.42578125" bestFit="1" customWidth="1"/>
    <col min="8185" max="8185" width="15.42578125" bestFit="1" customWidth="1"/>
    <col min="8186" max="8186" width="16.5703125" bestFit="1" customWidth="1"/>
    <col min="8187" max="8187" width="12" bestFit="1" customWidth="1"/>
    <col min="8188" max="8188" width="28" customWidth="1"/>
    <col min="8189" max="8189" width="11" customWidth="1"/>
    <col min="8190" max="8191" width="9.28515625" customWidth="1"/>
    <col min="8192" max="8192" width="51.7109375" customWidth="1"/>
    <col min="8193" max="8195" width="12.28515625" customWidth="1"/>
    <col min="8196" max="8196" width="21.42578125" bestFit="1" customWidth="1"/>
    <col min="8197" max="8197" width="18.28515625" bestFit="1" customWidth="1"/>
    <col min="8198" max="8198" width="17.5703125" bestFit="1" customWidth="1"/>
    <col min="8431" max="8431" width="5.7109375" customWidth="1"/>
    <col min="8432" max="8432" width="9.28515625" customWidth="1"/>
    <col min="8433" max="8433" width="51.7109375" customWidth="1"/>
    <col min="8434" max="8434" width="19" customWidth="1"/>
    <col min="8435" max="8435" width="12.42578125" customWidth="1"/>
    <col min="8436" max="8436" width="16" bestFit="1" customWidth="1"/>
    <col min="8437" max="8438" width="16" customWidth="1"/>
    <col min="8439" max="8439" width="12.28515625" customWidth="1"/>
    <col min="8440" max="8440" width="21.42578125" bestFit="1" customWidth="1"/>
    <col min="8441" max="8441" width="15.42578125" bestFit="1" customWidth="1"/>
    <col min="8442" max="8442" width="16.5703125" bestFit="1" customWidth="1"/>
    <col min="8443" max="8443" width="12" bestFit="1" customWidth="1"/>
    <col min="8444" max="8444" width="28" customWidth="1"/>
    <col min="8445" max="8445" width="11" customWidth="1"/>
    <col min="8446" max="8447" width="9.28515625" customWidth="1"/>
    <col min="8448" max="8448" width="51.7109375" customWidth="1"/>
    <col min="8449" max="8451" width="12.28515625" customWidth="1"/>
    <col min="8452" max="8452" width="21.42578125" bestFit="1" customWidth="1"/>
    <col min="8453" max="8453" width="18.28515625" bestFit="1" customWidth="1"/>
    <col min="8454" max="8454" width="17.5703125" bestFit="1" customWidth="1"/>
    <col min="8687" max="8687" width="5.7109375" customWidth="1"/>
    <col min="8688" max="8688" width="9.28515625" customWidth="1"/>
    <col min="8689" max="8689" width="51.7109375" customWidth="1"/>
    <col min="8690" max="8690" width="19" customWidth="1"/>
    <col min="8691" max="8691" width="12.42578125" customWidth="1"/>
    <col min="8692" max="8692" width="16" bestFit="1" customWidth="1"/>
    <col min="8693" max="8694" width="16" customWidth="1"/>
    <col min="8695" max="8695" width="12.28515625" customWidth="1"/>
    <col min="8696" max="8696" width="21.42578125" bestFit="1" customWidth="1"/>
    <col min="8697" max="8697" width="15.42578125" bestFit="1" customWidth="1"/>
    <col min="8698" max="8698" width="16.5703125" bestFit="1" customWidth="1"/>
    <col min="8699" max="8699" width="12" bestFit="1" customWidth="1"/>
    <col min="8700" max="8700" width="28" customWidth="1"/>
    <col min="8701" max="8701" width="11" customWidth="1"/>
    <col min="8702" max="8703" width="9.28515625" customWidth="1"/>
    <col min="8704" max="8704" width="51.7109375" customWidth="1"/>
    <col min="8705" max="8707" width="12.28515625" customWidth="1"/>
    <col min="8708" max="8708" width="21.42578125" bestFit="1" customWidth="1"/>
    <col min="8709" max="8709" width="18.28515625" bestFit="1" customWidth="1"/>
    <col min="8710" max="8710" width="17.5703125" bestFit="1" customWidth="1"/>
    <col min="8943" max="8943" width="5.7109375" customWidth="1"/>
    <col min="8944" max="8944" width="9.28515625" customWidth="1"/>
    <col min="8945" max="8945" width="51.7109375" customWidth="1"/>
    <col min="8946" max="8946" width="19" customWidth="1"/>
    <col min="8947" max="8947" width="12.42578125" customWidth="1"/>
    <col min="8948" max="8948" width="16" bestFit="1" customWidth="1"/>
    <col min="8949" max="8950" width="16" customWidth="1"/>
    <col min="8951" max="8951" width="12.28515625" customWidth="1"/>
    <col min="8952" max="8952" width="21.42578125" bestFit="1" customWidth="1"/>
    <col min="8953" max="8953" width="15.42578125" bestFit="1" customWidth="1"/>
    <col min="8954" max="8954" width="16.5703125" bestFit="1" customWidth="1"/>
    <col min="8955" max="8955" width="12" bestFit="1" customWidth="1"/>
    <col min="8956" max="8956" width="28" customWidth="1"/>
    <col min="8957" max="8957" width="11" customWidth="1"/>
    <col min="8958" max="8959" width="9.28515625" customWidth="1"/>
    <col min="8960" max="8960" width="51.7109375" customWidth="1"/>
    <col min="8961" max="8963" width="12.28515625" customWidth="1"/>
    <col min="8964" max="8964" width="21.42578125" bestFit="1" customWidth="1"/>
    <col min="8965" max="8965" width="18.28515625" bestFit="1" customWidth="1"/>
    <col min="8966" max="8966" width="17.5703125" bestFit="1" customWidth="1"/>
    <col min="9199" max="9199" width="5.7109375" customWidth="1"/>
    <col min="9200" max="9200" width="9.28515625" customWidth="1"/>
    <col min="9201" max="9201" width="51.7109375" customWidth="1"/>
    <col min="9202" max="9202" width="19" customWidth="1"/>
    <col min="9203" max="9203" width="12.42578125" customWidth="1"/>
    <col min="9204" max="9204" width="16" bestFit="1" customWidth="1"/>
    <col min="9205" max="9206" width="16" customWidth="1"/>
    <col min="9207" max="9207" width="12.28515625" customWidth="1"/>
    <col min="9208" max="9208" width="21.42578125" bestFit="1" customWidth="1"/>
    <col min="9209" max="9209" width="15.42578125" bestFit="1" customWidth="1"/>
    <col min="9210" max="9210" width="16.5703125" bestFit="1" customWidth="1"/>
    <col min="9211" max="9211" width="12" bestFit="1" customWidth="1"/>
    <col min="9212" max="9212" width="28" customWidth="1"/>
    <col min="9213" max="9213" width="11" customWidth="1"/>
    <col min="9214" max="9215" width="9.28515625" customWidth="1"/>
    <col min="9216" max="9216" width="51.7109375" customWidth="1"/>
    <col min="9217" max="9219" width="12.28515625" customWidth="1"/>
    <col min="9220" max="9220" width="21.42578125" bestFit="1" customWidth="1"/>
    <col min="9221" max="9221" width="18.28515625" bestFit="1" customWidth="1"/>
    <col min="9222" max="9222" width="17.5703125" bestFit="1" customWidth="1"/>
    <col min="9455" max="9455" width="5.7109375" customWidth="1"/>
    <col min="9456" max="9456" width="9.28515625" customWidth="1"/>
    <col min="9457" max="9457" width="51.7109375" customWidth="1"/>
    <col min="9458" max="9458" width="19" customWidth="1"/>
    <col min="9459" max="9459" width="12.42578125" customWidth="1"/>
    <col min="9460" max="9460" width="16" bestFit="1" customWidth="1"/>
    <col min="9461" max="9462" width="16" customWidth="1"/>
    <col min="9463" max="9463" width="12.28515625" customWidth="1"/>
    <col min="9464" max="9464" width="21.42578125" bestFit="1" customWidth="1"/>
    <col min="9465" max="9465" width="15.42578125" bestFit="1" customWidth="1"/>
    <col min="9466" max="9466" width="16.5703125" bestFit="1" customWidth="1"/>
    <col min="9467" max="9467" width="12" bestFit="1" customWidth="1"/>
    <col min="9468" max="9468" width="28" customWidth="1"/>
    <col min="9469" max="9469" width="11" customWidth="1"/>
    <col min="9470" max="9471" width="9.28515625" customWidth="1"/>
    <col min="9472" max="9472" width="51.7109375" customWidth="1"/>
    <col min="9473" max="9475" width="12.28515625" customWidth="1"/>
    <col min="9476" max="9476" width="21.42578125" bestFit="1" customWidth="1"/>
    <col min="9477" max="9477" width="18.28515625" bestFit="1" customWidth="1"/>
    <col min="9478" max="9478" width="17.5703125" bestFit="1" customWidth="1"/>
    <col min="9711" max="9711" width="5.7109375" customWidth="1"/>
    <col min="9712" max="9712" width="9.28515625" customWidth="1"/>
    <col min="9713" max="9713" width="51.7109375" customWidth="1"/>
    <col min="9714" max="9714" width="19" customWidth="1"/>
    <col min="9715" max="9715" width="12.42578125" customWidth="1"/>
    <col min="9716" max="9716" width="16" bestFit="1" customWidth="1"/>
    <col min="9717" max="9718" width="16" customWidth="1"/>
    <col min="9719" max="9719" width="12.28515625" customWidth="1"/>
    <col min="9720" max="9720" width="21.42578125" bestFit="1" customWidth="1"/>
    <col min="9721" max="9721" width="15.42578125" bestFit="1" customWidth="1"/>
    <col min="9722" max="9722" width="16.5703125" bestFit="1" customWidth="1"/>
    <col min="9723" max="9723" width="12" bestFit="1" customWidth="1"/>
    <col min="9724" max="9724" width="28" customWidth="1"/>
    <col min="9725" max="9725" width="11" customWidth="1"/>
    <col min="9726" max="9727" width="9.28515625" customWidth="1"/>
    <col min="9728" max="9728" width="51.7109375" customWidth="1"/>
    <col min="9729" max="9731" width="12.28515625" customWidth="1"/>
    <col min="9732" max="9732" width="21.42578125" bestFit="1" customWidth="1"/>
    <col min="9733" max="9733" width="18.28515625" bestFit="1" customWidth="1"/>
    <col min="9734" max="9734" width="17.5703125" bestFit="1" customWidth="1"/>
    <col min="9967" max="9967" width="5.7109375" customWidth="1"/>
    <col min="9968" max="9968" width="9.28515625" customWidth="1"/>
    <col min="9969" max="9969" width="51.7109375" customWidth="1"/>
    <col min="9970" max="9970" width="19" customWidth="1"/>
    <col min="9971" max="9971" width="12.42578125" customWidth="1"/>
    <col min="9972" max="9972" width="16" bestFit="1" customWidth="1"/>
    <col min="9973" max="9974" width="16" customWidth="1"/>
    <col min="9975" max="9975" width="12.28515625" customWidth="1"/>
    <col min="9976" max="9976" width="21.42578125" bestFit="1" customWidth="1"/>
    <col min="9977" max="9977" width="15.42578125" bestFit="1" customWidth="1"/>
    <col min="9978" max="9978" width="16.5703125" bestFit="1" customWidth="1"/>
    <col min="9979" max="9979" width="12" bestFit="1" customWidth="1"/>
    <col min="9980" max="9980" width="28" customWidth="1"/>
    <col min="9981" max="9981" width="11" customWidth="1"/>
    <col min="9982" max="9983" width="9.28515625" customWidth="1"/>
    <col min="9984" max="9984" width="51.7109375" customWidth="1"/>
    <col min="9985" max="9987" width="12.28515625" customWidth="1"/>
    <col min="9988" max="9988" width="21.42578125" bestFit="1" customWidth="1"/>
    <col min="9989" max="9989" width="18.28515625" bestFit="1" customWidth="1"/>
    <col min="9990" max="9990" width="17.5703125" bestFit="1" customWidth="1"/>
    <col min="10223" max="10223" width="5.7109375" customWidth="1"/>
    <col min="10224" max="10224" width="9.28515625" customWidth="1"/>
    <col min="10225" max="10225" width="51.7109375" customWidth="1"/>
    <col min="10226" max="10226" width="19" customWidth="1"/>
    <col min="10227" max="10227" width="12.42578125" customWidth="1"/>
    <col min="10228" max="10228" width="16" bestFit="1" customWidth="1"/>
    <col min="10229" max="10230" width="16" customWidth="1"/>
    <col min="10231" max="10231" width="12.28515625" customWidth="1"/>
    <col min="10232" max="10232" width="21.42578125" bestFit="1" customWidth="1"/>
    <col min="10233" max="10233" width="15.42578125" bestFit="1" customWidth="1"/>
    <col min="10234" max="10234" width="16.5703125" bestFit="1" customWidth="1"/>
    <col min="10235" max="10235" width="12" bestFit="1" customWidth="1"/>
    <col min="10236" max="10236" width="28" customWidth="1"/>
    <col min="10237" max="10237" width="11" customWidth="1"/>
    <col min="10238" max="10239" width="9.28515625" customWidth="1"/>
    <col min="10240" max="10240" width="51.7109375" customWidth="1"/>
    <col min="10241" max="10243" width="12.28515625" customWidth="1"/>
    <col min="10244" max="10244" width="21.42578125" bestFit="1" customWidth="1"/>
    <col min="10245" max="10245" width="18.28515625" bestFit="1" customWidth="1"/>
    <col min="10246" max="10246" width="17.5703125" bestFit="1" customWidth="1"/>
    <col min="10479" max="10479" width="5.7109375" customWidth="1"/>
    <col min="10480" max="10480" width="9.28515625" customWidth="1"/>
    <col min="10481" max="10481" width="51.7109375" customWidth="1"/>
    <col min="10482" max="10482" width="19" customWidth="1"/>
    <col min="10483" max="10483" width="12.42578125" customWidth="1"/>
    <col min="10484" max="10484" width="16" bestFit="1" customWidth="1"/>
    <col min="10485" max="10486" width="16" customWidth="1"/>
    <col min="10487" max="10487" width="12.28515625" customWidth="1"/>
    <col min="10488" max="10488" width="21.42578125" bestFit="1" customWidth="1"/>
    <col min="10489" max="10489" width="15.42578125" bestFit="1" customWidth="1"/>
    <col min="10490" max="10490" width="16.5703125" bestFit="1" customWidth="1"/>
    <col min="10491" max="10491" width="12" bestFit="1" customWidth="1"/>
    <col min="10492" max="10492" width="28" customWidth="1"/>
    <col min="10493" max="10493" width="11" customWidth="1"/>
    <col min="10494" max="10495" width="9.28515625" customWidth="1"/>
    <col min="10496" max="10496" width="51.7109375" customWidth="1"/>
    <col min="10497" max="10499" width="12.28515625" customWidth="1"/>
    <col min="10500" max="10500" width="21.42578125" bestFit="1" customWidth="1"/>
    <col min="10501" max="10501" width="18.28515625" bestFit="1" customWidth="1"/>
    <col min="10502" max="10502" width="17.5703125" bestFit="1" customWidth="1"/>
    <col min="10735" max="10735" width="5.7109375" customWidth="1"/>
    <col min="10736" max="10736" width="9.28515625" customWidth="1"/>
    <col min="10737" max="10737" width="51.7109375" customWidth="1"/>
    <col min="10738" max="10738" width="19" customWidth="1"/>
    <col min="10739" max="10739" width="12.42578125" customWidth="1"/>
    <col min="10740" max="10740" width="16" bestFit="1" customWidth="1"/>
    <col min="10741" max="10742" width="16" customWidth="1"/>
    <col min="10743" max="10743" width="12.28515625" customWidth="1"/>
    <col min="10744" max="10744" width="21.42578125" bestFit="1" customWidth="1"/>
    <col min="10745" max="10745" width="15.42578125" bestFit="1" customWidth="1"/>
    <col min="10746" max="10746" width="16.5703125" bestFit="1" customWidth="1"/>
    <col min="10747" max="10747" width="12" bestFit="1" customWidth="1"/>
    <col min="10748" max="10748" width="28" customWidth="1"/>
    <col min="10749" max="10749" width="11" customWidth="1"/>
    <col min="10750" max="10751" width="9.28515625" customWidth="1"/>
    <col min="10752" max="10752" width="51.7109375" customWidth="1"/>
    <col min="10753" max="10755" width="12.28515625" customWidth="1"/>
    <col min="10756" max="10756" width="21.42578125" bestFit="1" customWidth="1"/>
    <col min="10757" max="10757" width="18.28515625" bestFit="1" customWidth="1"/>
    <col min="10758" max="10758" width="17.5703125" bestFit="1" customWidth="1"/>
    <col min="10991" max="10991" width="5.7109375" customWidth="1"/>
    <col min="10992" max="10992" width="9.28515625" customWidth="1"/>
    <col min="10993" max="10993" width="51.7109375" customWidth="1"/>
    <col min="10994" max="10994" width="19" customWidth="1"/>
    <col min="10995" max="10995" width="12.42578125" customWidth="1"/>
    <col min="10996" max="10996" width="16" bestFit="1" customWidth="1"/>
    <col min="10997" max="10998" width="16" customWidth="1"/>
    <col min="10999" max="10999" width="12.28515625" customWidth="1"/>
    <col min="11000" max="11000" width="21.42578125" bestFit="1" customWidth="1"/>
    <col min="11001" max="11001" width="15.42578125" bestFit="1" customWidth="1"/>
    <col min="11002" max="11002" width="16.5703125" bestFit="1" customWidth="1"/>
    <col min="11003" max="11003" width="12" bestFit="1" customWidth="1"/>
    <col min="11004" max="11004" width="28" customWidth="1"/>
    <col min="11005" max="11005" width="11" customWidth="1"/>
    <col min="11006" max="11007" width="9.28515625" customWidth="1"/>
    <col min="11008" max="11008" width="51.7109375" customWidth="1"/>
    <col min="11009" max="11011" width="12.28515625" customWidth="1"/>
    <col min="11012" max="11012" width="21.42578125" bestFit="1" customWidth="1"/>
    <col min="11013" max="11013" width="18.28515625" bestFit="1" customWidth="1"/>
    <col min="11014" max="11014" width="17.5703125" bestFit="1" customWidth="1"/>
    <col min="11247" max="11247" width="5.7109375" customWidth="1"/>
    <col min="11248" max="11248" width="9.28515625" customWidth="1"/>
    <col min="11249" max="11249" width="51.7109375" customWidth="1"/>
    <col min="11250" max="11250" width="19" customWidth="1"/>
    <col min="11251" max="11251" width="12.42578125" customWidth="1"/>
    <col min="11252" max="11252" width="16" bestFit="1" customWidth="1"/>
    <col min="11253" max="11254" width="16" customWidth="1"/>
    <col min="11255" max="11255" width="12.28515625" customWidth="1"/>
    <col min="11256" max="11256" width="21.42578125" bestFit="1" customWidth="1"/>
    <col min="11257" max="11257" width="15.42578125" bestFit="1" customWidth="1"/>
    <col min="11258" max="11258" width="16.5703125" bestFit="1" customWidth="1"/>
    <col min="11259" max="11259" width="12" bestFit="1" customWidth="1"/>
    <col min="11260" max="11260" width="28" customWidth="1"/>
    <col min="11261" max="11261" width="11" customWidth="1"/>
    <col min="11262" max="11263" width="9.28515625" customWidth="1"/>
    <col min="11264" max="11264" width="51.7109375" customWidth="1"/>
    <col min="11265" max="11267" width="12.28515625" customWidth="1"/>
    <col min="11268" max="11268" width="21.42578125" bestFit="1" customWidth="1"/>
    <col min="11269" max="11269" width="18.28515625" bestFit="1" customWidth="1"/>
    <col min="11270" max="11270" width="17.5703125" bestFit="1" customWidth="1"/>
    <col min="11503" max="11503" width="5.7109375" customWidth="1"/>
    <col min="11504" max="11504" width="9.28515625" customWidth="1"/>
    <col min="11505" max="11505" width="51.7109375" customWidth="1"/>
    <col min="11506" max="11506" width="19" customWidth="1"/>
    <col min="11507" max="11507" width="12.42578125" customWidth="1"/>
    <col min="11508" max="11508" width="16" bestFit="1" customWidth="1"/>
    <col min="11509" max="11510" width="16" customWidth="1"/>
    <col min="11511" max="11511" width="12.28515625" customWidth="1"/>
    <col min="11512" max="11512" width="21.42578125" bestFit="1" customWidth="1"/>
    <col min="11513" max="11513" width="15.42578125" bestFit="1" customWidth="1"/>
    <col min="11514" max="11514" width="16.5703125" bestFit="1" customWidth="1"/>
    <col min="11515" max="11515" width="12" bestFit="1" customWidth="1"/>
    <col min="11516" max="11516" width="28" customWidth="1"/>
    <col min="11517" max="11517" width="11" customWidth="1"/>
    <col min="11518" max="11519" width="9.28515625" customWidth="1"/>
    <col min="11520" max="11520" width="51.7109375" customWidth="1"/>
    <col min="11521" max="11523" width="12.28515625" customWidth="1"/>
    <col min="11524" max="11524" width="21.42578125" bestFit="1" customWidth="1"/>
    <col min="11525" max="11525" width="18.28515625" bestFit="1" customWidth="1"/>
    <col min="11526" max="11526" width="17.5703125" bestFit="1" customWidth="1"/>
    <col min="11759" max="11759" width="5.7109375" customWidth="1"/>
    <col min="11760" max="11760" width="9.28515625" customWidth="1"/>
    <col min="11761" max="11761" width="51.7109375" customWidth="1"/>
    <col min="11762" max="11762" width="19" customWidth="1"/>
    <col min="11763" max="11763" width="12.42578125" customWidth="1"/>
    <col min="11764" max="11764" width="16" bestFit="1" customWidth="1"/>
    <col min="11765" max="11766" width="16" customWidth="1"/>
    <col min="11767" max="11767" width="12.28515625" customWidth="1"/>
    <col min="11768" max="11768" width="21.42578125" bestFit="1" customWidth="1"/>
    <col min="11769" max="11769" width="15.42578125" bestFit="1" customWidth="1"/>
    <col min="11770" max="11770" width="16.5703125" bestFit="1" customWidth="1"/>
    <col min="11771" max="11771" width="12" bestFit="1" customWidth="1"/>
    <col min="11772" max="11772" width="28" customWidth="1"/>
    <col min="11773" max="11773" width="11" customWidth="1"/>
    <col min="11774" max="11775" width="9.28515625" customWidth="1"/>
    <col min="11776" max="11776" width="51.7109375" customWidth="1"/>
    <col min="11777" max="11779" width="12.28515625" customWidth="1"/>
    <col min="11780" max="11780" width="21.42578125" bestFit="1" customWidth="1"/>
    <col min="11781" max="11781" width="18.28515625" bestFit="1" customWidth="1"/>
    <col min="11782" max="11782" width="17.5703125" bestFit="1" customWidth="1"/>
    <col min="12015" max="12015" width="5.7109375" customWidth="1"/>
    <col min="12016" max="12016" width="9.28515625" customWidth="1"/>
    <col min="12017" max="12017" width="51.7109375" customWidth="1"/>
    <col min="12018" max="12018" width="19" customWidth="1"/>
    <col min="12019" max="12019" width="12.42578125" customWidth="1"/>
    <col min="12020" max="12020" width="16" bestFit="1" customWidth="1"/>
    <col min="12021" max="12022" width="16" customWidth="1"/>
    <col min="12023" max="12023" width="12.28515625" customWidth="1"/>
    <col min="12024" max="12024" width="21.42578125" bestFit="1" customWidth="1"/>
    <col min="12025" max="12025" width="15.42578125" bestFit="1" customWidth="1"/>
    <col min="12026" max="12026" width="16.5703125" bestFit="1" customWidth="1"/>
    <col min="12027" max="12027" width="12" bestFit="1" customWidth="1"/>
    <col min="12028" max="12028" width="28" customWidth="1"/>
    <col min="12029" max="12029" width="11" customWidth="1"/>
    <col min="12030" max="12031" width="9.28515625" customWidth="1"/>
    <col min="12032" max="12032" width="51.7109375" customWidth="1"/>
    <col min="12033" max="12035" width="12.28515625" customWidth="1"/>
    <col min="12036" max="12036" width="21.42578125" bestFit="1" customWidth="1"/>
    <col min="12037" max="12037" width="18.28515625" bestFit="1" customWidth="1"/>
    <col min="12038" max="12038" width="17.5703125" bestFit="1" customWidth="1"/>
    <col min="12271" max="12271" width="5.7109375" customWidth="1"/>
    <col min="12272" max="12272" width="9.28515625" customWidth="1"/>
    <col min="12273" max="12273" width="51.7109375" customWidth="1"/>
    <col min="12274" max="12274" width="19" customWidth="1"/>
    <col min="12275" max="12275" width="12.42578125" customWidth="1"/>
    <col min="12276" max="12276" width="16" bestFit="1" customWidth="1"/>
    <col min="12277" max="12278" width="16" customWidth="1"/>
    <col min="12279" max="12279" width="12.28515625" customWidth="1"/>
    <col min="12280" max="12280" width="21.42578125" bestFit="1" customWidth="1"/>
    <col min="12281" max="12281" width="15.42578125" bestFit="1" customWidth="1"/>
    <col min="12282" max="12282" width="16.5703125" bestFit="1" customWidth="1"/>
    <col min="12283" max="12283" width="12" bestFit="1" customWidth="1"/>
    <col min="12284" max="12284" width="28" customWidth="1"/>
    <col min="12285" max="12285" width="11" customWidth="1"/>
    <col min="12286" max="12287" width="9.28515625" customWidth="1"/>
    <col min="12288" max="12288" width="51.7109375" customWidth="1"/>
    <col min="12289" max="12291" width="12.28515625" customWidth="1"/>
    <col min="12292" max="12292" width="21.42578125" bestFit="1" customWidth="1"/>
    <col min="12293" max="12293" width="18.28515625" bestFit="1" customWidth="1"/>
    <col min="12294" max="12294" width="17.5703125" bestFit="1" customWidth="1"/>
    <col min="12527" max="12527" width="5.7109375" customWidth="1"/>
    <col min="12528" max="12528" width="9.28515625" customWidth="1"/>
    <col min="12529" max="12529" width="51.7109375" customWidth="1"/>
    <col min="12530" max="12530" width="19" customWidth="1"/>
    <col min="12531" max="12531" width="12.42578125" customWidth="1"/>
    <col min="12532" max="12532" width="16" bestFit="1" customWidth="1"/>
    <col min="12533" max="12534" width="16" customWidth="1"/>
    <col min="12535" max="12535" width="12.28515625" customWidth="1"/>
    <col min="12536" max="12536" width="21.42578125" bestFit="1" customWidth="1"/>
    <col min="12537" max="12537" width="15.42578125" bestFit="1" customWidth="1"/>
    <col min="12538" max="12538" width="16.5703125" bestFit="1" customWidth="1"/>
    <col min="12539" max="12539" width="12" bestFit="1" customWidth="1"/>
    <col min="12540" max="12540" width="28" customWidth="1"/>
    <col min="12541" max="12541" width="11" customWidth="1"/>
    <col min="12542" max="12543" width="9.28515625" customWidth="1"/>
    <col min="12544" max="12544" width="51.7109375" customWidth="1"/>
    <col min="12545" max="12547" width="12.28515625" customWidth="1"/>
    <col min="12548" max="12548" width="21.42578125" bestFit="1" customWidth="1"/>
    <col min="12549" max="12549" width="18.28515625" bestFit="1" customWidth="1"/>
    <col min="12550" max="12550" width="17.5703125" bestFit="1" customWidth="1"/>
    <col min="12783" max="12783" width="5.7109375" customWidth="1"/>
    <col min="12784" max="12784" width="9.28515625" customWidth="1"/>
    <col min="12785" max="12785" width="51.7109375" customWidth="1"/>
    <col min="12786" max="12786" width="19" customWidth="1"/>
    <col min="12787" max="12787" width="12.42578125" customWidth="1"/>
    <col min="12788" max="12788" width="16" bestFit="1" customWidth="1"/>
    <col min="12789" max="12790" width="16" customWidth="1"/>
    <col min="12791" max="12791" width="12.28515625" customWidth="1"/>
    <col min="12792" max="12792" width="21.42578125" bestFit="1" customWidth="1"/>
    <col min="12793" max="12793" width="15.42578125" bestFit="1" customWidth="1"/>
    <col min="12794" max="12794" width="16.5703125" bestFit="1" customWidth="1"/>
    <col min="12795" max="12795" width="12" bestFit="1" customWidth="1"/>
    <col min="12796" max="12796" width="28" customWidth="1"/>
    <col min="12797" max="12797" width="11" customWidth="1"/>
    <col min="12798" max="12799" width="9.28515625" customWidth="1"/>
    <col min="12800" max="12800" width="51.7109375" customWidth="1"/>
    <col min="12801" max="12803" width="12.28515625" customWidth="1"/>
    <col min="12804" max="12804" width="21.42578125" bestFit="1" customWidth="1"/>
    <col min="12805" max="12805" width="18.28515625" bestFit="1" customWidth="1"/>
    <col min="12806" max="12806" width="17.5703125" bestFit="1" customWidth="1"/>
    <col min="13039" max="13039" width="5.7109375" customWidth="1"/>
    <col min="13040" max="13040" width="9.28515625" customWidth="1"/>
    <col min="13041" max="13041" width="51.7109375" customWidth="1"/>
    <col min="13042" max="13042" width="19" customWidth="1"/>
    <col min="13043" max="13043" width="12.42578125" customWidth="1"/>
    <col min="13044" max="13044" width="16" bestFit="1" customWidth="1"/>
    <col min="13045" max="13046" width="16" customWidth="1"/>
    <col min="13047" max="13047" width="12.28515625" customWidth="1"/>
    <col min="13048" max="13048" width="21.42578125" bestFit="1" customWidth="1"/>
    <col min="13049" max="13049" width="15.42578125" bestFit="1" customWidth="1"/>
    <col min="13050" max="13050" width="16.5703125" bestFit="1" customWidth="1"/>
    <col min="13051" max="13051" width="12" bestFit="1" customWidth="1"/>
    <col min="13052" max="13052" width="28" customWidth="1"/>
    <col min="13053" max="13053" width="11" customWidth="1"/>
    <col min="13054" max="13055" width="9.28515625" customWidth="1"/>
    <col min="13056" max="13056" width="51.7109375" customWidth="1"/>
    <col min="13057" max="13059" width="12.28515625" customWidth="1"/>
    <col min="13060" max="13060" width="21.42578125" bestFit="1" customWidth="1"/>
    <col min="13061" max="13061" width="18.28515625" bestFit="1" customWidth="1"/>
    <col min="13062" max="13062" width="17.5703125" bestFit="1" customWidth="1"/>
    <col min="13295" max="13295" width="5.7109375" customWidth="1"/>
    <col min="13296" max="13296" width="9.28515625" customWidth="1"/>
    <col min="13297" max="13297" width="51.7109375" customWidth="1"/>
    <col min="13298" max="13298" width="19" customWidth="1"/>
    <col min="13299" max="13299" width="12.42578125" customWidth="1"/>
    <col min="13300" max="13300" width="16" bestFit="1" customWidth="1"/>
    <col min="13301" max="13302" width="16" customWidth="1"/>
    <col min="13303" max="13303" width="12.28515625" customWidth="1"/>
    <col min="13304" max="13304" width="21.42578125" bestFit="1" customWidth="1"/>
    <col min="13305" max="13305" width="15.42578125" bestFit="1" customWidth="1"/>
    <col min="13306" max="13306" width="16.5703125" bestFit="1" customWidth="1"/>
    <col min="13307" max="13307" width="12" bestFit="1" customWidth="1"/>
    <col min="13308" max="13308" width="28" customWidth="1"/>
    <col min="13309" max="13309" width="11" customWidth="1"/>
    <col min="13310" max="13311" width="9.28515625" customWidth="1"/>
    <col min="13312" max="13312" width="51.7109375" customWidth="1"/>
    <col min="13313" max="13315" width="12.28515625" customWidth="1"/>
    <col min="13316" max="13316" width="21.42578125" bestFit="1" customWidth="1"/>
    <col min="13317" max="13317" width="18.28515625" bestFit="1" customWidth="1"/>
    <col min="13318" max="13318" width="17.5703125" bestFit="1" customWidth="1"/>
    <col min="13551" max="13551" width="5.7109375" customWidth="1"/>
    <col min="13552" max="13552" width="9.28515625" customWidth="1"/>
    <col min="13553" max="13553" width="51.7109375" customWidth="1"/>
    <col min="13554" max="13554" width="19" customWidth="1"/>
    <col min="13555" max="13555" width="12.42578125" customWidth="1"/>
    <col min="13556" max="13556" width="16" bestFit="1" customWidth="1"/>
    <col min="13557" max="13558" width="16" customWidth="1"/>
    <col min="13559" max="13559" width="12.28515625" customWidth="1"/>
    <col min="13560" max="13560" width="21.42578125" bestFit="1" customWidth="1"/>
    <col min="13561" max="13561" width="15.42578125" bestFit="1" customWidth="1"/>
    <col min="13562" max="13562" width="16.5703125" bestFit="1" customWidth="1"/>
    <col min="13563" max="13563" width="12" bestFit="1" customWidth="1"/>
    <col min="13564" max="13564" width="28" customWidth="1"/>
    <col min="13565" max="13565" width="11" customWidth="1"/>
    <col min="13566" max="13567" width="9.28515625" customWidth="1"/>
    <col min="13568" max="13568" width="51.7109375" customWidth="1"/>
    <col min="13569" max="13571" width="12.28515625" customWidth="1"/>
    <col min="13572" max="13572" width="21.42578125" bestFit="1" customWidth="1"/>
    <col min="13573" max="13573" width="18.28515625" bestFit="1" customWidth="1"/>
    <col min="13574" max="13574" width="17.5703125" bestFit="1" customWidth="1"/>
    <col min="13807" max="13807" width="5.7109375" customWidth="1"/>
    <col min="13808" max="13808" width="9.28515625" customWidth="1"/>
    <col min="13809" max="13809" width="51.7109375" customWidth="1"/>
    <col min="13810" max="13810" width="19" customWidth="1"/>
    <col min="13811" max="13811" width="12.42578125" customWidth="1"/>
    <col min="13812" max="13812" width="16" bestFit="1" customWidth="1"/>
    <col min="13813" max="13814" width="16" customWidth="1"/>
    <col min="13815" max="13815" width="12.28515625" customWidth="1"/>
    <col min="13816" max="13816" width="21.42578125" bestFit="1" customWidth="1"/>
    <col min="13817" max="13817" width="15.42578125" bestFit="1" customWidth="1"/>
    <col min="13818" max="13818" width="16.5703125" bestFit="1" customWidth="1"/>
    <col min="13819" max="13819" width="12" bestFit="1" customWidth="1"/>
    <col min="13820" max="13820" width="28" customWidth="1"/>
    <col min="13821" max="13821" width="11" customWidth="1"/>
    <col min="13822" max="13823" width="9.28515625" customWidth="1"/>
    <col min="13824" max="13824" width="51.7109375" customWidth="1"/>
    <col min="13825" max="13827" width="12.28515625" customWidth="1"/>
    <col min="13828" max="13828" width="21.42578125" bestFit="1" customWidth="1"/>
    <col min="13829" max="13829" width="18.28515625" bestFit="1" customWidth="1"/>
    <col min="13830" max="13830" width="17.5703125" bestFit="1" customWidth="1"/>
    <col min="14063" max="14063" width="5.7109375" customWidth="1"/>
    <col min="14064" max="14064" width="9.28515625" customWidth="1"/>
    <col min="14065" max="14065" width="51.7109375" customWidth="1"/>
    <col min="14066" max="14066" width="19" customWidth="1"/>
    <col min="14067" max="14067" width="12.42578125" customWidth="1"/>
    <col min="14068" max="14068" width="16" bestFit="1" customWidth="1"/>
    <col min="14069" max="14070" width="16" customWidth="1"/>
    <col min="14071" max="14071" width="12.28515625" customWidth="1"/>
    <col min="14072" max="14072" width="21.42578125" bestFit="1" customWidth="1"/>
    <col min="14073" max="14073" width="15.42578125" bestFit="1" customWidth="1"/>
    <col min="14074" max="14074" width="16.5703125" bestFit="1" customWidth="1"/>
    <col min="14075" max="14075" width="12" bestFit="1" customWidth="1"/>
    <col min="14076" max="14076" width="28" customWidth="1"/>
    <col min="14077" max="14077" width="11" customWidth="1"/>
    <col min="14078" max="14079" width="9.28515625" customWidth="1"/>
    <col min="14080" max="14080" width="51.7109375" customWidth="1"/>
    <col min="14081" max="14083" width="12.28515625" customWidth="1"/>
    <col min="14084" max="14084" width="21.42578125" bestFit="1" customWidth="1"/>
    <col min="14085" max="14085" width="18.28515625" bestFit="1" customWidth="1"/>
    <col min="14086" max="14086" width="17.5703125" bestFit="1" customWidth="1"/>
    <col min="14319" max="14319" width="5.7109375" customWidth="1"/>
    <col min="14320" max="14320" width="9.28515625" customWidth="1"/>
    <col min="14321" max="14321" width="51.7109375" customWidth="1"/>
    <col min="14322" max="14322" width="19" customWidth="1"/>
    <col min="14323" max="14323" width="12.42578125" customWidth="1"/>
    <col min="14324" max="14324" width="16" bestFit="1" customWidth="1"/>
    <col min="14325" max="14326" width="16" customWidth="1"/>
    <col min="14327" max="14327" width="12.28515625" customWidth="1"/>
    <col min="14328" max="14328" width="21.42578125" bestFit="1" customWidth="1"/>
    <col min="14329" max="14329" width="15.42578125" bestFit="1" customWidth="1"/>
    <col min="14330" max="14330" width="16.5703125" bestFit="1" customWidth="1"/>
    <col min="14331" max="14331" width="12" bestFit="1" customWidth="1"/>
    <col min="14332" max="14332" width="28" customWidth="1"/>
    <col min="14333" max="14333" width="11" customWidth="1"/>
    <col min="14334" max="14335" width="9.28515625" customWidth="1"/>
    <col min="14336" max="14336" width="51.7109375" customWidth="1"/>
    <col min="14337" max="14339" width="12.28515625" customWidth="1"/>
    <col min="14340" max="14340" width="21.42578125" bestFit="1" customWidth="1"/>
    <col min="14341" max="14341" width="18.28515625" bestFit="1" customWidth="1"/>
    <col min="14342" max="14342" width="17.5703125" bestFit="1" customWidth="1"/>
    <col min="14575" max="14575" width="5.7109375" customWidth="1"/>
    <col min="14576" max="14576" width="9.28515625" customWidth="1"/>
    <col min="14577" max="14577" width="51.7109375" customWidth="1"/>
    <col min="14578" max="14578" width="19" customWidth="1"/>
    <col min="14579" max="14579" width="12.42578125" customWidth="1"/>
    <col min="14580" max="14580" width="16" bestFit="1" customWidth="1"/>
    <col min="14581" max="14582" width="16" customWidth="1"/>
    <col min="14583" max="14583" width="12.28515625" customWidth="1"/>
    <col min="14584" max="14584" width="21.42578125" bestFit="1" customWidth="1"/>
    <col min="14585" max="14585" width="15.42578125" bestFit="1" customWidth="1"/>
    <col min="14586" max="14586" width="16.5703125" bestFit="1" customWidth="1"/>
    <col min="14587" max="14587" width="12" bestFit="1" customWidth="1"/>
    <col min="14588" max="14588" width="28" customWidth="1"/>
    <col min="14589" max="14589" width="11" customWidth="1"/>
    <col min="14590" max="14591" width="9.28515625" customWidth="1"/>
    <col min="14592" max="14592" width="51.7109375" customWidth="1"/>
    <col min="14593" max="14595" width="12.28515625" customWidth="1"/>
    <col min="14596" max="14596" width="21.42578125" bestFit="1" customWidth="1"/>
    <col min="14597" max="14597" width="18.28515625" bestFit="1" customWidth="1"/>
    <col min="14598" max="14598" width="17.5703125" bestFit="1" customWidth="1"/>
    <col min="14831" max="14831" width="5.7109375" customWidth="1"/>
    <col min="14832" max="14832" width="9.28515625" customWidth="1"/>
    <col min="14833" max="14833" width="51.7109375" customWidth="1"/>
    <col min="14834" max="14834" width="19" customWidth="1"/>
    <col min="14835" max="14835" width="12.42578125" customWidth="1"/>
    <col min="14836" max="14836" width="16" bestFit="1" customWidth="1"/>
    <col min="14837" max="14838" width="16" customWidth="1"/>
    <col min="14839" max="14839" width="12.28515625" customWidth="1"/>
    <col min="14840" max="14840" width="21.42578125" bestFit="1" customWidth="1"/>
    <col min="14841" max="14841" width="15.42578125" bestFit="1" customWidth="1"/>
    <col min="14842" max="14842" width="16.5703125" bestFit="1" customWidth="1"/>
    <col min="14843" max="14843" width="12" bestFit="1" customWidth="1"/>
    <col min="14844" max="14844" width="28" customWidth="1"/>
    <col min="14845" max="14845" width="11" customWidth="1"/>
    <col min="14846" max="14847" width="9.28515625" customWidth="1"/>
    <col min="14848" max="14848" width="51.7109375" customWidth="1"/>
    <col min="14849" max="14851" width="12.28515625" customWidth="1"/>
    <col min="14852" max="14852" width="21.42578125" bestFit="1" customWidth="1"/>
    <col min="14853" max="14853" width="18.28515625" bestFit="1" customWidth="1"/>
    <col min="14854" max="14854" width="17.5703125" bestFit="1" customWidth="1"/>
    <col min="15087" max="15087" width="5.7109375" customWidth="1"/>
    <col min="15088" max="15088" width="9.28515625" customWidth="1"/>
    <col min="15089" max="15089" width="51.7109375" customWidth="1"/>
    <col min="15090" max="15090" width="19" customWidth="1"/>
    <col min="15091" max="15091" width="12.42578125" customWidth="1"/>
    <col min="15092" max="15092" width="16" bestFit="1" customWidth="1"/>
    <col min="15093" max="15094" width="16" customWidth="1"/>
    <col min="15095" max="15095" width="12.28515625" customWidth="1"/>
    <col min="15096" max="15096" width="21.42578125" bestFit="1" customWidth="1"/>
    <col min="15097" max="15097" width="15.42578125" bestFit="1" customWidth="1"/>
    <col min="15098" max="15098" width="16.5703125" bestFit="1" customWidth="1"/>
    <col min="15099" max="15099" width="12" bestFit="1" customWidth="1"/>
    <col min="15100" max="15100" width="28" customWidth="1"/>
    <col min="15101" max="15101" width="11" customWidth="1"/>
    <col min="15102" max="15103" width="9.28515625" customWidth="1"/>
    <col min="15104" max="15104" width="51.7109375" customWidth="1"/>
    <col min="15105" max="15107" width="12.28515625" customWidth="1"/>
    <col min="15108" max="15108" width="21.42578125" bestFit="1" customWidth="1"/>
    <col min="15109" max="15109" width="18.28515625" bestFit="1" customWidth="1"/>
    <col min="15110" max="15110" width="17.5703125" bestFit="1" customWidth="1"/>
    <col min="15343" max="15343" width="5.7109375" customWidth="1"/>
    <col min="15344" max="15344" width="9.28515625" customWidth="1"/>
    <col min="15345" max="15345" width="51.7109375" customWidth="1"/>
    <col min="15346" max="15346" width="19" customWidth="1"/>
    <col min="15347" max="15347" width="12.42578125" customWidth="1"/>
    <col min="15348" max="15348" width="16" bestFit="1" customWidth="1"/>
    <col min="15349" max="15350" width="16" customWidth="1"/>
    <col min="15351" max="15351" width="12.28515625" customWidth="1"/>
    <col min="15352" max="15352" width="21.42578125" bestFit="1" customWidth="1"/>
    <col min="15353" max="15353" width="15.42578125" bestFit="1" customWidth="1"/>
    <col min="15354" max="15354" width="16.5703125" bestFit="1" customWidth="1"/>
    <col min="15355" max="15355" width="12" bestFit="1" customWidth="1"/>
    <col min="15356" max="15356" width="28" customWidth="1"/>
    <col min="15357" max="15357" width="11" customWidth="1"/>
    <col min="15358" max="15359" width="9.28515625" customWidth="1"/>
    <col min="15360" max="15360" width="51.7109375" customWidth="1"/>
    <col min="15361" max="15363" width="12.28515625" customWidth="1"/>
    <col min="15364" max="15364" width="21.42578125" bestFit="1" customWidth="1"/>
    <col min="15365" max="15365" width="18.28515625" bestFit="1" customWidth="1"/>
    <col min="15366" max="15366" width="17.5703125" bestFit="1" customWidth="1"/>
    <col min="15599" max="15599" width="5.7109375" customWidth="1"/>
    <col min="15600" max="15600" width="9.28515625" customWidth="1"/>
    <col min="15601" max="15601" width="51.7109375" customWidth="1"/>
    <col min="15602" max="15602" width="19" customWidth="1"/>
    <col min="15603" max="15603" width="12.42578125" customWidth="1"/>
    <col min="15604" max="15604" width="16" bestFit="1" customWidth="1"/>
    <col min="15605" max="15606" width="16" customWidth="1"/>
    <col min="15607" max="15607" width="12.28515625" customWidth="1"/>
    <col min="15608" max="15608" width="21.42578125" bestFit="1" customWidth="1"/>
    <col min="15609" max="15609" width="15.42578125" bestFit="1" customWidth="1"/>
    <col min="15610" max="15610" width="16.5703125" bestFit="1" customWidth="1"/>
    <col min="15611" max="15611" width="12" bestFit="1" customWidth="1"/>
    <col min="15612" max="15612" width="28" customWidth="1"/>
    <col min="15613" max="15613" width="11" customWidth="1"/>
    <col min="15614" max="15615" width="9.28515625" customWidth="1"/>
    <col min="15616" max="15616" width="51.7109375" customWidth="1"/>
    <col min="15617" max="15619" width="12.28515625" customWidth="1"/>
    <col min="15620" max="15620" width="21.42578125" bestFit="1" customWidth="1"/>
    <col min="15621" max="15621" width="18.28515625" bestFit="1" customWidth="1"/>
    <col min="15622" max="15622" width="17.5703125" bestFit="1" customWidth="1"/>
    <col min="15855" max="15855" width="5.7109375" customWidth="1"/>
    <col min="15856" max="15856" width="9.28515625" customWidth="1"/>
    <col min="15857" max="15857" width="51.7109375" customWidth="1"/>
    <col min="15858" max="15858" width="19" customWidth="1"/>
    <col min="15859" max="15859" width="12.42578125" customWidth="1"/>
    <col min="15860" max="15860" width="16" bestFit="1" customWidth="1"/>
    <col min="15861" max="15862" width="16" customWidth="1"/>
    <col min="15863" max="15863" width="12.28515625" customWidth="1"/>
    <col min="15864" max="15864" width="21.42578125" bestFit="1" customWidth="1"/>
    <col min="15865" max="15865" width="15.42578125" bestFit="1" customWidth="1"/>
    <col min="15866" max="15866" width="16.5703125" bestFit="1" customWidth="1"/>
    <col min="15867" max="15867" width="12" bestFit="1" customWidth="1"/>
    <col min="15868" max="15868" width="28" customWidth="1"/>
    <col min="15869" max="15869" width="11" customWidth="1"/>
    <col min="15870" max="15871" width="9.28515625" customWidth="1"/>
    <col min="15872" max="15872" width="51.7109375" customWidth="1"/>
    <col min="15873" max="15875" width="12.28515625" customWidth="1"/>
    <col min="15876" max="15876" width="21.42578125" bestFit="1" customWidth="1"/>
    <col min="15877" max="15877" width="18.28515625" bestFit="1" customWidth="1"/>
    <col min="15878" max="15878" width="17.5703125" bestFit="1" customWidth="1"/>
    <col min="16111" max="16111" width="5.7109375" customWidth="1"/>
    <col min="16112" max="16112" width="9.28515625" customWidth="1"/>
    <col min="16113" max="16113" width="51.7109375" customWidth="1"/>
    <col min="16114" max="16114" width="19" customWidth="1"/>
    <col min="16115" max="16115" width="12.42578125" customWidth="1"/>
    <col min="16116" max="16116" width="16" bestFit="1" customWidth="1"/>
    <col min="16117" max="16118" width="16" customWidth="1"/>
    <col min="16119" max="16119" width="12.28515625" customWidth="1"/>
    <col min="16120" max="16120" width="21.42578125" bestFit="1" customWidth="1"/>
    <col min="16121" max="16121" width="15.42578125" bestFit="1" customWidth="1"/>
    <col min="16122" max="16122" width="16.5703125" bestFit="1" customWidth="1"/>
    <col min="16123" max="16123" width="12" bestFit="1" customWidth="1"/>
    <col min="16124" max="16124" width="28" customWidth="1"/>
    <col min="16125" max="16125" width="11" customWidth="1"/>
    <col min="16126" max="16127" width="9.28515625" customWidth="1"/>
    <col min="16128" max="16128" width="51.7109375" customWidth="1"/>
    <col min="16129" max="16131" width="12.28515625" customWidth="1"/>
    <col min="16132" max="16132" width="21.42578125" bestFit="1" customWidth="1"/>
    <col min="16133" max="16133" width="18.28515625" bestFit="1" customWidth="1"/>
    <col min="16134" max="16134" width="17.5703125" bestFit="1" customWidth="1"/>
  </cols>
  <sheetData>
    <row r="1" spans="1:11" s="8" customFormat="1" ht="30" customHeight="1" x14ac:dyDescent="0.25">
      <c r="A1" s="491" t="s">
        <v>63</v>
      </c>
      <c r="B1" s="491"/>
      <c r="C1" s="491"/>
      <c r="D1" s="491"/>
      <c r="E1" s="491"/>
      <c r="F1" s="491"/>
      <c r="G1" s="491"/>
      <c r="H1" s="491"/>
      <c r="I1" s="491"/>
      <c r="J1" s="491"/>
      <c r="K1" s="160"/>
    </row>
    <row r="2" spans="1:11" s="3" customFormat="1" ht="19.5" customHeight="1" x14ac:dyDescent="0.25">
      <c r="A2" s="486" t="s">
        <v>1</v>
      </c>
      <c r="B2" s="487" t="s">
        <v>2</v>
      </c>
      <c r="C2" s="483" t="s">
        <v>3</v>
      </c>
      <c r="D2" s="486" t="s">
        <v>4</v>
      </c>
      <c r="E2" s="487" t="s">
        <v>5</v>
      </c>
      <c r="F2" s="486" t="s">
        <v>6</v>
      </c>
      <c r="G2" s="486" t="s">
        <v>64</v>
      </c>
      <c r="H2" s="486" t="s">
        <v>65</v>
      </c>
      <c r="I2" s="488" t="s">
        <v>9</v>
      </c>
      <c r="J2" s="482" t="s">
        <v>14</v>
      </c>
      <c r="K2" s="161"/>
    </row>
    <row r="3" spans="1:11" s="3" customFormat="1" ht="26.25" customHeight="1" x14ac:dyDescent="0.25">
      <c r="A3" s="486"/>
      <c r="B3" s="487"/>
      <c r="C3" s="483"/>
      <c r="D3" s="486"/>
      <c r="E3" s="487"/>
      <c r="F3" s="486"/>
      <c r="G3" s="486"/>
      <c r="H3" s="486"/>
      <c r="I3" s="488"/>
      <c r="J3" s="484"/>
      <c r="K3" s="161"/>
    </row>
    <row r="4" spans="1:11" s="53" customFormat="1" ht="15.75" x14ac:dyDescent="0.25">
      <c r="A4" s="54">
        <v>6</v>
      </c>
      <c r="B4" s="85">
        <v>1344</v>
      </c>
      <c r="C4" s="50" t="s">
        <v>66</v>
      </c>
      <c r="D4" s="56">
        <v>2447.8000000000002</v>
      </c>
      <c r="E4" s="57" t="s">
        <v>16</v>
      </c>
      <c r="F4" s="67">
        <f t="shared" ref="F4:F6" si="0">D4*E4</f>
        <v>611.95000000000005</v>
      </c>
      <c r="G4" s="67">
        <f>608.65+3.3</f>
        <v>611.94999999999993</v>
      </c>
      <c r="H4" s="67">
        <f t="shared" ref="H4:H6" si="1">F4-G4</f>
        <v>0</v>
      </c>
      <c r="I4" s="51">
        <v>4014519</v>
      </c>
      <c r="J4" s="118">
        <v>45567</v>
      </c>
      <c r="K4" s="162">
        <v>45680</v>
      </c>
    </row>
    <row r="5" spans="1:11" s="91" customFormat="1" ht="15.75" x14ac:dyDescent="0.25">
      <c r="A5" s="62">
        <v>15</v>
      </c>
      <c r="B5" s="63">
        <v>3057</v>
      </c>
      <c r="C5" s="64" t="s">
        <v>67</v>
      </c>
      <c r="D5" s="65">
        <v>2434.4</v>
      </c>
      <c r="E5" s="66" t="s">
        <v>16</v>
      </c>
      <c r="F5" s="67">
        <f t="shared" si="0"/>
        <v>608.6</v>
      </c>
      <c r="G5" s="67">
        <f>607.025+1.575</f>
        <v>608.6</v>
      </c>
      <c r="H5" s="67">
        <f t="shared" si="1"/>
        <v>0</v>
      </c>
      <c r="I5" s="68">
        <v>626819</v>
      </c>
      <c r="J5" s="70" t="s">
        <v>68</v>
      </c>
      <c r="K5" s="163">
        <v>45607</v>
      </c>
    </row>
    <row r="6" spans="1:11" s="53" customFormat="1" ht="15.75" x14ac:dyDescent="0.25">
      <c r="A6" s="54">
        <v>45</v>
      </c>
      <c r="B6" s="85">
        <v>3184</v>
      </c>
      <c r="C6" s="50" t="s">
        <v>69</v>
      </c>
      <c r="D6" s="56">
        <v>1682</v>
      </c>
      <c r="E6" s="57" t="s">
        <v>16</v>
      </c>
      <c r="F6" s="58">
        <f t="shared" si="0"/>
        <v>420.5</v>
      </c>
      <c r="G6" s="58">
        <f>419.575+0.925</f>
        <v>420.5</v>
      </c>
      <c r="H6" s="129">
        <f t="shared" si="1"/>
        <v>0</v>
      </c>
      <c r="I6" s="51">
        <v>6701602</v>
      </c>
      <c r="J6" s="59" t="s">
        <v>70</v>
      </c>
      <c r="K6" s="162"/>
    </row>
    <row r="7" spans="1:11" s="53" customFormat="1" ht="15.75" x14ac:dyDescent="0.25">
      <c r="A7" s="54">
        <v>74</v>
      </c>
      <c r="B7" s="85">
        <v>3515</v>
      </c>
      <c r="C7" s="98" t="s">
        <v>51</v>
      </c>
      <c r="D7" s="99">
        <v>1459.6</v>
      </c>
      <c r="E7" s="57" t="s">
        <v>16</v>
      </c>
      <c r="F7" s="67">
        <f t="shared" ref="F7" si="2">D7*E7</f>
        <v>364.9</v>
      </c>
      <c r="G7" s="102">
        <f>362.5+2.4</f>
        <v>364.9</v>
      </c>
      <c r="H7" s="67">
        <f t="shared" ref="H7" si="3">F7-G7</f>
        <v>0</v>
      </c>
      <c r="I7" s="96">
        <v>6645198</v>
      </c>
      <c r="J7" s="59" t="s">
        <v>71</v>
      </c>
      <c r="K7" s="162" t="s">
        <v>72</v>
      </c>
    </row>
    <row r="8" spans="1:11" s="53" customFormat="1" ht="32.25" customHeight="1" x14ac:dyDescent="0.25">
      <c r="A8" s="492"/>
      <c r="B8" s="493"/>
      <c r="C8" s="493"/>
      <c r="D8" s="493"/>
      <c r="E8" s="493"/>
      <c r="F8" s="493"/>
      <c r="G8" s="493"/>
      <c r="H8" s="493"/>
      <c r="I8" s="493"/>
      <c r="J8" s="493"/>
      <c r="K8" s="162"/>
    </row>
    <row r="9" spans="1:11" s="53" customFormat="1" ht="19.5" x14ac:dyDescent="0.25">
      <c r="A9" s="106"/>
      <c r="B9" s="106"/>
      <c r="C9" s="106"/>
      <c r="D9" s="107">
        <f>SUM(D4:D8)</f>
        <v>8023.8000000000011</v>
      </c>
      <c r="E9" s="106" t="s">
        <v>26</v>
      </c>
      <c r="F9" s="106">
        <f>SUM(F4:F8)</f>
        <v>2005.9500000000003</v>
      </c>
      <c r="G9" s="106">
        <f>SUM(G4:G8)</f>
        <v>2005.9499999999998</v>
      </c>
      <c r="H9" s="106">
        <f>SUM(H4:H8)</f>
        <v>0</v>
      </c>
      <c r="I9" s="106"/>
      <c r="J9" s="108"/>
      <c r="K9" s="164"/>
    </row>
    <row r="10" spans="1:11" s="53" customFormat="1" ht="15.75" x14ac:dyDescent="0.25">
      <c r="A10" s="32"/>
      <c r="B10" s="32"/>
      <c r="C10" s="32"/>
      <c r="D10" s="33"/>
      <c r="E10" s="34"/>
      <c r="F10" s="33"/>
      <c r="G10" s="33"/>
      <c r="H10" s="33"/>
      <c r="I10" s="35"/>
      <c r="J10" s="31"/>
      <c r="K10" s="165"/>
    </row>
    <row r="11" spans="1:11" s="53" customFormat="1" ht="15.75" x14ac:dyDescent="0.25">
      <c r="A11"/>
      <c r="B11" s="21"/>
      <c r="C11" s="36"/>
      <c r="D11" s="37"/>
      <c r="E11" s="37"/>
      <c r="F11" s="37"/>
      <c r="G11" s="37"/>
      <c r="H11" s="37"/>
      <c r="I11" s="38"/>
      <c r="J11" s="31"/>
      <c r="K11" s="165"/>
    </row>
    <row r="12" spans="1:11" s="5" customFormat="1" ht="15.75" x14ac:dyDescent="0.25">
      <c r="A12"/>
      <c r="B12"/>
      <c r="C12" s="6"/>
      <c r="E12" s="6"/>
      <c r="F12" s="480"/>
      <c r="G12" s="480"/>
      <c r="H12" s="480"/>
      <c r="I12" s="480"/>
      <c r="J12" s="42"/>
      <c r="K12" s="162"/>
    </row>
    <row r="13" spans="1:11" ht="15.75" x14ac:dyDescent="0.25">
      <c r="C13" s="6"/>
      <c r="D13"/>
      <c r="F13" s="480"/>
      <c r="G13" s="480"/>
      <c r="H13" s="480"/>
      <c r="I13" s="480"/>
      <c r="K13" s="166"/>
    </row>
    <row r="14" spans="1:11" x14ac:dyDescent="0.25">
      <c r="F14" s="40"/>
      <c r="G14" s="40"/>
      <c r="H14" s="40"/>
    </row>
    <row r="15" spans="1:11" x14ac:dyDescent="0.25">
      <c r="F15" s="40"/>
      <c r="G15" s="40"/>
      <c r="H15" s="40"/>
    </row>
    <row r="16" spans="1:11" x14ac:dyDescent="0.25">
      <c r="F16" s="40"/>
      <c r="G16" s="40"/>
      <c r="H16" s="40"/>
    </row>
    <row r="17" spans="1:11" x14ac:dyDescent="0.25">
      <c r="D17" s="45"/>
      <c r="F17" s="45"/>
      <c r="G17" s="45"/>
      <c r="H17" s="45"/>
    </row>
    <row r="18" spans="1:11" x14ac:dyDescent="0.25">
      <c r="F18" s="40"/>
      <c r="G18" s="40"/>
      <c r="H18" s="40"/>
    </row>
    <row r="19" spans="1:11" x14ac:dyDescent="0.25">
      <c r="F19" s="40"/>
      <c r="G19" s="40"/>
      <c r="H19" s="40"/>
    </row>
    <row r="20" spans="1:11" x14ac:dyDescent="0.25">
      <c r="F20" s="40"/>
      <c r="G20" s="40"/>
      <c r="H20" s="40"/>
    </row>
    <row r="21" spans="1:11" x14ac:dyDescent="0.25">
      <c r="F21" s="40"/>
      <c r="G21" s="40"/>
      <c r="H21" s="40"/>
    </row>
    <row r="22" spans="1:11" x14ac:dyDescent="0.25">
      <c r="F22" s="40"/>
      <c r="G22" s="40"/>
      <c r="H22" s="40"/>
    </row>
    <row r="23" spans="1:11" x14ac:dyDescent="0.25">
      <c r="F23" s="40"/>
      <c r="G23" s="40"/>
      <c r="H23" s="40"/>
    </row>
    <row r="24" spans="1:11" s="41" customFormat="1" x14ac:dyDescent="0.25">
      <c r="A24"/>
      <c r="B24"/>
      <c r="C24"/>
      <c r="D24" s="6"/>
      <c r="E24" s="6"/>
      <c r="F24" s="40"/>
      <c r="G24" s="40"/>
      <c r="H24" s="40"/>
      <c r="I24" s="44"/>
      <c r="J24"/>
      <c r="K24" s="167"/>
    </row>
    <row r="25" spans="1:11" s="41" customFormat="1" x14ac:dyDescent="0.25">
      <c r="A25"/>
      <c r="B25"/>
      <c r="C25"/>
      <c r="D25" s="6"/>
      <c r="E25" s="6"/>
      <c r="F25" s="40"/>
      <c r="G25" s="40"/>
      <c r="H25" s="40"/>
      <c r="I25" s="44"/>
      <c r="J25"/>
      <c r="K25" s="167"/>
    </row>
    <row r="26" spans="1:11" s="41" customFormat="1" x14ac:dyDescent="0.25">
      <c r="A26"/>
      <c r="B26"/>
      <c r="C26"/>
      <c r="D26" s="6"/>
      <c r="E26" s="6"/>
      <c r="F26" s="40"/>
      <c r="G26" s="40"/>
      <c r="H26" s="40"/>
      <c r="I26" s="44"/>
      <c r="J26"/>
      <c r="K26" s="167"/>
    </row>
    <row r="27" spans="1:11" s="41" customFormat="1" x14ac:dyDescent="0.25">
      <c r="A27"/>
      <c r="B27"/>
      <c r="C27"/>
      <c r="D27" s="6"/>
      <c r="E27" s="6"/>
      <c r="F27" s="40"/>
      <c r="G27" s="40"/>
      <c r="H27" s="40"/>
      <c r="I27" s="44"/>
      <c r="J27"/>
      <c r="K27" s="167"/>
    </row>
    <row r="28" spans="1:11" s="41" customFormat="1" x14ac:dyDescent="0.25">
      <c r="A28"/>
      <c r="B28"/>
      <c r="C28"/>
      <c r="D28" s="6"/>
      <c r="E28" s="6"/>
      <c r="F28" s="40"/>
      <c r="G28" s="40"/>
      <c r="H28" s="40"/>
      <c r="I28" s="44"/>
      <c r="J28"/>
      <c r="K28" s="167"/>
    </row>
    <row r="29" spans="1:11" s="41" customFormat="1" x14ac:dyDescent="0.25">
      <c r="A29"/>
      <c r="B29"/>
      <c r="C29"/>
      <c r="D29" s="6"/>
      <c r="E29" s="6"/>
      <c r="F29" s="40"/>
      <c r="G29" s="40"/>
      <c r="H29" s="40"/>
      <c r="I29" s="44"/>
      <c r="J29"/>
      <c r="K29" s="167"/>
    </row>
    <row r="30" spans="1:11" s="41" customFormat="1" x14ac:dyDescent="0.25">
      <c r="A30"/>
      <c r="B30"/>
      <c r="C30"/>
      <c r="D30" s="6"/>
      <c r="E30" s="6"/>
      <c r="F30" s="40"/>
      <c r="G30" s="40"/>
      <c r="H30" s="40"/>
      <c r="I30" s="44"/>
      <c r="J30"/>
      <c r="K30" s="167"/>
    </row>
    <row r="31" spans="1:11" s="41" customFormat="1" x14ac:dyDescent="0.25">
      <c r="A31"/>
      <c r="B31"/>
      <c r="C31"/>
      <c r="D31" s="6"/>
      <c r="E31" s="6"/>
      <c r="F31" s="40"/>
      <c r="G31" s="40"/>
      <c r="H31" s="40"/>
      <c r="I31" s="44"/>
      <c r="J31"/>
      <c r="K31" s="167"/>
    </row>
    <row r="32" spans="1:11" s="41" customFormat="1" x14ac:dyDescent="0.25">
      <c r="A32"/>
      <c r="B32"/>
      <c r="C32"/>
      <c r="D32" s="6"/>
      <c r="E32" s="6"/>
      <c r="F32" s="40"/>
      <c r="G32" s="40"/>
      <c r="H32" s="40"/>
      <c r="I32" s="44"/>
      <c r="J32"/>
      <c r="K32" s="167"/>
    </row>
    <row r="33" spans="1:11" s="41" customFormat="1" x14ac:dyDescent="0.25">
      <c r="A33"/>
      <c r="B33"/>
      <c r="C33"/>
      <c r="D33" s="6"/>
      <c r="E33" s="6"/>
      <c r="F33" s="40"/>
      <c r="G33" s="40"/>
      <c r="H33" s="40"/>
      <c r="I33" s="44"/>
      <c r="J33"/>
      <c r="K33" s="167"/>
    </row>
    <row r="34" spans="1:11" s="41" customFormat="1" x14ac:dyDescent="0.25">
      <c r="A34"/>
      <c r="B34"/>
      <c r="C34"/>
      <c r="D34" s="6"/>
      <c r="E34" s="6"/>
      <c r="F34" s="40"/>
      <c r="G34" s="40"/>
      <c r="H34" s="40"/>
      <c r="I34" s="44"/>
      <c r="J34"/>
      <c r="K34" s="167"/>
    </row>
    <row r="35" spans="1:11" s="41" customFormat="1" x14ac:dyDescent="0.25">
      <c r="A35"/>
      <c r="B35"/>
      <c r="C35"/>
      <c r="D35" s="6"/>
      <c r="E35" s="6"/>
      <c r="F35" s="40"/>
      <c r="G35" s="40"/>
      <c r="H35" s="40"/>
      <c r="I35" s="44"/>
      <c r="J35"/>
      <c r="K35" s="167"/>
    </row>
    <row r="36" spans="1:11" s="41" customFormat="1" x14ac:dyDescent="0.25">
      <c r="A36"/>
      <c r="B36"/>
      <c r="C36"/>
      <c r="D36" s="6"/>
      <c r="E36" s="6"/>
      <c r="F36" s="40"/>
      <c r="G36" s="40"/>
      <c r="H36" s="40"/>
      <c r="I36" s="44"/>
      <c r="J36"/>
      <c r="K36" s="167"/>
    </row>
    <row r="37" spans="1:11" s="41" customFormat="1" x14ac:dyDescent="0.25">
      <c r="A37"/>
      <c r="B37"/>
      <c r="C37"/>
      <c r="D37" s="6"/>
      <c r="E37" s="6"/>
      <c r="F37" s="40"/>
      <c r="G37" s="40"/>
      <c r="H37" s="40"/>
      <c r="I37" s="44"/>
      <c r="J37"/>
      <c r="K37" s="167"/>
    </row>
    <row r="38" spans="1:11" s="41" customFormat="1" x14ac:dyDescent="0.25">
      <c r="A38"/>
      <c r="B38"/>
      <c r="C38"/>
      <c r="D38" s="6"/>
      <c r="E38" s="6"/>
      <c r="F38" s="40"/>
      <c r="G38" s="40"/>
      <c r="H38" s="40"/>
      <c r="I38" s="44"/>
      <c r="J38"/>
      <c r="K38" s="167"/>
    </row>
    <row r="39" spans="1:11" s="41" customFormat="1" x14ac:dyDescent="0.25">
      <c r="A39"/>
      <c r="B39"/>
      <c r="C39"/>
      <c r="D39" s="6"/>
      <c r="E39" s="6"/>
      <c r="F39" s="40"/>
      <c r="G39" s="40"/>
      <c r="H39" s="40"/>
      <c r="I39" s="44"/>
      <c r="J39"/>
      <c r="K39" s="167"/>
    </row>
    <row r="40" spans="1:11" s="41" customFormat="1" x14ac:dyDescent="0.25">
      <c r="A40"/>
      <c r="B40"/>
      <c r="C40"/>
      <c r="D40" s="6"/>
      <c r="E40" s="6"/>
      <c r="F40" s="40"/>
      <c r="G40" s="40"/>
      <c r="H40" s="40"/>
      <c r="I40" s="44"/>
      <c r="J40"/>
      <c r="K40" s="167"/>
    </row>
    <row r="41" spans="1:11" s="41" customFormat="1" x14ac:dyDescent="0.25">
      <c r="A41"/>
      <c r="B41"/>
      <c r="C41"/>
      <c r="D41" s="6"/>
      <c r="E41" s="6"/>
      <c r="F41" s="40"/>
      <c r="G41" s="40"/>
      <c r="H41" s="40"/>
      <c r="I41" s="44"/>
      <c r="J41"/>
      <c r="K41" s="167"/>
    </row>
    <row r="42" spans="1:11" s="41" customFormat="1" x14ac:dyDescent="0.25">
      <c r="A42"/>
      <c r="B42"/>
      <c r="C42"/>
      <c r="D42" s="6"/>
      <c r="E42" s="6"/>
      <c r="F42" s="40"/>
      <c r="G42" s="40"/>
      <c r="H42" s="40"/>
      <c r="I42" s="44"/>
      <c r="J42"/>
      <c r="K42" s="167"/>
    </row>
    <row r="43" spans="1:11" s="41" customFormat="1" x14ac:dyDescent="0.25">
      <c r="A43"/>
      <c r="B43"/>
      <c r="C43"/>
      <c r="D43" s="6"/>
      <c r="E43" s="6"/>
      <c r="F43" s="40"/>
      <c r="G43" s="40"/>
      <c r="H43" s="40"/>
      <c r="I43" s="44"/>
      <c r="J43"/>
      <c r="K43" s="167"/>
    </row>
    <row r="44" spans="1:11" s="41" customFormat="1" x14ac:dyDescent="0.25">
      <c r="A44"/>
      <c r="B44"/>
      <c r="C44"/>
      <c r="D44" s="6"/>
      <c r="E44" s="6"/>
      <c r="F44" s="40"/>
      <c r="G44" s="40"/>
      <c r="H44" s="40"/>
      <c r="I44" s="44"/>
      <c r="J44"/>
      <c r="K44" s="167"/>
    </row>
    <row r="45" spans="1:11" s="41" customFormat="1" x14ac:dyDescent="0.25">
      <c r="A45"/>
      <c r="B45"/>
      <c r="C45"/>
      <c r="D45" s="6"/>
      <c r="E45" s="6"/>
      <c r="F45" s="40"/>
      <c r="G45" s="40"/>
      <c r="H45" s="40"/>
      <c r="I45" s="44"/>
      <c r="J45"/>
      <c r="K45" s="167"/>
    </row>
    <row r="46" spans="1:11" s="41" customFormat="1" x14ac:dyDescent="0.25">
      <c r="A46"/>
      <c r="B46"/>
      <c r="C46"/>
      <c r="D46" s="6"/>
      <c r="E46" s="6"/>
      <c r="F46" s="40"/>
      <c r="G46" s="40"/>
      <c r="H46" s="40"/>
      <c r="I46" s="44"/>
      <c r="J46"/>
      <c r="K46" s="167"/>
    </row>
  </sheetData>
  <autoFilter ref="A2:J7" xr:uid="{528D0259-A6A4-449F-ACB5-B7351DA75297}"/>
  <mergeCells count="14">
    <mergeCell ref="F12:I12"/>
    <mergeCell ref="F13:I13"/>
    <mergeCell ref="A8:J8"/>
    <mergeCell ref="J2:J3"/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8"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0CDF-A1A3-41D4-BE85-97F3314D4D42}">
  <sheetPr codeName="Sheet5"/>
  <dimension ref="A1:M115"/>
  <sheetViews>
    <sheetView view="pageBreakPreview" zoomScaleNormal="100" zoomScaleSheetLayoutView="100" workbookViewId="0">
      <pane xSplit="3" ySplit="3" topLeftCell="D64" activePane="bottomRight" state="frozen"/>
      <selection activeCell="C92" sqref="C92"/>
      <selection pane="topRight" activeCell="C92" sqref="C92"/>
      <selection pane="bottomLeft" activeCell="C92" sqref="C92"/>
      <selection pane="bottomRight" activeCell="C92" sqref="C92"/>
    </sheetView>
  </sheetViews>
  <sheetFormatPr defaultRowHeight="15" x14ac:dyDescent="0.25"/>
  <cols>
    <col min="1" max="1" width="5.7109375" customWidth="1"/>
    <col min="2" max="2" width="9.28515625" customWidth="1"/>
    <col min="3" max="3" width="51.7109375" customWidth="1"/>
    <col min="4" max="4" width="19" style="6" customWidth="1"/>
    <col min="5" max="5" width="12.42578125" style="6" customWidth="1"/>
    <col min="6" max="6" width="16" style="6" bestFit="1" customWidth="1"/>
    <col min="7" max="8" width="16" style="6" customWidth="1"/>
    <col min="9" max="9" width="12.28515625" style="44" customWidth="1"/>
    <col min="10" max="10" width="18.28515625" customWidth="1"/>
    <col min="11" max="11" width="12.28515625" style="159" customWidth="1"/>
    <col min="12" max="12" width="12.5703125" customWidth="1"/>
    <col min="13" max="13" width="11.5703125" bestFit="1" customWidth="1"/>
    <col min="241" max="241" width="5.7109375" customWidth="1"/>
    <col min="242" max="242" width="9.28515625" customWidth="1"/>
    <col min="243" max="243" width="51.7109375" customWidth="1"/>
    <col min="244" max="244" width="19" customWidth="1"/>
    <col min="245" max="245" width="12.42578125" customWidth="1"/>
    <col min="246" max="246" width="16" bestFit="1" customWidth="1"/>
    <col min="247" max="248" width="16" customWidth="1"/>
    <col min="249" max="249" width="12.28515625" customWidth="1"/>
    <col min="250" max="250" width="21.42578125" bestFit="1" customWidth="1"/>
    <col min="251" max="251" width="15.42578125" bestFit="1" customWidth="1"/>
    <col min="252" max="252" width="16.5703125" bestFit="1" customWidth="1"/>
    <col min="253" max="253" width="12" bestFit="1" customWidth="1"/>
    <col min="254" max="254" width="28" customWidth="1"/>
    <col min="255" max="255" width="11" customWidth="1"/>
    <col min="256" max="257" width="9.28515625" customWidth="1"/>
    <col min="258" max="258" width="51.7109375" customWidth="1"/>
    <col min="259" max="261" width="12.28515625" customWidth="1"/>
    <col min="262" max="262" width="21.42578125" bestFit="1" customWidth="1"/>
    <col min="263" max="263" width="18.28515625" bestFit="1" customWidth="1"/>
    <col min="264" max="264" width="17.5703125" bestFit="1" customWidth="1"/>
    <col min="497" max="497" width="5.7109375" customWidth="1"/>
    <col min="498" max="498" width="9.28515625" customWidth="1"/>
    <col min="499" max="499" width="51.7109375" customWidth="1"/>
    <col min="500" max="500" width="19" customWidth="1"/>
    <col min="501" max="501" width="12.42578125" customWidth="1"/>
    <col min="502" max="502" width="16" bestFit="1" customWidth="1"/>
    <col min="503" max="504" width="16" customWidth="1"/>
    <col min="505" max="505" width="12.28515625" customWidth="1"/>
    <col min="506" max="506" width="21.42578125" bestFit="1" customWidth="1"/>
    <col min="507" max="507" width="15.42578125" bestFit="1" customWidth="1"/>
    <col min="508" max="508" width="16.5703125" bestFit="1" customWidth="1"/>
    <col min="509" max="509" width="12" bestFit="1" customWidth="1"/>
    <col min="510" max="510" width="28" customWidth="1"/>
    <col min="511" max="511" width="11" customWidth="1"/>
    <col min="512" max="513" width="9.28515625" customWidth="1"/>
    <col min="514" max="514" width="51.7109375" customWidth="1"/>
    <col min="515" max="517" width="12.28515625" customWidth="1"/>
    <col min="518" max="518" width="21.42578125" bestFit="1" customWidth="1"/>
    <col min="519" max="519" width="18.28515625" bestFit="1" customWidth="1"/>
    <col min="520" max="520" width="17.5703125" bestFit="1" customWidth="1"/>
    <col min="753" max="753" width="5.7109375" customWidth="1"/>
    <col min="754" max="754" width="9.28515625" customWidth="1"/>
    <col min="755" max="755" width="51.7109375" customWidth="1"/>
    <col min="756" max="756" width="19" customWidth="1"/>
    <col min="757" max="757" width="12.42578125" customWidth="1"/>
    <col min="758" max="758" width="16" bestFit="1" customWidth="1"/>
    <col min="759" max="760" width="16" customWidth="1"/>
    <col min="761" max="761" width="12.28515625" customWidth="1"/>
    <col min="762" max="762" width="21.42578125" bestFit="1" customWidth="1"/>
    <col min="763" max="763" width="15.42578125" bestFit="1" customWidth="1"/>
    <col min="764" max="764" width="16.5703125" bestFit="1" customWidth="1"/>
    <col min="765" max="765" width="12" bestFit="1" customWidth="1"/>
    <col min="766" max="766" width="28" customWidth="1"/>
    <col min="767" max="767" width="11" customWidth="1"/>
    <col min="768" max="769" width="9.28515625" customWidth="1"/>
    <col min="770" max="770" width="51.7109375" customWidth="1"/>
    <col min="771" max="773" width="12.28515625" customWidth="1"/>
    <col min="774" max="774" width="21.42578125" bestFit="1" customWidth="1"/>
    <col min="775" max="775" width="18.28515625" bestFit="1" customWidth="1"/>
    <col min="776" max="776" width="17.5703125" bestFit="1" customWidth="1"/>
    <col min="1009" max="1009" width="5.7109375" customWidth="1"/>
    <col min="1010" max="1010" width="9.28515625" customWidth="1"/>
    <col min="1011" max="1011" width="51.7109375" customWidth="1"/>
    <col min="1012" max="1012" width="19" customWidth="1"/>
    <col min="1013" max="1013" width="12.42578125" customWidth="1"/>
    <col min="1014" max="1014" width="16" bestFit="1" customWidth="1"/>
    <col min="1015" max="1016" width="16" customWidth="1"/>
    <col min="1017" max="1017" width="12.28515625" customWidth="1"/>
    <col min="1018" max="1018" width="21.42578125" bestFit="1" customWidth="1"/>
    <col min="1019" max="1019" width="15.42578125" bestFit="1" customWidth="1"/>
    <col min="1020" max="1020" width="16.5703125" bestFit="1" customWidth="1"/>
    <col min="1021" max="1021" width="12" bestFit="1" customWidth="1"/>
    <col min="1022" max="1022" width="28" customWidth="1"/>
    <col min="1023" max="1023" width="11" customWidth="1"/>
    <col min="1024" max="1025" width="9.28515625" customWidth="1"/>
    <col min="1026" max="1026" width="51.7109375" customWidth="1"/>
    <col min="1027" max="1029" width="12.28515625" customWidth="1"/>
    <col min="1030" max="1030" width="21.42578125" bestFit="1" customWidth="1"/>
    <col min="1031" max="1031" width="18.28515625" bestFit="1" customWidth="1"/>
    <col min="1032" max="1032" width="17.5703125" bestFit="1" customWidth="1"/>
    <col min="1265" max="1265" width="5.7109375" customWidth="1"/>
    <col min="1266" max="1266" width="9.28515625" customWidth="1"/>
    <col min="1267" max="1267" width="51.7109375" customWidth="1"/>
    <col min="1268" max="1268" width="19" customWidth="1"/>
    <col min="1269" max="1269" width="12.42578125" customWidth="1"/>
    <col min="1270" max="1270" width="16" bestFit="1" customWidth="1"/>
    <col min="1271" max="1272" width="16" customWidth="1"/>
    <col min="1273" max="1273" width="12.28515625" customWidth="1"/>
    <col min="1274" max="1274" width="21.42578125" bestFit="1" customWidth="1"/>
    <col min="1275" max="1275" width="15.42578125" bestFit="1" customWidth="1"/>
    <col min="1276" max="1276" width="16.5703125" bestFit="1" customWidth="1"/>
    <col min="1277" max="1277" width="12" bestFit="1" customWidth="1"/>
    <col min="1278" max="1278" width="28" customWidth="1"/>
    <col min="1279" max="1279" width="11" customWidth="1"/>
    <col min="1280" max="1281" width="9.28515625" customWidth="1"/>
    <col min="1282" max="1282" width="51.7109375" customWidth="1"/>
    <col min="1283" max="1285" width="12.28515625" customWidth="1"/>
    <col min="1286" max="1286" width="21.42578125" bestFit="1" customWidth="1"/>
    <col min="1287" max="1287" width="18.28515625" bestFit="1" customWidth="1"/>
    <col min="1288" max="1288" width="17.5703125" bestFit="1" customWidth="1"/>
    <col min="1521" max="1521" width="5.7109375" customWidth="1"/>
    <col min="1522" max="1522" width="9.28515625" customWidth="1"/>
    <col min="1523" max="1523" width="51.7109375" customWidth="1"/>
    <col min="1524" max="1524" width="19" customWidth="1"/>
    <col min="1525" max="1525" width="12.42578125" customWidth="1"/>
    <col min="1526" max="1526" width="16" bestFit="1" customWidth="1"/>
    <col min="1527" max="1528" width="16" customWidth="1"/>
    <col min="1529" max="1529" width="12.28515625" customWidth="1"/>
    <col min="1530" max="1530" width="21.42578125" bestFit="1" customWidth="1"/>
    <col min="1531" max="1531" width="15.42578125" bestFit="1" customWidth="1"/>
    <col min="1532" max="1532" width="16.5703125" bestFit="1" customWidth="1"/>
    <col min="1533" max="1533" width="12" bestFit="1" customWidth="1"/>
    <col min="1534" max="1534" width="28" customWidth="1"/>
    <col min="1535" max="1535" width="11" customWidth="1"/>
    <col min="1536" max="1537" width="9.28515625" customWidth="1"/>
    <col min="1538" max="1538" width="51.7109375" customWidth="1"/>
    <col min="1539" max="1541" width="12.28515625" customWidth="1"/>
    <col min="1542" max="1542" width="21.42578125" bestFit="1" customWidth="1"/>
    <col min="1543" max="1543" width="18.28515625" bestFit="1" customWidth="1"/>
    <col min="1544" max="1544" width="17.5703125" bestFit="1" customWidth="1"/>
    <col min="1777" max="1777" width="5.7109375" customWidth="1"/>
    <col min="1778" max="1778" width="9.28515625" customWidth="1"/>
    <col min="1779" max="1779" width="51.7109375" customWidth="1"/>
    <col min="1780" max="1780" width="19" customWidth="1"/>
    <col min="1781" max="1781" width="12.42578125" customWidth="1"/>
    <col min="1782" max="1782" width="16" bestFit="1" customWidth="1"/>
    <col min="1783" max="1784" width="16" customWidth="1"/>
    <col min="1785" max="1785" width="12.28515625" customWidth="1"/>
    <col min="1786" max="1786" width="21.42578125" bestFit="1" customWidth="1"/>
    <col min="1787" max="1787" width="15.42578125" bestFit="1" customWidth="1"/>
    <col min="1788" max="1788" width="16.5703125" bestFit="1" customWidth="1"/>
    <col min="1789" max="1789" width="12" bestFit="1" customWidth="1"/>
    <col min="1790" max="1790" width="28" customWidth="1"/>
    <col min="1791" max="1791" width="11" customWidth="1"/>
    <col min="1792" max="1793" width="9.28515625" customWidth="1"/>
    <col min="1794" max="1794" width="51.7109375" customWidth="1"/>
    <col min="1795" max="1797" width="12.28515625" customWidth="1"/>
    <col min="1798" max="1798" width="21.42578125" bestFit="1" customWidth="1"/>
    <col min="1799" max="1799" width="18.28515625" bestFit="1" customWidth="1"/>
    <col min="1800" max="1800" width="17.5703125" bestFit="1" customWidth="1"/>
    <col min="2033" max="2033" width="5.7109375" customWidth="1"/>
    <col min="2034" max="2034" width="9.28515625" customWidth="1"/>
    <col min="2035" max="2035" width="51.7109375" customWidth="1"/>
    <col min="2036" max="2036" width="19" customWidth="1"/>
    <col min="2037" max="2037" width="12.42578125" customWidth="1"/>
    <col min="2038" max="2038" width="16" bestFit="1" customWidth="1"/>
    <col min="2039" max="2040" width="16" customWidth="1"/>
    <col min="2041" max="2041" width="12.28515625" customWidth="1"/>
    <col min="2042" max="2042" width="21.42578125" bestFit="1" customWidth="1"/>
    <col min="2043" max="2043" width="15.42578125" bestFit="1" customWidth="1"/>
    <col min="2044" max="2044" width="16.5703125" bestFit="1" customWidth="1"/>
    <col min="2045" max="2045" width="12" bestFit="1" customWidth="1"/>
    <col min="2046" max="2046" width="28" customWidth="1"/>
    <col min="2047" max="2047" width="11" customWidth="1"/>
    <col min="2048" max="2049" width="9.28515625" customWidth="1"/>
    <col min="2050" max="2050" width="51.7109375" customWidth="1"/>
    <col min="2051" max="2053" width="12.28515625" customWidth="1"/>
    <col min="2054" max="2054" width="21.42578125" bestFit="1" customWidth="1"/>
    <col min="2055" max="2055" width="18.28515625" bestFit="1" customWidth="1"/>
    <col min="2056" max="2056" width="17.5703125" bestFit="1" customWidth="1"/>
    <col min="2289" max="2289" width="5.7109375" customWidth="1"/>
    <col min="2290" max="2290" width="9.28515625" customWidth="1"/>
    <col min="2291" max="2291" width="51.7109375" customWidth="1"/>
    <col min="2292" max="2292" width="19" customWidth="1"/>
    <col min="2293" max="2293" width="12.42578125" customWidth="1"/>
    <col min="2294" max="2294" width="16" bestFit="1" customWidth="1"/>
    <col min="2295" max="2296" width="16" customWidth="1"/>
    <col min="2297" max="2297" width="12.28515625" customWidth="1"/>
    <col min="2298" max="2298" width="21.42578125" bestFit="1" customWidth="1"/>
    <col min="2299" max="2299" width="15.42578125" bestFit="1" customWidth="1"/>
    <col min="2300" max="2300" width="16.5703125" bestFit="1" customWidth="1"/>
    <col min="2301" max="2301" width="12" bestFit="1" customWidth="1"/>
    <col min="2302" max="2302" width="28" customWidth="1"/>
    <col min="2303" max="2303" width="11" customWidth="1"/>
    <col min="2304" max="2305" width="9.28515625" customWidth="1"/>
    <col min="2306" max="2306" width="51.7109375" customWidth="1"/>
    <col min="2307" max="2309" width="12.28515625" customWidth="1"/>
    <col min="2310" max="2310" width="21.42578125" bestFit="1" customWidth="1"/>
    <col min="2311" max="2311" width="18.28515625" bestFit="1" customWidth="1"/>
    <col min="2312" max="2312" width="17.5703125" bestFit="1" customWidth="1"/>
    <col min="2545" max="2545" width="5.7109375" customWidth="1"/>
    <col min="2546" max="2546" width="9.28515625" customWidth="1"/>
    <col min="2547" max="2547" width="51.7109375" customWidth="1"/>
    <col min="2548" max="2548" width="19" customWidth="1"/>
    <col min="2549" max="2549" width="12.42578125" customWidth="1"/>
    <col min="2550" max="2550" width="16" bestFit="1" customWidth="1"/>
    <col min="2551" max="2552" width="16" customWidth="1"/>
    <col min="2553" max="2553" width="12.28515625" customWidth="1"/>
    <col min="2554" max="2554" width="21.42578125" bestFit="1" customWidth="1"/>
    <col min="2555" max="2555" width="15.42578125" bestFit="1" customWidth="1"/>
    <col min="2556" max="2556" width="16.5703125" bestFit="1" customWidth="1"/>
    <col min="2557" max="2557" width="12" bestFit="1" customWidth="1"/>
    <col min="2558" max="2558" width="28" customWidth="1"/>
    <col min="2559" max="2559" width="11" customWidth="1"/>
    <col min="2560" max="2561" width="9.28515625" customWidth="1"/>
    <col min="2562" max="2562" width="51.7109375" customWidth="1"/>
    <col min="2563" max="2565" width="12.28515625" customWidth="1"/>
    <col min="2566" max="2566" width="21.42578125" bestFit="1" customWidth="1"/>
    <col min="2567" max="2567" width="18.28515625" bestFit="1" customWidth="1"/>
    <col min="2568" max="2568" width="17.5703125" bestFit="1" customWidth="1"/>
    <col min="2801" max="2801" width="5.7109375" customWidth="1"/>
    <col min="2802" max="2802" width="9.28515625" customWidth="1"/>
    <col min="2803" max="2803" width="51.7109375" customWidth="1"/>
    <col min="2804" max="2804" width="19" customWidth="1"/>
    <col min="2805" max="2805" width="12.42578125" customWidth="1"/>
    <col min="2806" max="2806" width="16" bestFit="1" customWidth="1"/>
    <col min="2807" max="2808" width="16" customWidth="1"/>
    <col min="2809" max="2809" width="12.28515625" customWidth="1"/>
    <col min="2810" max="2810" width="21.42578125" bestFit="1" customWidth="1"/>
    <col min="2811" max="2811" width="15.42578125" bestFit="1" customWidth="1"/>
    <col min="2812" max="2812" width="16.5703125" bestFit="1" customWidth="1"/>
    <col min="2813" max="2813" width="12" bestFit="1" customWidth="1"/>
    <col min="2814" max="2814" width="28" customWidth="1"/>
    <col min="2815" max="2815" width="11" customWidth="1"/>
    <col min="2816" max="2817" width="9.28515625" customWidth="1"/>
    <col min="2818" max="2818" width="51.7109375" customWidth="1"/>
    <col min="2819" max="2821" width="12.28515625" customWidth="1"/>
    <col min="2822" max="2822" width="21.42578125" bestFit="1" customWidth="1"/>
    <col min="2823" max="2823" width="18.28515625" bestFit="1" customWidth="1"/>
    <col min="2824" max="2824" width="17.5703125" bestFit="1" customWidth="1"/>
    <col min="3057" max="3057" width="5.7109375" customWidth="1"/>
    <col min="3058" max="3058" width="9.28515625" customWidth="1"/>
    <col min="3059" max="3059" width="51.7109375" customWidth="1"/>
    <col min="3060" max="3060" width="19" customWidth="1"/>
    <col min="3061" max="3061" width="12.42578125" customWidth="1"/>
    <col min="3062" max="3062" width="16" bestFit="1" customWidth="1"/>
    <col min="3063" max="3064" width="16" customWidth="1"/>
    <col min="3065" max="3065" width="12.28515625" customWidth="1"/>
    <col min="3066" max="3066" width="21.42578125" bestFit="1" customWidth="1"/>
    <col min="3067" max="3067" width="15.42578125" bestFit="1" customWidth="1"/>
    <col min="3068" max="3068" width="16.5703125" bestFit="1" customWidth="1"/>
    <col min="3069" max="3069" width="12" bestFit="1" customWidth="1"/>
    <col min="3070" max="3070" width="28" customWidth="1"/>
    <col min="3071" max="3071" width="11" customWidth="1"/>
    <col min="3072" max="3073" width="9.28515625" customWidth="1"/>
    <col min="3074" max="3074" width="51.7109375" customWidth="1"/>
    <col min="3075" max="3077" width="12.28515625" customWidth="1"/>
    <col min="3078" max="3078" width="21.42578125" bestFit="1" customWidth="1"/>
    <col min="3079" max="3079" width="18.28515625" bestFit="1" customWidth="1"/>
    <col min="3080" max="3080" width="17.5703125" bestFit="1" customWidth="1"/>
    <col min="3313" max="3313" width="5.7109375" customWidth="1"/>
    <col min="3314" max="3314" width="9.28515625" customWidth="1"/>
    <col min="3315" max="3315" width="51.7109375" customWidth="1"/>
    <col min="3316" max="3316" width="19" customWidth="1"/>
    <col min="3317" max="3317" width="12.42578125" customWidth="1"/>
    <col min="3318" max="3318" width="16" bestFit="1" customWidth="1"/>
    <col min="3319" max="3320" width="16" customWidth="1"/>
    <col min="3321" max="3321" width="12.28515625" customWidth="1"/>
    <col min="3322" max="3322" width="21.42578125" bestFit="1" customWidth="1"/>
    <col min="3323" max="3323" width="15.42578125" bestFit="1" customWidth="1"/>
    <col min="3324" max="3324" width="16.5703125" bestFit="1" customWidth="1"/>
    <col min="3325" max="3325" width="12" bestFit="1" customWidth="1"/>
    <col min="3326" max="3326" width="28" customWidth="1"/>
    <col min="3327" max="3327" width="11" customWidth="1"/>
    <col min="3328" max="3329" width="9.28515625" customWidth="1"/>
    <col min="3330" max="3330" width="51.7109375" customWidth="1"/>
    <col min="3331" max="3333" width="12.28515625" customWidth="1"/>
    <col min="3334" max="3334" width="21.42578125" bestFit="1" customWidth="1"/>
    <col min="3335" max="3335" width="18.28515625" bestFit="1" customWidth="1"/>
    <col min="3336" max="3336" width="17.5703125" bestFit="1" customWidth="1"/>
    <col min="3569" max="3569" width="5.7109375" customWidth="1"/>
    <col min="3570" max="3570" width="9.28515625" customWidth="1"/>
    <col min="3571" max="3571" width="51.7109375" customWidth="1"/>
    <col min="3572" max="3572" width="19" customWidth="1"/>
    <col min="3573" max="3573" width="12.42578125" customWidth="1"/>
    <col min="3574" max="3574" width="16" bestFit="1" customWidth="1"/>
    <col min="3575" max="3576" width="16" customWidth="1"/>
    <col min="3577" max="3577" width="12.28515625" customWidth="1"/>
    <col min="3578" max="3578" width="21.42578125" bestFit="1" customWidth="1"/>
    <col min="3579" max="3579" width="15.42578125" bestFit="1" customWidth="1"/>
    <col min="3580" max="3580" width="16.5703125" bestFit="1" customWidth="1"/>
    <col min="3581" max="3581" width="12" bestFit="1" customWidth="1"/>
    <col min="3582" max="3582" width="28" customWidth="1"/>
    <col min="3583" max="3583" width="11" customWidth="1"/>
    <col min="3584" max="3585" width="9.28515625" customWidth="1"/>
    <col min="3586" max="3586" width="51.7109375" customWidth="1"/>
    <col min="3587" max="3589" width="12.28515625" customWidth="1"/>
    <col min="3590" max="3590" width="21.42578125" bestFit="1" customWidth="1"/>
    <col min="3591" max="3591" width="18.28515625" bestFit="1" customWidth="1"/>
    <col min="3592" max="3592" width="17.5703125" bestFit="1" customWidth="1"/>
    <col min="3825" max="3825" width="5.7109375" customWidth="1"/>
    <col min="3826" max="3826" width="9.28515625" customWidth="1"/>
    <col min="3827" max="3827" width="51.7109375" customWidth="1"/>
    <col min="3828" max="3828" width="19" customWidth="1"/>
    <col min="3829" max="3829" width="12.42578125" customWidth="1"/>
    <col min="3830" max="3830" width="16" bestFit="1" customWidth="1"/>
    <col min="3831" max="3832" width="16" customWidth="1"/>
    <col min="3833" max="3833" width="12.28515625" customWidth="1"/>
    <col min="3834" max="3834" width="21.42578125" bestFit="1" customWidth="1"/>
    <col min="3835" max="3835" width="15.42578125" bestFit="1" customWidth="1"/>
    <col min="3836" max="3836" width="16.5703125" bestFit="1" customWidth="1"/>
    <col min="3837" max="3837" width="12" bestFit="1" customWidth="1"/>
    <col min="3838" max="3838" width="28" customWidth="1"/>
    <col min="3839" max="3839" width="11" customWidth="1"/>
    <col min="3840" max="3841" width="9.28515625" customWidth="1"/>
    <col min="3842" max="3842" width="51.7109375" customWidth="1"/>
    <col min="3843" max="3845" width="12.28515625" customWidth="1"/>
    <col min="3846" max="3846" width="21.42578125" bestFit="1" customWidth="1"/>
    <col min="3847" max="3847" width="18.28515625" bestFit="1" customWidth="1"/>
    <col min="3848" max="3848" width="17.5703125" bestFit="1" customWidth="1"/>
    <col min="4081" max="4081" width="5.7109375" customWidth="1"/>
    <col min="4082" max="4082" width="9.28515625" customWidth="1"/>
    <col min="4083" max="4083" width="51.7109375" customWidth="1"/>
    <col min="4084" max="4084" width="19" customWidth="1"/>
    <col min="4085" max="4085" width="12.42578125" customWidth="1"/>
    <col min="4086" max="4086" width="16" bestFit="1" customWidth="1"/>
    <col min="4087" max="4088" width="16" customWidth="1"/>
    <col min="4089" max="4089" width="12.28515625" customWidth="1"/>
    <col min="4090" max="4090" width="21.42578125" bestFit="1" customWidth="1"/>
    <col min="4091" max="4091" width="15.42578125" bestFit="1" customWidth="1"/>
    <col min="4092" max="4092" width="16.5703125" bestFit="1" customWidth="1"/>
    <col min="4093" max="4093" width="12" bestFit="1" customWidth="1"/>
    <col min="4094" max="4094" width="28" customWidth="1"/>
    <col min="4095" max="4095" width="11" customWidth="1"/>
    <col min="4096" max="4097" width="9.28515625" customWidth="1"/>
    <col min="4098" max="4098" width="51.7109375" customWidth="1"/>
    <col min="4099" max="4101" width="12.28515625" customWidth="1"/>
    <col min="4102" max="4102" width="21.42578125" bestFit="1" customWidth="1"/>
    <col min="4103" max="4103" width="18.28515625" bestFit="1" customWidth="1"/>
    <col min="4104" max="4104" width="17.5703125" bestFit="1" customWidth="1"/>
    <col min="4337" max="4337" width="5.7109375" customWidth="1"/>
    <col min="4338" max="4338" width="9.28515625" customWidth="1"/>
    <col min="4339" max="4339" width="51.7109375" customWidth="1"/>
    <col min="4340" max="4340" width="19" customWidth="1"/>
    <col min="4341" max="4341" width="12.42578125" customWidth="1"/>
    <col min="4342" max="4342" width="16" bestFit="1" customWidth="1"/>
    <col min="4343" max="4344" width="16" customWidth="1"/>
    <col min="4345" max="4345" width="12.28515625" customWidth="1"/>
    <col min="4346" max="4346" width="21.42578125" bestFit="1" customWidth="1"/>
    <col min="4347" max="4347" width="15.42578125" bestFit="1" customWidth="1"/>
    <col min="4348" max="4348" width="16.5703125" bestFit="1" customWidth="1"/>
    <col min="4349" max="4349" width="12" bestFit="1" customWidth="1"/>
    <col min="4350" max="4350" width="28" customWidth="1"/>
    <col min="4351" max="4351" width="11" customWidth="1"/>
    <col min="4352" max="4353" width="9.28515625" customWidth="1"/>
    <col min="4354" max="4354" width="51.7109375" customWidth="1"/>
    <col min="4355" max="4357" width="12.28515625" customWidth="1"/>
    <col min="4358" max="4358" width="21.42578125" bestFit="1" customWidth="1"/>
    <col min="4359" max="4359" width="18.28515625" bestFit="1" customWidth="1"/>
    <col min="4360" max="4360" width="17.5703125" bestFit="1" customWidth="1"/>
    <col min="4593" max="4593" width="5.7109375" customWidth="1"/>
    <col min="4594" max="4594" width="9.28515625" customWidth="1"/>
    <col min="4595" max="4595" width="51.7109375" customWidth="1"/>
    <col min="4596" max="4596" width="19" customWidth="1"/>
    <col min="4597" max="4597" width="12.42578125" customWidth="1"/>
    <col min="4598" max="4598" width="16" bestFit="1" customWidth="1"/>
    <col min="4599" max="4600" width="16" customWidth="1"/>
    <col min="4601" max="4601" width="12.28515625" customWidth="1"/>
    <col min="4602" max="4602" width="21.42578125" bestFit="1" customWidth="1"/>
    <col min="4603" max="4603" width="15.42578125" bestFit="1" customWidth="1"/>
    <col min="4604" max="4604" width="16.5703125" bestFit="1" customWidth="1"/>
    <col min="4605" max="4605" width="12" bestFit="1" customWidth="1"/>
    <col min="4606" max="4606" width="28" customWidth="1"/>
    <col min="4607" max="4607" width="11" customWidth="1"/>
    <col min="4608" max="4609" width="9.28515625" customWidth="1"/>
    <col min="4610" max="4610" width="51.7109375" customWidth="1"/>
    <col min="4611" max="4613" width="12.28515625" customWidth="1"/>
    <col min="4614" max="4614" width="21.42578125" bestFit="1" customWidth="1"/>
    <col min="4615" max="4615" width="18.28515625" bestFit="1" customWidth="1"/>
    <col min="4616" max="4616" width="17.5703125" bestFit="1" customWidth="1"/>
    <col min="4849" max="4849" width="5.7109375" customWidth="1"/>
    <col min="4850" max="4850" width="9.28515625" customWidth="1"/>
    <col min="4851" max="4851" width="51.7109375" customWidth="1"/>
    <col min="4852" max="4852" width="19" customWidth="1"/>
    <col min="4853" max="4853" width="12.42578125" customWidth="1"/>
    <col min="4854" max="4854" width="16" bestFit="1" customWidth="1"/>
    <col min="4855" max="4856" width="16" customWidth="1"/>
    <col min="4857" max="4857" width="12.28515625" customWidth="1"/>
    <col min="4858" max="4858" width="21.42578125" bestFit="1" customWidth="1"/>
    <col min="4859" max="4859" width="15.42578125" bestFit="1" customWidth="1"/>
    <col min="4860" max="4860" width="16.5703125" bestFit="1" customWidth="1"/>
    <col min="4861" max="4861" width="12" bestFit="1" customWidth="1"/>
    <col min="4862" max="4862" width="28" customWidth="1"/>
    <col min="4863" max="4863" width="11" customWidth="1"/>
    <col min="4864" max="4865" width="9.28515625" customWidth="1"/>
    <col min="4866" max="4866" width="51.7109375" customWidth="1"/>
    <col min="4867" max="4869" width="12.28515625" customWidth="1"/>
    <col min="4870" max="4870" width="21.42578125" bestFit="1" customWidth="1"/>
    <col min="4871" max="4871" width="18.28515625" bestFit="1" customWidth="1"/>
    <col min="4872" max="4872" width="17.5703125" bestFit="1" customWidth="1"/>
    <col min="5105" max="5105" width="5.7109375" customWidth="1"/>
    <col min="5106" max="5106" width="9.28515625" customWidth="1"/>
    <col min="5107" max="5107" width="51.7109375" customWidth="1"/>
    <col min="5108" max="5108" width="19" customWidth="1"/>
    <col min="5109" max="5109" width="12.42578125" customWidth="1"/>
    <col min="5110" max="5110" width="16" bestFit="1" customWidth="1"/>
    <col min="5111" max="5112" width="16" customWidth="1"/>
    <col min="5113" max="5113" width="12.28515625" customWidth="1"/>
    <col min="5114" max="5114" width="21.42578125" bestFit="1" customWidth="1"/>
    <col min="5115" max="5115" width="15.42578125" bestFit="1" customWidth="1"/>
    <col min="5116" max="5116" width="16.5703125" bestFit="1" customWidth="1"/>
    <col min="5117" max="5117" width="12" bestFit="1" customWidth="1"/>
    <col min="5118" max="5118" width="28" customWidth="1"/>
    <col min="5119" max="5119" width="11" customWidth="1"/>
    <col min="5120" max="5121" width="9.28515625" customWidth="1"/>
    <col min="5122" max="5122" width="51.7109375" customWidth="1"/>
    <col min="5123" max="5125" width="12.28515625" customWidth="1"/>
    <col min="5126" max="5126" width="21.42578125" bestFit="1" customWidth="1"/>
    <col min="5127" max="5127" width="18.28515625" bestFit="1" customWidth="1"/>
    <col min="5128" max="5128" width="17.5703125" bestFit="1" customWidth="1"/>
    <col min="5361" max="5361" width="5.7109375" customWidth="1"/>
    <col min="5362" max="5362" width="9.28515625" customWidth="1"/>
    <col min="5363" max="5363" width="51.7109375" customWidth="1"/>
    <col min="5364" max="5364" width="19" customWidth="1"/>
    <col min="5365" max="5365" width="12.42578125" customWidth="1"/>
    <col min="5366" max="5366" width="16" bestFit="1" customWidth="1"/>
    <col min="5367" max="5368" width="16" customWidth="1"/>
    <col min="5369" max="5369" width="12.28515625" customWidth="1"/>
    <col min="5370" max="5370" width="21.42578125" bestFit="1" customWidth="1"/>
    <col min="5371" max="5371" width="15.42578125" bestFit="1" customWidth="1"/>
    <col min="5372" max="5372" width="16.5703125" bestFit="1" customWidth="1"/>
    <col min="5373" max="5373" width="12" bestFit="1" customWidth="1"/>
    <col min="5374" max="5374" width="28" customWidth="1"/>
    <col min="5375" max="5375" width="11" customWidth="1"/>
    <col min="5376" max="5377" width="9.28515625" customWidth="1"/>
    <col min="5378" max="5378" width="51.7109375" customWidth="1"/>
    <col min="5379" max="5381" width="12.28515625" customWidth="1"/>
    <col min="5382" max="5382" width="21.42578125" bestFit="1" customWidth="1"/>
    <col min="5383" max="5383" width="18.28515625" bestFit="1" customWidth="1"/>
    <col min="5384" max="5384" width="17.5703125" bestFit="1" customWidth="1"/>
    <col min="5617" max="5617" width="5.7109375" customWidth="1"/>
    <col min="5618" max="5618" width="9.28515625" customWidth="1"/>
    <col min="5619" max="5619" width="51.7109375" customWidth="1"/>
    <col min="5620" max="5620" width="19" customWidth="1"/>
    <col min="5621" max="5621" width="12.42578125" customWidth="1"/>
    <col min="5622" max="5622" width="16" bestFit="1" customWidth="1"/>
    <col min="5623" max="5624" width="16" customWidth="1"/>
    <col min="5625" max="5625" width="12.28515625" customWidth="1"/>
    <col min="5626" max="5626" width="21.42578125" bestFit="1" customWidth="1"/>
    <col min="5627" max="5627" width="15.42578125" bestFit="1" customWidth="1"/>
    <col min="5628" max="5628" width="16.5703125" bestFit="1" customWidth="1"/>
    <col min="5629" max="5629" width="12" bestFit="1" customWidth="1"/>
    <col min="5630" max="5630" width="28" customWidth="1"/>
    <col min="5631" max="5631" width="11" customWidth="1"/>
    <col min="5632" max="5633" width="9.28515625" customWidth="1"/>
    <col min="5634" max="5634" width="51.7109375" customWidth="1"/>
    <col min="5635" max="5637" width="12.28515625" customWidth="1"/>
    <col min="5638" max="5638" width="21.42578125" bestFit="1" customWidth="1"/>
    <col min="5639" max="5639" width="18.28515625" bestFit="1" customWidth="1"/>
    <col min="5640" max="5640" width="17.5703125" bestFit="1" customWidth="1"/>
    <col min="5873" max="5873" width="5.7109375" customWidth="1"/>
    <col min="5874" max="5874" width="9.28515625" customWidth="1"/>
    <col min="5875" max="5875" width="51.7109375" customWidth="1"/>
    <col min="5876" max="5876" width="19" customWidth="1"/>
    <col min="5877" max="5877" width="12.42578125" customWidth="1"/>
    <col min="5878" max="5878" width="16" bestFit="1" customWidth="1"/>
    <col min="5879" max="5880" width="16" customWidth="1"/>
    <col min="5881" max="5881" width="12.28515625" customWidth="1"/>
    <col min="5882" max="5882" width="21.42578125" bestFit="1" customWidth="1"/>
    <col min="5883" max="5883" width="15.42578125" bestFit="1" customWidth="1"/>
    <col min="5884" max="5884" width="16.5703125" bestFit="1" customWidth="1"/>
    <col min="5885" max="5885" width="12" bestFit="1" customWidth="1"/>
    <col min="5886" max="5886" width="28" customWidth="1"/>
    <col min="5887" max="5887" width="11" customWidth="1"/>
    <col min="5888" max="5889" width="9.28515625" customWidth="1"/>
    <col min="5890" max="5890" width="51.7109375" customWidth="1"/>
    <col min="5891" max="5893" width="12.28515625" customWidth="1"/>
    <col min="5894" max="5894" width="21.42578125" bestFit="1" customWidth="1"/>
    <col min="5895" max="5895" width="18.28515625" bestFit="1" customWidth="1"/>
    <col min="5896" max="5896" width="17.5703125" bestFit="1" customWidth="1"/>
    <col min="6129" max="6129" width="5.7109375" customWidth="1"/>
    <col min="6130" max="6130" width="9.28515625" customWidth="1"/>
    <col min="6131" max="6131" width="51.7109375" customWidth="1"/>
    <col min="6132" max="6132" width="19" customWidth="1"/>
    <col min="6133" max="6133" width="12.42578125" customWidth="1"/>
    <col min="6134" max="6134" width="16" bestFit="1" customWidth="1"/>
    <col min="6135" max="6136" width="16" customWidth="1"/>
    <col min="6137" max="6137" width="12.28515625" customWidth="1"/>
    <col min="6138" max="6138" width="21.42578125" bestFit="1" customWidth="1"/>
    <col min="6139" max="6139" width="15.42578125" bestFit="1" customWidth="1"/>
    <col min="6140" max="6140" width="16.5703125" bestFit="1" customWidth="1"/>
    <col min="6141" max="6141" width="12" bestFit="1" customWidth="1"/>
    <col min="6142" max="6142" width="28" customWidth="1"/>
    <col min="6143" max="6143" width="11" customWidth="1"/>
    <col min="6144" max="6145" width="9.28515625" customWidth="1"/>
    <col min="6146" max="6146" width="51.7109375" customWidth="1"/>
    <col min="6147" max="6149" width="12.28515625" customWidth="1"/>
    <col min="6150" max="6150" width="21.42578125" bestFit="1" customWidth="1"/>
    <col min="6151" max="6151" width="18.28515625" bestFit="1" customWidth="1"/>
    <col min="6152" max="6152" width="17.5703125" bestFit="1" customWidth="1"/>
    <col min="6385" max="6385" width="5.7109375" customWidth="1"/>
    <col min="6386" max="6386" width="9.28515625" customWidth="1"/>
    <col min="6387" max="6387" width="51.7109375" customWidth="1"/>
    <col min="6388" max="6388" width="19" customWidth="1"/>
    <col min="6389" max="6389" width="12.42578125" customWidth="1"/>
    <col min="6390" max="6390" width="16" bestFit="1" customWidth="1"/>
    <col min="6391" max="6392" width="16" customWidth="1"/>
    <col min="6393" max="6393" width="12.28515625" customWidth="1"/>
    <col min="6394" max="6394" width="21.42578125" bestFit="1" customWidth="1"/>
    <col min="6395" max="6395" width="15.42578125" bestFit="1" customWidth="1"/>
    <col min="6396" max="6396" width="16.5703125" bestFit="1" customWidth="1"/>
    <col min="6397" max="6397" width="12" bestFit="1" customWidth="1"/>
    <col min="6398" max="6398" width="28" customWidth="1"/>
    <col min="6399" max="6399" width="11" customWidth="1"/>
    <col min="6400" max="6401" width="9.28515625" customWidth="1"/>
    <col min="6402" max="6402" width="51.7109375" customWidth="1"/>
    <col min="6403" max="6405" width="12.28515625" customWidth="1"/>
    <col min="6406" max="6406" width="21.42578125" bestFit="1" customWidth="1"/>
    <col min="6407" max="6407" width="18.28515625" bestFit="1" customWidth="1"/>
    <col min="6408" max="6408" width="17.5703125" bestFit="1" customWidth="1"/>
    <col min="6641" max="6641" width="5.7109375" customWidth="1"/>
    <col min="6642" max="6642" width="9.28515625" customWidth="1"/>
    <col min="6643" max="6643" width="51.7109375" customWidth="1"/>
    <col min="6644" max="6644" width="19" customWidth="1"/>
    <col min="6645" max="6645" width="12.42578125" customWidth="1"/>
    <col min="6646" max="6646" width="16" bestFit="1" customWidth="1"/>
    <col min="6647" max="6648" width="16" customWidth="1"/>
    <col min="6649" max="6649" width="12.28515625" customWidth="1"/>
    <col min="6650" max="6650" width="21.42578125" bestFit="1" customWidth="1"/>
    <col min="6651" max="6651" width="15.42578125" bestFit="1" customWidth="1"/>
    <col min="6652" max="6652" width="16.5703125" bestFit="1" customWidth="1"/>
    <col min="6653" max="6653" width="12" bestFit="1" customWidth="1"/>
    <col min="6654" max="6654" width="28" customWidth="1"/>
    <col min="6655" max="6655" width="11" customWidth="1"/>
    <col min="6656" max="6657" width="9.28515625" customWidth="1"/>
    <col min="6658" max="6658" width="51.7109375" customWidth="1"/>
    <col min="6659" max="6661" width="12.28515625" customWidth="1"/>
    <col min="6662" max="6662" width="21.42578125" bestFit="1" customWidth="1"/>
    <col min="6663" max="6663" width="18.28515625" bestFit="1" customWidth="1"/>
    <col min="6664" max="6664" width="17.5703125" bestFit="1" customWidth="1"/>
    <col min="6897" max="6897" width="5.7109375" customWidth="1"/>
    <col min="6898" max="6898" width="9.28515625" customWidth="1"/>
    <col min="6899" max="6899" width="51.7109375" customWidth="1"/>
    <col min="6900" max="6900" width="19" customWidth="1"/>
    <col min="6901" max="6901" width="12.42578125" customWidth="1"/>
    <col min="6902" max="6902" width="16" bestFit="1" customWidth="1"/>
    <col min="6903" max="6904" width="16" customWidth="1"/>
    <col min="6905" max="6905" width="12.28515625" customWidth="1"/>
    <col min="6906" max="6906" width="21.42578125" bestFit="1" customWidth="1"/>
    <col min="6907" max="6907" width="15.42578125" bestFit="1" customWidth="1"/>
    <col min="6908" max="6908" width="16.5703125" bestFit="1" customWidth="1"/>
    <col min="6909" max="6909" width="12" bestFit="1" customWidth="1"/>
    <col min="6910" max="6910" width="28" customWidth="1"/>
    <col min="6911" max="6911" width="11" customWidth="1"/>
    <col min="6912" max="6913" width="9.28515625" customWidth="1"/>
    <col min="6914" max="6914" width="51.7109375" customWidth="1"/>
    <col min="6915" max="6917" width="12.28515625" customWidth="1"/>
    <col min="6918" max="6918" width="21.42578125" bestFit="1" customWidth="1"/>
    <col min="6919" max="6919" width="18.28515625" bestFit="1" customWidth="1"/>
    <col min="6920" max="6920" width="17.5703125" bestFit="1" customWidth="1"/>
    <col min="7153" max="7153" width="5.7109375" customWidth="1"/>
    <col min="7154" max="7154" width="9.28515625" customWidth="1"/>
    <col min="7155" max="7155" width="51.7109375" customWidth="1"/>
    <col min="7156" max="7156" width="19" customWidth="1"/>
    <col min="7157" max="7157" width="12.42578125" customWidth="1"/>
    <col min="7158" max="7158" width="16" bestFit="1" customWidth="1"/>
    <col min="7159" max="7160" width="16" customWidth="1"/>
    <col min="7161" max="7161" width="12.28515625" customWidth="1"/>
    <col min="7162" max="7162" width="21.42578125" bestFit="1" customWidth="1"/>
    <col min="7163" max="7163" width="15.42578125" bestFit="1" customWidth="1"/>
    <col min="7164" max="7164" width="16.5703125" bestFit="1" customWidth="1"/>
    <col min="7165" max="7165" width="12" bestFit="1" customWidth="1"/>
    <col min="7166" max="7166" width="28" customWidth="1"/>
    <col min="7167" max="7167" width="11" customWidth="1"/>
    <col min="7168" max="7169" width="9.28515625" customWidth="1"/>
    <col min="7170" max="7170" width="51.7109375" customWidth="1"/>
    <col min="7171" max="7173" width="12.28515625" customWidth="1"/>
    <col min="7174" max="7174" width="21.42578125" bestFit="1" customWidth="1"/>
    <col min="7175" max="7175" width="18.28515625" bestFit="1" customWidth="1"/>
    <col min="7176" max="7176" width="17.5703125" bestFit="1" customWidth="1"/>
    <col min="7409" max="7409" width="5.7109375" customWidth="1"/>
    <col min="7410" max="7410" width="9.28515625" customWidth="1"/>
    <col min="7411" max="7411" width="51.7109375" customWidth="1"/>
    <col min="7412" max="7412" width="19" customWidth="1"/>
    <col min="7413" max="7413" width="12.42578125" customWidth="1"/>
    <col min="7414" max="7414" width="16" bestFit="1" customWidth="1"/>
    <col min="7415" max="7416" width="16" customWidth="1"/>
    <col min="7417" max="7417" width="12.28515625" customWidth="1"/>
    <col min="7418" max="7418" width="21.42578125" bestFit="1" customWidth="1"/>
    <col min="7419" max="7419" width="15.42578125" bestFit="1" customWidth="1"/>
    <col min="7420" max="7420" width="16.5703125" bestFit="1" customWidth="1"/>
    <col min="7421" max="7421" width="12" bestFit="1" customWidth="1"/>
    <col min="7422" max="7422" width="28" customWidth="1"/>
    <col min="7423" max="7423" width="11" customWidth="1"/>
    <col min="7424" max="7425" width="9.28515625" customWidth="1"/>
    <col min="7426" max="7426" width="51.7109375" customWidth="1"/>
    <col min="7427" max="7429" width="12.28515625" customWidth="1"/>
    <col min="7430" max="7430" width="21.42578125" bestFit="1" customWidth="1"/>
    <col min="7431" max="7431" width="18.28515625" bestFit="1" customWidth="1"/>
    <col min="7432" max="7432" width="17.5703125" bestFit="1" customWidth="1"/>
    <col min="7665" max="7665" width="5.7109375" customWidth="1"/>
    <col min="7666" max="7666" width="9.28515625" customWidth="1"/>
    <col min="7667" max="7667" width="51.7109375" customWidth="1"/>
    <col min="7668" max="7668" width="19" customWidth="1"/>
    <col min="7669" max="7669" width="12.42578125" customWidth="1"/>
    <col min="7670" max="7670" width="16" bestFit="1" customWidth="1"/>
    <col min="7671" max="7672" width="16" customWidth="1"/>
    <col min="7673" max="7673" width="12.28515625" customWidth="1"/>
    <col min="7674" max="7674" width="21.42578125" bestFit="1" customWidth="1"/>
    <col min="7675" max="7675" width="15.42578125" bestFit="1" customWidth="1"/>
    <col min="7676" max="7676" width="16.5703125" bestFit="1" customWidth="1"/>
    <col min="7677" max="7677" width="12" bestFit="1" customWidth="1"/>
    <col min="7678" max="7678" width="28" customWidth="1"/>
    <col min="7679" max="7679" width="11" customWidth="1"/>
    <col min="7680" max="7681" width="9.28515625" customWidth="1"/>
    <col min="7682" max="7682" width="51.7109375" customWidth="1"/>
    <col min="7683" max="7685" width="12.28515625" customWidth="1"/>
    <col min="7686" max="7686" width="21.42578125" bestFit="1" customWidth="1"/>
    <col min="7687" max="7687" width="18.28515625" bestFit="1" customWidth="1"/>
    <col min="7688" max="7688" width="17.5703125" bestFit="1" customWidth="1"/>
    <col min="7921" max="7921" width="5.7109375" customWidth="1"/>
    <col min="7922" max="7922" width="9.28515625" customWidth="1"/>
    <col min="7923" max="7923" width="51.7109375" customWidth="1"/>
    <col min="7924" max="7924" width="19" customWidth="1"/>
    <col min="7925" max="7925" width="12.42578125" customWidth="1"/>
    <col min="7926" max="7926" width="16" bestFit="1" customWidth="1"/>
    <col min="7927" max="7928" width="16" customWidth="1"/>
    <col min="7929" max="7929" width="12.28515625" customWidth="1"/>
    <col min="7930" max="7930" width="21.42578125" bestFit="1" customWidth="1"/>
    <col min="7931" max="7931" width="15.42578125" bestFit="1" customWidth="1"/>
    <col min="7932" max="7932" width="16.5703125" bestFit="1" customWidth="1"/>
    <col min="7933" max="7933" width="12" bestFit="1" customWidth="1"/>
    <col min="7934" max="7934" width="28" customWidth="1"/>
    <col min="7935" max="7935" width="11" customWidth="1"/>
    <col min="7936" max="7937" width="9.28515625" customWidth="1"/>
    <col min="7938" max="7938" width="51.7109375" customWidth="1"/>
    <col min="7939" max="7941" width="12.28515625" customWidth="1"/>
    <col min="7942" max="7942" width="21.42578125" bestFit="1" customWidth="1"/>
    <col min="7943" max="7943" width="18.28515625" bestFit="1" customWidth="1"/>
    <col min="7944" max="7944" width="17.5703125" bestFit="1" customWidth="1"/>
    <col min="8177" max="8177" width="5.7109375" customWidth="1"/>
    <col min="8178" max="8178" width="9.28515625" customWidth="1"/>
    <col min="8179" max="8179" width="51.7109375" customWidth="1"/>
    <col min="8180" max="8180" width="19" customWidth="1"/>
    <col min="8181" max="8181" width="12.42578125" customWidth="1"/>
    <col min="8182" max="8182" width="16" bestFit="1" customWidth="1"/>
    <col min="8183" max="8184" width="16" customWidth="1"/>
    <col min="8185" max="8185" width="12.28515625" customWidth="1"/>
    <col min="8186" max="8186" width="21.42578125" bestFit="1" customWidth="1"/>
    <col min="8187" max="8187" width="15.42578125" bestFit="1" customWidth="1"/>
    <col min="8188" max="8188" width="16.5703125" bestFit="1" customWidth="1"/>
    <col min="8189" max="8189" width="12" bestFit="1" customWidth="1"/>
    <col min="8190" max="8190" width="28" customWidth="1"/>
    <col min="8191" max="8191" width="11" customWidth="1"/>
    <col min="8192" max="8193" width="9.28515625" customWidth="1"/>
    <col min="8194" max="8194" width="51.7109375" customWidth="1"/>
    <col min="8195" max="8197" width="12.28515625" customWidth="1"/>
    <col min="8198" max="8198" width="21.42578125" bestFit="1" customWidth="1"/>
    <col min="8199" max="8199" width="18.28515625" bestFit="1" customWidth="1"/>
    <col min="8200" max="8200" width="17.5703125" bestFit="1" customWidth="1"/>
    <col min="8433" max="8433" width="5.7109375" customWidth="1"/>
    <col min="8434" max="8434" width="9.28515625" customWidth="1"/>
    <col min="8435" max="8435" width="51.7109375" customWidth="1"/>
    <col min="8436" max="8436" width="19" customWidth="1"/>
    <col min="8437" max="8437" width="12.42578125" customWidth="1"/>
    <col min="8438" max="8438" width="16" bestFit="1" customWidth="1"/>
    <col min="8439" max="8440" width="16" customWidth="1"/>
    <col min="8441" max="8441" width="12.28515625" customWidth="1"/>
    <col min="8442" max="8442" width="21.42578125" bestFit="1" customWidth="1"/>
    <col min="8443" max="8443" width="15.42578125" bestFit="1" customWidth="1"/>
    <col min="8444" max="8444" width="16.5703125" bestFit="1" customWidth="1"/>
    <col min="8445" max="8445" width="12" bestFit="1" customWidth="1"/>
    <col min="8446" max="8446" width="28" customWidth="1"/>
    <col min="8447" max="8447" width="11" customWidth="1"/>
    <col min="8448" max="8449" width="9.28515625" customWidth="1"/>
    <col min="8450" max="8450" width="51.7109375" customWidth="1"/>
    <col min="8451" max="8453" width="12.28515625" customWidth="1"/>
    <col min="8454" max="8454" width="21.42578125" bestFit="1" customWidth="1"/>
    <col min="8455" max="8455" width="18.28515625" bestFit="1" customWidth="1"/>
    <col min="8456" max="8456" width="17.5703125" bestFit="1" customWidth="1"/>
    <col min="8689" max="8689" width="5.7109375" customWidth="1"/>
    <col min="8690" max="8690" width="9.28515625" customWidth="1"/>
    <col min="8691" max="8691" width="51.7109375" customWidth="1"/>
    <col min="8692" max="8692" width="19" customWidth="1"/>
    <col min="8693" max="8693" width="12.42578125" customWidth="1"/>
    <col min="8694" max="8694" width="16" bestFit="1" customWidth="1"/>
    <col min="8695" max="8696" width="16" customWidth="1"/>
    <col min="8697" max="8697" width="12.28515625" customWidth="1"/>
    <col min="8698" max="8698" width="21.42578125" bestFit="1" customWidth="1"/>
    <col min="8699" max="8699" width="15.42578125" bestFit="1" customWidth="1"/>
    <col min="8700" max="8700" width="16.5703125" bestFit="1" customWidth="1"/>
    <col min="8701" max="8701" width="12" bestFit="1" customWidth="1"/>
    <col min="8702" max="8702" width="28" customWidth="1"/>
    <col min="8703" max="8703" width="11" customWidth="1"/>
    <col min="8704" max="8705" width="9.28515625" customWidth="1"/>
    <col min="8706" max="8706" width="51.7109375" customWidth="1"/>
    <col min="8707" max="8709" width="12.28515625" customWidth="1"/>
    <col min="8710" max="8710" width="21.42578125" bestFit="1" customWidth="1"/>
    <col min="8711" max="8711" width="18.28515625" bestFit="1" customWidth="1"/>
    <col min="8712" max="8712" width="17.5703125" bestFit="1" customWidth="1"/>
    <col min="8945" max="8945" width="5.7109375" customWidth="1"/>
    <col min="8946" max="8946" width="9.28515625" customWidth="1"/>
    <col min="8947" max="8947" width="51.7109375" customWidth="1"/>
    <col min="8948" max="8948" width="19" customWidth="1"/>
    <col min="8949" max="8949" width="12.42578125" customWidth="1"/>
    <col min="8950" max="8950" width="16" bestFit="1" customWidth="1"/>
    <col min="8951" max="8952" width="16" customWidth="1"/>
    <col min="8953" max="8953" width="12.28515625" customWidth="1"/>
    <col min="8954" max="8954" width="21.42578125" bestFit="1" customWidth="1"/>
    <col min="8955" max="8955" width="15.42578125" bestFit="1" customWidth="1"/>
    <col min="8956" max="8956" width="16.5703125" bestFit="1" customWidth="1"/>
    <col min="8957" max="8957" width="12" bestFit="1" customWidth="1"/>
    <col min="8958" max="8958" width="28" customWidth="1"/>
    <col min="8959" max="8959" width="11" customWidth="1"/>
    <col min="8960" max="8961" width="9.28515625" customWidth="1"/>
    <col min="8962" max="8962" width="51.7109375" customWidth="1"/>
    <col min="8963" max="8965" width="12.28515625" customWidth="1"/>
    <col min="8966" max="8966" width="21.42578125" bestFit="1" customWidth="1"/>
    <col min="8967" max="8967" width="18.28515625" bestFit="1" customWidth="1"/>
    <col min="8968" max="8968" width="17.5703125" bestFit="1" customWidth="1"/>
    <col min="9201" max="9201" width="5.7109375" customWidth="1"/>
    <col min="9202" max="9202" width="9.28515625" customWidth="1"/>
    <col min="9203" max="9203" width="51.7109375" customWidth="1"/>
    <col min="9204" max="9204" width="19" customWidth="1"/>
    <col min="9205" max="9205" width="12.42578125" customWidth="1"/>
    <col min="9206" max="9206" width="16" bestFit="1" customWidth="1"/>
    <col min="9207" max="9208" width="16" customWidth="1"/>
    <col min="9209" max="9209" width="12.28515625" customWidth="1"/>
    <col min="9210" max="9210" width="21.42578125" bestFit="1" customWidth="1"/>
    <col min="9211" max="9211" width="15.42578125" bestFit="1" customWidth="1"/>
    <col min="9212" max="9212" width="16.5703125" bestFit="1" customWidth="1"/>
    <col min="9213" max="9213" width="12" bestFit="1" customWidth="1"/>
    <col min="9214" max="9214" width="28" customWidth="1"/>
    <col min="9215" max="9215" width="11" customWidth="1"/>
    <col min="9216" max="9217" width="9.28515625" customWidth="1"/>
    <col min="9218" max="9218" width="51.7109375" customWidth="1"/>
    <col min="9219" max="9221" width="12.28515625" customWidth="1"/>
    <col min="9222" max="9222" width="21.42578125" bestFit="1" customWidth="1"/>
    <col min="9223" max="9223" width="18.28515625" bestFit="1" customWidth="1"/>
    <col min="9224" max="9224" width="17.5703125" bestFit="1" customWidth="1"/>
    <col min="9457" max="9457" width="5.7109375" customWidth="1"/>
    <col min="9458" max="9458" width="9.28515625" customWidth="1"/>
    <col min="9459" max="9459" width="51.7109375" customWidth="1"/>
    <col min="9460" max="9460" width="19" customWidth="1"/>
    <col min="9461" max="9461" width="12.42578125" customWidth="1"/>
    <col min="9462" max="9462" width="16" bestFit="1" customWidth="1"/>
    <col min="9463" max="9464" width="16" customWidth="1"/>
    <col min="9465" max="9465" width="12.28515625" customWidth="1"/>
    <col min="9466" max="9466" width="21.42578125" bestFit="1" customWidth="1"/>
    <col min="9467" max="9467" width="15.42578125" bestFit="1" customWidth="1"/>
    <col min="9468" max="9468" width="16.5703125" bestFit="1" customWidth="1"/>
    <col min="9469" max="9469" width="12" bestFit="1" customWidth="1"/>
    <col min="9470" max="9470" width="28" customWidth="1"/>
    <col min="9471" max="9471" width="11" customWidth="1"/>
    <col min="9472" max="9473" width="9.28515625" customWidth="1"/>
    <col min="9474" max="9474" width="51.7109375" customWidth="1"/>
    <col min="9475" max="9477" width="12.28515625" customWidth="1"/>
    <col min="9478" max="9478" width="21.42578125" bestFit="1" customWidth="1"/>
    <col min="9479" max="9479" width="18.28515625" bestFit="1" customWidth="1"/>
    <col min="9480" max="9480" width="17.5703125" bestFit="1" customWidth="1"/>
    <col min="9713" max="9713" width="5.7109375" customWidth="1"/>
    <col min="9714" max="9714" width="9.28515625" customWidth="1"/>
    <col min="9715" max="9715" width="51.7109375" customWidth="1"/>
    <col min="9716" max="9716" width="19" customWidth="1"/>
    <col min="9717" max="9717" width="12.42578125" customWidth="1"/>
    <col min="9718" max="9718" width="16" bestFit="1" customWidth="1"/>
    <col min="9719" max="9720" width="16" customWidth="1"/>
    <col min="9721" max="9721" width="12.28515625" customWidth="1"/>
    <col min="9722" max="9722" width="21.42578125" bestFit="1" customWidth="1"/>
    <col min="9723" max="9723" width="15.42578125" bestFit="1" customWidth="1"/>
    <col min="9724" max="9724" width="16.5703125" bestFit="1" customWidth="1"/>
    <col min="9725" max="9725" width="12" bestFit="1" customWidth="1"/>
    <col min="9726" max="9726" width="28" customWidth="1"/>
    <col min="9727" max="9727" width="11" customWidth="1"/>
    <col min="9728" max="9729" width="9.28515625" customWidth="1"/>
    <col min="9730" max="9730" width="51.7109375" customWidth="1"/>
    <col min="9731" max="9733" width="12.28515625" customWidth="1"/>
    <col min="9734" max="9734" width="21.42578125" bestFit="1" customWidth="1"/>
    <col min="9735" max="9735" width="18.28515625" bestFit="1" customWidth="1"/>
    <col min="9736" max="9736" width="17.5703125" bestFit="1" customWidth="1"/>
    <col min="9969" max="9969" width="5.7109375" customWidth="1"/>
    <col min="9970" max="9970" width="9.28515625" customWidth="1"/>
    <col min="9971" max="9971" width="51.7109375" customWidth="1"/>
    <col min="9972" max="9972" width="19" customWidth="1"/>
    <col min="9973" max="9973" width="12.42578125" customWidth="1"/>
    <col min="9974" max="9974" width="16" bestFit="1" customWidth="1"/>
    <col min="9975" max="9976" width="16" customWidth="1"/>
    <col min="9977" max="9977" width="12.28515625" customWidth="1"/>
    <col min="9978" max="9978" width="21.42578125" bestFit="1" customWidth="1"/>
    <col min="9979" max="9979" width="15.42578125" bestFit="1" customWidth="1"/>
    <col min="9980" max="9980" width="16.5703125" bestFit="1" customWidth="1"/>
    <col min="9981" max="9981" width="12" bestFit="1" customWidth="1"/>
    <col min="9982" max="9982" width="28" customWidth="1"/>
    <col min="9983" max="9983" width="11" customWidth="1"/>
    <col min="9984" max="9985" width="9.28515625" customWidth="1"/>
    <col min="9986" max="9986" width="51.7109375" customWidth="1"/>
    <col min="9987" max="9989" width="12.28515625" customWidth="1"/>
    <col min="9990" max="9990" width="21.42578125" bestFit="1" customWidth="1"/>
    <col min="9991" max="9991" width="18.28515625" bestFit="1" customWidth="1"/>
    <col min="9992" max="9992" width="17.5703125" bestFit="1" customWidth="1"/>
    <col min="10225" max="10225" width="5.7109375" customWidth="1"/>
    <col min="10226" max="10226" width="9.28515625" customWidth="1"/>
    <col min="10227" max="10227" width="51.7109375" customWidth="1"/>
    <col min="10228" max="10228" width="19" customWidth="1"/>
    <col min="10229" max="10229" width="12.42578125" customWidth="1"/>
    <col min="10230" max="10230" width="16" bestFit="1" customWidth="1"/>
    <col min="10231" max="10232" width="16" customWidth="1"/>
    <col min="10233" max="10233" width="12.28515625" customWidth="1"/>
    <col min="10234" max="10234" width="21.42578125" bestFit="1" customWidth="1"/>
    <col min="10235" max="10235" width="15.42578125" bestFit="1" customWidth="1"/>
    <col min="10236" max="10236" width="16.5703125" bestFit="1" customWidth="1"/>
    <col min="10237" max="10237" width="12" bestFit="1" customWidth="1"/>
    <col min="10238" max="10238" width="28" customWidth="1"/>
    <col min="10239" max="10239" width="11" customWidth="1"/>
    <col min="10240" max="10241" width="9.28515625" customWidth="1"/>
    <col min="10242" max="10242" width="51.7109375" customWidth="1"/>
    <col min="10243" max="10245" width="12.28515625" customWidth="1"/>
    <col min="10246" max="10246" width="21.42578125" bestFit="1" customWidth="1"/>
    <col min="10247" max="10247" width="18.28515625" bestFit="1" customWidth="1"/>
    <col min="10248" max="10248" width="17.5703125" bestFit="1" customWidth="1"/>
    <col min="10481" max="10481" width="5.7109375" customWidth="1"/>
    <col min="10482" max="10482" width="9.28515625" customWidth="1"/>
    <col min="10483" max="10483" width="51.7109375" customWidth="1"/>
    <col min="10484" max="10484" width="19" customWidth="1"/>
    <col min="10485" max="10485" width="12.42578125" customWidth="1"/>
    <col min="10486" max="10486" width="16" bestFit="1" customWidth="1"/>
    <col min="10487" max="10488" width="16" customWidth="1"/>
    <col min="10489" max="10489" width="12.28515625" customWidth="1"/>
    <col min="10490" max="10490" width="21.42578125" bestFit="1" customWidth="1"/>
    <col min="10491" max="10491" width="15.42578125" bestFit="1" customWidth="1"/>
    <col min="10492" max="10492" width="16.5703125" bestFit="1" customWidth="1"/>
    <col min="10493" max="10493" width="12" bestFit="1" customWidth="1"/>
    <col min="10494" max="10494" width="28" customWidth="1"/>
    <col min="10495" max="10495" width="11" customWidth="1"/>
    <col min="10496" max="10497" width="9.28515625" customWidth="1"/>
    <col min="10498" max="10498" width="51.7109375" customWidth="1"/>
    <col min="10499" max="10501" width="12.28515625" customWidth="1"/>
    <col min="10502" max="10502" width="21.42578125" bestFit="1" customWidth="1"/>
    <col min="10503" max="10503" width="18.28515625" bestFit="1" customWidth="1"/>
    <col min="10504" max="10504" width="17.5703125" bestFit="1" customWidth="1"/>
    <col min="10737" max="10737" width="5.7109375" customWidth="1"/>
    <col min="10738" max="10738" width="9.28515625" customWidth="1"/>
    <col min="10739" max="10739" width="51.7109375" customWidth="1"/>
    <col min="10740" max="10740" width="19" customWidth="1"/>
    <col min="10741" max="10741" width="12.42578125" customWidth="1"/>
    <col min="10742" max="10742" width="16" bestFit="1" customWidth="1"/>
    <col min="10743" max="10744" width="16" customWidth="1"/>
    <col min="10745" max="10745" width="12.28515625" customWidth="1"/>
    <col min="10746" max="10746" width="21.42578125" bestFit="1" customWidth="1"/>
    <col min="10747" max="10747" width="15.42578125" bestFit="1" customWidth="1"/>
    <col min="10748" max="10748" width="16.5703125" bestFit="1" customWidth="1"/>
    <col min="10749" max="10749" width="12" bestFit="1" customWidth="1"/>
    <col min="10750" max="10750" width="28" customWidth="1"/>
    <col min="10751" max="10751" width="11" customWidth="1"/>
    <col min="10752" max="10753" width="9.28515625" customWidth="1"/>
    <col min="10754" max="10754" width="51.7109375" customWidth="1"/>
    <col min="10755" max="10757" width="12.28515625" customWidth="1"/>
    <col min="10758" max="10758" width="21.42578125" bestFit="1" customWidth="1"/>
    <col min="10759" max="10759" width="18.28515625" bestFit="1" customWidth="1"/>
    <col min="10760" max="10760" width="17.5703125" bestFit="1" customWidth="1"/>
    <col min="10993" max="10993" width="5.7109375" customWidth="1"/>
    <col min="10994" max="10994" width="9.28515625" customWidth="1"/>
    <col min="10995" max="10995" width="51.7109375" customWidth="1"/>
    <col min="10996" max="10996" width="19" customWidth="1"/>
    <col min="10997" max="10997" width="12.42578125" customWidth="1"/>
    <col min="10998" max="10998" width="16" bestFit="1" customWidth="1"/>
    <col min="10999" max="11000" width="16" customWidth="1"/>
    <col min="11001" max="11001" width="12.28515625" customWidth="1"/>
    <col min="11002" max="11002" width="21.42578125" bestFit="1" customWidth="1"/>
    <col min="11003" max="11003" width="15.42578125" bestFit="1" customWidth="1"/>
    <col min="11004" max="11004" width="16.5703125" bestFit="1" customWidth="1"/>
    <col min="11005" max="11005" width="12" bestFit="1" customWidth="1"/>
    <col min="11006" max="11006" width="28" customWidth="1"/>
    <col min="11007" max="11007" width="11" customWidth="1"/>
    <col min="11008" max="11009" width="9.28515625" customWidth="1"/>
    <col min="11010" max="11010" width="51.7109375" customWidth="1"/>
    <col min="11011" max="11013" width="12.28515625" customWidth="1"/>
    <col min="11014" max="11014" width="21.42578125" bestFit="1" customWidth="1"/>
    <col min="11015" max="11015" width="18.28515625" bestFit="1" customWidth="1"/>
    <col min="11016" max="11016" width="17.5703125" bestFit="1" customWidth="1"/>
    <col min="11249" max="11249" width="5.7109375" customWidth="1"/>
    <col min="11250" max="11250" width="9.28515625" customWidth="1"/>
    <col min="11251" max="11251" width="51.7109375" customWidth="1"/>
    <col min="11252" max="11252" width="19" customWidth="1"/>
    <col min="11253" max="11253" width="12.42578125" customWidth="1"/>
    <col min="11254" max="11254" width="16" bestFit="1" customWidth="1"/>
    <col min="11255" max="11256" width="16" customWidth="1"/>
    <col min="11257" max="11257" width="12.28515625" customWidth="1"/>
    <col min="11258" max="11258" width="21.42578125" bestFit="1" customWidth="1"/>
    <col min="11259" max="11259" width="15.42578125" bestFit="1" customWidth="1"/>
    <col min="11260" max="11260" width="16.5703125" bestFit="1" customWidth="1"/>
    <col min="11261" max="11261" width="12" bestFit="1" customWidth="1"/>
    <col min="11262" max="11262" width="28" customWidth="1"/>
    <col min="11263" max="11263" width="11" customWidth="1"/>
    <col min="11264" max="11265" width="9.28515625" customWidth="1"/>
    <col min="11266" max="11266" width="51.7109375" customWidth="1"/>
    <col min="11267" max="11269" width="12.28515625" customWidth="1"/>
    <col min="11270" max="11270" width="21.42578125" bestFit="1" customWidth="1"/>
    <col min="11271" max="11271" width="18.28515625" bestFit="1" customWidth="1"/>
    <col min="11272" max="11272" width="17.5703125" bestFit="1" customWidth="1"/>
    <col min="11505" max="11505" width="5.7109375" customWidth="1"/>
    <col min="11506" max="11506" width="9.28515625" customWidth="1"/>
    <col min="11507" max="11507" width="51.7109375" customWidth="1"/>
    <col min="11508" max="11508" width="19" customWidth="1"/>
    <col min="11509" max="11509" width="12.42578125" customWidth="1"/>
    <col min="11510" max="11510" width="16" bestFit="1" customWidth="1"/>
    <col min="11511" max="11512" width="16" customWidth="1"/>
    <col min="11513" max="11513" width="12.28515625" customWidth="1"/>
    <col min="11514" max="11514" width="21.42578125" bestFit="1" customWidth="1"/>
    <col min="11515" max="11515" width="15.42578125" bestFit="1" customWidth="1"/>
    <col min="11516" max="11516" width="16.5703125" bestFit="1" customWidth="1"/>
    <col min="11517" max="11517" width="12" bestFit="1" customWidth="1"/>
    <col min="11518" max="11518" width="28" customWidth="1"/>
    <col min="11519" max="11519" width="11" customWidth="1"/>
    <col min="11520" max="11521" width="9.28515625" customWidth="1"/>
    <col min="11522" max="11522" width="51.7109375" customWidth="1"/>
    <col min="11523" max="11525" width="12.28515625" customWidth="1"/>
    <col min="11526" max="11526" width="21.42578125" bestFit="1" customWidth="1"/>
    <col min="11527" max="11527" width="18.28515625" bestFit="1" customWidth="1"/>
    <col min="11528" max="11528" width="17.5703125" bestFit="1" customWidth="1"/>
    <col min="11761" max="11761" width="5.7109375" customWidth="1"/>
    <col min="11762" max="11762" width="9.28515625" customWidth="1"/>
    <col min="11763" max="11763" width="51.7109375" customWidth="1"/>
    <col min="11764" max="11764" width="19" customWidth="1"/>
    <col min="11765" max="11765" width="12.42578125" customWidth="1"/>
    <col min="11766" max="11766" width="16" bestFit="1" customWidth="1"/>
    <col min="11767" max="11768" width="16" customWidth="1"/>
    <col min="11769" max="11769" width="12.28515625" customWidth="1"/>
    <col min="11770" max="11770" width="21.42578125" bestFit="1" customWidth="1"/>
    <col min="11771" max="11771" width="15.42578125" bestFit="1" customWidth="1"/>
    <col min="11772" max="11772" width="16.5703125" bestFit="1" customWidth="1"/>
    <col min="11773" max="11773" width="12" bestFit="1" customWidth="1"/>
    <col min="11774" max="11774" width="28" customWidth="1"/>
    <col min="11775" max="11775" width="11" customWidth="1"/>
    <col min="11776" max="11777" width="9.28515625" customWidth="1"/>
    <col min="11778" max="11778" width="51.7109375" customWidth="1"/>
    <col min="11779" max="11781" width="12.28515625" customWidth="1"/>
    <col min="11782" max="11782" width="21.42578125" bestFit="1" customWidth="1"/>
    <col min="11783" max="11783" width="18.28515625" bestFit="1" customWidth="1"/>
    <col min="11784" max="11784" width="17.5703125" bestFit="1" customWidth="1"/>
    <col min="12017" max="12017" width="5.7109375" customWidth="1"/>
    <col min="12018" max="12018" width="9.28515625" customWidth="1"/>
    <col min="12019" max="12019" width="51.7109375" customWidth="1"/>
    <col min="12020" max="12020" width="19" customWidth="1"/>
    <col min="12021" max="12021" width="12.42578125" customWidth="1"/>
    <col min="12022" max="12022" width="16" bestFit="1" customWidth="1"/>
    <col min="12023" max="12024" width="16" customWidth="1"/>
    <col min="12025" max="12025" width="12.28515625" customWidth="1"/>
    <col min="12026" max="12026" width="21.42578125" bestFit="1" customWidth="1"/>
    <col min="12027" max="12027" width="15.42578125" bestFit="1" customWidth="1"/>
    <col min="12028" max="12028" width="16.5703125" bestFit="1" customWidth="1"/>
    <col min="12029" max="12029" width="12" bestFit="1" customWidth="1"/>
    <col min="12030" max="12030" width="28" customWidth="1"/>
    <col min="12031" max="12031" width="11" customWidth="1"/>
    <col min="12032" max="12033" width="9.28515625" customWidth="1"/>
    <col min="12034" max="12034" width="51.7109375" customWidth="1"/>
    <col min="12035" max="12037" width="12.28515625" customWidth="1"/>
    <col min="12038" max="12038" width="21.42578125" bestFit="1" customWidth="1"/>
    <col min="12039" max="12039" width="18.28515625" bestFit="1" customWidth="1"/>
    <col min="12040" max="12040" width="17.5703125" bestFit="1" customWidth="1"/>
    <col min="12273" max="12273" width="5.7109375" customWidth="1"/>
    <col min="12274" max="12274" width="9.28515625" customWidth="1"/>
    <col min="12275" max="12275" width="51.7109375" customWidth="1"/>
    <col min="12276" max="12276" width="19" customWidth="1"/>
    <col min="12277" max="12277" width="12.42578125" customWidth="1"/>
    <col min="12278" max="12278" width="16" bestFit="1" customWidth="1"/>
    <col min="12279" max="12280" width="16" customWidth="1"/>
    <col min="12281" max="12281" width="12.28515625" customWidth="1"/>
    <col min="12282" max="12282" width="21.42578125" bestFit="1" customWidth="1"/>
    <col min="12283" max="12283" width="15.42578125" bestFit="1" customWidth="1"/>
    <col min="12284" max="12284" width="16.5703125" bestFit="1" customWidth="1"/>
    <col min="12285" max="12285" width="12" bestFit="1" customWidth="1"/>
    <col min="12286" max="12286" width="28" customWidth="1"/>
    <col min="12287" max="12287" width="11" customWidth="1"/>
    <col min="12288" max="12289" width="9.28515625" customWidth="1"/>
    <col min="12290" max="12290" width="51.7109375" customWidth="1"/>
    <col min="12291" max="12293" width="12.28515625" customWidth="1"/>
    <col min="12294" max="12294" width="21.42578125" bestFit="1" customWidth="1"/>
    <col min="12295" max="12295" width="18.28515625" bestFit="1" customWidth="1"/>
    <col min="12296" max="12296" width="17.5703125" bestFit="1" customWidth="1"/>
    <col min="12529" max="12529" width="5.7109375" customWidth="1"/>
    <col min="12530" max="12530" width="9.28515625" customWidth="1"/>
    <col min="12531" max="12531" width="51.7109375" customWidth="1"/>
    <col min="12532" max="12532" width="19" customWidth="1"/>
    <col min="12533" max="12533" width="12.42578125" customWidth="1"/>
    <col min="12534" max="12534" width="16" bestFit="1" customWidth="1"/>
    <col min="12535" max="12536" width="16" customWidth="1"/>
    <col min="12537" max="12537" width="12.28515625" customWidth="1"/>
    <col min="12538" max="12538" width="21.42578125" bestFit="1" customWidth="1"/>
    <col min="12539" max="12539" width="15.42578125" bestFit="1" customWidth="1"/>
    <col min="12540" max="12540" width="16.5703125" bestFit="1" customWidth="1"/>
    <col min="12541" max="12541" width="12" bestFit="1" customWidth="1"/>
    <col min="12542" max="12542" width="28" customWidth="1"/>
    <col min="12543" max="12543" width="11" customWidth="1"/>
    <col min="12544" max="12545" width="9.28515625" customWidth="1"/>
    <col min="12546" max="12546" width="51.7109375" customWidth="1"/>
    <col min="12547" max="12549" width="12.28515625" customWidth="1"/>
    <col min="12550" max="12550" width="21.42578125" bestFit="1" customWidth="1"/>
    <col min="12551" max="12551" width="18.28515625" bestFit="1" customWidth="1"/>
    <col min="12552" max="12552" width="17.5703125" bestFit="1" customWidth="1"/>
    <col min="12785" max="12785" width="5.7109375" customWidth="1"/>
    <col min="12786" max="12786" width="9.28515625" customWidth="1"/>
    <col min="12787" max="12787" width="51.7109375" customWidth="1"/>
    <col min="12788" max="12788" width="19" customWidth="1"/>
    <col min="12789" max="12789" width="12.42578125" customWidth="1"/>
    <col min="12790" max="12790" width="16" bestFit="1" customWidth="1"/>
    <col min="12791" max="12792" width="16" customWidth="1"/>
    <col min="12793" max="12793" width="12.28515625" customWidth="1"/>
    <col min="12794" max="12794" width="21.42578125" bestFit="1" customWidth="1"/>
    <col min="12795" max="12795" width="15.42578125" bestFit="1" customWidth="1"/>
    <col min="12796" max="12796" width="16.5703125" bestFit="1" customWidth="1"/>
    <col min="12797" max="12797" width="12" bestFit="1" customWidth="1"/>
    <col min="12798" max="12798" width="28" customWidth="1"/>
    <col min="12799" max="12799" width="11" customWidth="1"/>
    <col min="12800" max="12801" width="9.28515625" customWidth="1"/>
    <col min="12802" max="12802" width="51.7109375" customWidth="1"/>
    <col min="12803" max="12805" width="12.28515625" customWidth="1"/>
    <col min="12806" max="12806" width="21.42578125" bestFit="1" customWidth="1"/>
    <col min="12807" max="12807" width="18.28515625" bestFit="1" customWidth="1"/>
    <col min="12808" max="12808" width="17.5703125" bestFit="1" customWidth="1"/>
    <col min="13041" max="13041" width="5.7109375" customWidth="1"/>
    <col min="13042" max="13042" width="9.28515625" customWidth="1"/>
    <col min="13043" max="13043" width="51.7109375" customWidth="1"/>
    <col min="13044" max="13044" width="19" customWidth="1"/>
    <col min="13045" max="13045" width="12.42578125" customWidth="1"/>
    <col min="13046" max="13046" width="16" bestFit="1" customWidth="1"/>
    <col min="13047" max="13048" width="16" customWidth="1"/>
    <col min="13049" max="13049" width="12.28515625" customWidth="1"/>
    <col min="13050" max="13050" width="21.42578125" bestFit="1" customWidth="1"/>
    <col min="13051" max="13051" width="15.42578125" bestFit="1" customWidth="1"/>
    <col min="13052" max="13052" width="16.5703125" bestFit="1" customWidth="1"/>
    <col min="13053" max="13053" width="12" bestFit="1" customWidth="1"/>
    <col min="13054" max="13054" width="28" customWidth="1"/>
    <col min="13055" max="13055" width="11" customWidth="1"/>
    <col min="13056" max="13057" width="9.28515625" customWidth="1"/>
    <col min="13058" max="13058" width="51.7109375" customWidth="1"/>
    <col min="13059" max="13061" width="12.28515625" customWidth="1"/>
    <col min="13062" max="13062" width="21.42578125" bestFit="1" customWidth="1"/>
    <col min="13063" max="13063" width="18.28515625" bestFit="1" customWidth="1"/>
    <col min="13064" max="13064" width="17.5703125" bestFit="1" customWidth="1"/>
    <col min="13297" max="13297" width="5.7109375" customWidth="1"/>
    <col min="13298" max="13298" width="9.28515625" customWidth="1"/>
    <col min="13299" max="13299" width="51.7109375" customWidth="1"/>
    <col min="13300" max="13300" width="19" customWidth="1"/>
    <col min="13301" max="13301" width="12.42578125" customWidth="1"/>
    <col min="13302" max="13302" width="16" bestFit="1" customWidth="1"/>
    <col min="13303" max="13304" width="16" customWidth="1"/>
    <col min="13305" max="13305" width="12.28515625" customWidth="1"/>
    <col min="13306" max="13306" width="21.42578125" bestFit="1" customWidth="1"/>
    <col min="13307" max="13307" width="15.42578125" bestFit="1" customWidth="1"/>
    <col min="13308" max="13308" width="16.5703125" bestFit="1" customWidth="1"/>
    <col min="13309" max="13309" width="12" bestFit="1" customWidth="1"/>
    <col min="13310" max="13310" width="28" customWidth="1"/>
    <col min="13311" max="13311" width="11" customWidth="1"/>
    <col min="13312" max="13313" width="9.28515625" customWidth="1"/>
    <col min="13314" max="13314" width="51.7109375" customWidth="1"/>
    <col min="13315" max="13317" width="12.28515625" customWidth="1"/>
    <col min="13318" max="13318" width="21.42578125" bestFit="1" customWidth="1"/>
    <col min="13319" max="13319" width="18.28515625" bestFit="1" customWidth="1"/>
    <col min="13320" max="13320" width="17.5703125" bestFit="1" customWidth="1"/>
    <col min="13553" max="13553" width="5.7109375" customWidth="1"/>
    <col min="13554" max="13554" width="9.28515625" customWidth="1"/>
    <col min="13555" max="13555" width="51.7109375" customWidth="1"/>
    <col min="13556" max="13556" width="19" customWidth="1"/>
    <col min="13557" max="13557" width="12.42578125" customWidth="1"/>
    <col min="13558" max="13558" width="16" bestFit="1" customWidth="1"/>
    <col min="13559" max="13560" width="16" customWidth="1"/>
    <col min="13561" max="13561" width="12.28515625" customWidth="1"/>
    <col min="13562" max="13562" width="21.42578125" bestFit="1" customWidth="1"/>
    <col min="13563" max="13563" width="15.42578125" bestFit="1" customWidth="1"/>
    <col min="13564" max="13564" width="16.5703125" bestFit="1" customWidth="1"/>
    <col min="13565" max="13565" width="12" bestFit="1" customWidth="1"/>
    <col min="13566" max="13566" width="28" customWidth="1"/>
    <col min="13567" max="13567" width="11" customWidth="1"/>
    <col min="13568" max="13569" width="9.28515625" customWidth="1"/>
    <col min="13570" max="13570" width="51.7109375" customWidth="1"/>
    <col min="13571" max="13573" width="12.28515625" customWidth="1"/>
    <col min="13574" max="13574" width="21.42578125" bestFit="1" customWidth="1"/>
    <col min="13575" max="13575" width="18.28515625" bestFit="1" customWidth="1"/>
    <col min="13576" max="13576" width="17.5703125" bestFit="1" customWidth="1"/>
    <col min="13809" max="13809" width="5.7109375" customWidth="1"/>
    <col min="13810" max="13810" width="9.28515625" customWidth="1"/>
    <col min="13811" max="13811" width="51.7109375" customWidth="1"/>
    <col min="13812" max="13812" width="19" customWidth="1"/>
    <col min="13813" max="13813" width="12.42578125" customWidth="1"/>
    <col min="13814" max="13814" width="16" bestFit="1" customWidth="1"/>
    <col min="13815" max="13816" width="16" customWidth="1"/>
    <col min="13817" max="13817" width="12.28515625" customWidth="1"/>
    <col min="13818" max="13818" width="21.42578125" bestFit="1" customWidth="1"/>
    <col min="13819" max="13819" width="15.42578125" bestFit="1" customWidth="1"/>
    <col min="13820" max="13820" width="16.5703125" bestFit="1" customWidth="1"/>
    <col min="13821" max="13821" width="12" bestFit="1" customWidth="1"/>
    <col min="13822" max="13822" width="28" customWidth="1"/>
    <col min="13823" max="13823" width="11" customWidth="1"/>
    <col min="13824" max="13825" width="9.28515625" customWidth="1"/>
    <col min="13826" max="13826" width="51.7109375" customWidth="1"/>
    <col min="13827" max="13829" width="12.28515625" customWidth="1"/>
    <col min="13830" max="13830" width="21.42578125" bestFit="1" customWidth="1"/>
    <col min="13831" max="13831" width="18.28515625" bestFit="1" customWidth="1"/>
    <col min="13832" max="13832" width="17.5703125" bestFit="1" customWidth="1"/>
    <col min="14065" max="14065" width="5.7109375" customWidth="1"/>
    <col min="14066" max="14066" width="9.28515625" customWidth="1"/>
    <col min="14067" max="14067" width="51.7109375" customWidth="1"/>
    <col min="14068" max="14068" width="19" customWidth="1"/>
    <col min="14069" max="14069" width="12.42578125" customWidth="1"/>
    <col min="14070" max="14070" width="16" bestFit="1" customWidth="1"/>
    <col min="14071" max="14072" width="16" customWidth="1"/>
    <col min="14073" max="14073" width="12.28515625" customWidth="1"/>
    <col min="14074" max="14074" width="21.42578125" bestFit="1" customWidth="1"/>
    <col min="14075" max="14075" width="15.42578125" bestFit="1" customWidth="1"/>
    <col min="14076" max="14076" width="16.5703125" bestFit="1" customWidth="1"/>
    <col min="14077" max="14077" width="12" bestFit="1" customWidth="1"/>
    <col min="14078" max="14078" width="28" customWidth="1"/>
    <col min="14079" max="14079" width="11" customWidth="1"/>
    <col min="14080" max="14081" width="9.28515625" customWidth="1"/>
    <col min="14082" max="14082" width="51.7109375" customWidth="1"/>
    <col min="14083" max="14085" width="12.28515625" customWidth="1"/>
    <col min="14086" max="14086" width="21.42578125" bestFit="1" customWidth="1"/>
    <col min="14087" max="14087" width="18.28515625" bestFit="1" customWidth="1"/>
    <col min="14088" max="14088" width="17.5703125" bestFit="1" customWidth="1"/>
    <col min="14321" max="14321" width="5.7109375" customWidth="1"/>
    <col min="14322" max="14322" width="9.28515625" customWidth="1"/>
    <col min="14323" max="14323" width="51.7109375" customWidth="1"/>
    <col min="14324" max="14324" width="19" customWidth="1"/>
    <col min="14325" max="14325" width="12.42578125" customWidth="1"/>
    <col min="14326" max="14326" width="16" bestFit="1" customWidth="1"/>
    <col min="14327" max="14328" width="16" customWidth="1"/>
    <col min="14329" max="14329" width="12.28515625" customWidth="1"/>
    <col min="14330" max="14330" width="21.42578125" bestFit="1" customWidth="1"/>
    <col min="14331" max="14331" width="15.42578125" bestFit="1" customWidth="1"/>
    <col min="14332" max="14332" width="16.5703125" bestFit="1" customWidth="1"/>
    <col min="14333" max="14333" width="12" bestFit="1" customWidth="1"/>
    <col min="14334" max="14334" width="28" customWidth="1"/>
    <col min="14335" max="14335" width="11" customWidth="1"/>
    <col min="14336" max="14337" width="9.28515625" customWidth="1"/>
    <col min="14338" max="14338" width="51.7109375" customWidth="1"/>
    <col min="14339" max="14341" width="12.28515625" customWidth="1"/>
    <col min="14342" max="14342" width="21.42578125" bestFit="1" customWidth="1"/>
    <col min="14343" max="14343" width="18.28515625" bestFit="1" customWidth="1"/>
    <col min="14344" max="14344" width="17.5703125" bestFit="1" customWidth="1"/>
    <col min="14577" max="14577" width="5.7109375" customWidth="1"/>
    <col min="14578" max="14578" width="9.28515625" customWidth="1"/>
    <col min="14579" max="14579" width="51.7109375" customWidth="1"/>
    <col min="14580" max="14580" width="19" customWidth="1"/>
    <col min="14581" max="14581" width="12.42578125" customWidth="1"/>
    <col min="14582" max="14582" width="16" bestFit="1" customWidth="1"/>
    <col min="14583" max="14584" width="16" customWidth="1"/>
    <col min="14585" max="14585" width="12.28515625" customWidth="1"/>
    <col min="14586" max="14586" width="21.42578125" bestFit="1" customWidth="1"/>
    <col min="14587" max="14587" width="15.42578125" bestFit="1" customWidth="1"/>
    <col min="14588" max="14588" width="16.5703125" bestFit="1" customWidth="1"/>
    <col min="14589" max="14589" width="12" bestFit="1" customWidth="1"/>
    <col min="14590" max="14590" width="28" customWidth="1"/>
    <col min="14591" max="14591" width="11" customWidth="1"/>
    <col min="14592" max="14593" width="9.28515625" customWidth="1"/>
    <col min="14594" max="14594" width="51.7109375" customWidth="1"/>
    <col min="14595" max="14597" width="12.28515625" customWidth="1"/>
    <col min="14598" max="14598" width="21.42578125" bestFit="1" customWidth="1"/>
    <col min="14599" max="14599" width="18.28515625" bestFit="1" customWidth="1"/>
    <col min="14600" max="14600" width="17.5703125" bestFit="1" customWidth="1"/>
    <col min="14833" max="14833" width="5.7109375" customWidth="1"/>
    <col min="14834" max="14834" width="9.28515625" customWidth="1"/>
    <col min="14835" max="14835" width="51.7109375" customWidth="1"/>
    <col min="14836" max="14836" width="19" customWidth="1"/>
    <col min="14837" max="14837" width="12.42578125" customWidth="1"/>
    <col min="14838" max="14838" width="16" bestFit="1" customWidth="1"/>
    <col min="14839" max="14840" width="16" customWidth="1"/>
    <col min="14841" max="14841" width="12.28515625" customWidth="1"/>
    <col min="14842" max="14842" width="21.42578125" bestFit="1" customWidth="1"/>
    <col min="14843" max="14843" width="15.42578125" bestFit="1" customWidth="1"/>
    <col min="14844" max="14844" width="16.5703125" bestFit="1" customWidth="1"/>
    <col min="14845" max="14845" width="12" bestFit="1" customWidth="1"/>
    <col min="14846" max="14846" width="28" customWidth="1"/>
    <col min="14847" max="14847" width="11" customWidth="1"/>
    <col min="14848" max="14849" width="9.28515625" customWidth="1"/>
    <col min="14850" max="14850" width="51.7109375" customWidth="1"/>
    <col min="14851" max="14853" width="12.28515625" customWidth="1"/>
    <col min="14854" max="14854" width="21.42578125" bestFit="1" customWidth="1"/>
    <col min="14855" max="14855" width="18.28515625" bestFit="1" customWidth="1"/>
    <col min="14856" max="14856" width="17.5703125" bestFit="1" customWidth="1"/>
    <col min="15089" max="15089" width="5.7109375" customWidth="1"/>
    <col min="15090" max="15090" width="9.28515625" customWidth="1"/>
    <col min="15091" max="15091" width="51.7109375" customWidth="1"/>
    <col min="15092" max="15092" width="19" customWidth="1"/>
    <col min="15093" max="15093" width="12.42578125" customWidth="1"/>
    <col min="15094" max="15094" width="16" bestFit="1" customWidth="1"/>
    <col min="15095" max="15096" width="16" customWidth="1"/>
    <col min="15097" max="15097" width="12.28515625" customWidth="1"/>
    <col min="15098" max="15098" width="21.42578125" bestFit="1" customWidth="1"/>
    <col min="15099" max="15099" width="15.42578125" bestFit="1" customWidth="1"/>
    <col min="15100" max="15100" width="16.5703125" bestFit="1" customWidth="1"/>
    <col min="15101" max="15101" width="12" bestFit="1" customWidth="1"/>
    <col min="15102" max="15102" width="28" customWidth="1"/>
    <col min="15103" max="15103" width="11" customWidth="1"/>
    <col min="15104" max="15105" width="9.28515625" customWidth="1"/>
    <col min="15106" max="15106" width="51.7109375" customWidth="1"/>
    <col min="15107" max="15109" width="12.28515625" customWidth="1"/>
    <col min="15110" max="15110" width="21.42578125" bestFit="1" customWidth="1"/>
    <col min="15111" max="15111" width="18.28515625" bestFit="1" customWidth="1"/>
    <col min="15112" max="15112" width="17.5703125" bestFit="1" customWidth="1"/>
    <col min="15345" max="15345" width="5.7109375" customWidth="1"/>
    <col min="15346" max="15346" width="9.28515625" customWidth="1"/>
    <col min="15347" max="15347" width="51.7109375" customWidth="1"/>
    <col min="15348" max="15348" width="19" customWidth="1"/>
    <col min="15349" max="15349" width="12.42578125" customWidth="1"/>
    <col min="15350" max="15350" width="16" bestFit="1" customWidth="1"/>
    <col min="15351" max="15352" width="16" customWidth="1"/>
    <col min="15353" max="15353" width="12.28515625" customWidth="1"/>
    <col min="15354" max="15354" width="21.42578125" bestFit="1" customWidth="1"/>
    <col min="15355" max="15355" width="15.42578125" bestFit="1" customWidth="1"/>
    <col min="15356" max="15356" width="16.5703125" bestFit="1" customWidth="1"/>
    <col min="15357" max="15357" width="12" bestFit="1" customWidth="1"/>
    <col min="15358" max="15358" width="28" customWidth="1"/>
    <col min="15359" max="15359" width="11" customWidth="1"/>
    <col min="15360" max="15361" width="9.28515625" customWidth="1"/>
    <col min="15362" max="15362" width="51.7109375" customWidth="1"/>
    <col min="15363" max="15365" width="12.28515625" customWidth="1"/>
    <col min="15366" max="15366" width="21.42578125" bestFit="1" customWidth="1"/>
    <col min="15367" max="15367" width="18.28515625" bestFit="1" customWidth="1"/>
    <col min="15368" max="15368" width="17.5703125" bestFit="1" customWidth="1"/>
    <col min="15601" max="15601" width="5.7109375" customWidth="1"/>
    <col min="15602" max="15602" width="9.28515625" customWidth="1"/>
    <col min="15603" max="15603" width="51.7109375" customWidth="1"/>
    <col min="15604" max="15604" width="19" customWidth="1"/>
    <col min="15605" max="15605" width="12.42578125" customWidth="1"/>
    <col min="15606" max="15606" width="16" bestFit="1" customWidth="1"/>
    <col min="15607" max="15608" width="16" customWidth="1"/>
    <col min="15609" max="15609" width="12.28515625" customWidth="1"/>
    <col min="15610" max="15610" width="21.42578125" bestFit="1" customWidth="1"/>
    <col min="15611" max="15611" width="15.42578125" bestFit="1" customWidth="1"/>
    <col min="15612" max="15612" width="16.5703125" bestFit="1" customWidth="1"/>
    <col min="15613" max="15613" width="12" bestFit="1" customWidth="1"/>
    <col min="15614" max="15614" width="28" customWidth="1"/>
    <col min="15615" max="15615" width="11" customWidth="1"/>
    <col min="15616" max="15617" width="9.28515625" customWidth="1"/>
    <col min="15618" max="15618" width="51.7109375" customWidth="1"/>
    <col min="15619" max="15621" width="12.28515625" customWidth="1"/>
    <col min="15622" max="15622" width="21.42578125" bestFit="1" customWidth="1"/>
    <col min="15623" max="15623" width="18.28515625" bestFit="1" customWidth="1"/>
    <col min="15624" max="15624" width="17.5703125" bestFit="1" customWidth="1"/>
    <col min="15857" max="15857" width="5.7109375" customWidth="1"/>
    <col min="15858" max="15858" width="9.28515625" customWidth="1"/>
    <col min="15859" max="15859" width="51.7109375" customWidth="1"/>
    <col min="15860" max="15860" width="19" customWidth="1"/>
    <col min="15861" max="15861" width="12.42578125" customWidth="1"/>
    <col min="15862" max="15862" width="16" bestFit="1" customWidth="1"/>
    <col min="15863" max="15864" width="16" customWidth="1"/>
    <col min="15865" max="15865" width="12.28515625" customWidth="1"/>
    <col min="15866" max="15866" width="21.42578125" bestFit="1" customWidth="1"/>
    <col min="15867" max="15867" width="15.42578125" bestFit="1" customWidth="1"/>
    <col min="15868" max="15868" width="16.5703125" bestFit="1" customWidth="1"/>
    <col min="15869" max="15869" width="12" bestFit="1" customWidth="1"/>
    <col min="15870" max="15870" width="28" customWidth="1"/>
    <col min="15871" max="15871" width="11" customWidth="1"/>
    <col min="15872" max="15873" width="9.28515625" customWidth="1"/>
    <col min="15874" max="15874" width="51.7109375" customWidth="1"/>
    <col min="15875" max="15877" width="12.28515625" customWidth="1"/>
    <col min="15878" max="15878" width="21.42578125" bestFit="1" customWidth="1"/>
    <col min="15879" max="15879" width="18.28515625" bestFit="1" customWidth="1"/>
    <col min="15880" max="15880" width="17.5703125" bestFit="1" customWidth="1"/>
    <col min="16113" max="16113" width="5.7109375" customWidth="1"/>
    <col min="16114" max="16114" width="9.28515625" customWidth="1"/>
    <col min="16115" max="16115" width="51.7109375" customWidth="1"/>
    <col min="16116" max="16116" width="19" customWidth="1"/>
    <col min="16117" max="16117" width="12.42578125" customWidth="1"/>
    <col min="16118" max="16118" width="16" bestFit="1" customWidth="1"/>
    <col min="16119" max="16120" width="16" customWidth="1"/>
    <col min="16121" max="16121" width="12.28515625" customWidth="1"/>
    <col min="16122" max="16122" width="21.42578125" bestFit="1" customWidth="1"/>
    <col min="16123" max="16123" width="15.42578125" bestFit="1" customWidth="1"/>
    <col min="16124" max="16124" width="16.5703125" bestFit="1" customWidth="1"/>
    <col min="16125" max="16125" width="12" bestFit="1" customWidth="1"/>
    <col min="16126" max="16126" width="28" customWidth="1"/>
    <col min="16127" max="16127" width="11" customWidth="1"/>
    <col min="16128" max="16129" width="9.28515625" customWidth="1"/>
    <col min="16130" max="16130" width="51.7109375" customWidth="1"/>
    <col min="16131" max="16133" width="12.28515625" customWidth="1"/>
    <col min="16134" max="16134" width="21.42578125" bestFit="1" customWidth="1"/>
    <col min="16135" max="16135" width="18.28515625" bestFit="1" customWidth="1"/>
    <col min="16136" max="16136" width="17.5703125" bestFit="1" customWidth="1"/>
  </cols>
  <sheetData>
    <row r="1" spans="1:11" s="8" customFormat="1" ht="30" customHeight="1" x14ac:dyDescent="0.25">
      <c r="A1" s="491" t="s">
        <v>231</v>
      </c>
      <c r="B1" s="491"/>
      <c r="C1" s="491"/>
      <c r="D1" s="491"/>
      <c r="E1" s="491"/>
      <c r="F1" s="491"/>
      <c r="G1" s="491"/>
      <c r="H1" s="491"/>
      <c r="I1" s="491"/>
      <c r="J1" s="491"/>
      <c r="K1" s="154"/>
    </row>
    <row r="2" spans="1:11" s="3" customFormat="1" ht="19.5" customHeight="1" x14ac:dyDescent="0.25">
      <c r="A2" s="486" t="s">
        <v>1</v>
      </c>
      <c r="B2" s="487" t="s">
        <v>2</v>
      </c>
      <c r="C2" s="483" t="s">
        <v>3</v>
      </c>
      <c r="D2" s="486" t="s">
        <v>4</v>
      </c>
      <c r="E2" s="487" t="s">
        <v>5</v>
      </c>
      <c r="F2" s="486" t="s">
        <v>6</v>
      </c>
      <c r="G2" s="486" t="s">
        <v>64</v>
      </c>
      <c r="H2" s="486" t="s">
        <v>65</v>
      </c>
      <c r="I2" s="488" t="s">
        <v>9</v>
      </c>
      <c r="J2" s="482" t="s">
        <v>14</v>
      </c>
      <c r="K2" s="155"/>
    </row>
    <row r="3" spans="1:11" s="3" customFormat="1" ht="26.25" customHeight="1" x14ac:dyDescent="0.25">
      <c r="A3" s="486"/>
      <c r="B3" s="487"/>
      <c r="C3" s="483"/>
      <c r="D3" s="486"/>
      <c r="E3" s="487"/>
      <c r="F3" s="486"/>
      <c r="G3" s="486"/>
      <c r="H3" s="486"/>
      <c r="I3" s="488"/>
      <c r="J3" s="484"/>
      <c r="K3" s="155"/>
    </row>
    <row r="4" spans="1:11" s="53" customFormat="1" ht="15.75" x14ac:dyDescent="0.25">
      <c r="A4" s="54">
        <v>1</v>
      </c>
      <c r="B4" s="49">
        <v>1007</v>
      </c>
      <c r="C4" s="50" t="s">
        <v>73</v>
      </c>
      <c r="D4" s="56">
        <v>6235.9</v>
      </c>
      <c r="E4" s="57" t="s">
        <v>16</v>
      </c>
      <c r="F4" s="58">
        <f>D4*E4</f>
        <v>1558.9749999999999</v>
      </c>
      <c r="G4" s="58">
        <f>F4</f>
        <v>1558.9749999999999</v>
      </c>
      <c r="H4" s="58">
        <f>F4-G4</f>
        <v>0</v>
      </c>
      <c r="I4" s="51">
        <v>1515504</v>
      </c>
      <c r="J4" s="59"/>
      <c r="K4" s="150"/>
    </row>
    <row r="5" spans="1:11" s="53" customFormat="1" ht="15.75" x14ac:dyDescent="0.25">
      <c r="A5" s="54">
        <v>2</v>
      </c>
      <c r="B5" s="49">
        <v>1041</v>
      </c>
      <c r="C5" s="55" t="s">
        <v>77</v>
      </c>
      <c r="D5" s="56">
        <v>3114.6</v>
      </c>
      <c r="E5" s="57" t="s">
        <v>16</v>
      </c>
      <c r="F5" s="58">
        <f t="shared" ref="F5:F68" si="0">D5*E5</f>
        <v>778.65</v>
      </c>
      <c r="G5" s="58">
        <f>F5</f>
        <v>778.65</v>
      </c>
      <c r="H5" s="58">
        <f t="shared" ref="H5:H68" si="1">F5-G5</f>
        <v>0</v>
      </c>
      <c r="I5" s="51">
        <v>6827729</v>
      </c>
      <c r="J5" s="59"/>
      <c r="K5" s="150"/>
    </row>
    <row r="6" spans="1:11" s="91" customFormat="1" ht="15.75" x14ac:dyDescent="0.25">
      <c r="A6" s="62">
        <v>3</v>
      </c>
      <c r="B6" s="63">
        <v>1125</v>
      </c>
      <c r="C6" s="72" t="s">
        <v>79</v>
      </c>
      <c r="D6" s="65">
        <v>6268.6</v>
      </c>
      <c r="E6" s="66" t="s">
        <v>16</v>
      </c>
      <c r="F6" s="67">
        <f t="shared" si="0"/>
        <v>1567.15</v>
      </c>
      <c r="G6" s="67">
        <f>1231.5+335.65</f>
        <v>1567.15</v>
      </c>
      <c r="H6" s="67">
        <f t="shared" si="1"/>
        <v>0</v>
      </c>
      <c r="I6" s="68">
        <v>6828774</v>
      </c>
      <c r="J6" s="168">
        <v>45607</v>
      </c>
      <c r="K6" s="156">
        <v>45630</v>
      </c>
    </row>
    <row r="7" spans="1:11" s="53" customFormat="1" ht="15.75" x14ac:dyDescent="0.25">
      <c r="A7" s="54">
        <v>4</v>
      </c>
      <c r="B7" s="49">
        <v>1222</v>
      </c>
      <c r="C7" s="55" t="s">
        <v>81</v>
      </c>
      <c r="D7" s="56">
        <v>81</v>
      </c>
      <c r="E7" s="57" t="s">
        <v>16</v>
      </c>
      <c r="F7" s="58">
        <f>D7*E7</f>
        <v>20.25</v>
      </c>
      <c r="G7" s="58">
        <f>F7</f>
        <v>20.25</v>
      </c>
      <c r="H7" s="58">
        <f t="shared" si="1"/>
        <v>0</v>
      </c>
      <c r="I7" s="51">
        <v>31221</v>
      </c>
      <c r="J7" s="60"/>
      <c r="K7" s="150"/>
    </row>
    <row r="8" spans="1:11" s="53" customFormat="1" ht="15.75" x14ac:dyDescent="0.25">
      <c r="A8" s="54">
        <v>5</v>
      </c>
      <c r="B8" s="49">
        <v>1286</v>
      </c>
      <c r="C8" s="50" t="s">
        <v>85</v>
      </c>
      <c r="D8" s="56">
        <v>3072.9</v>
      </c>
      <c r="E8" s="57" t="s">
        <v>16</v>
      </c>
      <c r="F8" s="58">
        <f t="shared" si="0"/>
        <v>768.22500000000002</v>
      </c>
      <c r="G8" s="58">
        <f>F8</f>
        <v>768.22500000000002</v>
      </c>
      <c r="H8" s="58">
        <f t="shared" si="1"/>
        <v>0</v>
      </c>
      <c r="I8" s="51">
        <v>368056</v>
      </c>
      <c r="J8" s="61"/>
      <c r="K8" s="150"/>
    </row>
    <row r="9" spans="1:11" s="53" customFormat="1" ht="15.75" x14ac:dyDescent="0.25">
      <c r="A9" s="62">
        <v>6</v>
      </c>
      <c r="B9" s="63">
        <v>1344</v>
      </c>
      <c r="C9" s="64" t="s">
        <v>66</v>
      </c>
      <c r="D9" s="65">
        <v>2377.9</v>
      </c>
      <c r="E9" s="66" t="s">
        <v>16</v>
      </c>
      <c r="F9" s="67">
        <f t="shared" si="0"/>
        <v>594.47500000000002</v>
      </c>
      <c r="G9" s="67">
        <f>F9</f>
        <v>594.47500000000002</v>
      </c>
      <c r="H9" s="67">
        <f t="shared" si="1"/>
        <v>0</v>
      </c>
      <c r="I9" s="68">
        <v>4014519</v>
      </c>
      <c r="J9" s="116">
        <v>45680</v>
      </c>
      <c r="K9" s="150"/>
    </row>
    <row r="10" spans="1:11" s="53" customFormat="1" ht="15.75" x14ac:dyDescent="0.25">
      <c r="A10" s="54">
        <v>7</v>
      </c>
      <c r="B10" s="49">
        <v>1352</v>
      </c>
      <c r="C10" s="50" t="s">
        <v>90</v>
      </c>
      <c r="D10" s="56">
        <v>1265</v>
      </c>
      <c r="E10" s="57" t="s">
        <v>16</v>
      </c>
      <c r="F10" s="58">
        <f t="shared" si="0"/>
        <v>316.25</v>
      </c>
      <c r="G10" s="58">
        <f>F10</f>
        <v>316.25</v>
      </c>
      <c r="H10" s="58">
        <f t="shared" si="1"/>
        <v>0</v>
      </c>
      <c r="I10" s="51">
        <v>1627344</v>
      </c>
      <c r="J10" s="59"/>
      <c r="K10" s="150"/>
    </row>
    <row r="11" spans="1:11" s="53" customFormat="1" ht="15.75" x14ac:dyDescent="0.25">
      <c r="A11" s="54">
        <v>8</v>
      </c>
      <c r="B11" s="49">
        <v>1354</v>
      </c>
      <c r="C11" s="55" t="s">
        <v>92</v>
      </c>
      <c r="D11" s="56">
        <v>2517.5</v>
      </c>
      <c r="E11" s="57" t="s">
        <v>16</v>
      </c>
      <c r="F11" s="58">
        <f t="shared" si="0"/>
        <v>629.375</v>
      </c>
      <c r="G11" s="58">
        <f t="shared" ref="G11:G12" si="2">F11</f>
        <v>629.375</v>
      </c>
      <c r="H11" s="58">
        <f t="shared" si="1"/>
        <v>0</v>
      </c>
      <c r="I11" s="51">
        <v>925709</v>
      </c>
      <c r="J11" s="71"/>
      <c r="K11" s="150"/>
    </row>
    <row r="12" spans="1:11" s="53" customFormat="1" ht="15.75" x14ac:dyDescent="0.25">
      <c r="A12" s="54">
        <v>9</v>
      </c>
      <c r="B12" s="49">
        <v>1357</v>
      </c>
      <c r="C12" s="55" t="s">
        <v>94</v>
      </c>
      <c r="D12" s="56">
        <v>5109.3</v>
      </c>
      <c r="E12" s="57" t="s">
        <v>16</v>
      </c>
      <c r="F12" s="58">
        <f t="shared" si="0"/>
        <v>1277.325</v>
      </c>
      <c r="G12" s="58">
        <f t="shared" si="2"/>
        <v>1277.325</v>
      </c>
      <c r="H12" s="58">
        <f t="shared" si="1"/>
        <v>0</v>
      </c>
      <c r="I12" s="51">
        <v>1052276</v>
      </c>
      <c r="J12" s="71"/>
      <c r="K12" s="150"/>
    </row>
    <row r="13" spans="1:11" s="53" customFormat="1" ht="15.75" x14ac:dyDescent="0.25">
      <c r="A13" s="62">
        <v>10</v>
      </c>
      <c r="B13" s="63">
        <v>1359</v>
      </c>
      <c r="C13" s="72" t="s">
        <v>96</v>
      </c>
      <c r="D13" s="65">
        <v>3123.6</v>
      </c>
      <c r="E13" s="66" t="s">
        <v>16</v>
      </c>
      <c r="F13" s="67">
        <f t="shared" si="0"/>
        <v>780.9</v>
      </c>
      <c r="G13" s="67">
        <f>325.675+455.225</f>
        <v>780.90000000000009</v>
      </c>
      <c r="H13" s="67">
        <f t="shared" si="1"/>
        <v>0</v>
      </c>
      <c r="I13" s="68">
        <v>4812026</v>
      </c>
      <c r="J13" s="151">
        <v>45630</v>
      </c>
      <c r="K13" s="150" t="s">
        <v>232</v>
      </c>
    </row>
    <row r="14" spans="1:11" s="53" customFormat="1" ht="15.75" x14ac:dyDescent="0.25">
      <c r="A14" s="54">
        <v>11</v>
      </c>
      <c r="B14" s="49">
        <v>1367</v>
      </c>
      <c r="C14" s="50" t="s">
        <v>98</v>
      </c>
      <c r="D14" s="56">
        <v>1000</v>
      </c>
      <c r="E14" s="57" t="s">
        <v>16</v>
      </c>
      <c r="F14" s="58">
        <f t="shared" si="0"/>
        <v>250</v>
      </c>
      <c r="G14" s="58">
        <f>F14</f>
        <v>250</v>
      </c>
      <c r="H14" s="58">
        <f t="shared" si="1"/>
        <v>0</v>
      </c>
      <c r="I14" s="51">
        <v>6663593</v>
      </c>
      <c r="J14" s="71"/>
      <c r="K14" s="150"/>
    </row>
    <row r="15" spans="1:11" s="53" customFormat="1" ht="15.75" x14ac:dyDescent="0.25">
      <c r="A15" s="62">
        <v>12</v>
      </c>
      <c r="B15" s="63">
        <v>1368</v>
      </c>
      <c r="C15" s="27" t="s">
        <v>100</v>
      </c>
      <c r="D15" s="65">
        <v>4041.6</v>
      </c>
      <c r="E15" s="66" t="s">
        <v>16</v>
      </c>
      <c r="F15" s="67">
        <f t="shared" si="0"/>
        <v>1010.4</v>
      </c>
      <c r="G15" s="67">
        <f>1008.875+1.525</f>
        <v>1010.4</v>
      </c>
      <c r="H15" s="67">
        <f t="shared" si="1"/>
        <v>0</v>
      </c>
      <c r="I15" s="69">
        <v>561902</v>
      </c>
      <c r="J15" s="152">
        <v>45601</v>
      </c>
      <c r="K15" s="150" t="s">
        <v>233</v>
      </c>
    </row>
    <row r="16" spans="1:11" s="53" customFormat="1" ht="15.75" x14ac:dyDescent="0.25">
      <c r="A16" s="62">
        <v>13</v>
      </c>
      <c r="B16" s="63">
        <v>3002</v>
      </c>
      <c r="C16" s="64" t="s">
        <v>102</v>
      </c>
      <c r="D16" s="65">
        <v>1666.8</v>
      </c>
      <c r="E16" s="66" t="s">
        <v>16</v>
      </c>
      <c r="F16" s="67">
        <f t="shared" si="0"/>
        <v>416.7</v>
      </c>
      <c r="G16" s="67">
        <f>416.55+0.15</f>
        <v>416.7</v>
      </c>
      <c r="H16" s="67">
        <f t="shared" si="1"/>
        <v>0</v>
      </c>
      <c r="I16" s="68">
        <v>21220177</v>
      </c>
      <c r="J16" s="116">
        <v>45607</v>
      </c>
      <c r="K16" s="150">
        <v>45629</v>
      </c>
    </row>
    <row r="17" spans="1:13" s="53" customFormat="1" ht="15.75" x14ac:dyDescent="0.25">
      <c r="A17" s="54">
        <v>14</v>
      </c>
      <c r="B17" s="49">
        <v>3035</v>
      </c>
      <c r="C17" s="74" t="s">
        <v>104</v>
      </c>
      <c r="D17" s="56">
        <v>389.8</v>
      </c>
      <c r="E17" s="57" t="s">
        <v>16</v>
      </c>
      <c r="F17" s="58">
        <f t="shared" si="0"/>
        <v>97.45</v>
      </c>
      <c r="G17" s="58">
        <f>F17</f>
        <v>97.45</v>
      </c>
      <c r="H17" s="58">
        <f t="shared" si="1"/>
        <v>0</v>
      </c>
      <c r="I17" s="75">
        <v>6725058</v>
      </c>
      <c r="J17" s="59"/>
      <c r="K17" s="150"/>
    </row>
    <row r="18" spans="1:13" s="91" customFormat="1" ht="15.75" x14ac:dyDescent="0.25">
      <c r="A18" s="62">
        <v>15</v>
      </c>
      <c r="B18" s="63">
        <v>3057</v>
      </c>
      <c r="C18" s="64" t="s">
        <v>67</v>
      </c>
      <c r="D18" s="65">
        <v>2746.6</v>
      </c>
      <c r="E18" s="66" t="s">
        <v>16</v>
      </c>
      <c r="F18" s="67">
        <f t="shared" si="0"/>
        <v>686.65</v>
      </c>
      <c r="G18" s="67">
        <f>685.575+1.075</f>
        <v>686.65000000000009</v>
      </c>
      <c r="H18" s="67">
        <f t="shared" si="1"/>
        <v>0</v>
      </c>
      <c r="I18" s="68">
        <v>626819</v>
      </c>
      <c r="J18" s="116">
        <v>45607</v>
      </c>
      <c r="K18" s="156">
        <v>45629</v>
      </c>
    </row>
    <row r="19" spans="1:13" s="53" customFormat="1" ht="15.75" x14ac:dyDescent="0.25">
      <c r="A19" s="62">
        <v>16</v>
      </c>
      <c r="B19" s="63">
        <v>3062</v>
      </c>
      <c r="C19" s="64" t="s">
        <v>107</v>
      </c>
      <c r="D19" s="65">
        <v>2523.4</v>
      </c>
      <c r="E19" s="66" t="s">
        <v>16</v>
      </c>
      <c r="F19" s="67">
        <f t="shared" si="0"/>
        <v>630.85</v>
      </c>
      <c r="G19" s="67">
        <f>312.375+315.25+3.2252</f>
        <v>630.85019999999997</v>
      </c>
      <c r="H19" s="67">
        <f t="shared" si="1"/>
        <v>-1.9999999994979589E-4</v>
      </c>
      <c r="I19" s="68">
        <v>300741</v>
      </c>
      <c r="J19" s="116">
        <v>45615</v>
      </c>
      <c r="K19" s="150">
        <v>45644</v>
      </c>
      <c r="L19" s="150">
        <v>45677</v>
      </c>
    </row>
    <row r="20" spans="1:13" s="53" customFormat="1" ht="15.75" x14ac:dyDescent="0.25">
      <c r="A20" s="54">
        <v>17</v>
      </c>
      <c r="B20" s="49">
        <v>3080</v>
      </c>
      <c r="C20" s="50" t="s">
        <v>109</v>
      </c>
      <c r="D20" s="56">
        <v>1270.2</v>
      </c>
      <c r="E20" s="57" t="s">
        <v>16</v>
      </c>
      <c r="F20" s="58">
        <f t="shared" si="0"/>
        <v>317.55</v>
      </c>
      <c r="G20" s="58">
        <f>F20</f>
        <v>317.55</v>
      </c>
      <c r="H20" s="58">
        <f t="shared" si="1"/>
        <v>0</v>
      </c>
      <c r="I20" s="51">
        <v>14301608</v>
      </c>
      <c r="J20" s="59"/>
      <c r="K20" s="157"/>
    </row>
    <row r="21" spans="1:13" s="53" customFormat="1" ht="15.75" x14ac:dyDescent="0.25">
      <c r="A21" s="62">
        <v>18</v>
      </c>
      <c r="B21" s="62">
        <v>3086</v>
      </c>
      <c r="C21" s="64" t="s">
        <v>111</v>
      </c>
      <c r="D21" s="65">
        <v>892.4</v>
      </c>
      <c r="E21" s="66" t="s">
        <v>16</v>
      </c>
      <c r="F21" s="67">
        <f t="shared" si="0"/>
        <v>223.1</v>
      </c>
      <c r="G21" s="67">
        <f>222.7+0.4</f>
        <v>223.1</v>
      </c>
      <c r="H21" s="67">
        <f t="shared" si="1"/>
        <v>0</v>
      </c>
      <c r="I21" s="68">
        <v>300033</v>
      </c>
      <c r="J21" s="153">
        <v>45607</v>
      </c>
      <c r="K21" s="150">
        <v>38325</v>
      </c>
    </row>
    <row r="22" spans="1:13" s="53" customFormat="1" ht="15.75" x14ac:dyDescent="0.25">
      <c r="A22" s="62">
        <v>19</v>
      </c>
      <c r="B22" s="63">
        <v>3132</v>
      </c>
      <c r="C22" s="64" t="s">
        <v>113</v>
      </c>
      <c r="D22" s="65">
        <v>1301.5999999999999</v>
      </c>
      <c r="E22" s="66" t="s">
        <v>16</v>
      </c>
      <c r="F22" s="67">
        <f t="shared" si="0"/>
        <v>325.39999999999998</v>
      </c>
      <c r="G22" s="67">
        <f>211.825+113.575</f>
        <v>325.39999999999998</v>
      </c>
      <c r="H22" s="67">
        <f t="shared" si="1"/>
        <v>0</v>
      </c>
      <c r="I22" s="68">
        <v>14606296</v>
      </c>
      <c r="J22" s="116">
        <v>45637</v>
      </c>
      <c r="K22" s="150">
        <v>45663</v>
      </c>
    </row>
    <row r="23" spans="1:13" s="53" customFormat="1" ht="15.75" x14ac:dyDescent="0.25">
      <c r="A23" s="62">
        <v>20</v>
      </c>
      <c r="B23" s="63">
        <v>3134</v>
      </c>
      <c r="C23" s="64" t="s">
        <v>115</v>
      </c>
      <c r="D23" s="65">
        <v>1332.2</v>
      </c>
      <c r="E23" s="66" t="s">
        <v>16</v>
      </c>
      <c r="F23" s="67">
        <f t="shared" si="0"/>
        <v>333.05</v>
      </c>
      <c r="G23" s="67">
        <f t="shared" ref="G23:G28" si="3">F23</f>
        <v>333.05</v>
      </c>
      <c r="H23" s="67">
        <f t="shared" si="1"/>
        <v>0</v>
      </c>
      <c r="I23" s="68">
        <v>2154413</v>
      </c>
      <c r="J23" s="116">
        <v>45672</v>
      </c>
      <c r="K23" s="150"/>
    </row>
    <row r="24" spans="1:13" s="53" customFormat="1" ht="15.75" x14ac:dyDescent="0.25">
      <c r="A24" s="137">
        <v>21</v>
      </c>
      <c r="B24" s="138">
        <v>3142</v>
      </c>
      <c r="C24" s="139" t="s">
        <v>117</v>
      </c>
      <c r="D24" s="140">
        <v>4325.3999999999996</v>
      </c>
      <c r="E24" s="141" t="s">
        <v>16</v>
      </c>
      <c r="F24" s="142">
        <f t="shared" si="0"/>
        <v>1081.3499999999999</v>
      </c>
      <c r="G24" s="142">
        <f t="shared" si="3"/>
        <v>1081.3499999999999</v>
      </c>
      <c r="H24" s="142">
        <f t="shared" si="1"/>
        <v>0</v>
      </c>
      <c r="I24" s="143">
        <v>165497</v>
      </c>
      <c r="J24" s="144" t="s">
        <v>271</v>
      </c>
      <c r="K24" s="150"/>
    </row>
    <row r="25" spans="1:13" s="53" customFormat="1" ht="15.75" x14ac:dyDescent="0.25">
      <c r="A25" s="137">
        <v>22</v>
      </c>
      <c r="B25" s="138">
        <v>3145</v>
      </c>
      <c r="C25" s="139" t="s">
        <v>119</v>
      </c>
      <c r="D25" s="140">
        <v>3318.2</v>
      </c>
      <c r="E25" s="141" t="s">
        <v>16</v>
      </c>
      <c r="F25" s="142">
        <f t="shared" si="0"/>
        <v>829.55</v>
      </c>
      <c r="G25" s="142">
        <f t="shared" si="3"/>
        <v>829.55</v>
      </c>
      <c r="H25" s="142">
        <f t="shared" si="1"/>
        <v>0</v>
      </c>
      <c r="I25" s="143">
        <v>1915745</v>
      </c>
      <c r="J25" s="144" t="s">
        <v>234</v>
      </c>
      <c r="K25" s="150"/>
    </row>
    <row r="26" spans="1:13" s="53" customFormat="1" ht="15.75" x14ac:dyDescent="0.25">
      <c r="A26" s="137">
        <v>23</v>
      </c>
      <c r="B26" s="138">
        <v>3147</v>
      </c>
      <c r="C26" s="139" t="s">
        <v>122</v>
      </c>
      <c r="D26" s="140">
        <v>810</v>
      </c>
      <c r="E26" s="141" t="s">
        <v>16</v>
      </c>
      <c r="F26" s="142">
        <f t="shared" si="0"/>
        <v>202.5</v>
      </c>
      <c r="G26" s="142">
        <f t="shared" si="3"/>
        <v>202.5</v>
      </c>
      <c r="H26" s="142">
        <f t="shared" si="1"/>
        <v>0</v>
      </c>
      <c r="I26" s="143">
        <v>1662414</v>
      </c>
      <c r="J26" s="144" t="s">
        <v>234</v>
      </c>
      <c r="K26" s="150"/>
    </row>
    <row r="27" spans="1:13" s="53" customFormat="1" ht="15.75" x14ac:dyDescent="0.25">
      <c r="A27" s="137">
        <v>24</v>
      </c>
      <c r="B27" s="138">
        <v>3148</v>
      </c>
      <c r="C27" s="139" t="s">
        <v>124</v>
      </c>
      <c r="D27" s="140">
        <v>1233</v>
      </c>
      <c r="E27" s="141" t="s">
        <v>16</v>
      </c>
      <c r="F27" s="142">
        <f t="shared" si="0"/>
        <v>308.25</v>
      </c>
      <c r="G27" s="142">
        <f t="shared" si="3"/>
        <v>308.25</v>
      </c>
      <c r="H27" s="142">
        <f t="shared" si="1"/>
        <v>0</v>
      </c>
      <c r="I27" s="143">
        <v>19545736</v>
      </c>
      <c r="J27" s="144" t="s">
        <v>234</v>
      </c>
      <c r="K27" s="150"/>
    </row>
    <row r="28" spans="1:13" s="53" customFormat="1" ht="15.75" x14ac:dyDescent="0.25">
      <c r="A28" s="62">
        <v>25</v>
      </c>
      <c r="B28" s="63">
        <v>3149</v>
      </c>
      <c r="C28" s="64" t="s">
        <v>126</v>
      </c>
      <c r="D28" s="65">
        <v>1465.5</v>
      </c>
      <c r="E28" s="66" t="s">
        <v>16</v>
      </c>
      <c r="F28" s="67">
        <f t="shared" si="0"/>
        <v>366.375</v>
      </c>
      <c r="G28" s="67">
        <f t="shared" si="3"/>
        <v>366.375</v>
      </c>
      <c r="H28" s="67">
        <f t="shared" si="1"/>
        <v>0</v>
      </c>
      <c r="I28" s="68">
        <v>4941095</v>
      </c>
      <c r="J28" s="70" t="s">
        <v>235</v>
      </c>
      <c r="K28" s="150"/>
    </row>
    <row r="29" spans="1:13" s="53" customFormat="1" ht="15.75" x14ac:dyDescent="0.25">
      <c r="A29" s="62">
        <v>26</v>
      </c>
      <c r="B29" s="63">
        <v>3152</v>
      </c>
      <c r="C29" s="64" t="s">
        <v>130</v>
      </c>
      <c r="D29" s="65">
        <v>2129.6999999999998</v>
      </c>
      <c r="E29" s="66" t="s">
        <v>16</v>
      </c>
      <c r="F29" s="67">
        <f t="shared" si="0"/>
        <v>532.42499999999995</v>
      </c>
      <c r="G29" s="67">
        <f>356.6+174.6+1.225</f>
        <v>532.42500000000007</v>
      </c>
      <c r="H29" s="67">
        <f t="shared" si="1"/>
        <v>0</v>
      </c>
      <c r="I29" s="68">
        <v>941993</v>
      </c>
      <c r="J29" s="70" t="s">
        <v>236</v>
      </c>
      <c r="K29" s="150">
        <v>45600</v>
      </c>
      <c r="L29" s="53">
        <v>174</v>
      </c>
      <c r="M29" s="150">
        <v>45621</v>
      </c>
    </row>
    <row r="30" spans="1:13" s="53" customFormat="1" ht="15.75" x14ac:dyDescent="0.25">
      <c r="A30" s="62">
        <v>27</v>
      </c>
      <c r="B30" s="63">
        <v>3153</v>
      </c>
      <c r="C30" s="64" t="s">
        <v>15</v>
      </c>
      <c r="D30" s="65">
        <v>2394.9</v>
      </c>
      <c r="E30" s="66" t="s">
        <v>16</v>
      </c>
      <c r="F30" s="67">
        <f t="shared" si="0"/>
        <v>598.72500000000002</v>
      </c>
      <c r="G30" s="67">
        <f>176.925+417.1+4.7</f>
        <v>598.72500000000014</v>
      </c>
      <c r="H30" s="67">
        <f t="shared" si="1"/>
        <v>0</v>
      </c>
      <c r="I30" s="68">
        <v>6989479</v>
      </c>
      <c r="J30" s="116">
        <v>45637</v>
      </c>
      <c r="K30" s="150">
        <v>45658</v>
      </c>
      <c r="M30" s="53" t="s">
        <v>237</v>
      </c>
    </row>
    <row r="31" spans="1:13" s="53" customFormat="1" ht="15.75" x14ac:dyDescent="0.25">
      <c r="A31" s="54">
        <v>28</v>
      </c>
      <c r="B31" s="78">
        <v>3155</v>
      </c>
      <c r="C31" s="50" t="s">
        <v>132</v>
      </c>
      <c r="D31" s="56">
        <v>631.4</v>
      </c>
      <c r="E31" s="57" t="s">
        <v>16</v>
      </c>
      <c r="F31" s="58">
        <f t="shared" si="0"/>
        <v>157.85</v>
      </c>
      <c r="G31" s="58">
        <f>F31</f>
        <v>157.85</v>
      </c>
      <c r="H31" s="58">
        <f t="shared" si="1"/>
        <v>0</v>
      </c>
      <c r="I31" s="51">
        <v>19188794</v>
      </c>
      <c r="J31" s="59"/>
      <c r="K31" s="150"/>
    </row>
    <row r="32" spans="1:13" s="53" customFormat="1" ht="15.75" x14ac:dyDescent="0.25">
      <c r="A32" s="54">
        <v>29</v>
      </c>
      <c r="B32" s="49">
        <v>3158</v>
      </c>
      <c r="C32" s="50" t="s">
        <v>134</v>
      </c>
      <c r="D32" s="56">
        <v>2447.4</v>
      </c>
      <c r="E32" s="57" t="s">
        <v>16</v>
      </c>
      <c r="F32" s="58">
        <f t="shared" si="0"/>
        <v>611.85</v>
      </c>
      <c r="G32" s="58">
        <f>F32</f>
        <v>611.85</v>
      </c>
      <c r="H32" s="58">
        <f t="shared" si="1"/>
        <v>0</v>
      </c>
      <c r="I32" s="51" t="s">
        <v>135</v>
      </c>
      <c r="J32" s="59"/>
      <c r="K32" s="150"/>
    </row>
    <row r="33" spans="1:11" s="243" customFormat="1" ht="15.75" x14ac:dyDescent="0.25">
      <c r="A33" s="120">
        <v>30</v>
      </c>
      <c r="B33" s="121">
        <v>3159</v>
      </c>
      <c r="C33" s="122" t="s">
        <v>137</v>
      </c>
      <c r="D33" s="123">
        <v>720.3</v>
      </c>
      <c r="E33" s="124" t="s">
        <v>16</v>
      </c>
      <c r="F33" s="125">
        <f t="shared" si="0"/>
        <v>180.07499999999999</v>
      </c>
      <c r="G33" s="125">
        <f>F33</f>
        <v>180.07499999999999</v>
      </c>
      <c r="H33" s="125">
        <f t="shared" si="1"/>
        <v>0</v>
      </c>
      <c r="I33" s="126">
        <v>1297478</v>
      </c>
      <c r="J33" s="241" t="s">
        <v>238</v>
      </c>
      <c r="K33" s="242"/>
    </row>
    <row r="34" spans="1:11" s="53" customFormat="1" ht="15.75" x14ac:dyDescent="0.25">
      <c r="A34" s="54">
        <v>31</v>
      </c>
      <c r="B34" s="49">
        <v>3160</v>
      </c>
      <c r="C34" s="50" t="s">
        <v>139</v>
      </c>
      <c r="D34" s="56">
        <v>1751.3</v>
      </c>
      <c r="E34" s="57" t="s">
        <v>16</v>
      </c>
      <c r="F34" s="58">
        <f t="shared" si="0"/>
        <v>437.82499999999999</v>
      </c>
      <c r="G34" s="58">
        <f>F34</f>
        <v>437.82499999999999</v>
      </c>
      <c r="H34" s="58">
        <f t="shared" si="1"/>
        <v>0</v>
      </c>
      <c r="I34" s="51">
        <v>2837163</v>
      </c>
      <c r="J34" s="59"/>
      <c r="K34" s="150"/>
    </row>
    <row r="35" spans="1:11" s="243" customFormat="1" ht="15.75" x14ac:dyDescent="0.25">
      <c r="A35" s="120">
        <v>32</v>
      </c>
      <c r="B35" s="121">
        <v>3162</v>
      </c>
      <c r="C35" s="122" t="s">
        <v>141</v>
      </c>
      <c r="D35" s="123">
        <v>4854.8999999999996</v>
      </c>
      <c r="E35" s="124" t="s">
        <v>16</v>
      </c>
      <c r="F35" s="125">
        <f t="shared" si="0"/>
        <v>1213.7249999999999</v>
      </c>
      <c r="G35" s="125">
        <f>F35</f>
        <v>1213.7249999999999</v>
      </c>
      <c r="H35" s="125">
        <f t="shared" si="1"/>
        <v>0</v>
      </c>
      <c r="I35" s="126">
        <v>7017227</v>
      </c>
      <c r="J35" s="241" t="s">
        <v>238</v>
      </c>
      <c r="K35" s="242"/>
    </row>
    <row r="36" spans="1:11" s="53" customFormat="1" ht="15.75" x14ac:dyDescent="0.25">
      <c r="A36" s="62">
        <v>33</v>
      </c>
      <c r="B36" s="63">
        <v>3164</v>
      </c>
      <c r="C36" s="64" t="s">
        <v>143</v>
      </c>
      <c r="D36" s="65">
        <v>2451.8000000000002</v>
      </c>
      <c r="E36" s="66" t="s">
        <v>16</v>
      </c>
      <c r="F36" s="67">
        <f t="shared" si="0"/>
        <v>612.95000000000005</v>
      </c>
      <c r="G36" s="67">
        <f>611.1</f>
        <v>611.1</v>
      </c>
      <c r="H36" s="67">
        <f t="shared" si="1"/>
        <v>1.8500000000000227</v>
      </c>
      <c r="I36" s="68">
        <v>7466062</v>
      </c>
      <c r="J36" s="116">
        <v>45673</v>
      </c>
      <c r="K36" s="150"/>
    </row>
    <row r="37" spans="1:11" s="53" customFormat="1" ht="15.75" x14ac:dyDescent="0.25">
      <c r="A37" s="54">
        <v>34</v>
      </c>
      <c r="B37" s="49">
        <v>3165</v>
      </c>
      <c r="C37" s="50" t="s">
        <v>147</v>
      </c>
      <c r="D37" s="56">
        <v>442.2</v>
      </c>
      <c r="E37" s="57" t="s">
        <v>16</v>
      </c>
      <c r="F37" s="58">
        <f t="shared" si="0"/>
        <v>110.55</v>
      </c>
      <c r="G37" s="58">
        <f>F37</f>
        <v>110.55</v>
      </c>
      <c r="H37" s="58">
        <f t="shared" si="1"/>
        <v>0</v>
      </c>
      <c r="I37" s="51">
        <v>19029628</v>
      </c>
      <c r="J37" s="86"/>
      <c r="K37" s="150"/>
    </row>
    <row r="38" spans="1:11" s="53" customFormat="1" ht="15.75" x14ac:dyDescent="0.25">
      <c r="A38" s="62">
        <v>35</v>
      </c>
      <c r="B38" s="63">
        <v>3169</v>
      </c>
      <c r="C38" s="64" t="s">
        <v>34</v>
      </c>
      <c r="D38" s="65">
        <v>1784.1</v>
      </c>
      <c r="E38" s="66" t="s">
        <v>16</v>
      </c>
      <c r="F38" s="67">
        <f t="shared" si="0"/>
        <v>446.02499999999998</v>
      </c>
      <c r="G38" s="67">
        <f>441.6</f>
        <v>441.6</v>
      </c>
      <c r="H38" s="67">
        <f t="shared" si="1"/>
        <v>4.4249999999999545</v>
      </c>
      <c r="I38" s="68">
        <v>3068756</v>
      </c>
      <c r="J38" s="116">
        <v>45615</v>
      </c>
      <c r="K38" s="150"/>
    </row>
    <row r="39" spans="1:11" s="53" customFormat="1" ht="15.75" x14ac:dyDescent="0.25">
      <c r="A39" s="62">
        <v>36</v>
      </c>
      <c r="B39" s="63">
        <v>3171</v>
      </c>
      <c r="C39" s="64" t="s">
        <v>149</v>
      </c>
      <c r="D39" s="65">
        <v>1076</v>
      </c>
      <c r="E39" s="66" t="s">
        <v>16</v>
      </c>
      <c r="F39" s="67">
        <f t="shared" si="0"/>
        <v>269</v>
      </c>
      <c r="G39" s="67">
        <f>268.425+0.575</f>
        <v>269</v>
      </c>
      <c r="H39" s="67">
        <f t="shared" si="1"/>
        <v>0</v>
      </c>
      <c r="I39" s="68">
        <v>7239057</v>
      </c>
      <c r="J39" s="116">
        <v>45601</v>
      </c>
      <c r="K39" s="150"/>
    </row>
    <row r="40" spans="1:11" s="53" customFormat="1" ht="15.75" x14ac:dyDescent="0.25">
      <c r="A40" s="54">
        <v>37</v>
      </c>
      <c r="B40" s="49">
        <v>3172</v>
      </c>
      <c r="C40" s="50" t="s">
        <v>151</v>
      </c>
      <c r="D40" s="56">
        <v>697.8</v>
      </c>
      <c r="E40" s="57" t="s">
        <v>16</v>
      </c>
      <c r="F40" s="58">
        <f>D40*E40</f>
        <v>174.45</v>
      </c>
      <c r="G40" s="58">
        <f>F40</f>
        <v>174.45</v>
      </c>
      <c r="H40" s="58">
        <f t="shared" si="1"/>
        <v>0</v>
      </c>
      <c r="I40" s="51">
        <v>5276984</v>
      </c>
      <c r="J40" s="59"/>
      <c r="K40" s="150"/>
    </row>
    <row r="41" spans="1:11" s="53" customFormat="1" ht="15.75" x14ac:dyDescent="0.25">
      <c r="A41" s="137">
        <v>38</v>
      </c>
      <c r="B41" s="138">
        <v>3173</v>
      </c>
      <c r="C41" s="139" t="s">
        <v>153</v>
      </c>
      <c r="D41" s="140">
        <v>1255</v>
      </c>
      <c r="E41" s="141" t="s">
        <v>16</v>
      </c>
      <c r="F41" s="142">
        <f t="shared" si="0"/>
        <v>313.75</v>
      </c>
      <c r="G41" s="142">
        <f>F41</f>
        <v>313.75</v>
      </c>
      <c r="H41" s="142">
        <f t="shared" si="1"/>
        <v>0</v>
      </c>
      <c r="I41" s="143">
        <v>6825655</v>
      </c>
      <c r="J41" s="144" t="s">
        <v>234</v>
      </c>
      <c r="K41" s="150"/>
    </row>
    <row r="42" spans="1:11" s="53" customFormat="1" ht="15.75" x14ac:dyDescent="0.25">
      <c r="A42" s="137">
        <v>39</v>
      </c>
      <c r="B42" s="138">
        <v>3174</v>
      </c>
      <c r="C42" s="139" t="s">
        <v>155</v>
      </c>
      <c r="D42" s="140">
        <v>2034.9</v>
      </c>
      <c r="E42" s="141" t="s">
        <v>16</v>
      </c>
      <c r="F42" s="142">
        <f t="shared" si="0"/>
        <v>508.72500000000002</v>
      </c>
      <c r="G42" s="142">
        <f>F42</f>
        <v>508.72500000000002</v>
      </c>
      <c r="H42" s="142">
        <f t="shared" si="1"/>
        <v>0</v>
      </c>
      <c r="I42" s="143">
        <v>7547492</v>
      </c>
      <c r="J42" s="144" t="s">
        <v>234</v>
      </c>
      <c r="K42" s="150"/>
    </row>
    <row r="43" spans="1:11" s="53" customFormat="1" ht="15.75" x14ac:dyDescent="0.25">
      <c r="A43" s="62">
        <v>40</v>
      </c>
      <c r="B43" s="63">
        <v>3175</v>
      </c>
      <c r="C43" s="64" t="s">
        <v>157</v>
      </c>
      <c r="D43" s="65">
        <v>120.9</v>
      </c>
      <c r="E43" s="66" t="s">
        <v>16</v>
      </c>
      <c r="F43" s="67">
        <f>D43*E43</f>
        <v>30.225000000000001</v>
      </c>
      <c r="G43" s="67">
        <f>F43</f>
        <v>30.225000000000001</v>
      </c>
      <c r="H43" s="67">
        <f t="shared" si="1"/>
        <v>0</v>
      </c>
      <c r="I43" s="68">
        <v>7325076</v>
      </c>
      <c r="J43" s="116">
        <v>45691</v>
      </c>
      <c r="K43" s="150"/>
    </row>
    <row r="44" spans="1:11" s="53" customFormat="1" ht="15.75" x14ac:dyDescent="0.25">
      <c r="A44" s="54">
        <v>41</v>
      </c>
      <c r="B44" s="49">
        <v>3176</v>
      </c>
      <c r="C44" s="87" t="s">
        <v>159</v>
      </c>
      <c r="D44" s="56">
        <v>625.20000000000005</v>
      </c>
      <c r="E44" s="57" t="s">
        <v>16</v>
      </c>
      <c r="F44" s="58">
        <f t="shared" si="0"/>
        <v>156.30000000000001</v>
      </c>
      <c r="G44" s="58">
        <f>F44</f>
        <v>156.30000000000001</v>
      </c>
      <c r="H44" s="58">
        <f t="shared" si="1"/>
        <v>0</v>
      </c>
      <c r="I44" s="88">
        <v>12178145</v>
      </c>
      <c r="J44" s="59"/>
      <c r="K44" s="150"/>
    </row>
    <row r="45" spans="1:11" s="53" customFormat="1" ht="15.75" x14ac:dyDescent="0.25">
      <c r="A45" s="54">
        <v>42</v>
      </c>
      <c r="B45" s="49">
        <v>3179</v>
      </c>
      <c r="C45" s="50" t="s">
        <v>161</v>
      </c>
      <c r="D45" s="56">
        <v>1348.6</v>
      </c>
      <c r="E45" s="57" t="s">
        <v>16</v>
      </c>
      <c r="F45" s="58">
        <f t="shared" si="0"/>
        <v>337.15</v>
      </c>
      <c r="G45" s="58">
        <f t="shared" ref="G45:G46" si="4">F45</f>
        <v>337.15</v>
      </c>
      <c r="H45" s="58">
        <f t="shared" si="1"/>
        <v>0</v>
      </c>
      <c r="I45" s="51">
        <v>1870852</v>
      </c>
      <c r="J45" s="59"/>
      <c r="K45" s="150"/>
    </row>
    <row r="46" spans="1:11" s="53" customFormat="1" ht="15.75" x14ac:dyDescent="0.25">
      <c r="A46" s="54">
        <v>43</v>
      </c>
      <c r="B46" s="49">
        <v>3181</v>
      </c>
      <c r="C46" s="50" t="s">
        <v>163</v>
      </c>
      <c r="D46" s="56">
        <v>1766.7</v>
      </c>
      <c r="E46" s="57" t="s">
        <v>16</v>
      </c>
      <c r="F46" s="58">
        <f t="shared" si="0"/>
        <v>441.67500000000001</v>
      </c>
      <c r="G46" s="58">
        <f t="shared" si="4"/>
        <v>441.67500000000001</v>
      </c>
      <c r="H46" s="58">
        <f t="shared" si="1"/>
        <v>0</v>
      </c>
      <c r="I46" s="51">
        <v>6116067</v>
      </c>
      <c r="J46" s="59"/>
      <c r="K46" s="150"/>
    </row>
    <row r="47" spans="1:11" s="53" customFormat="1" ht="15.75" x14ac:dyDescent="0.25">
      <c r="A47" s="62">
        <v>44</v>
      </c>
      <c r="B47" s="63">
        <v>3183</v>
      </c>
      <c r="C47" s="72" t="s">
        <v>165</v>
      </c>
      <c r="D47" s="65">
        <v>523.32000000000005</v>
      </c>
      <c r="E47" s="66" t="s">
        <v>16</v>
      </c>
      <c r="F47" s="67">
        <f t="shared" si="0"/>
        <v>130.83000000000001</v>
      </c>
      <c r="G47" s="67">
        <f>126.6+4.23</f>
        <v>130.82999999999998</v>
      </c>
      <c r="H47" s="67">
        <f t="shared" si="1"/>
        <v>0</v>
      </c>
      <c r="I47" s="68">
        <v>4955092</v>
      </c>
      <c r="J47" s="116">
        <v>45601</v>
      </c>
      <c r="K47" s="150">
        <v>45629</v>
      </c>
    </row>
    <row r="48" spans="1:11" s="53" customFormat="1" ht="15.75" x14ac:dyDescent="0.25">
      <c r="A48" s="54">
        <v>45</v>
      </c>
      <c r="B48" s="49">
        <v>3184</v>
      </c>
      <c r="C48" s="50" t="s">
        <v>69</v>
      </c>
      <c r="D48" s="56">
        <v>1841.3</v>
      </c>
      <c r="E48" s="57" t="s">
        <v>16</v>
      </c>
      <c r="F48" s="58">
        <f t="shared" si="0"/>
        <v>460.32499999999999</v>
      </c>
      <c r="G48" s="58">
        <f>F48</f>
        <v>460.32499999999999</v>
      </c>
      <c r="H48" s="58">
        <f t="shared" si="1"/>
        <v>0</v>
      </c>
      <c r="I48" s="51">
        <v>6701602</v>
      </c>
      <c r="J48" s="59"/>
      <c r="K48" s="150"/>
    </row>
    <row r="49" spans="1:11" s="53" customFormat="1" ht="15.75" x14ac:dyDescent="0.25">
      <c r="A49" s="62">
        <v>46</v>
      </c>
      <c r="B49" s="63">
        <v>3185</v>
      </c>
      <c r="C49" s="64" t="s">
        <v>168</v>
      </c>
      <c r="D49" s="65">
        <v>1286.7</v>
      </c>
      <c r="E49" s="66" t="s">
        <v>16</v>
      </c>
      <c r="F49" s="67">
        <f t="shared" si="0"/>
        <v>321.67500000000001</v>
      </c>
      <c r="G49" s="67">
        <f>320.675+1</f>
        <v>321.67500000000001</v>
      </c>
      <c r="H49" s="67">
        <f t="shared" si="1"/>
        <v>0</v>
      </c>
      <c r="I49" s="68">
        <v>15179209</v>
      </c>
      <c r="J49" s="116">
        <v>45607</v>
      </c>
      <c r="K49" s="150">
        <v>45630</v>
      </c>
    </row>
    <row r="50" spans="1:11" s="53" customFormat="1" ht="15.75" x14ac:dyDescent="0.25">
      <c r="A50" s="62">
        <v>47</v>
      </c>
      <c r="B50" s="63">
        <v>3188</v>
      </c>
      <c r="C50" s="64" t="s">
        <v>170</v>
      </c>
      <c r="D50" s="65">
        <v>1081.8</v>
      </c>
      <c r="E50" s="66" t="s">
        <v>16</v>
      </c>
      <c r="F50" s="67">
        <f t="shared" si="0"/>
        <v>270.45</v>
      </c>
      <c r="G50" s="67">
        <f>268.075+2.375</f>
        <v>270.45</v>
      </c>
      <c r="H50" s="67">
        <f t="shared" si="1"/>
        <v>0</v>
      </c>
      <c r="I50" s="68">
        <v>19290729</v>
      </c>
      <c r="J50" s="116">
        <v>45601</v>
      </c>
      <c r="K50" s="150">
        <v>45629</v>
      </c>
    </row>
    <row r="51" spans="1:11" s="91" customFormat="1" ht="15.75" x14ac:dyDescent="0.25">
      <c r="A51" s="62">
        <v>48</v>
      </c>
      <c r="B51" s="63">
        <v>3189</v>
      </c>
      <c r="C51" s="64" t="s">
        <v>172</v>
      </c>
      <c r="D51" s="65">
        <v>788.2</v>
      </c>
      <c r="E51" s="66" t="s">
        <v>16</v>
      </c>
      <c r="F51" s="67">
        <f t="shared" si="0"/>
        <v>197.05</v>
      </c>
      <c r="G51" s="67">
        <f>195.775+1.275</f>
        <v>197.05</v>
      </c>
      <c r="H51" s="67">
        <f t="shared" si="1"/>
        <v>0</v>
      </c>
      <c r="I51" s="68">
        <v>2802613</v>
      </c>
      <c r="J51" s="116">
        <v>45602</v>
      </c>
      <c r="K51" s="156">
        <v>45624</v>
      </c>
    </row>
    <row r="52" spans="1:11" s="53" customFormat="1" ht="15.75" x14ac:dyDescent="0.25">
      <c r="A52" s="54">
        <v>49</v>
      </c>
      <c r="B52" s="49">
        <v>3190</v>
      </c>
      <c r="C52" s="87" t="s">
        <v>174</v>
      </c>
      <c r="D52" s="56">
        <v>443.9</v>
      </c>
      <c r="E52" s="57" t="s">
        <v>16</v>
      </c>
      <c r="F52" s="58">
        <f t="shared" si="0"/>
        <v>110.97499999999999</v>
      </c>
      <c r="G52" s="58">
        <f>F52</f>
        <v>110.97499999999999</v>
      </c>
      <c r="H52" s="58">
        <f t="shared" si="1"/>
        <v>0</v>
      </c>
      <c r="I52" s="88">
        <v>3555896</v>
      </c>
      <c r="J52" s="59"/>
      <c r="K52" s="150"/>
    </row>
    <row r="53" spans="1:11" s="53" customFormat="1" ht="15.75" x14ac:dyDescent="0.25">
      <c r="A53" s="62">
        <v>50</v>
      </c>
      <c r="B53" s="63">
        <v>3192</v>
      </c>
      <c r="C53" s="64" t="s">
        <v>38</v>
      </c>
      <c r="D53" s="65">
        <v>610</v>
      </c>
      <c r="E53" s="66" t="s">
        <v>16</v>
      </c>
      <c r="F53" s="67">
        <f t="shared" si="0"/>
        <v>152.5</v>
      </c>
      <c r="G53" s="67">
        <f>F53</f>
        <v>152.5</v>
      </c>
      <c r="H53" s="67">
        <f t="shared" si="1"/>
        <v>0</v>
      </c>
      <c r="I53" s="68">
        <v>5271448</v>
      </c>
      <c r="J53" s="116">
        <v>45635</v>
      </c>
      <c r="K53" s="150"/>
    </row>
    <row r="54" spans="1:11" s="92" customFormat="1" ht="15.75" x14ac:dyDescent="0.25">
      <c r="A54" s="54">
        <v>51</v>
      </c>
      <c r="B54" s="49">
        <v>3195</v>
      </c>
      <c r="C54" s="50" t="s">
        <v>176</v>
      </c>
      <c r="D54" s="56">
        <v>602.4</v>
      </c>
      <c r="E54" s="57" t="s">
        <v>16</v>
      </c>
      <c r="F54" s="58">
        <f t="shared" si="0"/>
        <v>150.6</v>
      </c>
      <c r="G54" s="58">
        <f>F54</f>
        <v>150.6</v>
      </c>
      <c r="H54" s="58">
        <f t="shared" si="1"/>
        <v>0</v>
      </c>
      <c r="I54" s="51">
        <v>675849</v>
      </c>
      <c r="J54" s="59"/>
      <c r="K54" s="150"/>
    </row>
    <row r="55" spans="1:11" s="92" customFormat="1" ht="15.75" x14ac:dyDescent="0.25">
      <c r="A55" s="54">
        <v>52</v>
      </c>
      <c r="B55" s="49">
        <v>3196</v>
      </c>
      <c r="C55" s="93" t="s">
        <v>178</v>
      </c>
      <c r="D55" s="56">
        <v>637.1</v>
      </c>
      <c r="E55" s="57" t="s">
        <v>16</v>
      </c>
      <c r="F55" s="58">
        <f t="shared" si="0"/>
        <v>159.27500000000001</v>
      </c>
      <c r="G55" s="58">
        <f t="shared" ref="G55:G57" si="5">F55</f>
        <v>159.27500000000001</v>
      </c>
      <c r="H55" s="58">
        <f t="shared" si="1"/>
        <v>0</v>
      </c>
      <c r="I55" s="51">
        <v>21080217</v>
      </c>
      <c r="J55" s="59"/>
      <c r="K55" s="150"/>
    </row>
    <row r="56" spans="1:11" s="92" customFormat="1" ht="15.75" x14ac:dyDescent="0.25">
      <c r="A56" s="54">
        <v>53</v>
      </c>
      <c r="B56" s="49">
        <v>3197</v>
      </c>
      <c r="C56" s="50" t="s">
        <v>180</v>
      </c>
      <c r="D56" s="56">
        <v>1840.8</v>
      </c>
      <c r="E56" s="57" t="s">
        <v>16</v>
      </c>
      <c r="F56" s="58">
        <f t="shared" si="0"/>
        <v>460.2</v>
      </c>
      <c r="G56" s="58">
        <f t="shared" si="5"/>
        <v>460.2</v>
      </c>
      <c r="H56" s="58">
        <f t="shared" si="1"/>
        <v>0</v>
      </c>
      <c r="I56" s="51">
        <v>6479515</v>
      </c>
      <c r="J56" s="59"/>
      <c r="K56" s="150"/>
    </row>
    <row r="57" spans="1:11" s="92" customFormat="1" ht="15.75" x14ac:dyDescent="0.25">
      <c r="A57" s="54">
        <v>54</v>
      </c>
      <c r="B57" s="49">
        <v>3198</v>
      </c>
      <c r="C57" s="74" t="s">
        <v>44</v>
      </c>
      <c r="D57" s="111">
        <v>616.6</v>
      </c>
      <c r="E57" s="57" t="s">
        <v>16</v>
      </c>
      <c r="F57" s="58">
        <f t="shared" si="0"/>
        <v>154.15</v>
      </c>
      <c r="G57" s="58">
        <f t="shared" si="5"/>
        <v>154.15</v>
      </c>
      <c r="H57" s="58">
        <f t="shared" si="1"/>
        <v>0</v>
      </c>
      <c r="I57" s="75">
        <v>6360793</v>
      </c>
      <c r="J57" s="59"/>
      <c r="K57" s="150"/>
    </row>
    <row r="58" spans="1:11" s="53" customFormat="1" ht="15.75" x14ac:dyDescent="0.25">
      <c r="A58" s="120">
        <v>55</v>
      </c>
      <c r="B58" s="121">
        <v>3310</v>
      </c>
      <c r="C58" s="122" t="s">
        <v>182</v>
      </c>
      <c r="D58" s="123">
        <v>1288.5999999999999</v>
      </c>
      <c r="E58" s="124" t="s">
        <v>16</v>
      </c>
      <c r="F58" s="125">
        <f t="shared" si="0"/>
        <v>322.14999999999998</v>
      </c>
      <c r="G58" s="125">
        <f>F58</f>
        <v>322.14999999999998</v>
      </c>
      <c r="H58" s="125">
        <f t="shared" si="1"/>
        <v>0</v>
      </c>
      <c r="I58" s="126">
        <v>1007615</v>
      </c>
      <c r="J58" s="128" t="s">
        <v>239</v>
      </c>
      <c r="K58" s="150"/>
    </row>
    <row r="59" spans="1:11" s="53" customFormat="1" ht="15.75" x14ac:dyDescent="0.25">
      <c r="A59" s="54">
        <v>56</v>
      </c>
      <c r="B59" s="49">
        <v>3324</v>
      </c>
      <c r="C59" s="51" t="s">
        <v>184</v>
      </c>
      <c r="D59" s="56">
        <v>1283.8</v>
      </c>
      <c r="E59" s="57" t="s">
        <v>16</v>
      </c>
      <c r="F59" s="58">
        <f t="shared" si="0"/>
        <v>320.95</v>
      </c>
      <c r="G59" s="58">
        <f>F59</f>
        <v>320.95</v>
      </c>
      <c r="H59" s="58">
        <f t="shared" si="1"/>
        <v>0</v>
      </c>
      <c r="I59" s="52">
        <v>207402</v>
      </c>
      <c r="J59" s="59"/>
      <c r="K59" s="150"/>
    </row>
    <row r="60" spans="1:11" s="53" customFormat="1" ht="15.75" x14ac:dyDescent="0.25">
      <c r="A60" s="54">
        <v>57</v>
      </c>
      <c r="B60" s="49">
        <v>3330</v>
      </c>
      <c r="C60" s="51" t="s">
        <v>186</v>
      </c>
      <c r="D60" s="56">
        <v>1464.3</v>
      </c>
      <c r="E60" s="57" t="s">
        <v>16</v>
      </c>
      <c r="F60" s="58">
        <f t="shared" si="0"/>
        <v>366.07499999999999</v>
      </c>
      <c r="G60" s="58">
        <f t="shared" ref="G60:G61" si="6">F60</f>
        <v>366.07499999999999</v>
      </c>
      <c r="H60" s="58">
        <f t="shared" si="1"/>
        <v>0</v>
      </c>
      <c r="I60" s="52">
        <v>6375079</v>
      </c>
      <c r="J60" s="94"/>
      <c r="K60" s="150"/>
    </row>
    <row r="61" spans="1:11" s="53" customFormat="1" ht="15.75" x14ac:dyDescent="0.25">
      <c r="A61" s="54">
        <v>58</v>
      </c>
      <c r="B61" s="49">
        <v>3333</v>
      </c>
      <c r="C61" s="51" t="s">
        <v>189</v>
      </c>
      <c r="D61" s="56">
        <v>1920</v>
      </c>
      <c r="E61" s="57" t="s">
        <v>16</v>
      </c>
      <c r="F61" s="58">
        <f t="shared" si="0"/>
        <v>480</v>
      </c>
      <c r="G61" s="58">
        <f t="shared" si="6"/>
        <v>480</v>
      </c>
      <c r="H61" s="58">
        <f t="shared" si="1"/>
        <v>0</v>
      </c>
      <c r="I61" s="96">
        <v>757601</v>
      </c>
      <c r="J61" s="94"/>
      <c r="K61" s="150"/>
    </row>
    <row r="62" spans="1:11" s="53" customFormat="1" ht="15.75" x14ac:dyDescent="0.25">
      <c r="A62" s="62">
        <v>59</v>
      </c>
      <c r="B62" s="63">
        <v>3339</v>
      </c>
      <c r="C62" s="68" t="s">
        <v>191</v>
      </c>
      <c r="D62" s="65">
        <v>329.5</v>
      </c>
      <c r="E62" s="66" t="s">
        <v>16</v>
      </c>
      <c r="F62" s="67">
        <f t="shared" si="0"/>
        <v>82.375</v>
      </c>
      <c r="G62" s="67">
        <f>79.8+2.575</f>
        <v>82.375</v>
      </c>
      <c r="H62" s="67">
        <f t="shared" si="1"/>
        <v>0</v>
      </c>
      <c r="I62" s="69">
        <v>12415718</v>
      </c>
      <c r="J62" s="119">
        <v>45601</v>
      </c>
      <c r="K62" s="150">
        <v>45628</v>
      </c>
    </row>
    <row r="63" spans="1:11" s="53" customFormat="1" ht="15.75" x14ac:dyDescent="0.25">
      <c r="A63" s="62">
        <v>60</v>
      </c>
      <c r="B63" s="63">
        <v>3500</v>
      </c>
      <c r="C63" s="68" t="s">
        <v>193</v>
      </c>
      <c r="D63" s="65">
        <v>646.20000000000005</v>
      </c>
      <c r="E63" s="66" t="s">
        <v>16</v>
      </c>
      <c r="F63" s="67">
        <f t="shared" si="0"/>
        <v>161.55000000000001</v>
      </c>
      <c r="G63" s="67">
        <f>159.47+2.08</f>
        <v>161.55000000000001</v>
      </c>
      <c r="H63" s="67">
        <f t="shared" si="1"/>
        <v>0</v>
      </c>
      <c r="I63" s="69">
        <v>13525845</v>
      </c>
      <c r="J63" s="117">
        <v>45637</v>
      </c>
      <c r="K63" s="150">
        <v>45655</v>
      </c>
    </row>
    <row r="64" spans="1:11" s="53" customFormat="1" ht="30" x14ac:dyDescent="0.25">
      <c r="A64" s="120">
        <v>61</v>
      </c>
      <c r="B64" s="121">
        <v>3501</v>
      </c>
      <c r="C64" s="126" t="s">
        <v>195</v>
      </c>
      <c r="D64" s="123">
        <v>2365.9</v>
      </c>
      <c r="E64" s="124" t="s">
        <v>16</v>
      </c>
      <c r="F64" s="125">
        <f t="shared" si="0"/>
        <v>591.47500000000002</v>
      </c>
      <c r="G64" s="125">
        <f t="shared" ref="G64:G69" si="7">F64</f>
        <v>591.47500000000002</v>
      </c>
      <c r="H64" s="125">
        <f t="shared" si="1"/>
        <v>0</v>
      </c>
      <c r="I64" s="127">
        <v>13525794</v>
      </c>
      <c r="J64" s="177" t="s">
        <v>197</v>
      </c>
      <c r="K64" s="150"/>
    </row>
    <row r="65" spans="1:13" s="53" customFormat="1" ht="15.75" x14ac:dyDescent="0.25">
      <c r="A65" s="54">
        <v>62</v>
      </c>
      <c r="B65" s="49">
        <v>3502</v>
      </c>
      <c r="C65" s="93" t="s">
        <v>198</v>
      </c>
      <c r="D65" s="56">
        <v>1258.9000000000001</v>
      </c>
      <c r="E65" s="57" t="s">
        <v>16</v>
      </c>
      <c r="F65" s="58">
        <f t="shared" si="0"/>
        <v>314.72500000000002</v>
      </c>
      <c r="G65" s="58">
        <f t="shared" si="7"/>
        <v>314.72500000000002</v>
      </c>
      <c r="H65" s="58">
        <f t="shared" si="1"/>
        <v>0</v>
      </c>
      <c r="I65" s="52">
        <v>22522336</v>
      </c>
      <c r="J65" s="26"/>
      <c r="K65" s="150"/>
    </row>
    <row r="66" spans="1:13" s="53" customFormat="1" ht="15.75" x14ac:dyDescent="0.25">
      <c r="A66" s="54">
        <v>63</v>
      </c>
      <c r="B66" s="49">
        <v>3503</v>
      </c>
      <c r="C66" s="51" t="s">
        <v>200</v>
      </c>
      <c r="D66" s="56">
        <v>644.5</v>
      </c>
      <c r="E66" s="57" t="s">
        <v>16</v>
      </c>
      <c r="F66" s="58">
        <f t="shared" si="0"/>
        <v>161.125</v>
      </c>
      <c r="G66" s="58">
        <f t="shared" si="7"/>
        <v>161.125</v>
      </c>
      <c r="H66" s="58">
        <f t="shared" si="1"/>
        <v>0</v>
      </c>
      <c r="I66" s="52">
        <v>9212492</v>
      </c>
      <c r="J66" s="26"/>
      <c r="K66" s="150"/>
    </row>
    <row r="67" spans="1:13" s="188" customFormat="1" ht="15.75" x14ac:dyDescent="0.25">
      <c r="A67" s="178">
        <v>64</v>
      </c>
      <c r="B67" s="179">
        <v>3504</v>
      </c>
      <c r="C67" s="180" t="s">
        <v>202</v>
      </c>
      <c r="D67" s="181">
        <v>1206.3</v>
      </c>
      <c r="E67" s="182" t="s">
        <v>16</v>
      </c>
      <c r="F67" s="183">
        <f t="shared" si="0"/>
        <v>301.57499999999999</v>
      </c>
      <c r="G67" s="183">
        <f t="shared" si="7"/>
        <v>301.57499999999999</v>
      </c>
      <c r="H67" s="183">
        <f t="shared" si="1"/>
        <v>0</v>
      </c>
      <c r="I67" s="184">
        <v>939641</v>
      </c>
      <c r="J67" s="185" t="s">
        <v>204</v>
      </c>
      <c r="K67" s="186"/>
    </row>
    <row r="68" spans="1:13" s="53" customFormat="1" ht="15.75" x14ac:dyDescent="0.25">
      <c r="A68" s="54">
        <v>65</v>
      </c>
      <c r="B68" s="49">
        <v>3506</v>
      </c>
      <c r="C68" s="51" t="s">
        <v>205</v>
      </c>
      <c r="D68" s="56">
        <v>260.89999999999998</v>
      </c>
      <c r="E68" s="57" t="s">
        <v>16</v>
      </c>
      <c r="F68" s="58">
        <f t="shared" si="0"/>
        <v>65.224999999999994</v>
      </c>
      <c r="G68" s="58">
        <f t="shared" si="7"/>
        <v>65.224999999999994</v>
      </c>
      <c r="H68" s="58">
        <f t="shared" si="1"/>
        <v>0</v>
      </c>
      <c r="I68" s="52">
        <v>13307752</v>
      </c>
      <c r="J68" s="26"/>
      <c r="K68" s="150"/>
    </row>
    <row r="69" spans="1:13" s="53" customFormat="1" ht="15.75" x14ac:dyDescent="0.25">
      <c r="A69" s="54">
        <v>66</v>
      </c>
      <c r="B69" s="49">
        <v>3507</v>
      </c>
      <c r="C69" s="51" t="s">
        <v>207</v>
      </c>
      <c r="D69" s="56">
        <v>1152.5</v>
      </c>
      <c r="E69" s="57" t="s">
        <v>16</v>
      </c>
      <c r="F69" s="58">
        <f t="shared" ref="F69:F83" si="8">D69*E69</f>
        <v>288.125</v>
      </c>
      <c r="G69" s="58">
        <f t="shared" si="7"/>
        <v>288.125</v>
      </c>
      <c r="H69" s="58">
        <f t="shared" ref="H69:H83" si="9">F69-G69</f>
        <v>0</v>
      </c>
      <c r="I69" s="52">
        <v>1184669</v>
      </c>
      <c r="J69" s="26"/>
      <c r="K69" s="150"/>
    </row>
    <row r="70" spans="1:13" s="53" customFormat="1" ht="15.75" x14ac:dyDescent="0.25">
      <c r="A70" s="62">
        <v>67</v>
      </c>
      <c r="B70" s="63">
        <v>3508</v>
      </c>
      <c r="C70" s="68" t="s">
        <v>49</v>
      </c>
      <c r="D70" s="65">
        <v>635.79999999999995</v>
      </c>
      <c r="E70" s="66" t="s">
        <v>16</v>
      </c>
      <c r="F70" s="67">
        <f t="shared" si="8"/>
        <v>158.94999999999999</v>
      </c>
      <c r="G70" s="67">
        <f>158.475</f>
        <v>158.47499999999999</v>
      </c>
      <c r="H70" s="67">
        <f t="shared" si="9"/>
        <v>0.47499999999999432</v>
      </c>
      <c r="I70" s="69">
        <v>2567166</v>
      </c>
      <c r="J70" s="117">
        <v>45615</v>
      </c>
      <c r="K70" s="150"/>
    </row>
    <row r="71" spans="1:13" s="53" customFormat="1" ht="15.75" x14ac:dyDescent="0.25">
      <c r="A71" s="54">
        <v>68</v>
      </c>
      <c r="B71" s="49">
        <v>3509</v>
      </c>
      <c r="C71" s="93" t="s">
        <v>209</v>
      </c>
      <c r="D71" s="56">
        <v>592</v>
      </c>
      <c r="E71" s="57" t="s">
        <v>16</v>
      </c>
      <c r="F71" s="58">
        <f t="shared" si="8"/>
        <v>148</v>
      </c>
      <c r="G71" s="58">
        <f>F71</f>
        <v>148</v>
      </c>
      <c r="H71" s="58">
        <f t="shared" si="9"/>
        <v>0</v>
      </c>
      <c r="I71" s="52">
        <v>22760088</v>
      </c>
      <c r="J71" s="26"/>
      <c r="K71" s="150"/>
    </row>
    <row r="72" spans="1:13" s="53" customFormat="1" ht="15.75" x14ac:dyDescent="0.25">
      <c r="A72" s="54">
        <v>69</v>
      </c>
      <c r="B72" s="49">
        <v>3510</v>
      </c>
      <c r="C72" s="93" t="s">
        <v>211</v>
      </c>
      <c r="D72" s="56">
        <v>601.9</v>
      </c>
      <c r="E72" s="57" t="s">
        <v>16</v>
      </c>
      <c r="F72" s="58">
        <f t="shared" si="8"/>
        <v>150.47499999999999</v>
      </c>
      <c r="G72" s="58">
        <f t="shared" ref="G72:G73" si="10">F72</f>
        <v>150.47499999999999</v>
      </c>
      <c r="H72" s="58">
        <f t="shared" si="9"/>
        <v>0</v>
      </c>
      <c r="I72" s="52">
        <v>6920351</v>
      </c>
      <c r="J72" s="26"/>
      <c r="K72" s="150"/>
    </row>
    <row r="73" spans="1:13" s="53" customFormat="1" ht="15.75" x14ac:dyDescent="0.25">
      <c r="A73" s="54">
        <v>71</v>
      </c>
      <c r="B73" s="49">
        <v>3512</v>
      </c>
      <c r="C73" s="98" t="s">
        <v>213</v>
      </c>
      <c r="D73" s="99">
        <v>401</v>
      </c>
      <c r="E73" s="57" t="s">
        <v>16</v>
      </c>
      <c r="F73" s="58">
        <f t="shared" si="8"/>
        <v>100.25</v>
      </c>
      <c r="G73" s="58">
        <f t="shared" si="10"/>
        <v>100.25</v>
      </c>
      <c r="H73" s="58">
        <f t="shared" si="9"/>
        <v>0</v>
      </c>
      <c r="I73" s="96">
        <v>5514631</v>
      </c>
      <c r="J73" s="26"/>
      <c r="K73" s="150"/>
    </row>
    <row r="74" spans="1:13" s="53" customFormat="1" ht="15.75" x14ac:dyDescent="0.25">
      <c r="A74" s="62">
        <v>72</v>
      </c>
      <c r="B74" s="63">
        <v>3513</v>
      </c>
      <c r="C74" s="100" t="s">
        <v>215</v>
      </c>
      <c r="D74" s="101">
        <v>1914.8</v>
      </c>
      <c r="E74" s="66" t="s">
        <v>16</v>
      </c>
      <c r="F74" s="67">
        <f t="shared" si="8"/>
        <v>478.7</v>
      </c>
      <c r="G74" s="102">
        <f>141.175+145.5+189.15+2.875</f>
        <v>478.70000000000005</v>
      </c>
      <c r="H74" s="67">
        <f t="shared" si="9"/>
        <v>0</v>
      </c>
      <c r="I74" s="103">
        <v>7047376</v>
      </c>
      <c r="J74" s="117">
        <v>45601</v>
      </c>
      <c r="K74" s="150">
        <v>45602</v>
      </c>
      <c r="L74" s="150">
        <v>45607</v>
      </c>
      <c r="M74" s="150">
        <v>45629</v>
      </c>
    </row>
    <row r="75" spans="1:13" s="53" customFormat="1" ht="18" customHeight="1" x14ac:dyDescent="0.25">
      <c r="A75" s="137">
        <v>73</v>
      </c>
      <c r="B75" s="138">
        <v>3514</v>
      </c>
      <c r="C75" s="145" t="s">
        <v>217</v>
      </c>
      <c r="D75" s="146">
        <v>921.5</v>
      </c>
      <c r="E75" s="141" t="s">
        <v>16</v>
      </c>
      <c r="F75" s="142">
        <f t="shared" si="8"/>
        <v>230.375</v>
      </c>
      <c r="G75" s="147">
        <f>F75</f>
        <v>230.375</v>
      </c>
      <c r="H75" s="142">
        <f t="shared" si="9"/>
        <v>0</v>
      </c>
      <c r="I75" s="148">
        <v>440083</v>
      </c>
      <c r="J75" s="149" t="s">
        <v>234</v>
      </c>
      <c r="K75" s="150"/>
    </row>
    <row r="76" spans="1:13" s="53" customFormat="1" ht="15.75" x14ac:dyDescent="0.25">
      <c r="A76" s="62">
        <v>74</v>
      </c>
      <c r="B76" s="63">
        <v>3515</v>
      </c>
      <c r="C76" s="100" t="s">
        <v>51</v>
      </c>
      <c r="D76" s="101">
        <v>1672.6</v>
      </c>
      <c r="E76" s="66" t="s">
        <v>16</v>
      </c>
      <c r="F76" s="67">
        <f t="shared" si="8"/>
        <v>418.15</v>
      </c>
      <c r="G76" s="102">
        <f>F76</f>
        <v>418.15</v>
      </c>
      <c r="H76" s="67">
        <f t="shared" si="9"/>
        <v>0</v>
      </c>
      <c r="I76" s="103">
        <v>6645198</v>
      </c>
      <c r="J76" s="117">
        <v>45635</v>
      </c>
      <c r="K76" s="150"/>
    </row>
    <row r="77" spans="1:13" s="53" customFormat="1" ht="15.75" x14ac:dyDescent="0.25">
      <c r="A77" s="54">
        <v>75</v>
      </c>
      <c r="B77" s="49">
        <v>3516</v>
      </c>
      <c r="C77" s="98" t="s">
        <v>219</v>
      </c>
      <c r="D77" s="99">
        <v>1274.4000000000001</v>
      </c>
      <c r="E77" s="57" t="s">
        <v>16</v>
      </c>
      <c r="F77" s="58">
        <f t="shared" si="8"/>
        <v>318.60000000000002</v>
      </c>
      <c r="G77" s="95">
        <f>F77</f>
        <v>318.60000000000002</v>
      </c>
      <c r="H77" s="58">
        <f t="shared" si="9"/>
        <v>0</v>
      </c>
      <c r="I77" s="96">
        <v>1165877</v>
      </c>
      <c r="J77" s="26"/>
      <c r="K77" s="150"/>
    </row>
    <row r="78" spans="1:13" s="53" customFormat="1" ht="15.75" x14ac:dyDescent="0.25">
      <c r="A78" s="62">
        <v>76</v>
      </c>
      <c r="B78" s="63">
        <v>3517</v>
      </c>
      <c r="C78" s="100" t="s">
        <v>221</v>
      </c>
      <c r="D78" s="101">
        <v>1264.8</v>
      </c>
      <c r="E78" s="66" t="s">
        <v>16</v>
      </c>
      <c r="F78" s="67">
        <f t="shared" si="8"/>
        <v>316.2</v>
      </c>
      <c r="G78" s="102">
        <f>313.775+2.425</f>
        <v>316.2</v>
      </c>
      <c r="H78" s="67">
        <f t="shared" si="9"/>
        <v>0</v>
      </c>
      <c r="I78" s="103">
        <v>7047081</v>
      </c>
      <c r="J78" s="117">
        <v>45602</v>
      </c>
      <c r="K78" s="150">
        <v>45630</v>
      </c>
    </row>
    <row r="79" spans="1:13" s="53" customFormat="1" ht="15.75" x14ac:dyDescent="0.25">
      <c r="A79" s="54">
        <v>77</v>
      </c>
      <c r="B79" s="49">
        <v>3518</v>
      </c>
      <c r="C79" s="98" t="s">
        <v>54</v>
      </c>
      <c r="D79" s="99">
        <v>845.6</v>
      </c>
      <c r="E79" s="57" t="s">
        <v>16</v>
      </c>
      <c r="F79" s="58">
        <f t="shared" si="8"/>
        <v>211.4</v>
      </c>
      <c r="G79" s="95">
        <f>F79</f>
        <v>211.4</v>
      </c>
      <c r="H79" s="58">
        <f t="shared" si="9"/>
        <v>0</v>
      </c>
      <c r="I79" s="96">
        <v>20386956</v>
      </c>
      <c r="K79" s="150"/>
    </row>
    <row r="80" spans="1:13" s="53" customFormat="1" ht="15.75" x14ac:dyDescent="0.25">
      <c r="A80" s="62">
        <v>78</v>
      </c>
      <c r="B80" s="63">
        <v>3519</v>
      </c>
      <c r="C80" s="100" t="s">
        <v>223</v>
      </c>
      <c r="D80" s="101">
        <v>618.4</v>
      </c>
      <c r="E80" s="66" t="s">
        <v>16</v>
      </c>
      <c r="F80" s="67">
        <f t="shared" si="8"/>
        <v>154.6</v>
      </c>
      <c r="G80" s="102">
        <f>149.875+4.725</f>
        <v>154.6</v>
      </c>
      <c r="H80" s="67">
        <f t="shared" si="9"/>
        <v>0</v>
      </c>
      <c r="I80" s="103">
        <v>7047221</v>
      </c>
      <c r="J80" s="117">
        <v>45602</v>
      </c>
      <c r="K80" s="150">
        <v>45630</v>
      </c>
    </row>
    <row r="81" spans="1:11" s="53" customFormat="1" ht="15.75" x14ac:dyDescent="0.25">
      <c r="A81" s="54">
        <v>79</v>
      </c>
      <c r="B81" s="49">
        <v>3520</v>
      </c>
      <c r="C81" s="98" t="s">
        <v>225</v>
      </c>
      <c r="D81" s="99">
        <v>949.7</v>
      </c>
      <c r="E81" s="57" t="s">
        <v>16</v>
      </c>
      <c r="F81" s="58">
        <f t="shared" si="8"/>
        <v>237.42500000000001</v>
      </c>
      <c r="G81" s="95">
        <f>F81</f>
        <v>237.42500000000001</v>
      </c>
      <c r="H81" s="58">
        <f t="shared" si="9"/>
        <v>0</v>
      </c>
      <c r="I81" s="96">
        <v>5665362</v>
      </c>
      <c r="K81" s="150"/>
    </row>
    <row r="82" spans="1:11" s="53" customFormat="1" ht="15.75" x14ac:dyDescent="0.25">
      <c r="A82" s="54">
        <v>80</v>
      </c>
      <c r="B82" s="49">
        <v>3521</v>
      </c>
      <c r="C82" s="98" t="s">
        <v>227</v>
      </c>
      <c r="D82" s="99">
        <v>3863.6</v>
      </c>
      <c r="E82" s="57" t="s">
        <v>16</v>
      </c>
      <c r="F82" s="58">
        <f t="shared" si="8"/>
        <v>965.9</v>
      </c>
      <c r="G82" s="95">
        <f t="shared" ref="G82:G83" si="11">F82</f>
        <v>965.9</v>
      </c>
      <c r="H82" s="58">
        <f t="shared" si="9"/>
        <v>0</v>
      </c>
      <c r="I82" s="96">
        <v>7064553</v>
      </c>
      <c r="J82" s="26"/>
      <c r="K82" s="150"/>
    </row>
    <row r="83" spans="1:11" s="53" customFormat="1" ht="15.75" x14ac:dyDescent="0.25">
      <c r="A83" s="54">
        <v>81</v>
      </c>
      <c r="B83" s="49">
        <v>3522</v>
      </c>
      <c r="C83" s="98" t="s">
        <v>229</v>
      </c>
      <c r="D83" s="99">
        <v>580.5</v>
      </c>
      <c r="E83" s="57" t="s">
        <v>16</v>
      </c>
      <c r="F83" s="58">
        <f t="shared" si="8"/>
        <v>145.125</v>
      </c>
      <c r="G83" s="95">
        <f t="shared" si="11"/>
        <v>145.125</v>
      </c>
      <c r="H83" s="58">
        <f t="shared" si="9"/>
        <v>0</v>
      </c>
      <c r="I83" s="96">
        <v>11365191</v>
      </c>
      <c r="J83" s="26"/>
      <c r="K83" s="150"/>
    </row>
    <row r="84" spans="1:11" s="53" customFormat="1" ht="19.5" x14ac:dyDescent="0.25">
      <c r="A84" s="106"/>
      <c r="B84" s="106"/>
      <c r="C84" s="106"/>
      <c r="D84" s="107">
        <f>SUM(D4:D83)</f>
        <v>130246.21999999999</v>
      </c>
      <c r="E84" s="106" t="s">
        <v>26</v>
      </c>
      <c r="F84" s="106">
        <f>SUM(F4:F83)</f>
        <v>32561.554999999997</v>
      </c>
      <c r="G84" s="106">
        <f t="shared" ref="G84:H84" si="12">SUM(G4:G83)</f>
        <v>32554.805199999992</v>
      </c>
      <c r="H84" s="106">
        <f t="shared" si="12"/>
        <v>6.7498000000000218</v>
      </c>
      <c r="I84" s="106"/>
      <c r="J84" s="108"/>
      <c r="K84" s="158"/>
    </row>
    <row r="85" spans="1:11" x14ac:dyDescent="0.25">
      <c r="F85" s="40"/>
      <c r="G85" s="40"/>
      <c r="H85" s="40"/>
    </row>
    <row r="86" spans="1:11" x14ac:dyDescent="0.25">
      <c r="D86" s="45"/>
      <c r="F86" s="45"/>
      <c r="G86" s="45">
        <f>G67+G64+G58</f>
        <v>1215.1999999999998</v>
      </c>
      <c r="H86" s="45"/>
    </row>
    <row r="87" spans="1:11" x14ac:dyDescent="0.25">
      <c r="F87" s="40"/>
      <c r="G87" s="40">
        <f>G84-G86</f>
        <v>31339.605199999991</v>
      </c>
      <c r="H87" s="40"/>
    </row>
    <row r="88" spans="1:11" x14ac:dyDescent="0.25">
      <c r="F88" s="40"/>
      <c r="G88" s="198">
        <f>G87/F84</f>
        <v>0.96247262147031964</v>
      </c>
      <c r="H88" s="40"/>
    </row>
    <row r="89" spans="1:11" x14ac:dyDescent="0.25">
      <c r="F89" s="40"/>
      <c r="G89" s="40"/>
      <c r="H89" s="40"/>
    </row>
    <row r="90" spans="1:11" x14ac:dyDescent="0.25">
      <c r="F90" s="40"/>
      <c r="G90" s="40"/>
      <c r="H90" s="40"/>
    </row>
    <row r="91" spans="1:11" x14ac:dyDescent="0.25">
      <c r="F91" s="40"/>
      <c r="G91" s="40"/>
      <c r="H91" s="40"/>
    </row>
    <row r="92" spans="1:11" x14ac:dyDescent="0.25">
      <c r="F92" s="40"/>
      <c r="G92" s="40"/>
      <c r="H92" s="40"/>
    </row>
    <row r="93" spans="1:11" s="41" customFormat="1" x14ac:dyDescent="0.25">
      <c r="A93"/>
      <c r="B93"/>
      <c r="C93"/>
      <c r="D93" s="6"/>
      <c r="E93" s="6"/>
      <c r="F93" s="40"/>
      <c r="G93" s="40"/>
      <c r="H93" s="40"/>
      <c r="I93" s="44"/>
      <c r="J93"/>
      <c r="K93" s="159"/>
    </row>
    <row r="94" spans="1:11" s="41" customFormat="1" x14ac:dyDescent="0.25">
      <c r="A94"/>
      <c r="B94"/>
      <c r="C94"/>
      <c r="D94" s="6"/>
      <c r="E94" s="6"/>
      <c r="F94" s="40"/>
      <c r="G94" s="40"/>
      <c r="H94" s="40"/>
      <c r="I94" s="44"/>
      <c r="J94"/>
      <c r="K94" s="159"/>
    </row>
    <row r="95" spans="1:11" s="41" customFormat="1" x14ac:dyDescent="0.25">
      <c r="A95"/>
      <c r="B95"/>
      <c r="C95"/>
      <c r="D95" s="6"/>
      <c r="E95" s="6"/>
      <c r="F95" s="40"/>
      <c r="G95" s="40"/>
      <c r="H95" s="40"/>
      <c r="I95" s="44"/>
      <c r="J95"/>
      <c r="K95" s="159"/>
    </row>
    <row r="96" spans="1:11" s="41" customFormat="1" x14ac:dyDescent="0.25">
      <c r="A96"/>
      <c r="B96"/>
      <c r="C96"/>
      <c r="D96" s="6"/>
      <c r="E96" s="6"/>
      <c r="F96" s="40"/>
      <c r="G96" s="40"/>
      <c r="H96" s="40"/>
      <c r="I96" s="44"/>
      <c r="J96"/>
      <c r="K96" s="159"/>
    </row>
    <row r="97" spans="1:11" s="41" customFormat="1" x14ac:dyDescent="0.25">
      <c r="A97"/>
      <c r="B97"/>
      <c r="C97"/>
      <c r="D97" s="6"/>
      <c r="E97" s="6"/>
      <c r="F97" s="40"/>
      <c r="G97" s="40"/>
      <c r="H97" s="40"/>
      <c r="I97" s="44"/>
      <c r="J97"/>
      <c r="K97" s="159"/>
    </row>
    <row r="98" spans="1:11" s="41" customFormat="1" x14ac:dyDescent="0.25">
      <c r="A98"/>
      <c r="B98"/>
      <c r="C98"/>
      <c r="D98" s="6"/>
      <c r="E98" s="6"/>
      <c r="F98" s="40"/>
      <c r="G98" s="40"/>
      <c r="H98" s="40"/>
      <c r="I98" s="44"/>
      <c r="J98"/>
      <c r="K98" s="159"/>
    </row>
    <row r="99" spans="1:11" s="41" customFormat="1" x14ac:dyDescent="0.25">
      <c r="A99"/>
      <c r="B99"/>
      <c r="C99"/>
      <c r="D99" s="6"/>
      <c r="E99" s="6"/>
      <c r="F99" s="40"/>
      <c r="G99" s="40"/>
      <c r="H99" s="40"/>
      <c r="I99" s="44"/>
      <c r="J99"/>
      <c r="K99" s="159"/>
    </row>
    <row r="100" spans="1:11" s="41" customFormat="1" x14ac:dyDescent="0.25">
      <c r="A100"/>
      <c r="B100"/>
      <c r="C100"/>
      <c r="D100" s="6"/>
      <c r="E100" s="6"/>
      <c r="F100" s="40"/>
      <c r="G100" s="40"/>
      <c r="H100" s="40"/>
      <c r="I100" s="44"/>
      <c r="J100"/>
      <c r="K100" s="159"/>
    </row>
    <row r="101" spans="1:11" s="41" customFormat="1" x14ac:dyDescent="0.25">
      <c r="A101"/>
      <c r="B101"/>
      <c r="C101"/>
      <c r="D101" s="6"/>
      <c r="E101" s="6"/>
      <c r="F101" s="40"/>
      <c r="G101" s="40"/>
      <c r="H101" s="40"/>
      <c r="I101" s="44"/>
      <c r="J101"/>
      <c r="K101" s="159"/>
    </row>
    <row r="102" spans="1:11" s="41" customFormat="1" x14ac:dyDescent="0.25">
      <c r="A102"/>
      <c r="B102"/>
      <c r="C102"/>
      <c r="D102" s="6"/>
      <c r="E102" s="6"/>
      <c r="F102" s="40"/>
      <c r="G102" s="40"/>
      <c r="H102" s="40"/>
      <c r="I102" s="44"/>
      <c r="J102"/>
      <c r="K102" s="159"/>
    </row>
    <row r="103" spans="1:11" s="41" customFormat="1" x14ac:dyDescent="0.25">
      <c r="A103"/>
      <c r="B103"/>
      <c r="C103"/>
      <c r="D103" s="6"/>
      <c r="E103" s="6"/>
      <c r="F103" s="40"/>
      <c r="G103" s="40"/>
      <c r="H103" s="40"/>
      <c r="I103" s="44"/>
      <c r="J103"/>
      <c r="K103" s="159"/>
    </row>
    <row r="104" spans="1:11" s="41" customFormat="1" x14ac:dyDescent="0.25">
      <c r="A104"/>
      <c r="B104"/>
      <c r="C104"/>
      <c r="D104" s="6"/>
      <c r="E104" s="6"/>
      <c r="F104" s="40"/>
      <c r="G104" s="40"/>
      <c r="H104" s="40"/>
      <c r="I104" s="44"/>
      <c r="J104"/>
      <c r="K104" s="159"/>
    </row>
    <row r="105" spans="1:11" s="41" customFormat="1" x14ac:dyDescent="0.25">
      <c r="A105"/>
      <c r="B105"/>
      <c r="C105"/>
      <c r="D105" s="6"/>
      <c r="E105" s="6"/>
      <c r="F105" s="40"/>
      <c r="G105" s="40"/>
      <c r="H105" s="40"/>
      <c r="I105" s="44"/>
      <c r="J105"/>
      <c r="K105" s="159"/>
    </row>
    <row r="106" spans="1:11" s="41" customFormat="1" x14ac:dyDescent="0.25">
      <c r="A106"/>
      <c r="B106"/>
      <c r="C106"/>
      <c r="D106" s="6"/>
      <c r="E106" s="6"/>
      <c r="F106" s="40"/>
      <c r="G106" s="40"/>
      <c r="H106" s="40"/>
      <c r="I106" s="44"/>
      <c r="J106"/>
      <c r="K106" s="159"/>
    </row>
    <row r="107" spans="1:11" s="41" customFormat="1" x14ac:dyDescent="0.25">
      <c r="A107"/>
      <c r="B107"/>
      <c r="C107"/>
      <c r="D107" s="6"/>
      <c r="E107" s="6"/>
      <c r="F107" s="40"/>
      <c r="G107" s="40"/>
      <c r="H107" s="40"/>
      <c r="I107" s="44"/>
      <c r="J107"/>
      <c r="K107" s="159"/>
    </row>
    <row r="108" spans="1:11" s="41" customFormat="1" x14ac:dyDescent="0.25">
      <c r="A108"/>
      <c r="B108"/>
      <c r="C108"/>
      <c r="D108" s="6"/>
      <c r="E108" s="6"/>
      <c r="F108" s="40"/>
      <c r="G108" s="40"/>
      <c r="H108" s="40"/>
      <c r="I108" s="44"/>
      <c r="J108"/>
      <c r="K108" s="159"/>
    </row>
    <row r="109" spans="1:11" s="41" customFormat="1" x14ac:dyDescent="0.25">
      <c r="A109"/>
      <c r="B109"/>
      <c r="C109"/>
      <c r="D109" s="6"/>
      <c r="E109" s="6"/>
      <c r="F109" s="40"/>
      <c r="G109" s="40"/>
      <c r="H109" s="40"/>
      <c r="I109" s="44"/>
      <c r="J109"/>
      <c r="K109" s="159"/>
    </row>
    <row r="110" spans="1:11" s="41" customFormat="1" x14ac:dyDescent="0.25">
      <c r="A110"/>
      <c r="B110"/>
      <c r="C110"/>
      <c r="D110" s="6"/>
      <c r="E110" s="6"/>
      <c r="F110" s="40"/>
      <c r="G110" s="40"/>
      <c r="H110" s="40"/>
      <c r="I110" s="44"/>
      <c r="J110"/>
      <c r="K110" s="159"/>
    </row>
    <row r="111" spans="1:11" s="41" customFormat="1" x14ac:dyDescent="0.25">
      <c r="A111"/>
      <c r="B111"/>
      <c r="C111"/>
      <c r="D111" s="6"/>
      <c r="E111" s="6"/>
      <c r="F111" s="40"/>
      <c r="G111" s="40"/>
      <c r="H111" s="40"/>
      <c r="I111" s="44"/>
      <c r="J111"/>
      <c r="K111" s="159"/>
    </row>
    <row r="112" spans="1:11" s="41" customFormat="1" x14ac:dyDescent="0.25">
      <c r="A112"/>
      <c r="B112"/>
      <c r="C112"/>
      <c r="D112" s="6"/>
      <c r="E112" s="6"/>
      <c r="F112" s="40"/>
      <c r="G112" s="40"/>
      <c r="H112" s="40"/>
      <c r="I112" s="44"/>
      <c r="J112"/>
      <c r="K112" s="159"/>
    </row>
    <row r="113" spans="1:11" s="41" customFormat="1" x14ac:dyDescent="0.25">
      <c r="A113"/>
      <c r="B113"/>
      <c r="C113"/>
      <c r="D113" s="6"/>
      <c r="E113" s="6"/>
      <c r="F113" s="40"/>
      <c r="G113" s="40"/>
      <c r="H113" s="40"/>
      <c r="I113" s="44"/>
      <c r="J113"/>
      <c r="K113" s="159"/>
    </row>
    <row r="114" spans="1:11" s="41" customFormat="1" x14ac:dyDescent="0.25">
      <c r="A114"/>
      <c r="B114"/>
      <c r="C114"/>
      <c r="D114" s="6"/>
      <c r="E114" s="6"/>
      <c r="F114" s="40"/>
      <c r="G114" s="40"/>
      <c r="H114" s="40"/>
      <c r="I114" s="44"/>
      <c r="J114"/>
      <c r="K114" s="159"/>
    </row>
    <row r="115" spans="1:11" s="41" customFormat="1" x14ac:dyDescent="0.25">
      <c r="A115"/>
      <c r="B115"/>
      <c r="C115"/>
      <c r="D115" s="6"/>
      <c r="E115" s="6"/>
      <c r="F115" s="40"/>
      <c r="G115" s="40"/>
      <c r="H115" s="40"/>
      <c r="I115" s="44"/>
      <c r="J115"/>
      <c r="K115" s="159"/>
    </row>
  </sheetData>
  <autoFilter ref="A2:J84" xr:uid="{5F850CDF-A1A3-41D4-BE85-97F3314D4D42}"/>
  <mergeCells count="11">
    <mergeCell ref="J2:J3"/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8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1898-0A06-418D-A298-B07FC709579E}">
  <sheetPr codeName="Sheet6"/>
  <dimension ref="A1:V117"/>
  <sheetViews>
    <sheetView view="pageBreakPreview" zoomScaleNormal="100" zoomScaleSheetLayoutView="100" workbookViewId="0">
      <pane xSplit="3" ySplit="3" topLeftCell="D18" activePane="bottomRight" state="frozen"/>
      <selection activeCell="C92" sqref="C92"/>
      <selection pane="topRight" activeCell="C92" sqref="C92"/>
      <selection pane="bottomLeft" activeCell="C92" sqref="C92"/>
      <selection pane="bottomRight" activeCell="C92" sqref="C92"/>
    </sheetView>
  </sheetViews>
  <sheetFormatPr defaultRowHeight="15" x14ac:dyDescent="0.25"/>
  <cols>
    <col min="1" max="1" width="5.7109375" customWidth="1"/>
    <col min="2" max="2" width="9.28515625" customWidth="1"/>
    <col min="3" max="3" width="51.7109375" customWidth="1"/>
    <col min="4" max="4" width="19" style="6" customWidth="1"/>
    <col min="5" max="5" width="12.42578125" style="6" customWidth="1"/>
    <col min="6" max="6" width="16" style="6" bestFit="1" customWidth="1"/>
    <col min="7" max="8" width="16" style="6" customWidth="1"/>
    <col min="9" max="9" width="28" style="113" customWidth="1"/>
    <col min="10" max="10" width="11.5703125" style="159" bestFit="1" customWidth="1"/>
    <col min="11" max="12" width="11" style="43" customWidth="1"/>
    <col min="13" max="14" width="9.28515625" customWidth="1"/>
    <col min="15" max="15" width="51.7109375" customWidth="1"/>
    <col min="16" max="16" width="12.28515625" customWidth="1"/>
    <col min="17" max="18" width="12.28515625" style="41" customWidth="1"/>
    <col min="19" max="19" width="21.42578125" style="41" bestFit="1" customWidth="1"/>
    <col min="20" max="20" width="18.28515625" style="41" bestFit="1" customWidth="1"/>
    <col min="21" max="21" width="17.5703125" style="41" bestFit="1" customWidth="1"/>
    <col min="256" max="256" width="5.7109375" customWidth="1"/>
    <col min="257" max="257" width="9.28515625" customWidth="1"/>
    <col min="258" max="258" width="51.7109375" customWidth="1"/>
    <col min="259" max="259" width="19" customWidth="1"/>
    <col min="260" max="260" width="12.42578125" customWidth="1"/>
    <col min="261" max="261" width="16" bestFit="1" customWidth="1"/>
    <col min="262" max="262" width="12.28515625" customWidth="1"/>
    <col min="263" max="263" width="21.42578125" bestFit="1" customWidth="1"/>
    <col min="264" max="264" width="15.42578125" bestFit="1" customWidth="1"/>
    <col min="265" max="265" width="16.5703125" bestFit="1" customWidth="1"/>
    <col min="266" max="266" width="12" bestFit="1" customWidth="1"/>
    <col min="267" max="267" width="28" customWidth="1"/>
    <col min="268" max="268" width="11" customWidth="1"/>
    <col min="269" max="270" width="9.28515625" customWidth="1"/>
    <col min="271" max="271" width="51.7109375" customWidth="1"/>
    <col min="272" max="274" width="12.28515625" customWidth="1"/>
    <col min="275" max="275" width="21.42578125" bestFit="1" customWidth="1"/>
    <col min="276" max="276" width="18.28515625" bestFit="1" customWidth="1"/>
    <col min="277" max="277" width="17.5703125" bestFit="1" customWidth="1"/>
    <col min="512" max="512" width="5.7109375" customWidth="1"/>
    <col min="513" max="513" width="9.28515625" customWidth="1"/>
    <col min="514" max="514" width="51.7109375" customWidth="1"/>
    <col min="515" max="515" width="19" customWidth="1"/>
    <col min="516" max="516" width="12.42578125" customWidth="1"/>
    <col min="517" max="517" width="16" bestFit="1" customWidth="1"/>
    <col min="518" max="518" width="12.28515625" customWidth="1"/>
    <col min="519" max="519" width="21.42578125" bestFit="1" customWidth="1"/>
    <col min="520" max="520" width="15.42578125" bestFit="1" customWidth="1"/>
    <col min="521" max="521" width="16.5703125" bestFit="1" customWidth="1"/>
    <col min="522" max="522" width="12" bestFit="1" customWidth="1"/>
    <col min="523" max="523" width="28" customWidth="1"/>
    <col min="524" max="524" width="11" customWidth="1"/>
    <col min="525" max="526" width="9.28515625" customWidth="1"/>
    <col min="527" max="527" width="51.7109375" customWidth="1"/>
    <col min="528" max="530" width="12.28515625" customWidth="1"/>
    <col min="531" max="531" width="21.42578125" bestFit="1" customWidth="1"/>
    <col min="532" max="532" width="18.28515625" bestFit="1" customWidth="1"/>
    <col min="533" max="533" width="17.5703125" bestFit="1" customWidth="1"/>
    <col min="768" max="768" width="5.7109375" customWidth="1"/>
    <col min="769" max="769" width="9.28515625" customWidth="1"/>
    <col min="770" max="770" width="51.7109375" customWidth="1"/>
    <col min="771" max="771" width="19" customWidth="1"/>
    <col min="772" max="772" width="12.42578125" customWidth="1"/>
    <col min="773" max="773" width="16" bestFit="1" customWidth="1"/>
    <col min="774" max="774" width="12.28515625" customWidth="1"/>
    <col min="775" max="775" width="21.42578125" bestFit="1" customWidth="1"/>
    <col min="776" max="776" width="15.42578125" bestFit="1" customWidth="1"/>
    <col min="777" max="777" width="16.5703125" bestFit="1" customWidth="1"/>
    <col min="778" max="778" width="12" bestFit="1" customWidth="1"/>
    <col min="779" max="779" width="28" customWidth="1"/>
    <col min="780" max="780" width="11" customWidth="1"/>
    <col min="781" max="782" width="9.28515625" customWidth="1"/>
    <col min="783" max="783" width="51.7109375" customWidth="1"/>
    <col min="784" max="786" width="12.28515625" customWidth="1"/>
    <col min="787" max="787" width="21.42578125" bestFit="1" customWidth="1"/>
    <col min="788" max="788" width="18.28515625" bestFit="1" customWidth="1"/>
    <col min="789" max="789" width="17.5703125" bestFit="1" customWidth="1"/>
    <col min="1024" max="1024" width="5.7109375" customWidth="1"/>
    <col min="1025" max="1025" width="9.28515625" customWidth="1"/>
    <col min="1026" max="1026" width="51.7109375" customWidth="1"/>
    <col min="1027" max="1027" width="19" customWidth="1"/>
    <col min="1028" max="1028" width="12.42578125" customWidth="1"/>
    <col min="1029" max="1029" width="16" bestFit="1" customWidth="1"/>
    <col min="1030" max="1030" width="12.28515625" customWidth="1"/>
    <col min="1031" max="1031" width="21.42578125" bestFit="1" customWidth="1"/>
    <col min="1032" max="1032" width="15.42578125" bestFit="1" customWidth="1"/>
    <col min="1033" max="1033" width="16.5703125" bestFit="1" customWidth="1"/>
    <col min="1034" max="1034" width="12" bestFit="1" customWidth="1"/>
    <col min="1035" max="1035" width="28" customWidth="1"/>
    <col min="1036" max="1036" width="11" customWidth="1"/>
    <col min="1037" max="1038" width="9.28515625" customWidth="1"/>
    <col min="1039" max="1039" width="51.7109375" customWidth="1"/>
    <col min="1040" max="1042" width="12.28515625" customWidth="1"/>
    <col min="1043" max="1043" width="21.42578125" bestFit="1" customWidth="1"/>
    <col min="1044" max="1044" width="18.28515625" bestFit="1" customWidth="1"/>
    <col min="1045" max="1045" width="17.5703125" bestFit="1" customWidth="1"/>
    <col min="1280" max="1280" width="5.7109375" customWidth="1"/>
    <col min="1281" max="1281" width="9.28515625" customWidth="1"/>
    <col min="1282" max="1282" width="51.7109375" customWidth="1"/>
    <col min="1283" max="1283" width="19" customWidth="1"/>
    <col min="1284" max="1284" width="12.42578125" customWidth="1"/>
    <col min="1285" max="1285" width="16" bestFit="1" customWidth="1"/>
    <col min="1286" max="1286" width="12.28515625" customWidth="1"/>
    <col min="1287" max="1287" width="21.42578125" bestFit="1" customWidth="1"/>
    <col min="1288" max="1288" width="15.42578125" bestFit="1" customWidth="1"/>
    <col min="1289" max="1289" width="16.5703125" bestFit="1" customWidth="1"/>
    <col min="1290" max="1290" width="12" bestFit="1" customWidth="1"/>
    <col min="1291" max="1291" width="28" customWidth="1"/>
    <col min="1292" max="1292" width="11" customWidth="1"/>
    <col min="1293" max="1294" width="9.28515625" customWidth="1"/>
    <col min="1295" max="1295" width="51.7109375" customWidth="1"/>
    <col min="1296" max="1298" width="12.28515625" customWidth="1"/>
    <col min="1299" max="1299" width="21.42578125" bestFit="1" customWidth="1"/>
    <col min="1300" max="1300" width="18.28515625" bestFit="1" customWidth="1"/>
    <col min="1301" max="1301" width="17.5703125" bestFit="1" customWidth="1"/>
    <col min="1536" max="1536" width="5.7109375" customWidth="1"/>
    <col min="1537" max="1537" width="9.28515625" customWidth="1"/>
    <col min="1538" max="1538" width="51.7109375" customWidth="1"/>
    <col min="1539" max="1539" width="19" customWidth="1"/>
    <col min="1540" max="1540" width="12.42578125" customWidth="1"/>
    <col min="1541" max="1541" width="16" bestFit="1" customWidth="1"/>
    <col min="1542" max="1542" width="12.28515625" customWidth="1"/>
    <col min="1543" max="1543" width="21.42578125" bestFit="1" customWidth="1"/>
    <col min="1544" max="1544" width="15.42578125" bestFit="1" customWidth="1"/>
    <col min="1545" max="1545" width="16.5703125" bestFit="1" customWidth="1"/>
    <col min="1546" max="1546" width="12" bestFit="1" customWidth="1"/>
    <col min="1547" max="1547" width="28" customWidth="1"/>
    <col min="1548" max="1548" width="11" customWidth="1"/>
    <col min="1549" max="1550" width="9.28515625" customWidth="1"/>
    <col min="1551" max="1551" width="51.7109375" customWidth="1"/>
    <col min="1552" max="1554" width="12.28515625" customWidth="1"/>
    <col min="1555" max="1555" width="21.42578125" bestFit="1" customWidth="1"/>
    <col min="1556" max="1556" width="18.28515625" bestFit="1" customWidth="1"/>
    <col min="1557" max="1557" width="17.5703125" bestFit="1" customWidth="1"/>
    <col min="1792" max="1792" width="5.7109375" customWidth="1"/>
    <col min="1793" max="1793" width="9.28515625" customWidth="1"/>
    <col min="1794" max="1794" width="51.7109375" customWidth="1"/>
    <col min="1795" max="1795" width="19" customWidth="1"/>
    <col min="1796" max="1796" width="12.42578125" customWidth="1"/>
    <col min="1797" max="1797" width="16" bestFit="1" customWidth="1"/>
    <col min="1798" max="1798" width="12.28515625" customWidth="1"/>
    <col min="1799" max="1799" width="21.42578125" bestFit="1" customWidth="1"/>
    <col min="1800" max="1800" width="15.42578125" bestFit="1" customWidth="1"/>
    <col min="1801" max="1801" width="16.5703125" bestFit="1" customWidth="1"/>
    <col min="1802" max="1802" width="12" bestFit="1" customWidth="1"/>
    <col min="1803" max="1803" width="28" customWidth="1"/>
    <col min="1804" max="1804" width="11" customWidth="1"/>
    <col min="1805" max="1806" width="9.28515625" customWidth="1"/>
    <col min="1807" max="1807" width="51.7109375" customWidth="1"/>
    <col min="1808" max="1810" width="12.28515625" customWidth="1"/>
    <col min="1811" max="1811" width="21.42578125" bestFit="1" customWidth="1"/>
    <col min="1812" max="1812" width="18.28515625" bestFit="1" customWidth="1"/>
    <col min="1813" max="1813" width="17.5703125" bestFit="1" customWidth="1"/>
    <col min="2048" max="2048" width="5.7109375" customWidth="1"/>
    <col min="2049" max="2049" width="9.28515625" customWidth="1"/>
    <col min="2050" max="2050" width="51.7109375" customWidth="1"/>
    <col min="2051" max="2051" width="19" customWidth="1"/>
    <col min="2052" max="2052" width="12.42578125" customWidth="1"/>
    <col min="2053" max="2053" width="16" bestFit="1" customWidth="1"/>
    <col min="2054" max="2054" width="12.28515625" customWidth="1"/>
    <col min="2055" max="2055" width="21.42578125" bestFit="1" customWidth="1"/>
    <col min="2056" max="2056" width="15.42578125" bestFit="1" customWidth="1"/>
    <col min="2057" max="2057" width="16.5703125" bestFit="1" customWidth="1"/>
    <col min="2058" max="2058" width="12" bestFit="1" customWidth="1"/>
    <col min="2059" max="2059" width="28" customWidth="1"/>
    <col min="2060" max="2060" width="11" customWidth="1"/>
    <col min="2061" max="2062" width="9.28515625" customWidth="1"/>
    <col min="2063" max="2063" width="51.7109375" customWidth="1"/>
    <col min="2064" max="2066" width="12.28515625" customWidth="1"/>
    <col min="2067" max="2067" width="21.42578125" bestFit="1" customWidth="1"/>
    <col min="2068" max="2068" width="18.28515625" bestFit="1" customWidth="1"/>
    <col min="2069" max="2069" width="17.5703125" bestFit="1" customWidth="1"/>
    <col min="2304" max="2304" width="5.7109375" customWidth="1"/>
    <col min="2305" max="2305" width="9.28515625" customWidth="1"/>
    <col min="2306" max="2306" width="51.7109375" customWidth="1"/>
    <col min="2307" max="2307" width="19" customWidth="1"/>
    <col min="2308" max="2308" width="12.42578125" customWidth="1"/>
    <col min="2309" max="2309" width="16" bestFit="1" customWidth="1"/>
    <col min="2310" max="2310" width="12.28515625" customWidth="1"/>
    <col min="2311" max="2311" width="21.42578125" bestFit="1" customWidth="1"/>
    <col min="2312" max="2312" width="15.42578125" bestFit="1" customWidth="1"/>
    <col min="2313" max="2313" width="16.5703125" bestFit="1" customWidth="1"/>
    <col min="2314" max="2314" width="12" bestFit="1" customWidth="1"/>
    <col min="2315" max="2315" width="28" customWidth="1"/>
    <col min="2316" max="2316" width="11" customWidth="1"/>
    <col min="2317" max="2318" width="9.28515625" customWidth="1"/>
    <col min="2319" max="2319" width="51.7109375" customWidth="1"/>
    <col min="2320" max="2322" width="12.28515625" customWidth="1"/>
    <col min="2323" max="2323" width="21.42578125" bestFit="1" customWidth="1"/>
    <col min="2324" max="2324" width="18.28515625" bestFit="1" customWidth="1"/>
    <col min="2325" max="2325" width="17.5703125" bestFit="1" customWidth="1"/>
    <col min="2560" max="2560" width="5.7109375" customWidth="1"/>
    <col min="2561" max="2561" width="9.28515625" customWidth="1"/>
    <col min="2562" max="2562" width="51.7109375" customWidth="1"/>
    <col min="2563" max="2563" width="19" customWidth="1"/>
    <col min="2564" max="2564" width="12.42578125" customWidth="1"/>
    <col min="2565" max="2565" width="16" bestFit="1" customWidth="1"/>
    <col min="2566" max="2566" width="12.28515625" customWidth="1"/>
    <col min="2567" max="2567" width="21.42578125" bestFit="1" customWidth="1"/>
    <col min="2568" max="2568" width="15.42578125" bestFit="1" customWidth="1"/>
    <col min="2569" max="2569" width="16.5703125" bestFit="1" customWidth="1"/>
    <col min="2570" max="2570" width="12" bestFit="1" customWidth="1"/>
    <col min="2571" max="2571" width="28" customWidth="1"/>
    <col min="2572" max="2572" width="11" customWidth="1"/>
    <col min="2573" max="2574" width="9.28515625" customWidth="1"/>
    <col min="2575" max="2575" width="51.7109375" customWidth="1"/>
    <col min="2576" max="2578" width="12.28515625" customWidth="1"/>
    <col min="2579" max="2579" width="21.42578125" bestFit="1" customWidth="1"/>
    <col min="2580" max="2580" width="18.28515625" bestFit="1" customWidth="1"/>
    <col min="2581" max="2581" width="17.5703125" bestFit="1" customWidth="1"/>
    <col min="2816" max="2816" width="5.7109375" customWidth="1"/>
    <col min="2817" max="2817" width="9.28515625" customWidth="1"/>
    <col min="2818" max="2818" width="51.7109375" customWidth="1"/>
    <col min="2819" max="2819" width="19" customWidth="1"/>
    <col min="2820" max="2820" width="12.42578125" customWidth="1"/>
    <col min="2821" max="2821" width="16" bestFit="1" customWidth="1"/>
    <col min="2822" max="2822" width="12.28515625" customWidth="1"/>
    <col min="2823" max="2823" width="21.42578125" bestFit="1" customWidth="1"/>
    <col min="2824" max="2824" width="15.42578125" bestFit="1" customWidth="1"/>
    <col min="2825" max="2825" width="16.5703125" bestFit="1" customWidth="1"/>
    <col min="2826" max="2826" width="12" bestFit="1" customWidth="1"/>
    <col min="2827" max="2827" width="28" customWidth="1"/>
    <col min="2828" max="2828" width="11" customWidth="1"/>
    <col min="2829" max="2830" width="9.28515625" customWidth="1"/>
    <col min="2831" max="2831" width="51.7109375" customWidth="1"/>
    <col min="2832" max="2834" width="12.28515625" customWidth="1"/>
    <col min="2835" max="2835" width="21.42578125" bestFit="1" customWidth="1"/>
    <col min="2836" max="2836" width="18.28515625" bestFit="1" customWidth="1"/>
    <col min="2837" max="2837" width="17.5703125" bestFit="1" customWidth="1"/>
    <col min="3072" max="3072" width="5.7109375" customWidth="1"/>
    <col min="3073" max="3073" width="9.28515625" customWidth="1"/>
    <col min="3074" max="3074" width="51.7109375" customWidth="1"/>
    <col min="3075" max="3075" width="19" customWidth="1"/>
    <col min="3076" max="3076" width="12.42578125" customWidth="1"/>
    <col min="3077" max="3077" width="16" bestFit="1" customWidth="1"/>
    <col min="3078" max="3078" width="12.28515625" customWidth="1"/>
    <col min="3079" max="3079" width="21.42578125" bestFit="1" customWidth="1"/>
    <col min="3080" max="3080" width="15.42578125" bestFit="1" customWidth="1"/>
    <col min="3081" max="3081" width="16.5703125" bestFit="1" customWidth="1"/>
    <col min="3082" max="3082" width="12" bestFit="1" customWidth="1"/>
    <col min="3083" max="3083" width="28" customWidth="1"/>
    <col min="3084" max="3084" width="11" customWidth="1"/>
    <col min="3085" max="3086" width="9.28515625" customWidth="1"/>
    <col min="3087" max="3087" width="51.7109375" customWidth="1"/>
    <col min="3088" max="3090" width="12.28515625" customWidth="1"/>
    <col min="3091" max="3091" width="21.42578125" bestFit="1" customWidth="1"/>
    <col min="3092" max="3092" width="18.28515625" bestFit="1" customWidth="1"/>
    <col min="3093" max="3093" width="17.5703125" bestFit="1" customWidth="1"/>
    <col min="3328" max="3328" width="5.7109375" customWidth="1"/>
    <col min="3329" max="3329" width="9.28515625" customWidth="1"/>
    <col min="3330" max="3330" width="51.7109375" customWidth="1"/>
    <col min="3331" max="3331" width="19" customWidth="1"/>
    <col min="3332" max="3332" width="12.42578125" customWidth="1"/>
    <col min="3333" max="3333" width="16" bestFit="1" customWidth="1"/>
    <col min="3334" max="3334" width="12.28515625" customWidth="1"/>
    <col min="3335" max="3335" width="21.42578125" bestFit="1" customWidth="1"/>
    <col min="3336" max="3336" width="15.42578125" bestFit="1" customWidth="1"/>
    <col min="3337" max="3337" width="16.5703125" bestFit="1" customWidth="1"/>
    <col min="3338" max="3338" width="12" bestFit="1" customWidth="1"/>
    <col min="3339" max="3339" width="28" customWidth="1"/>
    <col min="3340" max="3340" width="11" customWidth="1"/>
    <col min="3341" max="3342" width="9.28515625" customWidth="1"/>
    <col min="3343" max="3343" width="51.7109375" customWidth="1"/>
    <col min="3344" max="3346" width="12.28515625" customWidth="1"/>
    <col min="3347" max="3347" width="21.42578125" bestFit="1" customWidth="1"/>
    <col min="3348" max="3348" width="18.28515625" bestFit="1" customWidth="1"/>
    <col min="3349" max="3349" width="17.5703125" bestFit="1" customWidth="1"/>
    <col min="3584" max="3584" width="5.7109375" customWidth="1"/>
    <col min="3585" max="3585" width="9.28515625" customWidth="1"/>
    <col min="3586" max="3586" width="51.7109375" customWidth="1"/>
    <col min="3587" max="3587" width="19" customWidth="1"/>
    <col min="3588" max="3588" width="12.42578125" customWidth="1"/>
    <col min="3589" max="3589" width="16" bestFit="1" customWidth="1"/>
    <col min="3590" max="3590" width="12.28515625" customWidth="1"/>
    <col min="3591" max="3591" width="21.42578125" bestFit="1" customWidth="1"/>
    <col min="3592" max="3592" width="15.42578125" bestFit="1" customWidth="1"/>
    <col min="3593" max="3593" width="16.5703125" bestFit="1" customWidth="1"/>
    <col min="3594" max="3594" width="12" bestFit="1" customWidth="1"/>
    <col min="3595" max="3595" width="28" customWidth="1"/>
    <col min="3596" max="3596" width="11" customWidth="1"/>
    <col min="3597" max="3598" width="9.28515625" customWidth="1"/>
    <col min="3599" max="3599" width="51.7109375" customWidth="1"/>
    <col min="3600" max="3602" width="12.28515625" customWidth="1"/>
    <col min="3603" max="3603" width="21.42578125" bestFit="1" customWidth="1"/>
    <col min="3604" max="3604" width="18.28515625" bestFit="1" customWidth="1"/>
    <col min="3605" max="3605" width="17.5703125" bestFit="1" customWidth="1"/>
    <col min="3840" max="3840" width="5.7109375" customWidth="1"/>
    <col min="3841" max="3841" width="9.28515625" customWidth="1"/>
    <col min="3842" max="3842" width="51.7109375" customWidth="1"/>
    <col min="3843" max="3843" width="19" customWidth="1"/>
    <col min="3844" max="3844" width="12.42578125" customWidth="1"/>
    <col min="3845" max="3845" width="16" bestFit="1" customWidth="1"/>
    <col min="3846" max="3846" width="12.28515625" customWidth="1"/>
    <col min="3847" max="3847" width="21.42578125" bestFit="1" customWidth="1"/>
    <col min="3848" max="3848" width="15.42578125" bestFit="1" customWidth="1"/>
    <col min="3849" max="3849" width="16.5703125" bestFit="1" customWidth="1"/>
    <col min="3850" max="3850" width="12" bestFit="1" customWidth="1"/>
    <col min="3851" max="3851" width="28" customWidth="1"/>
    <col min="3852" max="3852" width="11" customWidth="1"/>
    <col min="3853" max="3854" width="9.28515625" customWidth="1"/>
    <col min="3855" max="3855" width="51.7109375" customWidth="1"/>
    <col min="3856" max="3858" width="12.28515625" customWidth="1"/>
    <col min="3859" max="3859" width="21.42578125" bestFit="1" customWidth="1"/>
    <col min="3860" max="3860" width="18.28515625" bestFit="1" customWidth="1"/>
    <col min="3861" max="3861" width="17.5703125" bestFit="1" customWidth="1"/>
    <col min="4096" max="4096" width="5.7109375" customWidth="1"/>
    <col min="4097" max="4097" width="9.28515625" customWidth="1"/>
    <col min="4098" max="4098" width="51.7109375" customWidth="1"/>
    <col min="4099" max="4099" width="19" customWidth="1"/>
    <col min="4100" max="4100" width="12.42578125" customWidth="1"/>
    <col min="4101" max="4101" width="16" bestFit="1" customWidth="1"/>
    <col min="4102" max="4102" width="12.28515625" customWidth="1"/>
    <col min="4103" max="4103" width="21.42578125" bestFit="1" customWidth="1"/>
    <col min="4104" max="4104" width="15.42578125" bestFit="1" customWidth="1"/>
    <col min="4105" max="4105" width="16.5703125" bestFit="1" customWidth="1"/>
    <col min="4106" max="4106" width="12" bestFit="1" customWidth="1"/>
    <col min="4107" max="4107" width="28" customWidth="1"/>
    <col min="4108" max="4108" width="11" customWidth="1"/>
    <col min="4109" max="4110" width="9.28515625" customWidth="1"/>
    <col min="4111" max="4111" width="51.7109375" customWidth="1"/>
    <col min="4112" max="4114" width="12.28515625" customWidth="1"/>
    <col min="4115" max="4115" width="21.42578125" bestFit="1" customWidth="1"/>
    <col min="4116" max="4116" width="18.28515625" bestFit="1" customWidth="1"/>
    <col min="4117" max="4117" width="17.5703125" bestFit="1" customWidth="1"/>
    <col min="4352" max="4352" width="5.7109375" customWidth="1"/>
    <col min="4353" max="4353" width="9.28515625" customWidth="1"/>
    <col min="4354" max="4354" width="51.7109375" customWidth="1"/>
    <col min="4355" max="4355" width="19" customWidth="1"/>
    <col min="4356" max="4356" width="12.42578125" customWidth="1"/>
    <col min="4357" max="4357" width="16" bestFit="1" customWidth="1"/>
    <col min="4358" max="4358" width="12.28515625" customWidth="1"/>
    <col min="4359" max="4359" width="21.42578125" bestFit="1" customWidth="1"/>
    <col min="4360" max="4360" width="15.42578125" bestFit="1" customWidth="1"/>
    <col min="4361" max="4361" width="16.5703125" bestFit="1" customWidth="1"/>
    <col min="4362" max="4362" width="12" bestFit="1" customWidth="1"/>
    <col min="4363" max="4363" width="28" customWidth="1"/>
    <col min="4364" max="4364" width="11" customWidth="1"/>
    <col min="4365" max="4366" width="9.28515625" customWidth="1"/>
    <col min="4367" max="4367" width="51.7109375" customWidth="1"/>
    <col min="4368" max="4370" width="12.28515625" customWidth="1"/>
    <col min="4371" max="4371" width="21.42578125" bestFit="1" customWidth="1"/>
    <col min="4372" max="4372" width="18.28515625" bestFit="1" customWidth="1"/>
    <col min="4373" max="4373" width="17.5703125" bestFit="1" customWidth="1"/>
    <col min="4608" max="4608" width="5.7109375" customWidth="1"/>
    <col min="4609" max="4609" width="9.28515625" customWidth="1"/>
    <col min="4610" max="4610" width="51.7109375" customWidth="1"/>
    <col min="4611" max="4611" width="19" customWidth="1"/>
    <col min="4612" max="4612" width="12.42578125" customWidth="1"/>
    <col min="4613" max="4613" width="16" bestFit="1" customWidth="1"/>
    <col min="4614" max="4614" width="12.28515625" customWidth="1"/>
    <col min="4615" max="4615" width="21.42578125" bestFit="1" customWidth="1"/>
    <col min="4616" max="4616" width="15.42578125" bestFit="1" customWidth="1"/>
    <col min="4617" max="4617" width="16.5703125" bestFit="1" customWidth="1"/>
    <col min="4618" max="4618" width="12" bestFit="1" customWidth="1"/>
    <col min="4619" max="4619" width="28" customWidth="1"/>
    <col min="4620" max="4620" width="11" customWidth="1"/>
    <col min="4621" max="4622" width="9.28515625" customWidth="1"/>
    <col min="4623" max="4623" width="51.7109375" customWidth="1"/>
    <col min="4624" max="4626" width="12.28515625" customWidth="1"/>
    <col min="4627" max="4627" width="21.42578125" bestFit="1" customWidth="1"/>
    <col min="4628" max="4628" width="18.28515625" bestFit="1" customWidth="1"/>
    <col min="4629" max="4629" width="17.5703125" bestFit="1" customWidth="1"/>
    <col min="4864" max="4864" width="5.7109375" customWidth="1"/>
    <col min="4865" max="4865" width="9.28515625" customWidth="1"/>
    <col min="4866" max="4866" width="51.7109375" customWidth="1"/>
    <col min="4867" max="4867" width="19" customWidth="1"/>
    <col min="4868" max="4868" width="12.42578125" customWidth="1"/>
    <col min="4869" max="4869" width="16" bestFit="1" customWidth="1"/>
    <col min="4870" max="4870" width="12.28515625" customWidth="1"/>
    <col min="4871" max="4871" width="21.42578125" bestFit="1" customWidth="1"/>
    <col min="4872" max="4872" width="15.42578125" bestFit="1" customWidth="1"/>
    <col min="4873" max="4873" width="16.5703125" bestFit="1" customWidth="1"/>
    <col min="4874" max="4874" width="12" bestFit="1" customWidth="1"/>
    <col min="4875" max="4875" width="28" customWidth="1"/>
    <col min="4876" max="4876" width="11" customWidth="1"/>
    <col min="4877" max="4878" width="9.28515625" customWidth="1"/>
    <col min="4879" max="4879" width="51.7109375" customWidth="1"/>
    <col min="4880" max="4882" width="12.28515625" customWidth="1"/>
    <col min="4883" max="4883" width="21.42578125" bestFit="1" customWidth="1"/>
    <col min="4884" max="4884" width="18.28515625" bestFit="1" customWidth="1"/>
    <col min="4885" max="4885" width="17.5703125" bestFit="1" customWidth="1"/>
    <col min="5120" max="5120" width="5.7109375" customWidth="1"/>
    <col min="5121" max="5121" width="9.28515625" customWidth="1"/>
    <col min="5122" max="5122" width="51.7109375" customWidth="1"/>
    <col min="5123" max="5123" width="19" customWidth="1"/>
    <col min="5124" max="5124" width="12.42578125" customWidth="1"/>
    <col min="5125" max="5125" width="16" bestFit="1" customWidth="1"/>
    <col min="5126" max="5126" width="12.28515625" customWidth="1"/>
    <col min="5127" max="5127" width="21.42578125" bestFit="1" customWidth="1"/>
    <col min="5128" max="5128" width="15.42578125" bestFit="1" customWidth="1"/>
    <col min="5129" max="5129" width="16.5703125" bestFit="1" customWidth="1"/>
    <col min="5130" max="5130" width="12" bestFit="1" customWidth="1"/>
    <col min="5131" max="5131" width="28" customWidth="1"/>
    <col min="5132" max="5132" width="11" customWidth="1"/>
    <col min="5133" max="5134" width="9.28515625" customWidth="1"/>
    <col min="5135" max="5135" width="51.7109375" customWidth="1"/>
    <col min="5136" max="5138" width="12.28515625" customWidth="1"/>
    <col min="5139" max="5139" width="21.42578125" bestFit="1" customWidth="1"/>
    <col min="5140" max="5140" width="18.28515625" bestFit="1" customWidth="1"/>
    <col min="5141" max="5141" width="17.5703125" bestFit="1" customWidth="1"/>
    <col min="5376" max="5376" width="5.7109375" customWidth="1"/>
    <col min="5377" max="5377" width="9.28515625" customWidth="1"/>
    <col min="5378" max="5378" width="51.7109375" customWidth="1"/>
    <col min="5379" max="5379" width="19" customWidth="1"/>
    <col min="5380" max="5380" width="12.42578125" customWidth="1"/>
    <col min="5381" max="5381" width="16" bestFit="1" customWidth="1"/>
    <col min="5382" max="5382" width="12.28515625" customWidth="1"/>
    <col min="5383" max="5383" width="21.42578125" bestFit="1" customWidth="1"/>
    <col min="5384" max="5384" width="15.42578125" bestFit="1" customWidth="1"/>
    <col min="5385" max="5385" width="16.5703125" bestFit="1" customWidth="1"/>
    <col min="5386" max="5386" width="12" bestFit="1" customWidth="1"/>
    <col min="5387" max="5387" width="28" customWidth="1"/>
    <col min="5388" max="5388" width="11" customWidth="1"/>
    <col min="5389" max="5390" width="9.28515625" customWidth="1"/>
    <col min="5391" max="5391" width="51.7109375" customWidth="1"/>
    <col min="5392" max="5394" width="12.28515625" customWidth="1"/>
    <col min="5395" max="5395" width="21.42578125" bestFit="1" customWidth="1"/>
    <col min="5396" max="5396" width="18.28515625" bestFit="1" customWidth="1"/>
    <col min="5397" max="5397" width="17.5703125" bestFit="1" customWidth="1"/>
    <col min="5632" max="5632" width="5.7109375" customWidth="1"/>
    <col min="5633" max="5633" width="9.28515625" customWidth="1"/>
    <col min="5634" max="5634" width="51.7109375" customWidth="1"/>
    <col min="5635" max="5635" width="19" customWidth="1"/>
    <col min="5636" max="5636" width="12.42578125" customWidth="1"/>
    <col min="5637" max="5637" width="16" bestFit="1" customWidth="1"/>
    <col min="5638" max="5638" width="12.28515625" customWidth="1"/>
    <col min="5639" max="5639" width="21.42578125" bestFit="1" customWidth="1"/>
    <col min="5640" max="5640" width="15.42578125" bestFit="1" customWidth="1"/>
    <col min="5641" max="5641" width="16.5703125" bestFit="1" customWidth="1"/>
    <col min="5642" max="5642" width="12" bestFit="1" customWidth="1"/>
    <col min="5643" max="5643" width="28" customWidth="1"/>
    <col min="5644" max="5644" width="11" customWidth="1"/>
    <col min="5645" max="5646" width="9.28515625" customWidth="1"/>
    <col min="5647" max="5647" width="51.7109375" customWidth="1"/>
    <col min="5648" max="5650" width="12.28515625" customWidth="1"/>
    <col min="5651" max="5651" width="21.42578125" bestFit="1" customWidth="1"/>
    <col min="5652" max="5652" width="18.28515625" bestFit="1" customWidth="1"/>
    <col min="5653" max="5653" width="17.5703125" bestFit="1" customWidth="1"/>
    <col min="5888" max="5888" width="5.7109375" customWidth="1"/>
    <col min="5889" max="5889" width="9.28515625" customWidth="1"/>
    <col min="5890" max="5890" width="51.7109375" customWidth="1"/>
    <col min="5891" max="5891" width="19" customWidth="1"/>
    <col min="5892" max="5892" width="12.42578125" customWidth="1"/>
    <col min="5893" max="5893" width="16" bestFit="1" customWidth="1"/>
    <col min="5894" max="5894" width="12.28515625" customWidth="1"/>
    <col min="5895" max="5895" width="21.42578125" bestFit="1" customWidth="1"/>
    <col min="5896" max="5896" width="15.42578125" bestFit="1" customWidth="1"/>
    <col min="5897" max="5897" width="16.5703125" bestFit="1" customWidth="1"/>
    <col min="5898" max="5898" width="12" bestFit="1" customWidth="1"/>
    <col min="5899" max="5899" width="28" customWidth="1"/>
    <col min="5900" max="5900" width="11" customWidth="1"/>
    <col min="5901" max="5902" width="9.28515625" customWidth="1"/>
    <col min="5903" max="5903" width="51.7109375" customWidth="1"/>
    <col min="5904" max="5906" width="12.28515625" customWidth="1"/>
    <col min="5907" max="5907" width="21.42578125" bestFit="1" customWidth="1"/>
    <col min="5908" max="5908" width="18.28515625" bestFit="1" customWidth="1"/>
    <col min="5909" max="5909" width="17.5703125" bestFit="1" customWidth="1"/>
    <col min="6144" max="6144" width="5.7109375" customWidth="1"/>
    <col min="6145" max="6145" width="9.28515625" customWidth="1"/>
    <col min="6146" max="6146" width="51.7109375" customWidth="1"/>
    <col min="6147" max="6147" width="19" customWidth="1"/>
    <col min="6148" max="6148" width="12.42578125" customWidth="1"/>
    <col min="6149" max="6149" width="16" bestFit="1" customWidth="1"/>
    <col min="6150" max="6150" width="12.28515625" customWidth="1"/>
    <col min="6151" max="6151" width="21.42578125" bestFit="1" customWidth="1"/>
    <col min="6152" max="6152" width="15.42578125" bestFit="1" customWidth="1"/>
    <col min="6153" max="6153" width="16.5703125" bestFit="1" customWidth="1"/>
    <col min="6154" max="6154" width="12" bestFit="1" customWidth="1"/>
    <col min="6155" max="6155" width="28" customWidth="1"/>
    <col min="6156" max="6156" width="11" customWidth="1"/>
    <col min="6157" max="6158" width="9.28515625" customWidth="1"/>
    <col min="6159" max="6159" width="51.7109375" customWidth="1"/>
    <col min="6160" max="6162" width="12.28515625" customWidth="1"/>
    <col min="6163" max="6163" width="21.42578125" bestFit="1" customWidth="1"/>
    <col min="6164" max="6164" width="18.28515625" bestFit="1" customWidth="1"/>
    <col min="6165" max="6165" width="17.5703125" bestFit="1" customWidth="1"/>
    <col min="6400" max="6400" width="5.7109375" customWidth="1"/>
    <col min="6401" max="6401" width="9.28515625" customWidth="1"/>
    <col min="6402" max="6402" width="51.7109375" customWidth="1"/>
    <col min="6403" max="6403" width="19" customWidth="1"/>
    <col min="6404" max="6404" width="12.42578125" customWidth="1"/>
    <col min="6405" max="6405" width="16" bestFit="1" customWidth="1"/>
    <col min="6406" max="6406" width="12.28515625" customWidth="1"/>
    <col min="6407" max="6407" width="21.42578125" bestFit="1" customWidth="1"/>
    <col min="6408" max="6408" width="15.42578125" bestFit="1" customWidth="1"/>
    <col min="6409" max="6409" width="16.5703125" bestFit="1" customWidth="1"/>
    <col min="6410" max="6410" width="12" bestFit="1" customWidth="1"/>
    <col min="6411" max="6411" width="28" customWidth="1"/>
    <col min="6412" max="6412" width="11" customWidth="1"/>
    <col min="6413" max="6414" width="9.28515625" customWidth="1"/>
    <col min="6415" max="6415" width="51.7109375" customWidth="1"/>
    <col min="6416" max="6418" width="12.28515625" customWidth="1"/>
    <col min="6419" max="6419" width="21.42578125" bestFit="1" customWidth="1"/>
    <col min="6420" max="6420" width="18.28515625" bestFit="1" customWidth="1"/>
    <col min="6421" max="6421" width="17.5703125" bestFit="1" customWidth="1"/>
    <col min="6656" max="6656" width="5.7109375" customWidth="1"/>
    <col min="6657" max="6657" width="9.28515625" customWidth="1"/>
    <col min="6658" max="6658" width="51.7109375" customWidth="1"/>
    <col min="6659" max="6659" width="19" customWidth="1"/>
    <col min="6660" max="6660" width="12.42578125" customWidth="1"/>
    <col min="6661" max="6661" width="16" bestFit="1" customWidth="1"/>
    <col min="6662" max="6662" width="12.28515625" customWidth="1"/>
    <col min="6663" max="6663" width="21.42578125" bestFit="1" customWidth="1"/>
    <col min="6664" max="6664" width="15.42578125" bestFit="1" customWidth="1"/>
    <col min="6665" max="6665" width="16.5703125" bestFit="1" customWidth="1"/>
    <col min="6666" max="6666" width="12" bestFit="1" customWidth="1"/>
    <col min="6667" max="6667" width="28" customWidth="1"/>
    <col min="6668" max="6668" width="11" customWidth="1"/>
    <col min="6669" max="6670" width="9.28515625" customWidth="1"/>
    <col min="6671" max="6671" width="51.7109375" customWidth="1"/>
    <col min="6672" max="6674" width="12.28515625" customWidth="1"/>
    <col min="6675" max="6675" width="21.42578125" bestFit="1" customWidth="1"/>
    <col min="6676" max="6676" width="18.28515625" bestFit="1" customWidth="1"/>
    <col min="6677" max="6677" width="17.5703125" bestFit="1" customWidth="1"/>
    <col min="6912" max="6912" width="5.7109375" customWidth="1"/>
    <col min="6913" max="6913" width="9.28515625" customWidth="1"/>
    <col min="6914" max="6914" width="51.7109375" customWidth="1"/>
    <col min="6915" max="6915" width="19" customWidth="1"/>
    <col min="6916" max="6916" width="12.42578125" customWidth="1"/>
    <col min="6917" max="6917" width="16" bestFit="1" customWidth="1"/>
    <col min="6918" max="6918" width="12.28515625" customWidth="1"/>
    <col min="6919" max="6919" width="21.42578125" bestFit="1" customWidth="1"/>
    <col min="6920" max="6920" width="15.42578125" bestFit="1" customWidth="1"/>
    <col min="6921" max="6921" width="16.5703125" bestFit="1" customWidth="1"/>
    <col min="6922" max="6922" width="12" bestFit="1" customWidth="1"/>
    <col min="6923" max="6923" width="28" customWidth="1"/>
    <col min="6924" max="6924" width="11" customWidth="1"/>
    <col min="6925" max="6926" width="9.28515625" customWidth="1"/>
    <col min="6927" max="6927" width="51.7109375" customWidth="1"/>
    <col min="6928" max="6930" width="12.28515625" customWidth="1"/>
    <col min="6931" max="6931" width="21.42578125" bestFit="1" customWidth="1"/>
    <col min="6932" max="6932" width="18.28515625" bestFit="1" customWidth="1"/>
    <col min="6933" max="6933" width="17.5703125" bestFit="1" customWidth="1"/>
    <col min="7168" max="7168" width="5.7109375" customWidth="1"/>
    <col min="7169" max="7169" width="9.28515625" customWidth="1"/>
    <col min="7170" max="7170" width="51.7109375" customWidth="1"/>
    <col min="7171" max="7171" width="19" customWidth="1"/>
    <col min="7172" max="7172" width="12.42578125" customWidth="1"/>
    <col min="7173" max="7173" width="16" bestFit="1" customWidth="1"/>
    <col min="7174" max="7174" width="12.28515625" customWidth="1"/>
    <col min="7175" max="7175" width="21.42578125" bestFit="1" customWidth="1"/>
    <col min="7176" max="7176" width="15.42578125" bestFit="1" customWidth="1"/>
    <col min="7177" max="7177" width="16.5703125" bestFit="1" customWidth="1"/>
    <col min="7178" max="7178" width="12" bestFit="1" customWidth="1"/>
    <col min="7179" max="7179" width="28" customWidth="1"/>
    <col min="7180" max="7180" width="11" customWidth="1"/>
    <col min="7181" max="7182" width="9.28515625" customWidth="1"/>
    <col min="7183" max="7183" width="51.7109375" customWidth="1"/>
    <col min="7184" max="7186" width="12.28515625" customWidth="1"/>
    <col min="7187" max="7187" width="21.42578125" bestFit="1" customWidth="1"/>
    <col min="7188" max="7188" width="18.28515625" bestFit="1" customWidth="1"/>
    <col min="7189" max="7189" width="17.5703125" bestFit="1" customWidth="1"/>
    <col min="7424" max="7424" width="5.7109375" customWidth="1"/>
    <col min="7425" max="7425" width="9.28515625" customWidth="1"/>
    <col min="7426" max="7426" width="51.7109375" customWidth="1"/>
    <col min="7427" max="7427" width="19" customWidth="1"/>
    <col min="7428" max="7428" width="12.42578125" customWidth="1"/>
    <col min="7429" max="7429" width="16" bestFit="1" customWidth="1"/>
    <col min="7430" max="7430" width="12.28515625" customWidth="1"/>
    <col min="7431" max="7431" width="21.42578125" bestFit="1" customWidth="1"/>
    <col min="7432" max="7432" width="15.42578125" bestFit="1" customWidth="1"/>
    <col min="7433" max="7433" width="16.5703125" bestFit="1" customWidth="1"/>
    <col min="7434" max="7434" width="12" bestFit="1" customWidth="1"/>
    <col min="7435" max="7435" width="28" customWidth="1"/>
    <col min="7436" max="7436" width="11" customWidth="1"/>
    <col min="7437" max="7438" width="9.28515625" customWidth="1"/>
    <col min="7439" max="7439" width="51.7109375" customWidth="1"/>
    <col min="7440" max="7442" width="12.28515625" customWidth="1"/>
    <col min="7443" max="7443" width="21.42578125" bestFit="1" customWidth="1"/>
    <col min="7444" max="7444" width="18.28515625" bestFit="1" customWidth="1"/>
    <col min="7445" max="7445" width="17.5703125" bestFit="1" customWidth="1"/>
    <col min="7680" max="7680" width="5.7109375" customWidth="1"/>
    <col min="7681" max="7681" width="9.28515625" customWidth="1"/>
    <col min="7682" max="7682" width="51.7109375" customWidth="1"/>
    <col min="7683" max="7683" width="19" customWidth="1"/>
    <col min="7684" max="7684" width="12.42578125" customWidth="1"/>
    <col min="7685" max="7685" width="16" bestFit="1" customWidth="1"/>
    <col min="7686" max="7686" width="12.28515625" customWidth="1"/>
    <col min="7687" max="7687" width="21.42578125" bestFit="1" customWidth="1"/>
    <col min="7688" max="7688" width="15.42578125" bestFit="1" customWidth="1"/>
    <col min="7689" max="7689" width="16.5703125" bestFit="1" customWidth="1"/>
    <col min="7690" max="7690" width="12" bestFit="1" customWidth="1"/>
    <col min="7691" max="7691" width="28" customWidth="1"/>
    <col min="7692" max="7692" width="11" customWidth="1"/>
    <col min="7693" max="7694" width="9.28515625" customWidth="1"/>
    <col min="7695" max="7695" width="51.7109375" customWidth="1"/>
    <col min="7696" max="7698" width="12.28515625" customWidth="1"/>
    <col min="7699" max="7699" width="21.42578125" bestFit="1" customWidth="1"/>
    <col min="7700" max="7700" width="18.28515625" bestFit="1" customWidth="1"/>
    <col min="7701" max="7701" width="17.5703125" bestFit="1" customWidth="1"/>
    <col min="7936" max="7936" width="5.7109375" customWidth="1"/>
    <col min="7937" max="7937" width="9.28515625" customWidth="1"/>
    <col min="7938" max="7938" width="51.7109375" customWidth="1"/>
    <col min="7939" max="7939" width="19" customWidth="1"/>
    <col min="7940" max="7940" width="12.42578125" customWidth="1"/>
    <col min="7941" max="7941" width="16" bestFit="1" customWidth="1"/>
    <col min="7942" max="7942" width="12.28515625" customWidth="1"/>
    <col min="7943" max="7943" width="21.42578125" bestFit="1" customWidth="1"/>
    <col min="7944" max="7944" width="15.42578125" bestFit="1" customWidth="1"/>
    <col min="7945" max="7945" width="16.5703125" bestFit="1" customWidth="1"/>
    <col min="7946" max="7946" width="12" bestFit="1" customWidth="1"/>
    <col min="7947" max="7947" width="28" customWidth="1"/>
    <col min="7948" max="7948" width="11" customWidth="1"/>
    <col min="7949" max="7950" width="9.28515625" customWidth="1"/>
    <col min="7951" max="7951" width="51.7109375" customWidth="1"/>
    <col min="7952" max="7954" width="12.28515625" customWidth="1"/>
    <col min="7955" max="7955" width="21.42578125" bestFit="1" customWidth="1"/>
    <col min="7956" max="7956" width="18.28515625" bestFit="1" customWidth="1"/>
    <col min="7957" max="7957" width="17.5703125" bestFit="1" customWidth="1"/>
    <col min="8192" max="8192" width="5.7109375" customWidth="1"/>
    <col min="8193" max="8193" width="9.28515625" customWidth="1"/>
    <col min="8194" max="8194" width="51.7109375" customWidth="1"/>
    <col min="8195" max="8195" width="19" customWidth="1"/>
    <col min="8196" max="8196" width="12.42578125" customWidth="1"/>
    <col min="8197" max="8197" width="16" bestFit="1" customWidth="1"/>
    <col min="8198" max="8198" width="12.28515625" customWidth="1"/>
    <col min="8199" max="8199" width="21.42578125" bestFit="1" customWidth="1"/>
    <col min="8200" max="8200" width="15.42578125" bestFit="1" customWidth="1"/>
    <col min="8201" max="8201" width="16.5703125" bestFit="1" customWidth="1"/>
    <col min="8202" max="8202" width="12" bestFit="1" customWidth="1"/>
    <col min="8203" max="8203" width="28" customWidth="1"/>
    <col min="8204" max="8204" width="11" customWidth="1"/>
    <col min="8205" max="8206" width="9.28515625" customWidth="1"/>
    <col min="8207" max="8207" width="51.7109375" customWidth="1"/>
    <col min="8208" max="8210" width="12.28515625" customWidth="1"/>
    <col min="8211" max="8211" width="21.42578125" bestFit="1" customWidth="1"/>
    <col min="8212" max="8212" width="18.28515625" bestFit="1" customWidth="1"/>
    <col min="8213" max="8213" width="17.5703125" bestFit="1" customWidth="1"/>
    <col min="8448" max="8448" width="5.7109375" customWidth="1"/>
    <col min="8449" max="8449" width="9.28515625" customWidth="1"/>
    <col min="8450" max="8450" width="51.7109375" customWidth="1"/>
    <col min="8451" max="8451" width="19" customWidth="1"/>
    <col min="8452" max="8452" width="12.42578125" customWidth="1"/>
    <col min="8453" max="8453" width="16" bestFit="1" customWidth="1"/>
    <col min="8454" max="8454" width="12.28515625" customWidth="1"/>
    <col min="8455" max="8455" width="21.42578125" bestFit="1" customWidth="1"/>
    <col min="8456" max="8456" width="15.42578125" bestFit="1" customWidth="1"/>
    <col min="8457" max="8457" width="16.5703125" bestFit="1" customWidth="1"/>
    <col min="8458" max="8458" width="12" bestFit="1" customWidth="1"/>
    <col min="8459" max="8459" width="28" customWidth="1"/>
    <col min="8460" max="8460" width="11" customWidth="1"/>
    <col min="8461" max="8462" width="9.28515625" customWidth="1"/>
    <col min="8463" max="8463" width="51.7109375" customWidth="1"/>
    <col min="8464" max="8466" width="12.28515625" customWidth="1"/>
    <col min="8467" max="8467" width="21.42578125" bestFit="1" customWidth="1"/>
    <col min="8468" max="8468" width="18.28515625" bestFit="1" customWidth="1"/>
    <col min="8469" max="8469" width="17.5703125" bestFit="1" customWidth="1"/>
    <col min="8704" max="8704" width="5.7109375" customWidth="1"/>
    <col min="8705" max="8705" width="9.28515625" customWidth="1"/>
    <col min="8706" max="8706" width="51.7109375" customWidth="1"/>
    <col min="8707" max="8707" width="19" customWidth="1"/>
    <col min="8708" max="8708" width="12.42578125" customWidth="1"/>
    <col min="8709" max="8709" width="16" bestFit="1" customWidth="1"/>
    <col min="8710" max="8710" width="12.28515625" customWidth="1"/>
    <col min="8711" max="8711" width="21.42578125" bestFit="1" customWidth="1"/>
    <col min="8712" max="8712" width="15.42578125" bestFit="1" customWidth="1"/>
    <col min="8713" max="8713" width="16.5703125" bestFit="1" customWidth="1"/>
    <col min="8714" max="8714" width="12" bestFit="1" customWidth="1"/>
    <col min="8715" max="8715" width="28" customWidth="1"/>
    <col min="8716" max="8716" width="11" customWidth="1"/>
    <col min="8717" max="8718" width="9.28515625" customWidth="1"/>
    <col min="8719" max="8719" width="51.7109375" customWidth="1"/>
    <col min="8720" max="8722" width="12.28515625" customWidth="1"/>
    <col min="8723" max="8723" width="21.42578125" bestFit="1" customWidth="1"/>
    <col min="8724" max="8724" width="18.28515625" bestFit="1" customWidth="1"/>
    <col min="8725" max="8725" width="17.5703125" bestFit="1" customWidth="1"/>
    <col min="8960" max="8960" width="5.7109375" customWidth="1"/>
    <col min="8961" max="8961" width="9.28515625" customWidth="1"/>
    <col min="8962" max="8962" width="51.7109375" customWidth="1"/>
    <col min="8963" max="8963" width="19" customWidth="1"/>
    <col min="8964" max="8964" width="12.42578125" customWidth="1"/>
    <col min="8965" max="8965" width="16" bestFit="1" customWidth="1"/>
    <col min="8966" max="8966" width="12.28515625" customWidth="1"/>
    <col min="8967" max="8967" width="21.42578125" bestFit="1" customWidth="1"/>
    <col min="8968" max="8968" width="15.42578125" bestFit="1" customWidth="1"/>
    <col min="8969" max="8969" width="16.5703125" bestFit="1" customWidth="1"/>
    <col min="8970" max="8970" width="12" bestFit="1" customWidth="1"/>
    <col min="8971" max="8971" width="28" customWidth="1"/>
    <col min="8972" max="8972" width="11" customWidth="1"/>
    <col min="8973" max="8974" width="9.28515625" customWidth="1"/>
    <col min="8975" max="8975" width="51.7109375" customWidth="1"/>
    <col min="8976" max="8978" width="12.28515625" customWidth="1"/>
    <col min="8979" max="8979" width="21.42578125" bestFit="1" customWidth="1"/>
    <col min="8980" max="8980" width="18.28515625" bestFit="1" customWidth="1"/>
    <col min="8981" max="8981" width="17.5703125" bestFit="1" customWidth="1"/>
    <col min="9216" max="9216" width="5.7109375" customWidth="1"/>
    <col min="9217" max="9217" width="9.28515625" customWidth="1"/>
    <col min="9218" max="9218" width="51.7109375" customWidth="1"/>
    <col min="9219" max="9219" width="19" customWidth="1"/>
    <col min="9220" max="9220" width="12.42578125" customWidth="1"/>
    <col min="9221" max="9221" width="16" bestFit="1" customWidth="1"/>
    <col min="9222" max="9222" width="12.28515625" customWidth="1"/>
    <col min="9223" max="9223" width="21.42578125" bestFit="1" customWidth="1"/>
    <col min="9224" max="9224" width="15.42578125" bestFit="1" customWidth="1"/>
    <col min="9225" max="9225" width="16.5703125" bestFit="1" customWidth="1"/>
    <col min="9226" max="9226" width="12" bestFit="1" customWidth="1"/>
    <col min="9227" max="9227" width="28" customWidth="1"/>
    <col min="9228" max="9228" width="11" customWidth="1"/>
    <col min="9229" max="9230" width="9.28515625" customWidth="1"/>
    <col min="9231" max="9231" width="51.7109375" customWidth="1"/>
    <col min="9232" max="9234" width="12.28515625" customWidth="1"/>
    <col min="9235" max="9235" width="21.42578125" bestFit="1" customWidth="1"/>
    <col min="9236" max="9236" width="18.28515625" bestFit="1" customWidth="1"/>
    <col min="9237" max="9237" width="17.5703125" bestFit="1" customWidth="1"/>
    <col min="9472" max="9472" width="5.7109375" customWidth="1"/>
    <col min="9473" max="9473" width="9.28515625" customWidth="1"/>
    <col min="9474" max="9474" width="51.7109375" customWidth="1"/>
    <col min="9475" max="9475" width="19" customWidth="1"/>
    <col min="9476" max="9476" width="12.42578125" customWidth="1"/>
    <col min="9477" max="9477" width="16" bestFit="1" customWidth="1"/>
    <col min="9478" max="9478" width="12.28515625" customWidth="1"/>
    <col min="9479" max="9479" width="21.42578125" bestFit="1" customWidth="1"/>
    <col min="9480" max="9480" width="15.42578125" bestFit="1" customWidth="1"/>
    <col min="9481" max="9481" width="16.5703125" bestFit="1" customWidth="1"/>
    <col min="9482" max="9482" width="12" bestFit="1" customWidth="1"/>
    <col min="9483" max="9483" width="28" customWidth="1"/>
    <col min="9484" max="9484" width="11" customWidth="1"/>
    <col min="9485" max="9486" width="9.28515625" customWidth="1"/>
    <col min="9487" max="9487" width="51.7109375" customWidth="1"/>
    <col min="9488" max="9490" width="12.28515625" customWidth="1"/>
    <col min="9491" max="9491" width="21.42578125" bestFit="1" customWidth="1"/>
    <col min="9492" max="9492" width="18.28515625" bestFit="1" customWidth="1"/>
    <col min="9493" max="9493" width="17.5703125" bestFit="1" customWidth="1"/>
    <col min="9728" max="9728" width="5.7109375" customWidth="1"/>
    <col min="9729" max="9729" width="9.28515625" customWidth="1"/>
    <col min="9730" max="9730" width="51.7109375" customWidth="1"/>
    <col min="9731" max="9731" width="19" customWidth="1"/>
    <col min="9732" max="9732" width="12.42578125" customWidth="1"/>
    <col min="9733" max="9733" width="16" bestFit="1" customWidth="1"/>
    <col min="9734" max="9734" width="12.28515625" customWidth="1"/>
    <col min="9735" max="9735" width="21.42578125" bestFit="1" customWidth="1"/>
    <col min="9736" max="9736" width="15.42578125" bestFit="1" customWidth="1"/>
    <col min="9737" max="9737" width="16.5703125" bestFit="1" customWidth="1"/>
    <col min="9738" max="9738" width="12" bestFit="1" customWidth="1"/>
    <col min="9739" max="9739" width="28" customWidth="1"/>
    <col min="9740" max="9740" width="11" customWidth="1"/>
    <col min="9741" max="9742" width="9.28515625" customWidth="1"/>
    <col min="9743" max="9743" width="51.7109375" customWidth="1"/>
    <col min="9744" max="9746" width="12.28515625" customWidth="1"/>
    <col min="9747" max="9747" width="21.42578125" bestFit="1" customWidth="1"/>
    <col min="9748" max="9748" width="18.28515625" bestFit="1" customWidth="1"/>
    <col min="9749" max="9749" width="17.5703125" bestFit="1" customWidth="1"/>
    <col min="9984" max="9984" width="5.7109375" customWidth="1"/>
    <col min="9985" max="9985" width="9.28515625" customWidth="1"/>
    <col min="9986" max="9986" width="51.7109375" customWidth="1"/>
    <col min="9987" max="9987" width="19" customWidth="1"/>
    <col min="9988" max="9988" width="12.42578125" customWidth="1"/>
    <col min="9989" max="9989" width="16" bestFit="1" customWidth="1"/>
    <col min="9990" max="9990" width="12.28515625" customWidth="1"/>
    <col min="9991" max="9991" width="21.42578125" bestFit="1" customWidth="1"/>
    <col min="9992" max="9992" width="15.42578125" bestFit="1" customWidth="1"/>
    <col min="9993" max="9993" width="16.5703125" bestFit="1" customWidth="1"/>
    <col min="9994" max="9994" width="12" bestFit="1" customWidth="1"/>
    <col min="9995" max="9995" width="28" customWidth="1"/>
    <col min="9996" max="9996" width="11" customWidth="1"/>
    <col min="9997" max="9998" width="9.28515625" customWidth="1"/>
    <col min="9999" max="9999" width="51.7109375" customWidth="1"/>
    <col min="10000" max="10002" width="12.28515625" customWidth="1"/>
    <col min="10003" max="10003" width="21.42578125" bestFit="1" customWidth="1"/>
    <col min="10004" max="10004" width="18.28515625" bestFit="1" customWidth="1"/>
    <col min="10005" max="10005" width="17.5703125" bestFit="1" customWidth="1"/>
    <col min="10240" max="10240" width="5.7109375" customWidth="1"/>
    <col min="10241" max="10241" width="9.28515625" customWidth="1"/>
    <col min="10242" max="10242" width="51.7109375" customWidth="1"/>
    <col min="10243" max="10243" width="19" customWidth="1"/>
    <col min="10244" max="10244" width="12.42578125" customWidth="1"/>
    <col min="10245" max="10245" width="16" bestFit="1" customWidth="1"/>
    <col min="10246" max="10246" width="12.28515625" customWidth="1"/>
    <col min="10247" max="10247" width="21.42578125" bestFit="1" customWidth="1"/>
    <col min="10248" max="10248" width="15.42578125" bestFit="1" customWidth="1"/>
    <col min="10249" max="10249" width="16.5703125" bestFit="1" customWidth="1"/>
    <col min="10250" max="10250" width="12" bestFit="1" customWidth="1"/>
    <col min="10251" max="10251" width="28" customWidth="1"/>
    <col min="10252" max="10252" width="11" customWidth="1"/>
    <col min="10253" max="10254" width="9.28515625" customWidth="1"/>
    <col min="10255" max="10255" width="51.7109375" customWidth="1"/>
    <col min="10256" max="10258" width="12.28515625" customWidth="1"/>
    <col min="10259" max="10259" width="21.42578125" bestFit="1" customWidth="1"/>
    <col min="10260" max="10260" width="18.28515625" bestFit="1" customWidth="1"/>
    <col min="10261" max="10261" width="17.5703125" bestFit="1" customWidth="1"/>
    <col min="10496" max="10496" width="5.7109375" customWidth="1"/>
    <col min="10497" max="10497" width="9.28515625" customWidth="1"/>
    <col min="10498" max="10498" width="51.7109375" customWidth="1"/>
    <col min="10499" max="10499" width="19" customWidth="1"/>
    <col min="10500" max="10500" width="12.42578125" customWidth="1"/>
    <col min="10501" max="10501" width="16" bestFit="1" customWidth="1"/>
    <col min="10502" max="10502" width="12.28515625" customWidth="1"/>
    <col min="10503" max="10503" width="21.42578125" bestFit="1" customWidth="1"/>
    <col min="10504" max="10504" width="15.42578125" bestFit="1" customWidth="1"/>
    <col min="10505" max="10505" width="16.5703125" bestFit="1" customWidth="1"/>
    <col min="10506" max="10506" width="12" bestFit="1" customWidth="1"/>
    <col min="10507" max="10507" width="28" customWidth="1"/>
    <col min="10508" max="10508" width="11" customWidth="1"/>
    <col min="10509" max="10510" width="9.28515625" customWidth="1"/>
    <col min="10511" max="10511" width="51.7109375" customWidth="1"/>
    <col min="10512" max="10514" width="12.28515625" customWidth="1"/>
    <col min="10515" max="10515" width="21.42578125" bestFit="1" customWidth="1"/>
    <col min="10516" max="10516" width="18.28515625" bestFit="1" customWidth="1"/>
    <col min="10517" max="10517" width="17.5703125" bestFit="1" customWidth="1"/>
    <col min="10752" max="10752" width="5.7109375" customWidth="1"/>
    <col min="10753" max="10753" width="9.28515625" customWidth="1"/>
    <col min="10754" max="10754" width="51.7109375" customWidth="1"/>
    <col min="10755" max="10755" width="19" customWidth="1"/>
    <col min="10756" max="10756" width="12.42578125" customWidth="1"/>
    <col min="10757" max="10757" width="16" bestFit="1" customWidth="1"/>
    <col min="10758" max="10758" width="12.28515625" customWidth="1"/>
    <col min="10759" max="10759" width="21.42578125" bestFit="1" customWidth="1"/>
    <col min="10760" max="10760" width="15.42578125" bestFit="1" customWidth="1"/>
    <col min="10761" max="10761" width="16.5703125" bestFit="1" customWidth="1"/>
    <col min="10762" max="10762" width="12" bestFit="1" customWidth="1"/>
    <col min="10763" max="10763" width="28" customWidth="1"/>
    <col min="10764" max="10764" width="11" customWidth="1"/>
    <col min="10765" max="10766" width="9.28515625" customWidth="1"/>
    <col min="10767" max="10767" width="51.7109375" customWidth="1"/>
    <col min="10768" max="10770" width="12.28515625" customWidth="1"/>
    <col min="10771" max="10771" width="21.42578125" bestFit="1" customWidth="1"/>
    <col min="10772" max="10772" width="18.28515625" bestFit="1" customWidth="1"/>
    <col min="10773" max="10773" width="17.5703125" bestFit="1" customWidth="1"/>
    <col min="11008" max="11008" width="5.7109375" customWidth="1"/>
    <col min="11009" max="11009" width="9.28515625" customWidth="1"/>
    <col min="11010" max="11010" width="51.7109375" customWidth="1"/>
    <col min="11011" max="11011" width="19" customWidth="1"/>
    <col min="11012" max="11012" width="12.42578125" customWidth="1"/>
    <col min="11013" max="11013" width="16" bestFit="1" customWidth="1"/>
    <col min="11014" max="11014" width="12.28515625" customWidth="1"/>
    <col min="11015" max="11015" width="21.42578125" bestFit="1" customWidth="1"/>
    <col min="11016" max="11016" width="15.42578125" bestFit="1" customWidth="1"/>
    <col min="11017" max="11017" width="16.5703125" bestFit="1" customWidth="1"/>
    <col min="11018" max="11018" width="12" bestFit="1" customWidth="1"/>
    <col min="11019" max="11019" width="28" customWidth="1"/>
    <col min="11020" max="11020" width="11" customWidth="1"/>
    <col min="11021" max="11022" width="9.28515625" customWidth="1"/>
    <col min="11023" max="11023" width="51.7109375" customWidth="1"/>
    <col min="11024" max="11026" width="12.28515625" customWidth="1"/>
    <col min="11027" max="11027" width="21.42578125" bestFit="1" customWidth="1"/>
    <col min="11028" max="11028" width="18.28515625" bestFit="1" customWidth="1"/>
    <col min="11029" max="11029" width="17.5703125" bestFit="1" customWidth="1"/>
    <col min="11264" max="11264" width="5.7109375" customWidth="1"/>
    <col min="11265" max="11265" width="9.28515625" customWidth="1"/>
    <col min="11266" max="11266" width="51.7109375" customWidth="1"/>
    <col min="11267" max="11267" width="19" customWidth="1"/>
    <col min="11268" max="11268" width="12.42578125" customWidth="1"/>
    <col min="11269" max="11269" width="16" bestFit="1" customWidth="1"/>
    <col min="11270" max="11270" width="12.28515625" customWidth="1"/>
    <col min="11271" max="11271" width="21.42578125" bestFit="1" customWidth="1"/>
    <col min="11272" max="11272" width="15.42578125" bestFit="1" customWidth="1"/>
    <col min="11273" max="11273" width="16.5703125" bestFit="1" customWidth="1"/>
    <col min="11274" max="11274" width="12" bestFit="1" customWidth="1"/>
    <col min="11275" max="11275" width="28" customWidth="1"/>
    <col min="11276" max="11276" width="11" customWidth="1"/>
    <col min="11277" max="11278" width="9.28515625" customWidth="1"/>
    <col min="11279" max="11279" width="51.7109375" customWidth="1"/>
    <col min="11280" max="11282" width="12.28515625" customWidth="1"/>
    <col min="11283" max="11283" width="21.42578125" bestFit="1" customWidth="1"/>
    <col min="11284" max="11284" width="18.28515625" bestFit="1" customWidth="1"/>
    <col min="11285" max="11285" width="17.5703125" bestFit="1" customWidth="1"/>
    <col min="11520" max="11520" width="5.7109375" customWidth="1"/>
    <col min="11521" max="11521" width="9.28515625" customWidth="1"/>
    <col min="11522" max="11522" width="51.7109375" customWidth="1"/>
    <col min="11523" max="11523" width="19" customWidth="1"/>
    <col min="11524" max="11524" width="12.42578125" customWidth="1"/>
    <col min="11525" max="11525" width="16" bestFit="1" customWidth="1"/>
    <col min="11526" max="11526" width="12.28515625" customWidth="1"/>
    <col min="11527" max="11527" width="21.42578125" bestFit="1" customWidth="1"/>
    <col min="11528" max="11528" width="15.42578125" bestFit="1" customWidth="1"/>
    <col min="11529" max="11529" width="16.5703125" bestFit="1" customWidth="1"/>
    <col min="11530" max="11530" width="12" bestFit="1" customWidth="1"/>
    <col min="11531" max="11531" width="28" customWidth="1"/>
    <col min="11532" max="11532" width="11" customWidth="1"/>
    <col min="11533" max="11534" width="9.28515625" customWidth="1"/>
    <col min="11535" max="11535" width="51.7109375" customWidth="1"/>
    <col min="11536" max="11538" width="12.28515625" customWidth="1"/>
    <col min="11539" max="11539" width="21.42578125" bestFit="1" customWidth="1"/>
    <col min="11540" max="11540" width="18.28515625" bestFit="1" customWidth="1"/>
    <col min="11541" max="11541" width="17.5703125" bestFit="1" customWidth="1"/>
    <col min="11776" max="11776" width="5.7109375" customWidth="1"/>
    <col min="11777" max="11777" width="9.28515625" customWidth="1"/>
    <col min="11778" max="11778" width="51.7109375" customWidth="1"/>
    <col min="11779" max="11779" width="19" customWidth="1"/>
    <col min="11780" max="11780" width="12.42578125" customWidth="1"/>
    <col min="11781" max="11781" width="16" bestFit="1" customWidth="1"/>
    <col min="11782" max="11782" width="12.28515625" customWidth="1"/>
    <col min="11783" max="11783" width="21.42578125" bestFit="1" customWidth="1"/>
    <col min="11784" max="11784" width="15.42578125" bestFit="1" customWidth="1"/>
    <col min="11785" max="11785" width="16.5703125" bestFit="1" customWidth="1"/>
    <col min="11786" max="11786" width="12" bestFit="1" customWidth="1"/>
    <col min="11787" max="11787" width="28" customWidth="1"/>
    <col min="11788" max="11788" width="11" customWidth="1"/>
    <col min="11789" max="11790" width="9.28515625" customWidth="1"/>
    <col min="11791" max="11791" width="51.7109375" customWidth="1"/>
    <col min="11792" max="11794" width="12.28515625" customWidth="1"/>
    <col min="11795" max="11795" width="21.42578125" bestFit="1" customWidth="1"/>
    <col min="11796" max="11796" width="18.28515625" bestFit="1" customWidth="1"/>
    <col min="11797" max="11797" width="17.5703125" bestFit="1" customWidth="1"/>
    <col min="12032" max="12032" width="5.7109375" customWidth="1"/>
    <col min="12033" max="12033" width="9.28515625" customWidth="1"/>
    <col min="12034" max="12034" width="51.7109375" customWidth="1"/>
    <col min="12035" max="12035" width="19" customWidth="1"/>
    <col min="12036" max="12036" width="12.42578125" customWidth="1"/>
    <col min="12037" max="12037" width="16" bestFit="1" customWidth="1"/>
    <col min="12038" max="12038" width="12.28515625" customWidth="1"/>
    <col min="12039" max="12039" width="21.42578125" bestFit="1" customWidth="1"/>
    <col min="12040" max="12040" width="15.42578125" bestFit="1" customWidth="1"/>
    <col min="12041" max="12041" width="16.5703125" bestFit="1" customWidth="1"/>
    <col min="12042" max="12042" width="12" bestFit="1" customWidth="1"/>
    <col min="12043" max="12043" width="28" customWidth="1"/>
    <col min="12044" max="12044" width="11" customWidth="1"/>
    <col min="12045" max="12046" width="9.28515625" customWidth="1"/>
    <col min="12047" max="12047" width="51.7109375" customWidth="1"/>
    <col min="12048" max="12050" width="12.28515625" customWidth="1"/>
    <col min="12051" max="12051" width="21.42578125" bestFit="1" customWidth="1"/>
    <col min="12052" max="12052" width="18.28515625" bestFit="1" customWidth="1"/>
    <col min="12053" max="12053" width="17.5703125" bestFit="1" customWidth="1"/>
    <col min="12288" max="12288" width="5.7109375" customWidth="1"/>
    <col min="12289" max="12289" width="9.28515625" customWidth="1"/>
    <col min="12290" max="12290" width="51.7109375" customWidth="1"/>
    <col min="12291" max="12291" width="19" customWidth="1"/>
    <col min="12292" max="12292" width="12.42578125" customWidth="1"/>
    <col min="12293" max="12293" width="16" bestFit="1" customWidth="1"/>
    <col min="12294" max="12294" width="12.28515625" customWidth="1"/>
    <col min="12295" max="12295" width="21.42578125" bestFit="1" customWidth="1"/>
    <col min="12296" max="12296" width="15.42578125" bestFit="1" customWidth="1"/>
    <col min="12297" max="12297" width="16.5703125" bestFit="1" customWidth="1"/>
    <col min="12298" max="12298" width="12" bestFit="1" customWidth="1"/>
    <col min="12299" max="12299" width="28" customWidth="1"/>
    <col min="12300" max="12300" width="11" customWidth="1"/>
    <col min="12301" max="12302" width="9.28515625" customWidth="1"/>
    <col min="12303" max="12303" width="51.7109375" customWidth="1"/>
    <col min="12304" max="12306" width="12.28515625" customWidth="1"/>
    <col min="12307" max="12307" width="21.42578125" bestFit="1" customWidth="1"/>
    <col min="12308" max="12308" width="18.28515625" bestFit="1" customWidth="1"/>
    <col min="12309" max="12309" width="17.5703125" bestFit="1" customWidth="1"/>
    <col min="12544" max="12544" width="5.7109375" customWidth="1"/>
    <col min="12545" max="12545" width="9.28515625" customWidth="1"/>
    <col min="12546" max="12546" width="51.7109375" customWidth="1"/>
    <col min="12547" max="12547" width="19" customWidth="1"/>
    <col min="12548" max="12548" width="12.42578125" customWidth="1"/>
    <col min="12549" max="12549" width="16" bestFit="1" customWidth="1"/>
    <col min="12550" max="12550" width="12.28515625" customWidth="1"/>
    <col min="12551" max="12551" width="21.42578125" bestFit="1" customWidth="1"/>
    <col min="12552" max="12552" width="15.42578125" bestFit="1" customWidth="1"/>
    <col min="12553" max="12553" width="16.5703125" bestFit="1" customWidth="1"/>
    <col min="12554" max="12554" width="12" bestFit="1" customWidth="1"/>
    <col min="12555" max="12555" width="28" customWidth="1"/>
    <col min="12556" max="12556" width="11" customWidth="1"/>
    <col min="12557" max="12558" width="9.28515625" customWidth="1"/>
    <col min="12559" max="12559" width="51.7109375" customWidth="1"/>
    <col min="12560" max="12562" width="12.28515625" customWidth="1"/>
    <col min="12563" max="12563" width="21.42578125" bestFit="1" customWidth="1"/>
    <col min="12564" max="12564" width="18.28515625" bestFit="1" customWidth="1"/>
    <col min="12565" max="12565" width="17.5703125" bestFit="1" customWidth="1"/>
    <col min="12800" max="12800" width="5.7109375" customWidth="1"/>
    <col min="12801" max="12801" width="9.28515625" customWidth="1"/>
    <col min="12802" max="12802" width="51.7109375" customWidth="1"/>
    <col min="12803" max="12803" width="19" customWidth="1"/>
    <col min="12804" max="12804" width="12.42578125" customWidth="1"/>
    <col min="12805" max="12805" width="16" bestFit="1" customWidth="1"/>
    <col min="12806" max="12806" width="12.28515625" customWidth="1"/>
    <col min="12807" max="12807" width="21.42578125" bestFit="1" customWidth="1"/>
    <col min="12808" max="12808" width="15.42578125" bestFit="1" customWidth="1"/>
    <col min="12809" max="12809" width="16.5703125" bestFit="1" customWidth="1"/>
    <col min="12810" max="12810" width="12" bestFit="1" customWidth="1"/>
    <col min="12811" max="12811" width="28" customWidth="1"/>
    <col min="12812" max="12812" width="11" customWidth="1"/>
    <col min="12813" max="12814" width="9.28515625" customWidth="1"/>
    <col min="12815" max="12815" width="51.7109375" customWidth="1"/>
    <col min="12816" max="12818" width="12.28515625" customWidth="1"/>
    <col min="12819" max="12819" width="21.42578125" bestFit="1" customWidth="1"/>
    <col min="12820" max="12820" width="18.28515625" bestFit="1" customWidth="1"/>
    <col min="12821" max="12821" width="17.5703125" bestFit="1" customWidth="1"/>
    <col min="13056" max="13056" width="5.7109375" customWidth="1"/>
    <col min="13057" max="13057" width="9.28515625" customWidth="1"/>
    <col min="13058" max="13058" width="51.7109375" customWidth="1"/>
    <col min="13059" max="13059" width="19" customWidth="1"/>
    <col min="13060" max="13060" width="12.42578125" customWidth="1"/>
    <col min="13061" max="13061" width="16" bestFit="1" customWidth="1"/>
    <col min="13062" max="13062" width="12.28515625" customWidth="1"/>
    <col min="13063" max="13063" width="21.42578125" bestFit="1" customWidth="1"/>
    <col min="13064" max="13064" width="15.42578125" bestFit="1" customWidth="1"/>
    <col min="13065" max="13065" width="16.5703125" bestFit="1" customWidth="1"/>
    <col min="13066" max="13066" width="12" bestFit="1" customWidth="1"/>
    <col min="13067" max="13067" width="28" customWidth="1"/>
    <col min="13068" max="13068" width="11" customWidth="1"/>
    <col min="13069" max="13070" width="9.28515625" customWidth="1"/>
    <col min="13071" max="13071" width="51.7109375" customWidth="1"/>
    <col min="13072" max="13074" width="12.28515625" customWidth="1"/>
    <col min="13075" max="13075" width="21.42578125" bestFit="1" customWidth="1"/>
    <col min="13076" max="13076" width="18.28515625" bestFit="1" customWidth="1"/>
    <col min="13077" max="13077" width="17.5703125" bestFit="1" customWidth="1"/>
    <col min="13312" max="13312" width="5.7109375" customWidth="1"/>
    <col min="13313" max="13313" width="9.28515625" customWidth="1"/>
    <col min="13314" max="13314" width="51.7109375" customWidth="1"/>
    <col min="13315" max="13315" width="19" customWidth="1"/>
    <col min="13316" max="13316" width="12.42578125" customWidth="1"/>
    <col min="13317" max="13317" width="16" bestFit="1" customWidth="1"/>
    <col min="13318" max="13318" width="12.28515625" customWidth="1"/>
    <col min="13319" max="13319" width="21.42578125" bestFit="1" customWidth="1"/>
    <col min="13320" max="13320" width="15.42578125" bestFit="1" customWidth="1"/>
    <col min="13321" max="13321" width="16.5703125" bestFit="1" customWidth="1"/>
    <col min="13322" max="13322" width="12" bestFit="1" customWidth="1"/>
    <col min="13323" max="13323" width="28" customWidth="1"/>
    <col min="13324" max="13324" width="11" customWidth="1"/>
    <col min="13325" max="13326" width="9.28515625" customWidth="1"/>
    <col min="13327" max="13327" width="51.7109375" customWidth="1"/>
    <col min="13328" max="13330" width="12.28515625" customWidth="1"/>
    <col min="13331" max="13331" width="21.42578125" bestFit="1" customWidth="1"/>
    <col min="13332" max="13332" width="18.28515625" bestFit="1" customWidth="1"/>
    <col min="13333" max="13333" width="17.5703125" bestFit="1" customWidth="1"/>
    <col min="13568" max="13568" width="5.7109375" customWidth="1"/>
    <col min="13569" max="13569" width="9.28515625" customWidth="1"/>
    <col min="13570" max="13570" width="51.7109375" customWidth="1"/>
    <col min="13571" max="13571" width="19" customWidth="1"/>
    <col min="13572" max="13572" width="12.42578125" customWidth="1"/>
    <col min="13573" max="13573" width="16" bestFit="1" customWidth="1"/>
    <col min="13574" max="13574" width="12.28515625" customWidth="1"/>
    <col min="13575" max="13575" width="21.42578125" bestFit="1" customWidth="1"/>
    <col min="13576" max="13576" width="15.42578125" bestFit="1" customWidth="1"/>
    <col min="13577" max="13577" width="16.5703125" bestFit="1" customWidth="1"/>
    <col min="13578" max="13578" width="12" bestFit="1" customWidth="1"/>
    <col min="13579" max="13579" width="28" customWidth="1"/>
    <col min="13580" max="13580" width="11" customWidth="1"/>
    <col min="13581" max="13582" width="9.28515625" customWidth="1"/>
    <col min="13583" max="13583" width="51.7109375" customWidth="1"/>
    <col min="13584" max="13586" width="12.28515625" customWidth="1"/>
    <col min="13587" max="13587" width="21.42578125" bestFit="1" customWidth="1"/>
    <col min="13588" max="13588" width="18.28515625" bestFit="1" customWidth="1"/>
    <col min="13589" max="13589" width="17.5703125" bestFit="1" customWidth="1"/>
    <col min="13824" max="13824" width="5.7109375" customWidth="1"/>
    <col min="13825" max="13825" width="9.28515625" customWidth="1"/>
    <col min="13826" max="13826" width="51.7109375" customWidth="1"/>
    <col min="13827" max="13827" width="19" customWidth="1"/>
    <col min="13828" max="13828" width="12.42578125" customWidth="1"/>
    <col min="13829" max="13829" width="16" bestFit="1" customWidth="1"/>
    <col min="13830" max="13830" width="12.28515625" customWidth="1"/>
    <col min="13831" max="13831" width="21.42578125" bestFit="1" customWidth="1"/>
    <col min="13832" max="13832" width="15.42578125" bestFit="1" customWidth="1"/>
    <col min="13833" max="13833" width="16.5703125" bestFit="1" customWidth="1"/>
    <col min="13834" max="13834" width="12" bestFit="1" customWidth="1"/>
    <col min="13835" max="13835" width="28" customWidth="1"/>
    <col min="13836" max="13836" width="11" customWidth="1"/>
    <col min="13837" max="13838" width="9.28515625" customWidth="1"/>
    <col min="13839" max="13839" width="51.7109375" customWidth="1"/>
    <col min="13840" max="13842" width="12.28515625" customWidth="1"/>
    <col min="13843" max="13843" width="21.42578125" bestFit="1" customWidth="1"/>
    <col min="13844" max="13844" width="18.28515625" bestFit="1" customWidth="1"/>
    <col min="13845" max="13845" width="17.5703125" bestFit="1" customWidth="1"/>
    <col min="14080" max="14080" width="5.7109375" customWidth="1"/>
    <col min="14081" max="14081" width="9.28515625" customWidth="1"/>
    <col min="14082" max="14082" width="51.7109375" customWidth="1"/>
    <col min="14083" max="14083" width="19" customWidth="1"/>
    <col min="14084" max="14084" width="12.42578125" customWidth="1"/>
    <col min="14085" max="14085" width="16" bestFit="1" customWidth="1"/>
    <col min="14086" max="14086" width="12.28515625" customWidth="1"/>
    <col min="14087" max="14087" width="21.42578125" bestFit="1" customWidth="1"/>
    <col min="14088" max="14088" width="15.42578125" bestFit="1" customWidth="1"/>
    <col min="14089" max="14089" width="16.5703125" bestFit="1" customWidth="1"/>
    <col min="14090" max="14090" width="12" bestFit="1" customWidth="1"/>
    <col min="14091" max="14091" width="28" customWidth="1"/>
    <col min="14092" max="14092" width="11" customWidth="1"/>
    <col min="14093" max="14094" width="9.28515625" customWidth="1"/>
    <col min="14095" max="14095" width="51.7109375" customWidth="1"/>
    <col min="14096" max="14098" width="12.28515625" customWidth="1"/>
    <col min="14099" max="14099" width="21.42578125" bestFit="1" customWidth="1"/>
    <col min="14100" max="14100" width="18.28515625" bestFit="1" customWidth="1"/>
    <col min="14101" max="14101" width="17.5703125" bestFit="1" customWidth="1"/>
    <col min="14336" max="14336" width="5.7109375" customWidth="1"/>
    <col min="14337" max="14337" width="9.28515625" customWidth="1"/>
    <col min="14338" max="14338" width="51.7109375" customWidth="1"/>
    <col min="14339" max="14339" width="19" customWidth="1"/>
    <col min="14340" max="14340" width="12.42578125" customWidth="1"/>
    <col min="14341" max="14341" width="16" bestFit="1" customWidth="1"/>
    <col min="14342" max="14342" width="12.28515625" customWidth="1"/>
    <col min="14343" max="14343" width="21.42578125" bestFit="1" customWidth="1"/>
    <col min="14344" max="14344" width="15.42578125" bestFit="1" customWidth="1"/>
    <col min="14345" max="14345" width="16.5703125" bestFit="1" customWidth="1"/>
    <col min="14346" max="14346" width="12" bestFit="1" customWidth="1"/>
    <col min="14347" max="14347" width="28" customWidth="1"/>
    <col min="14348" max="14348" width="11" customWidth="1"/>
    <col min="14349" max="14350" width="9.28515625" customWidth="1"/>
    <col min="14351" max="14351" width="51.7109375" customWidth="1"/>
    <col min="14352" max="14354" width="12.28515625" customWidth="1"/>
    <col min="14355" max="14355" width="21.42578125" bestFit="1" customWidth="1"/>
    <col min="14356" max="14356" width="18.28515625" bestFit="1" customWidth="1"/>
    <col min="14357" max="14357" width="17.5703125" bestFit="1" customWidth="1"/>
    <col min="14592" max="14592" width="5.7109375" customWidth="1"/>
    <col min="14593" max="14593" width="9.28515625" customWidth="1"/>
    <col min="14594" max="14594" width="51.7109375" customWidth="1"/>
    <col min="14595" max="14595" width="19" customWidth="1"/>
    <col min="14596" max="14596" width="12.42578125" customWidth="1"/>
    <col min="14597" max="14597" width="16" bestFit="1" customWidth="1"/>
    <col min="14598" max="14598" width="12.28515625" customWidth="1"/>
    <col min="14599" max="14599" width="21.42578125" bestFit="1" customWidth="1"/>
    <col min="14600" max="14600" width="15.42578125" bestFit="1" customWidth="1"/>
    <col min="14601" max="14601" width="16.5703125" bestFit="1" customWidth="1"/>
    <col min="14602" max="14602" width="12" bestFit="1" customWidth="1"/>
    <col min="14603" max="14603" width="28" customWidth="1"/>
    <col min="14604" max="14604" width="11" customWidth="1"/>
    <col min="14605" max="14606" width="9.28515625" customWidth="1"/>
    <col min="14607" max="14607" width="51.7109375" customWidth="1"/>
    <col min="14608" max="14610" width="12.28515625" customWidth="1"/>
    <col min="14611" max="14611" width="21.42578125" bestFit="1" customWidth="1"/>
    <col min="14612" max="14612" width="18.28515625" bestFit="1" customWidth="1"/>
    <col min="14613" max="14613" width="17.5703125" bestFit="1" customWidth="1"/>
    <col min="14848" max="14848" width="5.7109375" customWidth="1"/>
    <col min="14849" max="14849" width="9.28515625" customWidth="1"/>
    <col min="14850" max="14850" width="51.7109375" customWidth="1"/>
    <col min="14851" max="14851" width="19" customWidth="1"/>
    <col min="14852" max="14852" width="12.42578125" customWidth="1"/>
    <col min="14853" max="14853" width="16" bestFit="1" customWidth="1"/>
    <col min="14854" max="14854" width="12.28515625" customWidth="1"/>
    <col min="14855" max="14855" width="21.42578125" bestFit="1" customWidth="1"/>
    <col min="14856" max="14856" width="15.42578125" bestFit="1" customWidth="1"/>
    <col min="14857" max="14857" width="16.5703125" bestFit="1" customWidth="1"/>
    <col min="14858" max="14858" width="12" bestFit="1" customWidth="1"/>
    <col min="14859" max="14859" width="28" customWidth="1"/>
    <col min="14860" max="14860" width="11" customWidth="1"/>
    <col min="14861" max="14862" width="9.28515625" customWidth="1"/>
    <col min="14863" max="14863" width="51.7109375" customWidth="1"/>
    <col min="14864" max="14866" width="12.28515625" customWidth="1"/>
    <col min="14867" max="14867" width="21.42578125" bestFit="1" customWidth="1"/>
    <col min="14868" max="14868" width="18.28515625" bestFit="1" customWidth="1"/>
    <col min="14869" max="14869" width="17.5703125" bestFit="1" customWidth="1"/>
    <col min="15104" max="15104" width="5.7109375" customWidth="1"/>
    <col min="15105" max="15105" width="9.28515625" customWidth="1"/>
    <col min="15106" max="15106" width="51.7109375" customWidth="1"/>
    <col min="15107" max="15107" width="19" customWidth="1"/>
    <col min="15108" max="15108" width="12.42578125" customWidth="1"/>
    <col min="15109" max="15109" width="16" bestFit="1" customWidth="1"/>
    <col min="15110" max="15110" width="12.28515625" customWidth="1"/>
    <col min="15111" max="15111" width="21.42578125" bestFit="1" customWidth="1"/>
    <col min="15112" max="15112" width="15.42578125" bestFit="1" customWidth="1"/>
    <col min="15113" max="15113" width="16.5703125" bestFit="1" customWidth="1"/>
    <col min="15114" max="15114" width="12" bestFit="1" customWidth="1"/>
    <col min="15115" max="15115" width="28" customWidth="1"/>
    <col min="15116" max="15116" width="11" customWidth="1"/>
    <col min="15117" max="15118" width="9.28515625" customWidth="1"/>
    <col min="15119" max="15119" width="51.7109375" customWidth="1"/>
    <col min="15120" max="15122" width="12.28515625" customWidth="1"/>
    <col min="15123" max="15123" width="21.42578125" bestFit="1" customWidth="1"/>
    <col min="15124" max="15124" width="18.28515625" bestFit="1" customWidth="1"/>
    <col min="15125" max="15125" width="17.5703125" bestFit="1" customWidth="1"/>
    <col min="15360" max="15360" width="5.7109375" customWidth="1"/>
    <col min="15361" max="15361" width="9.28515625" customWidth="1"/>
    <col min="15362" max="15362" width="51.7109375" customWidth="1"/>
    <col min="15363" max="15363" width="19" customWidth="1"/>
    <col min="15364" max="15364" width="12.42578125" customWidth="1"/>
    <col min="15365" max="15365" width="16" bestFit="1" customWidth="1"/>
    <col min="15366" max="15366" width="12.28515625" customWidth="1"/>
    <col min="15367" max="15367" width="21.42578125" bestFit="1" customWidth="1"/>
    <col min="15368" max="15368" width="15.42578125" bestFit="1" customWidth="1"/>
    <col min="15369" max="15369" width="16.5703125" bestFit="1" customWidth="1"/>
    <col min="15370" max="15370" width="12" bestFit="1" customWidth="1"/>
    <col min="15371" max="15371" width="28" customWidth="1"/>
    <col min="15372" max="15372" width="11" customWidth="1"/>
    <col min="15373" max="15374" width="9.28515625" customWidth="1"/>
    <col min="15375" max="15375" width="51.7109375" customWidth="1"/>
    <col min="15376" max="15378" width="12.28515625" customWidth="1"/>
    <col min="15379" max="15379" width="21.42578125" bestFit="1" customWidth="1"/>
    <col min="15380" max="15380" width="18.28515625" bestFit="1" customWidth="1"/>
    <col min="15381" max="15381" width="17.5703125" bestFit="1" customWidth="1"/>
    <col min="15616" max="15616" width="5.7109375" customWidth="1"/>
    <col min="15617" max="15617" width="9.28515625" customWidth="1"/>
    <col min="15618" max="15618" width="51.7109375" customWidth="1"/>
    <col min="15619" max="15619" width="19" customWidth="1"/>
    <col min="15620" max="15620" width="12.42578125" customWidth="1"/>
    <col min="15621" max="15621" width="16" bestFit="1" customWidth="1"/>
    <col min="15622" max="15622" width="12.28515625" customWidth="1"/>
    <col min="15623" max="15623" width="21.42578125" bestFit="1" customWidth="1"/>
    <col min="15624" max="15624" width="15.42578125" bestFit="1" customWidth="1"/>
    <col min="15625" max="15625" width="16.5703125" bestFit="1" customWidth="1"/>
    <col min="15626" max="15626" width="12" bestFit="1" customWidth="1"/>
    <col min="15627" max="15627" width="28" customWidth="1"/>
    <col min="15628" max="15628" width="11" customWidth="1"/>
    <col min="15629" max="15630" width="9.28515625" customWidth="1"/>
    <col min="15631" max="15631" width="51.7109375" customWidth="1"/>
    <col min="15632" max="15634" width="12.28515625" customWidth="1"/>
    <col min="15635" max="15635" width="21.42578125" bestFit="1" customWidth="1"/>
    <col min="15636" max="15636" width="18.28515625" bestFit="1" customWidth="1"/>
    <col min="15637" max="15637" width="17.5703125" bestFit="1" customWidth="1"/>
    <col min="15872" max="15872" width="5.7109375" customWidth="1"/>
    <col min="15873" max="15873" width="9.28515625" customWidth="1"/>
    <col min="15874" max="15874" width="51.7109375" customWidth="1"/>
    <col min="15875" max="15875" width="19" customWidth="1"/>
    <col min="15876" max="15876" width="12.42578125" customWidth="1"/>
    <col min="15877" max="15877" width="16" bestFit="1" customWidth="1"/>
    <col min="15878" max="15878" width="12.28515625" customWidth="1"/>
    <col min="15879" max="15879" width="21.42578125" bestFit="1" customWidth="1"/>
    <col min="15880" max="15880" width="15.42578125" bestFit="1" customWidth="1"/>
    <col min="15881" max="15881" width="16.5703125" bestFit="1" customWidth="1"/>
    <col min="15882" max="15882" width="12" bestFit="1" customWidth="1"/>
    <col min="15883" max="15883" width="28" customWidth="1"/>
    <col min="15884" max="15884" width="11" customWidth="1"/>
    <col min="15885" max="15886" width="9.28515625" customWidth="1"/>
    <col min="15887" max="15887" width="51.7109375" customWidth="1"/>
    <col min="15888" max="15890" width="12.28515625" customWidth="1"/>
    <col min="15891" max="15891" width="21.42578125" bestFit="1" customWidth="1"/>
    <col min="15892" max="15892" width="18.28515625" bestFit="1" customWidth="1"/>
    <col min="15893" max="15893" width="17.5703125" bestFit="1" customWidth="1"/>
    <col min="16128" max="16128" width="5.7109375" customWidth="1"/>
    <col min="16129" max="16129" width="9.28515625" customWidth="1"/>
    <col min="16130" max="16130" width="51.7109375" customWidth="1"/>
    <col min="16131" max="16131" width="19" customWidth="1"/>
    <col min="16132" max="16132" width="12.42578125" customWidth="1"/>
    <col min="16133" max="16133" width="16" bestFit="1" customWidth="1"/>
    <col min="16134" max="16134" width="12.28515625" customWidth="1"/>
    <col min="16135" max="16135" width="21.42578125" bestFit="1" customWidth="1"/>
    <col min="16136" max="16136" width="15.42578125" bestFit="1" customWidth="1"/>
    <col min="16137" max="16137" width="16.5703125" bestFit="1" customWidth="1"/>
    <col min="16138" max="16138" width="12" bestFit="1" customWidth="1"/>
    <col min="16139" max="16139" width="28" customWidth="1"/>
    <col min="16140" max="16140" width="11" customWidth="1"/>
    <col min="16141" max="16142" width="9.28515625" customWidth="1"/>
    <col min="16143" max="16143" width="51.7109375" customWidth="1"/>
    <col min="16144" max="16146" width="12.28515625" customWidth="1"/>
    <col min="16147" max="16147" width="21.42578125" bestFit="1" customWidth="1"/>
    <col min="16148" max="16148" width="18.28515625" bestFit="1" customWidth="1"/>
    <col min="16149" max="16149" width="17.5703125" bestFit="1" customWidth="1"/>
  </cols>
  <sheetData>
    <row r="1" spans="1:22" s="8" customFormat="1" ht="30" customHeight="1" x14ac:dyDescent="0.25">
      <c r="A1" s="491" t="s">
        <v>240</v>
      </c>
      <c r="B1" s="491"/>
      <c r="C1" s="491"/>
      <c r="D1" s="491"/>
      <c r="E1" s="491"/>
      <c r="F1" s="491"/>
      <c r="G1" s="491"/>
      <c r="H1" s="491"/>
      <c r="I1" s="491"/>
      <c r="J1" s="154"/>
      <c r="K1" s="7"/>
      <c r="L1" s="7"/>
      <c r="M1" s="46"/>
      <c r="N1" s="46"/>
      <c r="O1" s="46"/>
      <c r="P1" s="46"/>
      <c r="Q1" s="46"/>
      <c r="R1" s="46"/>
      <c r="S1" s="46"/>
      <c r="T1" s="46"/>
      <c r="U1" s="47"/>
    </row>
    <row r="2" spans="1:22" s="3" customFormat="1" ht="19.5" customHeight="1" x14ac:dyDescent="0.25">
      <c r="A2" s="486" t="s">
        <v>1</v>
      </c>
      <c r="B2" s="487" t="s">
        <v>2</v>
      </c>
      <c r="C2" s="483" t="s">
        <v>3</v>
      </c>
      <c r="D2" s="486" t="s">
        <v>4</v>
      </c>
      <c r="E2" s="487" t="s">
        <v>5</v>
      </c>
      <c r="F2" s="486" t="s">
        <v>6</v>
      </c>
      <c r="G2" s="486" t="s">
        <v>64</v>
      </c>
      <c r="H2" s="486" t="s">
        <v>65</v>
      </c>
      <c r="I2" s="489" t="s">
        <v>14</v>
      </c>
      <c r="J2" s="155"/>
      <c r="K2" s="11"/>
      <c r="L2" s="11"/>
      <c r="M2" s="487"/>
      <c r="N2" s="9"/>
      <c r="O2" s="483"/>
      <c r="P2" s="10"/>
      <c r="Q2" s="483"/>
      <c r="R2" s="10"/>
      <c r="S2" s="483"/>
      <c r="T2" s="483"/>
      <c r="U2" s="483"/>
    </row>
    <row r="3" spans="1:22" s="3" customFormat="1" ht="26.25" customHeight="1" x14ac:dyDescent="0.25">
      <c r="A3" s="486"/>
      <c r="B3" s="487"/>
      <c r="C3" s="483"/>
      <c r="D3" s="486"/>
      <c r="E3" s="487"/>
      <c r="F3" s="486"/>
      <c r="G3" s="486"/>
      <c r="H3" s="486"/>
      <c r="I3" s="490"/>
      <c r="J3" s="155"/>
      <c r="K3" s="11"/>
      <c r="L3" s="11"/>
      <c r="M3" s="487"/>
      <c r="N3" s="9"/>
      <c r="O3" s="483"/>
      <c r="P3" s="10"/>
      <c r="Q3" s="483"/>
      <c r="R3" s="10"/>
      <c r="S3" s="483"/>
      <c r="T3" s="483"/>
      <c r="U3" s="483"/>
    </row>
    <row r="4" spans="1:22" s="53" customFormat="1" ht="15.75" x14ac:dyDescent="0.25">
      <c r="A4" s="54">
        <v>1</v>
      </c>
      <c r="B4" s="49">
        <v>1007</v>
      </c>
      <c r="C4" s="50" t="s">
        <v>73</v>
      </c>
      <c r="D4" s="56">
        <v>6082.2</v>
      </c>
      <c r="E4" s="57" t="s">
        <v>16</v>
      </c>
      <c r="F4" s="58">
        <f>D4*E4</f>
        <v>1520.55</v>
      </c>
      <c r="G4" s="58"/>
      <c r="H4" s="58">
        <f>F4-G4</f>
        <v>1520.55</v>
      </c>
      <c r="I4" s="61"/>
      <c r="J4" s="150"/>
      <c r="K4" s="48"/>
      <c r="L4" s="48"/>
      <c r="M4" s="49">
        <v>1007</v>
      </c>
      <c r="N4" s="49" t="b">
        <f>M4=B4</f>
        <v>1</v>
      </c>
      <c r="O4" s="50" t="s">
        <v>73</v>
      </c>
      <c r="P4" s="50" t="b">
        <f>O4=C4</f>
        <v>1</v>
      </c>
      <c r="Q4" s="51">
        <v>1515504</v>
      </c>
      <c r="R4" s="51" t="e">
        <f>Q4=#REF!</f>
        <v>#REF!</v>
      </c>
      <c r="S4" s="52" t="s">
        <v>74</v>
      </c>
      <c r="T4" s="51" t="e">
        <f>S4=#REF!</f>
        <v>#REF!</v>
      </c>
      <c r="U4" s="52" t="s">
        <v>76</v>
      </c>
      <c r="V4" s="53" t="e">
        <f>U4=#REF!</f>
        <v>#REF!</v>
      </c>
    </row>
    <row r="5" spans="1:22" s="53" customFormat="1" ht="15.75" x14ac:dyDescent="0.25">
      <c r="A5" s="54">
        <v>2</v>
      </c>
      <c r="B5" s="49">
        <v>1041</v>
      </c>
      <c r="C5" s="55" t="s">
        <v>77</v>
      </c>
      <c r="D5" s="56">
        <v>2583.1</v>
      </c>
      <c r="E5" s="57" t="s">
        <v>16</v>
      </c>
      <c r="F5" s="58">
        <f t="shared" ref="F5:F68" si="0">D5*E5</f>
        <v>645.77499999999998</v>
      </c>
      <c r="G5" s="58"/>
      <c r="H5" s="58">
        <f t="shared" ref="H5:H68" si="1">F5-G5</f>
        <v>645.77499999999998</v>
      </c>
      <c r="I5" s="61"/>
      <c r="J5" s="150"/>
      <c r="K5" s="48"/>
      <c r="L5" s="48"/>
      <c r="M5" s="49">
        <v>1041</v>
      </c>
      <c r="N5" s="49" t="b">
        <f>M5=B5</f>
        <v>1</v>
      </c>
      <c r="O5" s="55" t="s">
        <v>77</v>
      </c>
      <c r="P5" s="50" t="b">
        <f>O5=C5</f>
        <v>1</v>
      </c>
      <c r="Q5" s="51">
        <v>6827729</v>
      </c>
      <c r="R5" s="51" t="e">
        <f>Q5=#REF!</f>
        <v>#REF!</v>
      </c>
      <c r="S5" s="52" t="s">
        <v>78</v>
      </c>
      <c r="T5" s="51" t="e">
        <f>S5=#REF!</f>
        <v>#REF!</v>
      </c>
      <c r="U5" s="52" t="s">
        <v>19</v>
      </c>
      <c r="V5" s="53" t="e">
        <f>U5=#REF!</f>
        <v>#REF!</v>
      </c>
    </row>
    <row r="6" spans="1:22" s="53" customFormat="1" ht="15.75" x14ac:dyDescent="0.25">
      <c r="A6" s="62">
        <v>3</v>
      </c>
      <c r="B6" s="63">
        <v>1125</v>
      </c>
      <c r="C6" s="72" t="s">
        <v>79</v>
      </c>
      <c r="D6" s="65">
        <v>6122.4</v>
      </c>
      <c r="E6" s="66" t="s">
        <v>16</v>
      </c>
      <c r="F6" s="67">
        <f t="shared" si="0"/>
        <v>1530.6</v>
      </c>
      <c r="G6" s="67">
        <f>1526.35+4.25</f>
        <v>1530.6</v>
      </c>
      <c r="H6" s="67">
        <f t="shared" si="1"/>
        <v>0</v>
      </c>
      <c r="I6" s="168">
        <v>45630</v>
      </c>
      <c r="J6" s="150">
        <v>45658</v>
      </c>
      <c r="K6" s="48"/>
      <c r="L6" s="48"/>
      <c r="M6" s="49">
        <v>1125</v>
      </c>
      <c r="N6" s="49" t="b">
        <f>M6=B6</f>
        <v>1</v>
      </c>
      <c r="O6" s="55" t="s">
        <v>79</v>
      </c>
      <c r="P6" s="50" t="b">
        <f>O6=C6</f>
        <v>1</v>
      </c>
      <c r="Q6" s="51">
        <v>6828774</v>
      </c>
      <c r="R6" s="51" t="e">
        <f>Q6=#REF!</f>
        <v>#REF!</v>
      </c>
      <c r="S6" s="52" t="s">
        <v>80</v>
      </c>
      <c r="T6" s="51" t="e">
        <f>S6=#REF!</f>
        <v>#REF!</v>
      </c>
      <c r="U6" s="52" t="s">
        <v>37</v>
      </c>
      <c r="V6" s="53" t="e">
        <f>U6=#REF!</f>
        <v>#REF!</v>
      </c>
    </row>
    <row r="7" spans="1:22" s="53" customFormat="1" ht="15.75" x14ac:dyDescent="0.25">
      <c r="A7" s="54">
        <v>4</v>
      </c>
      <c r="B7" s="49">
        <v>1222</v>
      </c>
      <c r="C7" s="55" t="s">
        <v>81</v>
      </c>
      <c r="D7" s="56">
        <v>965.7</v>
      </c>
      <c r="E7" s="57" t="s">
        <v>16</v>
      </c>
      <c r="F7" s="58">
        <f>D7*E7</f>
        <v>241.42500000000001</v>
      </c>
      <c r="G7" s="58"/>
      <c r="H7" s="58">
        <f t="shared" si="1"/>
        <v>241.42500000000001</v>
      </c>
      <c r="I7" s="169"/>
      <c r="J7" s="150"/>
      <c r="K7" s="48"/>
      <c r="L7" s="48"/>
      <c r="M7" s="49"/>
      <c r="N7" s="49"/>
      <c r="O7" s="55"/>
      <c r="P7" s="50"/>
      <c r="Q7" s="51"/>
      <c r="R7" s="51"/>
      <c r="S7" s="52"/>
      <c r="T7" s="51"/>
      <c r="U7" s="52"/>
    </row>
    <row r="8" spans="1:22" s="53" customFormat="1" ht="15.75" x14ac:dyDescent="0.25">
      <c r="A8" s="54">
        <v>5</v>
      </c>
      <c r="B8" s="49">
        <v>1286</v>
      </c>
      <c r="C8" s="50" t="s">
        <v>85</v>
      </c>
      <c r="D8" s="56">
        <v>2975.1</v>
      </c>
      <c r="E8" s="57" t="s">
        <v>16</v>
      </c>
      <c r="F8" s="58">
        <f t="shared" si="0"/>
        <v>743.77499999999998</v>
      </c>
      <c r="G8" s="58"/>
      <c r="H8" s="58">
        <f t="shared" si="1"/>
        <v>743.77499999999998</v>
      </c>
      <c r="I8" s="114"/>
      <c r="J8" s="150"/>
      <c r="K8" s="48"/>
      <c r="L8" s="48"/>
      <c r="M8" s="49">
        <v>1286</v>
      </c>
      <c r="N8" s="49" t="b">
        <f t="shared" ref="N8:N24" si="2">M8=B8</f>
        <v>1</v>
      </c>
      <c r="O8" s="50" t="s">
        <v>85</v>
      </c>
      <c r="P8" s="50" t="b">
        <f t="shared" ref="P8:P24" si="3">O8=C8</f>
        <v>1</v>
      </c>
      <c r="Q8" s="51">
        <v>368056</v>
      </c>
      <c r="R8" s="51" t="e">
        <f>Q8=#REF!</f>
        <v>#REF!</v>
      </c>
      <c r="S8" s="52" t="s">
        <v>86</v>
      </c>
      <c r="T8" s="51" t="e">
        <f>S8=#REF!</f>
        <v>#REF!</v>
      </c>
      <c r="U8" s="52" t="s">
        <v>19</v>
      </c>
      <c r="V8" s="53" t="e">
        <f>U8=#REF!</f>
        <v>#REF!</v>
      </c>
    </row>
    <row r="9" spans="1:22" s="53" customFormat="1" ht="15.75" x14ac:dyDescent="0.25">
      <c r="A9" s="62">
        <v>6</v>
      </c>
      <c r="B9" s="63">
        <v>1344</v>
      </c>
      <c r="C9" s="64" t="s">
        <v>66</v>
      </c>
      <c r="D9" s="65">
        <v>2380</v>
      </c>
      <c r="E9" s="66" t="s">
        <v>16</v>
      </c>
      <c r="F9" s="67">
        <f t="shared" si="0"/>
        <v>595</v>
      </c>
      <c r="G9" s="67">
        <f>590.275+4.725</f>
        <v>595</v>
      </c>
      <c r="H9" s="67">
        <f t="shared" si="1"/>
        <v>0</v>
      </c>
      <c r="I9" s="171">
        <v>45680</v>
      </c>
      <c r="J9" s="150" t="s">
        <v>241</v>
      </c>
      <c r="K9" s="48"/>
      <c r="L9" s="48"/>
      <c r="M9" s="49">
        <v>1344</v>
      </c>
      <c r="N9" s="49" t="b">
        <f t="shared" si="2"/>
        <v>1</v>
      </c>
      <c r="O9" s="50" t="s">
        <v>66</v>
      </c>
      <c r="P9" s="50" t="b">
        <f t="shared" si="3"/>
        <v>1</v>
      </c>
      <c r="Q9" s="51">
        <v>4014519</v>
      </c>
      <c r="R9" s="51" t="e">
        <f>Q9=#REF!</f>
        <v>#REF!</v>
      </c>
      <c r="S9" s="52" t="s">
        <v>87</v>
      </c>
      <c r="T9" s="51" t="e">
        <f>S9=#REF!</f>
        <v>#REF!</v>
      </c>
      <c r="U9" s="52" t="s">
        <v>89</v>
      </c>
      <c r="V9" s="53" t="e">
        <f>U9=#REF!</f>
        <v>#REF!</v>
      </c>
    </row>
    <row r="10" spans="1:22" s="53" customFormat="1" ht="15.75" x14ac:dyDescent="0.25">
      <c r="A10" s="54">
        <v>7</v>
      </c>
      <c r="B10" s="49">
        <v>1352</v>
      </c>
      <c r="C10" s="50" t="s">
        <v>90</v>
      </c>
      <c r="D10" s="56">
        <v>1605.1</v>
      </c>
      <c r="E10" s="57" t="s">
        <v>16</v>
      </c>
      <c r="F10" s="58">
        <f t="shared" si="0"/>
        <v>401.27499999999998</v>
      </c>
      <c r="G10" s="58"/>
      <c r="H10" s="58">
        <f t="shared" si="1"/>
        <v>401.27499999999998</v>
      </c>
      <c r="I10" s="114"/>
      <c r="J10" s="150"/>
      <c r="K10" s="48"/>
      <c r="L10" s="48"/>
      <c r="M10" s="49">
        <v>1352</v>
      </c>
      <c r="N10" s="49" t="b">
        <f t="shared" si="2"/>
        <v>1</v>
      </c>
      <c r="O10" s="50" t="s">
        <v>90</v>
      </c>
      <c r="P10" s="50" t="b">
        <f t="shared" si="3"/>
        <v>1</v>
      </c>
      <c r="Q10" s="51">
        <v>1627344</v>
      </c>
      <c r="R10" s="51" t="e">
        <f>Q10=#REF!</f>
        <v>#REF!</v>
      </c>
      <c r="S10" s="52" t="s">
        <v>91</v>
      </c>
      <c r="T10" s="51" t="e">
        <f>S10=#REF!</f>
        <v>#REF!</v>
      </c>
      <c r="U10" s="52" t="s">
        <v>19</v>
      </c>
      <c r="V10" s="53" t="e">
        <f>U10=#REF!</f>
        <v>#REF!</v>
      </c>
    </row>
    <row r="11" spans="1:22" s="53" customFormat="1" ht="15.75" x14ac:dyDescent="0.25">
      <c r="A11" s="54">
        <v>8</v>
      </c>
      <c r="B11" s="49">
        <v>1354</v>
      </c>
      <c r="C11" s="55" t="s">
        <v>92</v>
      </c>
      <c r="D11" s="56">
        <v>2445.3000000000002</v>
      </c>
      <c r="E11" s="57" t="s">
        <v>16</v>
      </c>
      <c r="F11" s="58">
        <f t="shared" si="0"/>
        <v>611.32500000000005</v>
      </c>
      <c r="G11" s="58"/>
      <c r="H11" s="58">
        <f t="shared" si="1"/>
        <v>611.32500000000005</v>
      </c>
      <c r="I11" s="170"/>
      <c r="J11" s="150"/>
      <c r="K11" s="48"/>
      <c r="L11" s="48"/>
      <c r="M11" s="49">
        <v>1354</v>
      </c>
      <c r="N11" s="49" t="b">
        <f t="shared" si="2"/>
        <v>1</v>
      </c>
      <c r="O11" s="55" t="s">
        <v>92</v>
      </c>
      <c r="P11" s="50" t="b">
        <f t="shared" si="3"/>
        <v>1</v>
      </c>
      <c r="Q11" s="51">
        <v>925709</v>
      </c>
      <c r="R11" s="51" t="e">
        <f>Q11=#REF!</f>
        <v>#REF!</v>
      </c>
      <c r="S11" s="52" t="s">
        <v>93</v>
      </c>
      <c r="T11" s="51" t="e">
        <f>S11=#REF!</f>
        <v>#REF!</v>
      </c>
      <c r="U11" s="52" t="s">
        <v>19</v>
      </c>
      <c r="V11" s="53" t="e">
        <f>U11=#REF!</f>
        <v>#REF!</v>
      </c>
    </row>
    <row r="12" spans="1:22" s="53" customFormat="1" ht="15.75" x14ac:dyDescent="0.25">
      <c r="A12" s="54">
        <v>9</v>
      </c>
      <c r="B12" s="49">
        <v>1357</v>
      </c>
      <c r="C12" s="55" t="s">
        <v>94</v>
      </c>
      <c r="D12" s="56">
        <v>4796.8999999999996</v>
      </c>
      <c r="E12" s="57" t="s">
        <v>16</v>
      </c>
      <c r="F12" s="58">
        <f t="shared" si="0"/>
        <v>1199.2249999999999</v>
      </c>
      <c r="G12" s="58"/>
      <c r="H12" s="58">
        <f t="shared" si="1"/>
        <v>1199.2249999999999</v>
      </c>
      <c r="I12" s="170"/>
      <c r="J12" s="150"/>
      <c r="K12" s="48"/>
      <c r="L12" s="48"/>
      <c r="M12" s="49">
        <v>1357</v>
      </c>
      <c r="N12" s="49" t="b">
        <f t="shared" si="2"/>
        <v>1</v>
      </c>
      <c r="O12" s="55" t="s">
        <v>94</v>
      </c>
      <c r="P12" s="50" t="b">
        <f t="shared" si="3"/>
        <v>1</v>
      </c>
      <c r="Q12" s="51">
        <v>1052276</v>
      </c>
      <c r="R12" s="51" t="e">
        <f>Q12=#REF!</f>
        <v>#REF!</v>
      </c>
      <c r="S12" s="52" t="s">
        <v>95</v>
      </c>
      <c r="T12" s="51" t="e">
        <f>S12=#REF!</f>
        <v>#REF!</v>
      </c>
      <c r="U12" s="52" t="s">
        <v>37</v>
      </c>
      <c r="V12" s="53" t="e">
        <f>U12=#REF!</f>
        <v>#REF!</v>
      </c>
    </row>
    <row r="13" spans="1:22" s="53" customFormat="1" ht="15.75" x14ac:dyDescent="0.25">
      <c r="A13" s="62">
        <v>10</v>
      </c>
      <c r="B13" s="63">
        <v>1359</v>
      </c>
      <c r="C13" s="72" t="s">
        <v>96</v>
      </c>
      <c r="D13" s="65">
        <v>2673.6</v>
      </c>
      <c r="E13" s="66" t="s">
        <v>16</v>
      </c>
      <c r="F13" s="67">
        <f t="shared" si="0"/>
        <v>668.4</v>
      </c>
      <c r="G13" s="67">
        <f>665.125+3.275</f>
        <v>668.4</v>
      </c>
      <c r="H13" s="67">
        <f t="shared" si="1"/>
        <v>0</v>
      </c>
      <c r="I13" s="152">
        <v>45630</v>
      </c>
      <c r="J13" s="150">
        <v>45655</v>
      </c>
      <c r="K13" s="48"/>
      <c r="L13" s="48"/>
      <c r="M13" s="49">
        <v>1359</v>
      </c>
      <c r="N13" s="49" t="b">
        <f t="shared" si="2"/>
        <v>1</v>
      </c>
      <c r="O13" s="55" t="s">
        <v>96</v>
      </c>
      <c r="P13" s="50" t="b">
        <f t="shared" si="3"/>
        <v>1</v>
      </c>
      <c r="Q13" s="51">
        <v>4812026</v>
      </c>
      <c r="R13" s="51" t="e">
        <f>Q13=#REF!</f>
        <v>#REF!</v>
      </c>
      <c r="S13" s="52" t="s">
        <v>97</v>
      </c>
      <c r="T13" s="51" t="e">
        <f>S13=#REF!</f>
        <v>#REF!</v>
      </c>
      <c r="U13" s="52" t="s">
        <v>84</v>
      </c>
      <c r="V13" s="53" t="e">
        <f>U13=#REF!</f>
        <v>#REF!</v>
      </c>
    </row>
    <row r="14" spans="1:22" s="53" customFormat="1" ht="15.75" x14ac:dyDescent="0.25">
      <c r="A14" s="137">
        <v>11</v>
      </c>
      <c r="B14" s="138">
        <v>1367</v>
      </c>
      <c r="C14" s="139" t="s">
        <v>98</v>
      </c>
      <c r="D14" s="140">
        <v>943.9</v>
      </c>
      <c r="E14" s="141" t="s">
        <v>16</v>
      </c>
      <c r="F14" s="142">
        <f t="shared" si="0"/>
        <v>235.97499999999999</v>
      </c>
      <c r="G14" s="142">
        <f>F14</f>
        <v>235.97499999999999</v>
      </c>
      <c r="H14" s="142">
        <f t="shared" si="1"/>
        <v>0</v>
      </c>
      <c r="I14" s="267">
        <v>45902</v>
      </c>
      <c r="J14" s="150"/>
      <c r="K14" s="48"/>
      <c r="L14" s="48"/>
      <c r="M14" s="49">
        <v>1367</v>
      </c>
      <c r="N14" s="49" t="b">
        <f t="shared" si="2"/>
        <v>1</v>
      </c>
      <c r="O14" s="50" t="s">
        <v>98</v>
      </c>
      <c r="P14" s="50" t="b">
        <f t="shared" si="3"/>
        <v>1</v>
      </c>
      <c r="Q14" s="51">
        <v>6663593</v>
      </c>
      <c r="R14" s="51" t="e">
        <f>Q14=#REF!</f>
        <v>#REF!</v>
      </c>
      <c r="S14" s="52" t="s">
        <v>99</v>
      </c>
      <c r="T14" s="51" t="e">
        <f>S14=#REF!</f>
        <v>#REF!</v>
      </c>
      <c r="U14" s="52" t="s">
        <v>19</v>
      </c>
      <c r="V14" s="53" t="e">
        <f>U14=#REF!</f>
        <v>#REF!</v>
      </c>
    </row>
    <row r="15" spans="1:22" s="53" customFormat="1" ht="15.75" x14ac:dyDescent="0.25">
      <c r="A15" s="62">
        <v>12</v>
      </c>
      <c r="B15" s="63">
        <v>1368</v>
      </c>
      <c r="C15" s="27" t="s">
        <v>100</v>
      </c>
      <c r="D15" s="65">
        <v>3718.3</v>
      </c>
      <c r="E15" s="66" t="s">
        <v>16</v>
      </c>
      <c r="F15" s="67">
        <f t="shared" si="0"/>
        <v>929.57500000000005</v>
      </c>
      <c r="G15" s="67">
        <f>F15</f>
        <v>929.57500000000005</v>
      </c>
      <c r="H15" s="67">
        <f t="shared" si="1"/>
        <v>0</v>
      </c>
      <c r="I15" s="152">
        <v>45622</v>
      </c>
      <c r="J15" s="150"/>
      <c r="K15" s="48"/>
      <c r="L15" s="48"/>
      <c r="M15" s="49">
        <v>1368</v>
      </c>
      <c r="N15" s="49" t="b">
        <f t="shared" si="2"/>
        <v>1</v>
      </c>
      <c r="O15" t="s">
        <v>100</v>
      </c>
      <c r="P15" s="50" t="b">
        <f t="shared" si="3"/>
        <v>1</v>
      </c>
      <c r="Q15" s="52">
        <v>561902</v>
      </c>
      <c r="R15" s="51" t="e">
        <f>Q15=#REF!</f>
        <v>#REF!</v>
      </c>
      <c r="S15" s="52" t="s">
        <v>101</v>
      </c>
      <c r="T15" s="51" t="e">
        <f>S15=#REF!</f>
        <v>#REF!</v>
      </c>
      <c r="U15" s="52" t="s">
        <v>37</v>
      </c>
      <c r="V15" s="53" t="e">
        <f>U15=#REF!</f>
        <v>#REF!</v>
      </c>
    </row>
    <row r="16" spans="1:22" s="53" customFormat="1" ht="15.75" x14ac:dyDescent="0.25">
      <c r="A16" s="62">
        <v>13</v>
      </c>
      <c r="B16" s="63">
        <v>3002</v>
      </c>
      <c r="C16" s="64" t="s">
        <v>102</v>
      </c>
      <c r="D16" s="65">
        <v>1600.5</v>
      </c>
      <c r="E16" s="66" t="s">
        <v>16</v>
      </c>
      <c r="F16" s="67">
        <f t="shared" si="0"/>
        <v>400.125</v>
      </c>
      <c r="G16" s="67">
        <f>399.45+0.675</f>
        <v>400.125</v>
      </c>
      <c r="H16" s="67">
        <f t="shared" si="1"/>
        <v>0</v>
      </c>
      <c r="I16" s="171">
        <v>45629</v>
      </c>
      <c r="J16" s="150">
        <v>45658</v>
      </c>
      <c r="K16" s="48"/>
      <c r="L16" s="48"/>
      <c r="M16" s="49">
        <v>3002</v>
      </c>
      <c r="N16" s="49" t="b">
        <f t="shared" si="2"/>
        <v>1</v>
      </c>
      <c r="O16" s="50" t="s">
        <v>102</v>
      </c>
      <c r="P16" s="50" t="b">
        <f t="shared" si="3"/>
        <v>1</v>
      </c>
      <c r="Q16" s="51">
        <v>21220177</v>
      </c>
      <c r="R16" s="51" t="e">
        <f>Q16=#REF!</f>
        <v>#REF!</v>
      </c>
      <c r="S16" s="52" t="s">
        <v>103</v>
      </c>
      <c r="T16" s="51" t="e">
        <f>S16=#REF!</f>
        <v>#REF!</v>
      </c>
      <c r="U16" s="52" t="s">
        <v>19</v>
      </c>
      <c r="V16" s="53" t="e">
        <f>U16=#REF!</f>
        <v>#REF!</v>
      </c>
    </row>
    <row r="17" spans="1:22" s="53" customFormat="1" ht="15.75" x14ac:dyDescent="0.25">
      <c r="A17" s="54">
        <v>14</v>
      </c>
      <c r="B17" s="85">
        <v>3035</v>
      </c>
      <c r="C17" s="74" t="s">
        <v>104</v>
      </c>
      <c r="D17" s="65"/>
      <c r="E17" s="57" t="s">
        <v>16</v>
      </c>
      <c r="F17" s="58">
        <f t="shared" si="0"/>
        <v>0</v>
      </c>
      <c r="G17" s="58"/>
      <c r="H17" s="58">
        <f t="shared" si="1"/>
        <v>0</v>
      </c>
      <c r="I17" s="114"/>
      <c r="J17" s="150"/>
      <c r="K17" s="48"/>
      <c r="L17" s="48"/>
      <c r="M17" s="85">
        <v>3035</v>
      </c>
      <c r="N17" s="85" t="b">
        <f t="shared" si="2"/>
        <v>1</v>
      </c>
      <c r="O17" s="74" t="s">
        <v>104</v>
      </c>
      <c r="P17" s="50" t="b">
        <f t="shared" si="3"/>
        <v>1</v>
      </c>
      <c r="Q17" s="75">
        <v>6725058</v>
      </c>
      <c r="R17" s="51" t="e">
        <f>Q17=#REF!</f>
        <v>#REF!</v>
      </c>
      <c r="S17" s="52" t="s">
        <v>105</v>
      </c>
      <c r="T17" s="51" t="e">
        <f>S17=#REF!</f>
        <v>#REF!</v>
      </c>
      <c r="U17" s="76" t="s">
        <v>37</v>
      </c>
      <c r="V17" s="53" t="e">
        <f>U17=#REF!</f>
        <v>#REF!</v>
      </c>
    </row>
    <row r="18" spans="1:22" s="53" customFormat="1" ht="15.75" x14ac:dyDescent="0.25">
      <c r="A18" s="62">
        <v>15</v>
      </c>
      <c r="B18" s="63">
        <v>3057</v>
      </c>
      <c r="C18" s="64" t="s">
        <v>67</v>
      </c>
      <c r="D18" s="65">
        <v>2488.3000000000002</v>
      </c>
      <c r="E18" s="66" t="s">
        <v>16</v>
      </c>
      <c r="F18" s="67">
        <f t="shared" si="0"/>
        <v>622.07500000000005</v>
      </c>
      <c r="G18" s="67">
        <f>619.725+2.35</f>
        <v>622.07500000000005</v>
      </c>
      <c r="H18" s="67">
        <f t="shared" si="1"/>
        <v>0</v>
      </c>
      <c r="I18" s="171">
        <v>45629</v>
      </c>
      <c r="J18" s="150" t="s">
        <v>242</v>
      </c>
      <c r="K18" s="48"/>
      <c r="L18" s="48"/>
      <c r="M18" s="49">
        <v>3057</v>
      </c>
      <c r="N18" s="49" t="b">
        <f t="shared" si="2"/>
        <v>1</v>
      </c>
      <c r="O18" s="50" t="s">
        <v>67</v>
      </c>
      <c r="P18" s="50" t="b">
        <f t="shared" si="3"/>
        <v>1</v>
      </c>
      <c r="Q18" s="51">
        <v>626819</v>
      </c>
      <c r="R18" s="51" t="e">
        <f>Q18=#REF!</f>
        <v>#REF!</v>
      </c>
      <c r="S18" s="52" t="s">
        <v>106</v>
      </c>
      <c r="T18" s="51" t="e">
        <f>S18=#REF!</f>
        <v>#REF!</v>
      </c>
      <c r="U18" s="52" t="s">
        <v>19</v>
      </c>
      <c r="V18" s="53" t="e">
        <f>U18=#REF!</f>
        <v>#REF!</v>
      </c>
    </row>
    <row r="19" spans="1:22" s="53" customFormat="1" ht="15.75" x14ac:dyDescent="0.25">
      <c r="A19" s="62">
        <v>16</v>
      </c>
      <c r="B19" s="63">
        <v>3062</v>
      </c>
      <c r="C19" s="64" t="s">
        <v>107</v>
      </c>
      <c r="D19" s="65">
        <v>3216.3</v>
      </c>
      <c r="E19" s="66" t="s">
        <v>16</v>
      </c>
      <c r="F19" s="67">
        <f t="shared" si="0"/>
        <v>804.07500000000005</v>
      </c>
      <c r="G19" s="67">
        <f>239.28+242.5</f>
        <v>481.78</v>
      </c>
      <c r="H19" s="67">
        <f t="shared" si="1"/>
        <v>322.29500000000007</v>
      </c>
      <c r="I19" s="171">
        <v>45677</v>
      </c>
      <c r="J19" s="150" t="s">
        <v>272</v>
      </c>
      <c r="K19" s="48"/>
      <c r="L19" s="48"/>
      <c r="M19" s="49">
        <v>3062</v>
      </c>
      <c r="N19" s="49" t="b">
        <f t="shared" si="2"/>
        <v>1</v>
      </c>
      <c r="O19" s="50" t="s">
        <v>107</v>
      </c>
      <c r="P19" s="50" t="b">
        <f t="shared" si="3"/>
        <v>1</v>
      </c>
      <c r="Q19" s="51">
        <v>300741</v>
      </c>
      <c r="R19" s="51" t="e">
        <f>Q19=#REF!</f>
        <v>#REF!</v>
      </c>
      <c r="S19" s="52" t="s">
        <v>108</v>
      </c>
      <c r="T19" s="51" t="e">
        <f>S19=#REF!</f>
        <v>#REF!</v>
      </c>
      <c r="U19" s="52" t="s">
        <v>19</v>
      </c>
      <c r="V19" s="53" t="e">
        <f>U19=#REF!</f>
        <v>#REF!</v>
      </c>
    </row>
    <row r="20" spans="1:22" s="53" customFormat="1" ht="15.75" x14ac:dyDescent="0.25">
      <c r="A20" s="54">
        <v>17</v>
      </c>
      <c r="B20" s="49">
        <v>3080</v>
      </c>
      <c r="C20" s="50" t="s">
        <v>109</v>
      </c>
      <c r="D20" s="56">
        <v>1219.5999999999999</v>
      </c>
      <c r="E20" s="57" t="s">
        <v>16</v>
      </c>
      <c r="F20" s="58">
        <f t="shared" si="0"/>
        <v>304.89999999999998</v>
      </c>
      <c r="G20" s="58"/>
      <c r="H20" s="58">
        <f t="shared" si="1"/>
        <v>304.89999999999998</v>
      </c>
      <c r="I20" s="114"/>
      <c r="J20" s="157"/>
      <c r="K20" s="77"/>
      <c r="L20" s="77"/>
      <c r="M20" s="78">
        <v>3080</v>
      </c>
      <c r="N20" s="49" t="b">
        <f t="shared" si="2"/>
        <v>1</v>
      </c>
      <c r="O20" s="50" t="s">
        <v>109</v>
      </c>
      <c r="P20" s="50" t="b">
        <f t="shared" si="3"/>
        <v>1</v>
      </c>
      <c r="Q20" s="51">
        <v>14301608</v>
      </c>
      <c r="R20" s="51" t="e">
        <f>Q20=#REF!</f>
        <v>#REF!</v>
      </c>
      <c r="S20" s="52" t="s">
        <v>110</v>
      </c>
      <c r="T20" s="51" t="e">
        <f>S20=#REF!</f>
        <v>#REF!</v>
      </c>
      <c r="U20" s="52" t="s">
        <v>19</v>
      </c>
      <c r="V20" s="53" t="e">
        <f>U20=#REF!</f>
        <v>#REF!</v>
      </c>
    </row>
    <row r="21" spans="1:22" s="53" customFormat="1" ht="15.75" x14ac:dyDescent="0.25">
      <c r="A21" s="62">
        <v>18</v>
      </c>
      <c r="B21" s="62">
        <v>3086</v>
      </c>
      <c r="C21" s="64" t="s">
        <v>111</v>
      </c>
      <c r="D21" s="65">
        <v>1179.0999999999999</v>
      </c>
      <c r="E21" s="66" t="s">
        <v>16</v>
      </c>
      <c r="F21" s="67">
        <f t="shared" si="0"/>
        <v>294.77499999999998</v>
      </c>
      <c r="G21" s="67">
        <f>290.6</f>
        <v>290.60000000000002</v>
      </c>
      <c r="H21" s="67">
        <f t="shared" si="1"/>
        <v>4.1749999999999545</v>
      </c>
      <c r="I21" s="171">
        <v>45630</v>
      </c>
      <c r="J21" s="150"/>
      <c r="K21" s="48"/>
      <c r="L21" s="48"/>
      <c r="M21" s="79">
        <v>3086</v>
      </c>
      <c r="N21" s="49" t="b">
        <f t="shared" si="2"/>
        <v>1</v>
      </c>
      <c r="O21" s="80" t="s">
        <v>111</v>
      </c>
      <c r="P21" s="50" t="b">
        <f t="shared" si="3"/>
        <v>1</v>
      </c>
      <c r="Q21" s="81">
        <v>300033</v>
      </c>
      <c r="R21" s="51" t="e">
        <f>Q21=#REF!</f>
        <v>#REF!</v>
      </c>
      <c r="S21" s="82" t="s">
        <v>112</v>
      </c>
      <c r="T21" s="51" t="e">
        <f>S21=#REF!</f>
        <v>#REF!</v>
      </c>
      <c r="U21" s="83" t="s">
        <v>19</v>
      </c>
      <c r="V21" s="53" t="e">
        <f>U21=#REF!</f>
        <v>#REF!</v>
      </c>
    </row>
    <row r="22" spans="1:22" s="53" customFormat="1" ht="15.75" x14ac:dyDescent="0.25">
      <c r="A22" s="62">
        <v>19</v>
      </c>
      <c r="B22" s="63">
        <v>3132</v>
      </c>
      <c r="C22" s="64" t="s">
        <v>113</v>
      </c>
      <c r="D22" s="65">
        <v>1254.0999999999999</v>
      </c>
      <c r="E22" s="66" t="s">
        <v>16</v>
      </c>
      <c r="F22" s="67">
        <f t="shared" si="0"/>
        <v>313.52499999999998</v>
      </c>
      <c r="G22" s="67">
        <f t="shared" ref="G22:G27" si="4">F22</f>
        <v>313.52499999999998</v>
      </c>
      <c r="H22" s="67">
        <f t="shared" si="1"/>
        <v>0</v>
      </c>
      <c r="I22" s="171">
        <v>45663</v>
      </c>
      <c r="J22" s="150"/>
      <c r="K22" s="48"/>
      <c r="L22" s="48"/>
      <c r="M22" s="49">
        <v>3132</v>
      </c>
      <c r="N22" s="49" t="b">
        <f t="shared" si="2"/>
        <v>1</v>
      </c>
      <c r="O22" s="50" t="s">
        <v>113</v>
      </c>
      <c r="P22" s="50" t="b">
        <f t="shared" si="3"/>
        <v>1</v>
      </c>
      <c r="Q22" s="51">
        <v>14606296</v>
      </c>
      <c r="R22" s="51" t="e">
        <f>Q22=#REF!</f>
        <v>#REF!</v>
      </c>
      <c r="S22" s="52" t="s">
        <v>114</v>
      </c>
      <c r="T22" s="51" t="e">
        <f>S22=#REF!</f>
        <v>#REF!</v>
      </c>
      <c r="U22" s="52" t="s">
        <v>19</v>
      </c>
      <c r="V22" s="53" t="e">
        <f>U22=#REF!</f>
        <v>#REF!</v>
      </c>
    </row>
    <row r="23" spans="1:22" s="53" customFormat="1" ht="15.75" x14ac:dyDescent="0.25">
      <c r="A23" s="62">
        <v>20</v>
      </c>
      <c r="B23" s="63">
        <v>3134</v>
      </c>
      <c r="C23" s="64" t="s">
        <v>115</v>
      </c>
      <c r="D23" s="65">
        <v>981.4</v>
      </c>
      <c r="E23" s="66" t="s">
        <v>16</v>
      </c>
      <c r="F23" s="67">
        <f t="shared" si="0"/>
        <v>245.35</v>
      </c>
      <c r="G23" s="67">
        <f t="shared" si="4"/>
        <v>245.35</v>
      </c>
      <c r="H23" s="67">
        <f t="shared" si="1"/>
        <v>0</v>
      </c>
      <c r="I23" s="171">
        <v>45672</v>
      </c>
      <c r="J23" s="150"/>
      <c r="K23" s="48"/>
      <c r="L23" s="48"/>
      <c r="M23" s="49">
        <v>3134</v>
      </c>
      <c r="N23" s="49" t="b">
        <f t="shared" si="2"/>
        <v>1</v>
      </c>
      <c r="O23" s="50" t="s">
        <v>115</v>
      </c>
      <c r="P23" s="50" t="b">
        <f t="shared" si="3"/>
        <v>1</v>
      </c>
      <c r="Q23" s="51">
        <v>2154413</v>
      </c>
      <c r="R23" s="51" t="e">
        <f>Q23=#REF!</f>
        <v>#REF!</v>
      </c>
      <c r="S23" s="52" t="s">
        <v>116</v>
      </c>
      <c r="T23" s="51" t="e">
        <f>S23=#REF!</f>
        <v>#REF!</v>
      </c>
      <c r="U23" s="52" t="s">
        <v>37</v>
      </c>
      <c r="V23" s="53" t="e">
        <f>U23=#REF!</f>
        <v>#REF!</v>
      </c>
    </row>
    <row r="24" spans="1:22" s="195" customFormat="1" ht="15.75" x14ac:dyDescent="0.25">
      <c r="A24" s="137">
        <v>21</v>
      </c>
      <c r="B24" s="138">
        <v>3142</v>
      </c>
      <c r="C24" s="139" t="s">
        <v>117</v>
      </c>
      <c r="D24" s="140">
        <v>4550.2</v>
      </c>
      <c r="E24" s="141" t="s">
        <v>16</v>
      </c>
      <c r="F24" s="142">
        <f t="shared" si="0"/>
        <v>1137.55</v>
      </c>
      <c r="G24" s="142">
        <f t="shared" si="4"/>
        <v>1137.55</v>
      </c>
      <c r="H24" s="142">
        <f t="shared" si="1"/>
        <v>0</v>
      </c>
      <c r="I24" s="172" t="s">
        <v>271</v>
      </c>
      <c r="J24" s="199"/>
      <c r="K24" s="270"/>
      <c r="L24" s="270"/>
      <c r="M24" s="138">
        <v>3142</v>
      </c>
      <c r="N24" s="138" t="b">
        <f t="shared" si="2"/>
        <v>1</v>
      </c>
      <c r="O24" s="139" t="s">
        <v>117</v>
      </c>
      <c r="P24" s="139" t="b">
        <f t="shared" si="3"/>
        <v>1</v>
      </c>
      <c r="Q24" s="143">
        <v>165497</v>
      </c>
      <c r="R24" s="143" t="e">
        <f>Q24=#REF!</f>
        <v>#REF!</v>
      </c>
      <c r="S24" s="192" t="s">
        <v>118</v>
      </c>
      <c r="T24" s="143" t="e">
        <f>S24=#REF!</f>
        <v>#REF!</v>
      </c>
      <c r="U24" s="192" t="s">
        <v>89</v>
      </c>
      <c r="V24" s="195" t="e">
        <f>U24=#REF!</f>
        <v>#REF!</v>
      </c>
    </row>
    <row r="25" spans="1:22" s="53" customFormat="1" ht="15.75" x14ac:dyDescent="0.25">
      <c r="A25" s="137">
        <v>22</v>
      </c>
      <c r="B25" s="138">
        <v>3145</v>
      </c>
      <c r="C25" s="139" t="s">
        <v>119</v>
      </c>
      <c r="D25" s="140">
        <v>2985.2</v>
      </c>
      <c r="E25" s="141" t="s">
        <v>16</v>
      </c>
      <c r="F25" s="142">
        <f t="shared" si="0"/>
        <v>746.3</v>
      </c>
      <c r="G25" s="142">
        <f t="shared" si="4"/>
        <v>746.3</v>
      </c>
      <c r="H25" s="142">
        <f t="shared" si="1"/>
        <v>0</v>
      </c>
      <c r="I25" s="172" t="s">
        <v>243</v>
      </c>
      <c r="J25" s="150"/>
      <c r="K25" s="48"/>
      <c r="L25" s="48"/>
      <c r="M25" s="49"/>
      <c r="N25" s="49"/>
      <c r="O25" s="50"/>
      <c r="P25" s="50"/>
      <c r="Q25" s="51"/>
      <c r="R25" s="51"/>
      <c r="S25" s="52"/>
      <c r="T25" s="51"/>
      <c r="U25" s="52"/>
    </row>
    <row r="26" spans="1:22" s="53" customFormat="1" ht="15.75" x14ac:dyDescent="0.25">
      <c r="A26" s="137">
        <v>23</v>
      </c>
      <c r="B26" s="138">
        <v>3147</v>
      </c>
      <c r="C26" s="139" t="s">
        <v>122</v>
      </c>
      <c r="D26" s="140">
        <v>1415.1</v>
      </c>
      <c r="E26" s="141" t="s">
        <v>16</v>
      </c>
      <c r="F26" s="142">
        <f t="shared" si="0"/>
        <v>353.77499999999998</v>
      </c>
      <c r="G26" s="142">
        <f t="shared" si="4"/>
        <v>353.77499999999998</v>
      </c>
      <c r="H26" s="142">
        <f t="shared" si="1"/>
        <v>0</v>
      </c>
      <c r="I26" s="172" t="s">
        <v>243</v>
      </c>
      <c r="J26" s="150"/>
      <c r="K26" s="48"/>
      <c r="L26" s="48"/>
      <c r="M26" s="49">
        <v>3147</v>
      </c>
      <c r="N26" s="49" t="b">
        <f t="shared" ref="N26:N39" si="5">M26=B26</f>
        <v>1</v>
      </c>
      <c r="O26" s="50" t="s">
        <v>122</v>
      </c>
      <c r="P26" s="50" t="b">
        <f t="shared" ref="P26:P39" si="6">O26=C26</f>
        <v>1</v>
      </c>
      <c r="Q26" s="51">
        <v>1662414</v>
      </c>
      <c r="R26" s="51" t="e">
        <f>Q26=#REF!</f>
        <v>#REF!</v>
      </c>
      <c r="S26" s="84" t="s">
        <v>123</v>
      </c>
      <c r="T26" s="51" t="e">
        <f>S26=#REF!</f>
        <v>#REF!</v>
      </c>
      <c r="U26" s="84" t="s">
        <v>89</v>
      </c>
      <c r="V26" s="53" t="e">
        <f>U26=#REF!</f>
        <v>#REF!</v>
      </c>
    </row>
    <row r="27" spans="1:22" s="53" customFormat="1" ht="15.75" x14ac:dyDescent="0.25">
      <c r="A27" s="137">
        <v>24</v>
      </c>
      <c r="B27" s="138">
        <v>3148</v>
      </c>
      <c r="C27" s="139" t="s">
        <v>124</v>
      </c>
      <c r="D27" s="140">
        <v>1113.4000000000001</v>
      </c>
      <c r="E27" s="141" t="s">
        <v>16</v>
      </c>
      <c r="F27" s="142">
        <f t="shared" si="0"/>
        <v>278.35000000000002</v>
      </c>
      <c r="G27" s="142">
        <f t="shared" si="4"/>
        <v>278.35000000000002</v>
      </c>
      <c r="H27" s="142">
        <f>F27-G27</f>
        <v>0</v>
      </c>
      <c r="I27" s="172" t="s">
        <v>270</v>
      </c>
      <c r="J27" s="150"/>
      <c r="K27" s="48"/>
      <c r="L27" s="48"/>
      <c r="M27" s="49">
        <v>3148</v>
      </c>
      <c r="N27" s="49" t="b">
        <f t="shared" si="5"/>
        <v>1</v>
      </c>
      <c r="O27" s="50" t="s">
        <v>124</v>
      </c>
      <c r="P27" s="50" t="b">
        <f t="shared" si="6"/>
        <v>1</v>
      </c>
      <c r="Q27" s="51">
        <v>19545736</v>
      </c>
      <c r="R27" s="51" t="e">
        <f>Q27=#REF!</f>
        <v>#REF!</v>
      </c>
      <c r="S27" s="52" t="s">
        <v>125</v>
      </c>
      <c r="T27" s="51" t="e">
        <f>S27=#REF!</f>
        <v>#REF!</v>
      </c>
      <c r="U27" s="52" t="s">
        <v>37</v>
      </c>
      <c r="V27" s="53" t="e">
        <f>U27=#REF!</f>
        <v>#REF!</v>
      </c>
    </row>
    <row r="28" spans="1:22" s="53" customFormat="1" ht="15.75" x14ac:dyDescent="0.25">
      <c r="A28" s="62">
        <v>25</v>
      </c>
      <c r="B28" s="63">
        <v>3149</v>
      </c>
      <c r="C28" s="64" t="s">
        <v>126</v>
      </c>
      <c r="D28" s="65">
        <v>1444.2</v>
      </c>
      <c r="E28" s="66" t="s">
        <v>16</v>
      </c>
      <c r="F28" s="67">
        <f t="shared" si="0"/>
        <v>361.05</v>
      </c>
      <c r="G28" s="67">
        <f>360.4+0.65</f>
        <v>361.04999999999995</v>
      </c>
      <c r="H28" s="67">
        <f>F28-G28</f>
        <v>0</v>
      </c>
      <c r="I28" s="171">
        <v>45629</v>
      </c>
      <c r="J28" s="150">
        <v>45663</v>
      </c>
      <c r="K28" s="48"/>
      <c r="L28" s="48"/>
      <c r="M28" s="49">
        <v>3149</v>
      </c>
      <c r="N28" s="49" t="b">
        <f t="shared" si="5"/>
        <v>1</v>
      </c>
      <c r="O28" s="50" t="s">
        <v>126</v>
      </c>
      <c r="P28" s="50" t="b">
        <f t="shared" si="6"/>
        <v>1</v>
      </c>
      <c r="Q28" s="51">
        <v>4941095</v>
      </c>
      <c r="R28" s="51" t="e">
        <f>Q28=#REF!</f>
        <v>#REF!</v>
      </c>
      <c r="S28" s="52" t="s">
        <v>127</v>
      </c>
      <c r="T28" s="51" t="e">
        <f>S28=#REF!</f>
        <v>#REF!</v>
      </c>
      <c r="U28" s="52" t="s">
        <v>129</v>
      </c>
      <c r="V28" s="53" t="e">
        <f>U28=#REF!</f>
        <v>#REF!</v>
      </c>
    </row>
    <row r="29" spans="1:22" s="53" customFormat="1" ht="15.75" x14ac:dyDescent="0.25">
      <c r="A29" s="62">
        <v>26</v>
      </c>
      <c r="B29" s="63">
        <v>3152</v>
      </c>
      <c r="C29" s="64" t="s">
        <v>130</v>
      </c>
      <c r="D29" s="65">
        <v>2172.5</v>
      </c>
      <c r="E29" s="66" t="s">
        <v>16</v>
      </c>
      <c r="F29" s="67">
        <f t="shared" si="0"/>
        <v>543.125</v>
      </c>
      <c r="G29" s="67">
        <f>541.575+1.55</f>
        <v>543.125</v>
      </c>
      <c r="H29" s="67">
        <f t="shared" si="1"/>
        <v>0</v>
      </c>
      <c r="I29" s="171">
        <v>45621</v>
      </c>
      <c r="J29" s="150">
        <v>45662</v>
      </c>
      <c r="K29" s="48"/>
      <c r="L29" s="48"/>
      <c r="M29" s="63">
        <v>3152</v>
      </c>
      <c r="N29" s="49" t="b">
        <f t="shared" si="5"/>
        <v>1</v>
      </c>
      <c r="O29" s="64" t="s">
        <v>130</v>
      </c>
      <c r="P29" s="50" t="b">
        <f t="shared" si="6"/>
        <v>1</v>
      </c>
      <c r="Q29" s="68">
        <v>941993</v>
      </c>
      <c r="R29" s="51" t="e">
        <f>Q29=#REF!</f>
        <v>#REF!</v>
      </c>
      <c r="S29" s="69" t="s">
        <v>131</v>
      </c>
      <c r="T29" s="51" t="e">
        <f>S29=#REF!</f>
        <v>#REF!</v>
      </c>
      <c r="U29" s="69" t="s">
        <v>37</v>
      </c>
      <c r="V29" s="53" t="e">
        <f>U29=#REF!</f>
        <v>#REF!</v>
      </c>
    </row>
    <row r="30" spans="1:22" s="53" customFormat="1" ht="15.75" x14ac:dyDescent="0.25">
      <c r="A30" s="62">
        <v>27</v>
      </c>
      <c r="B30" s="63">
        <v>3153</v>
      </c>
      <c r="C30" s="64" t="s">
        <v>15</v>
      </c>
      <c r="D30" s="65">
        <v>2780.2</v>
      </c>
      <c r="E30" s="66" t="s">
        <v>16</v>
      </c>
      <c r="F30" s="67">
        <f t="shared" si="0"/>
        <v>695.05</v>
      </c>
      <c r="G30" s="67">
        <f>149.3+541.7+4.05</f>
        <v>695.05</v>
      </c>
      <c r="H30" s="67">
        <f t="shared" si="1"/>
        <v>0</v>
      </c>
      <c r="I30" s="171">
        <v>45672</v>
      </c>
      <c r="J30" s="150">
        <v>45691</v>
      </c>
      <c r="K30" s="48" t="s">
        <v>272</v>
      </c>
      <c r="L30" s="48"/>
      <c r="M30" s="49">
        <v>3153</v>
      </c>
      <c r="N30" s="49" t="b">
        <f t="shared" si="5"/>
        <v>1</v>
      </c>
      <c r="O30" s="50" t="s">
        <v>15</v>
      </c>
      <c r="P30" s="50" t="b">
        <f t="shared" si="6"/>
        <v>1</v>
      </c>
      <c r="Q30" s="51">
        <v>6989479</v>
      </c>
      <c r="R30" s="51" t="e">
        <f>Q30=#REF!</f>
        <v>#REF!</v>
      </c>
      <c r="S30" s="52" t="s">
        <v>17</v>
      </c>
      <c r="T30" s="51" t="e">
        <f>S30=#REF!</f>
        <v>#REF!</v>
      </c>
      <c r="U30" s="52" t="s">
        <v>19</v>
      </c>
      <c r="V30" s="53" t="e">
        <f>U30=#REF!</f>
        <v>#REF!</v>
      </c>
    </row>
    <row r="31" spans="1:22" s="53" customFormat="1" ht="15.75" x14ac:dyDescent="0.25">
      <c r="A31" s="54">
        <v>28</v>
      </c>
      <c r="B31" s="78">
        <v>3155</v>
      </c>
      <c r="C31" s="50" t="s">
        <v>132</v>
      </c>
      <c r="D31" s="56">
        <v>615.70000000000005</v>
      </c>
      <c r="E31" s="57" t="s">
        <v>16</v>
      </c>
      <c r="F31" s="58">
        <f t="shared" si="0"/>
        <v>153.92500000000001</v>
      </c>
      <c r="G31" s="58"/>
      <c r="H31" s="58">
        <f t="shared" si="1"/>
        <v>153.92500000000001</v>
      </c>
      <c r="I31" s="114"/>
      <c r="J31" s="150"/>
      <c r="K31" s="48"/>
      <c r="L31" s="48"/>
      <c r="M31" s="49">
        <v>3155</v>
      </c>
      <c r="N31" s="49" t="b">
        <f t="shared" si="5"/>
        <v>1</v>
      </c>
      <c r="O31" s="80" t="s">
        <v>132</v>
      </c>
      <c r="P31" s="50" t="b">
        <f t="shared" si="6"/>
        <v>1</v>
      </c>
      <c r="Q31" s="81">
        <v>19188794</v>
      </c>
      <c r="R31" s="51" t="e">
        <f>Q31=#REF!</f>
        <v>#REF!</v>
      </c>
      <c r="S31" s="82" t="s">
        <v>133</v>
      </c>
      <c r="T31" s="51" t="e">
        <f>S31=#REF!</f>
        <v>#REF!</v>
      </c>
      <c r="U31" s="52" t="s">
        <v>19</v>
      </c>
      <c r="V31" s="53" t="e">
        <f>U31=#REF!</f>
        <v>#REF!</v>
      </c>
    </row>
    <row r="32" spans="1:22" s="53" customFormat="1" ht="15.75" x14ac:dyDescent="0.25">
      <c r="A32" s="54">
        <v>29</v>
      </c>
      <c r="B32" s="49">
        <v>3158</v>
      </c>
      <c r="C32" s="50" t="s">
        <v>134</v>
      </c>
      <c r="D32" s="56">
        <v>2320.6999999999998</v>
      </c>
      <c r="E32" s="57" t="s">
        <v>16</v>
      </c>
      <c r="F32" s="58">
        <f t="shared" si="0"/>
        <v>580.17499999999995</v>
      </c>
      <c r="G32" s="58"/>
      <c r="H32" s="58">
        <f t="shared" si="1"/>
        <v>580.17499999999995</v>
      </c>
      <c r="I32" s="114"/>
      <c r="J32" s="150"/>
      <c r="K32" s="48"/>
      <c r="L32" s="48"/>
      <c r="M32" s="49">
        <v>3158</v>
      </c>
      <c r="N32" s="49" t="b">
        <f t="shared" si="5"/>
        <v>1</v>
      </c>
      <c r="O32" s="50" t="s">
        <v>134</v>
      </c>
      <c r="P32" s="50" t="b">
        <f t="shared" si="6"/>
        <v>1</v>
      </c>
      <c r="Q32" s="51" t="s">
        <v>135</v>
      </c>
      <c r="R32" s="51" t="e">
        <f>Q32=#REF!</f>
        <v>#REF!</v>
      </c>
      <c r="S32" s="52" t="s">
        <v>136</v>
      </c>
      <c r="T32" s="51" t="e">
        <f>S32=#REF!</f>
        <v>#REF!</v>
      </c>
      <c r="U32" s="52" t="s">
        <v>19</v>
      </c>
      <c r="V32" s="53" t="e">
        <f>U32=#REF!</f>
        <v>#REF!</v>
      </c>
    </row>
    <row r="33" spans="1:22" s="243" customFormat="1" ht="15.75" x14ac:dyDescent="0.25">
      <c r="A33" s="120">
        <v>30</v>
      </c>
      <c r="B33" s="121">
        <v>3159</v>
      </c>
      <c r="C33" s="122" t="s">
        <v>137</v>
      </c>
      <c r="D33" s="123">
        <v>540.70000000000005</v>
      </c>
      <c r="E33" s="124" t="s">
        <v>16</v>
      </c>
      <c r="F33" s="125">
        <f t="shared" si="0"/>
        <v>135.17500000000001</v>
      </c>
      <c r="G33" s="125">
        <f>F33</f>
        <v>135.17500000000001</v>
      </c>
      <c r="H33" s="125">
        <f t="shared" si="1"/>
        <v>0</v>
      </c>
      <c r="I33" s="244" t="s">
        <v>238</v>
      </c>
      <c r="J33" s="242"/>
      <c r="K33" s="245"/>
      <c r="L33" s="245"/>
      <c r="M33" s="121">
        <v>3159</v>
      </c>
      <c r="N33" s="121" t="b">
        <f t="shared" si="5"/>
        <v>1</v>
      </c>
      <c r="O33" s="122" t="s">
        <v>137</v>
      </c>
      <c r="P33" s="122" t="b">
        <f t="shared" si="6"/>
        <v>1</v>
      </c>
      <c r="Q33" s="126">
        <v>1297478</v>
      </c>
      <c r="R33" s="126" t="e">
        <f>Q33=#REF!</f>
        <v>#REF!</v>
      </c>
      <c r="S33" s="127" t="s">
        <v>138</v>
      </c>
      <c r="T33" s="126" t="e">
        <f>S33=#REF!</f>
        <v>#REF!</v>
      </c>
      <c r="U33" s="127" t="s">
        <v>19</v>
      </c>
      <c r="V33" s="243" t="e">
        <f>U33=#REF!</f>
        <v>#REF!</v>
      </c>
    </row>
    <row r="34" spans="1:22" s="53" customFormat="1" ht="15.75" x14ac:dyDescent="0.25">
      <c r="A34" s="54">
        <v>31</v>
      </c>
      <c r="B34" s="49">
        <v>3160</v>
      </c>
      <c r="C34" s="50" t="s">
        <v>139</v>
      </c>
      <c r="D34" s="56">
        <v>1794.3</v>
      </c>
      <c r="E34" s="57" t="s">
        <v>16</v>
      </c>
      <c r="F34" s="58">
        <f t="shared" si="0"/>
        <v>448.57499999999999</v>
      </c>
      <c r="G34" s="58"/>
      <c r="H34" s="58">
        <f t="shared" si="1"/>
        <v>448.57499999999999</v>
      </c>
      <c r="I34" s="114"/>
      <c r="J34" s="150"/>
      <c r="K34" s="48"/>
      <c r="L34" s="48"/>
      <c r="M34" s="49">
        <v>3160</v>
      </c>
      <c r="N34" s="49" t="b">
        <f t="shared" si="5"/>
        <v>1</v>
      </c>
      <c r="O34" s="50" t="s">
        <v>139</v>
      </c>
      <c r="P34" s="50" t="b">
        <f t="shared" si="6"/>
        <v>1</v>
      </c>
      <c r="Q34" s="51">
        <v>2837163</v>
      </c>
      <c r="R34" s="51" t="e">
        <f>Q34=#REF!</f>
        <v>#REF!</v>
      </c>
      <c r="S34" s="52" t="s">
        <v>140</v>
      </c>
      <c r="T34" s="51" t="e">
        <f>S34=#REF!</f>
        <v>#REF!</v>
      </c>
      <c r="U34" s="52" t="s">
        <v>47</v>
      </c>
      <c r="V34" s="53" t="e">
        <f>U34=#REF!</f>
        <v>#REF!</v>
      </c>
    </row>
    <row r="35" spans="1:22" s="53" customFormat="1" ht="15.75" x14ac:dyDescent="0.25">
      <c r="A35" s="54">
        <v>32</v>
      </c>
      <c r="B35" s="49">
        <v>3162</v>
      </c>
      <c r="C35" s="50" t="s">
        <v>141</v>
      </c>
      <c r="D35" s="56">
        <v>4955.3999999999996</v>
      </c>
      <c r="E35" s="57" t="s">
        <v>16</v>
      </c>
      <c r="F35" s="58">
        <f t="shared" si="0"/>
        <v>1238.8499999999999</v>
      </c>
      <c r="G35" s="58"/>
      <c r="H35" s="58">
        <f t="shared" si="1"/>
        <v>1238.8499999999999</v>
      </c>
      <c r="I35" s="114"/>
      <c r="J35" s="150"/>
      <c r="K35" s="48"/>
      <c r="L35" s="48"/>
      <c r="M35" s="49">
        <v>3162</v>
      </c>
      <c r="N35" s="49" t="b">
        <f t="shared" si="5"/>
        <v>1</v>
      </c>
      <c r="O35" s="50" t="s">
        <v>141</v>
      </c>
      <c r="P35" s="50" t="b">
        <f t="shared" si="6"/>
        <v>1</v>
      </c>
      <c r="Q35" s="51">
        <v>7017227</v>
      </c>
      <c r="R35" s="51" t="e">
        <f>Q35=#REF!</f>
        <v>#REF!</v>
      </c>
      <c r="S35" s="52" t="s">
        <v>142</v>
      </c>
      <c r="T35" s="51" t="e">
        <f>S35=#REF!</f>
        <v>#REF!</v>
      </c>
      <c r="U35" s="52" t="s">
        <v>37</v>
      </c>
      <c r="V35" s="53" t="e">
        <f>U35=#REF!</f>
        <v>#REF!</v>
      </c>
    </row>
    <row r="36" spans="1:22" s="53" customFormat="1" ht="15.75" x14ac:dyDescent="0.25">
      <c r="A36" s="54">
        <v>33</v>
      </c>
      <c r="B36" s="49">
        <v>3164</v>
      </c>
      <c r="C36" s="50" t="s">
        <v>143</v>
      </c>
      <c r="D36" s="56">
        <v>2373.1</v>
      </c>
      <c r="E36" s="57" t="s">
        <v>16</v>
      </c>
      <c r="F36" s="58">
        <f t="shared" si="0"/>
        <v>593.27499999999998</v>
      </c>
      <c r="G36" s="58"/>
      <c r="H36" s="58">
        <f t="shared" si="1"/>
        <v>593.27499999999998</v>
      </c>
      <c r="I36" s="61"/>
      <c r="J36" s="150"/>
      <c r="K36" s="48"/>
      <c r="L36" s="48"/>
      <c r="M36" s="49">
        <v>3164</v>
      </c>
      <c r="N36" s="49" t="b">
        <f t="shared" si="5"/>
        <v>1</v>
      </c>
      <c r="O36" s="50" t="s">
        <v>143</v>
      </c>
      <c r="P36" s="50" t="b">
        <f t="shared" si="6"/>
        <v>1</v>
      </c>
      <c r="Q36" s="51">
        <v>7466062</v>
      </c>
      <c r="R36" s="51" t="e">
        <f>Q36=#REF!</f>
        <v>#REF!</v>
      </c>
      <c r="S36" s="52" t="s">
        <v>144</v>
      </c>
      <c r="T36" s="51" t="e">
        <f>S36=#REF!</f>
        <v>#REF!</v>
      </c>
      <c r="U36" s="52" t="s">
        <v>146</v>
      </c>
      <c r="V36" s="53" t="e">
        <f>U36=#REF!</f>
        <v>#REF!</v>
      </c>
    </row>
    <row r="37" spans="1:22" s="53" customFormat="1" ht="15.75" x14ac:dyDescent="0.25">
      <c r="A37" s="54">
        <v>34</v>
      </c>
      <c r="B37" s="49">
        <v>3165</v>
      </c>
      <c r="C37" s="50" t="s">
        <v>147</v>
      </c>
      <c r="D37" s="56">
        <v>494.4</v>
      </c>
      <c r="E37" s="57" t="s">
        <v>16</v>
      </c>
      <c r="F37" s="58">
        <f t="shared" si="0"/>
        <v>123.6</v>
      </c>
      <c r="G37" s="58"/>
      <c r="H37" s="58">
        <f t="shared" si="1"/>
        <v>123.6</v>
      </c>
      <c r="I37" s="86"/>
      <c r="J37" s="150"/>
      <c r="K37" s="48"/>
      <c r="L37" s="48"/>
      <c r="M37" s="49">
        <v>3165</v>
      </c>
      <c r="N37" s="49" t="b">
        <f t="shared" si="5"/>
        <v>1</v>
      </c>
      <c r="O37" s="50" t="s">
        <v>147</v>
      </c>
      <c r="P37" s="50" t="b">
        <f t="shared" si="6"/>
        <v>1</v>
      </c>
      <c r="Q37" s="51">
        <v>19029628</v>
      </c>
      <c r="R37" s="51" t="e">
        <f>Q37=#REF!</f>
        <v>#REF!</v>
      </c>
      <c r="S37" s="52" t="s">
        <v>148</v>
      </c>
      <c r="T37" s="51" t="e">
        <f>S37=#REF!</f>
        <v>#REF!</v>
      </c>
      <c r="U37" s="52" t="s">
        <v>37</v>
      </c>
      <c r="V37" s="53" t="e">
        <f>U37=#REF!</f>
        <v>#REF!</v>
      </c>
    </row>
    <row r="38" spans="1:22" s="53" customFormat="1" ht="15.75" x14ac:dyDescent="0.25">
      <c r="A38" s="54">
        <v>35</v>
      </c>
      <c r="B38" s="49">
        <v>3169</v>
      </c>
      <c r="C38" s="50" t="s">
        <v>34</v>
      </c>
      <c r="D38" s="56">
        <v>1728.9</v>
      </c>
      <c r="E38" s="57" t="s">
        <v>16</v>
      </c>
      <c r="F38" s="58">
        <f t="shared" si="0"/>
        <v>432.22500000000002</v>
      </c>
      <c r="G38" s="58"/>
      <c r="H38" s="58">
        <f t="shared" si="1"/>
        <v>432.22500000000002</v>
      </c>
      <c r="I38" s="61"/>
      <c r="J38" s="150"/>
      <c r="K38" s="48"/>
      <c r="L38" s="48"/>
      <c r="M38" s="49">
        <v>3169</v>
      </c>
      <c r="N38" s="49" t="b">
        <f t="shared" si="5"/>
        <v>1</v>
      </c>
      <c r="O38" s="50" t="s">
        <v>34</v>
      </c>
      <c r="P38" s="50" t="b">
        <f t="shared" si="6"/>
        <v>1</v>
      </c>
      <c r="Q38" s="51">
        <v>3068756</v>
      </c>
      <c r="R38" s="51" t="e">
        <f>Q38=#REF!</f>
        <v>#REF!</v>
      </c>
      <c r="S38" s="52" t="s">
        <v>35</v>
      </c>
      <c r="T38" s="51" t="e">
        <f>S38=#REF!</f>
        <v>#REF!</v>
      </c>
      <c r="U38" s="52" t="s">
        <v>37</v>
      </c>
      <c r="V38" s="53" t="e">
        <f>U38=#REF!</f>
        <v>#REF!</v>
      </c>
    </row>
    <row r="39" spans="1:22" s="53" customFormat="1" ht="15.75" x14ac:dyDescent="0.25">
      <c r="A39" s="62">
        <v>36</v>
      </c>
      <c r="B39" s="63">
        <v>3171</v>
      </c>
      <c r="C39" s="64" t="s">
        <v>149</v>
      </c>
      <c r="D39" s="65">
        <v>1028.2</v>
      </c>
      <c r="E39" s="66" t="s">
        <v>16</v>
      </c>
      <c r="F39" s="67">
        <f t="shared" si="0"/>
        <v>257.05</v>
      </c>
      <c r="G39" s="67">
        <f>256.475+0.575</f>
        <v>257.05</v>
      </c>
      <c r="H39" s="67">
        <f t="shared" si="1"/>
        <v>0</v>
      </c>
      <c r="I39" s="171">
        <v>45629</v>
      </c>
      <c r="J39" s="150">
        <v>45663</v>
      </c>
      <c r="K39" s="48"/>
      <c r="L39" s="48"/>
      <c r="M39" s="49">
        <v>3171</v>
      </c>
      <c r="N39" s="49" t="b">
        <f t="shared" si="5"/>
        <v>1</v>
      </c>
      <c r="O39" s="50" t="s">
        <v>149</v>
      </c>
      <c r="P39" s="50" t="b">
        <f t="shared" si="6"/>
        <v>1</v>
      </c>
      <c r="Q39" s="51">
        <v>7239057</v>
      </c>
      <c r="R39" s="51" t="e">
        <f>Q39=#REF!</f>
        <v>#REF!</v>
      </c>
      <c r="S39" s="52" t="s">
        <v>150</v>
      </c>
      <c r="T39" s="51" t="e">
        <f>S39=#REF!</f>
        <v>#REF!</v>
      </c>
      <c r="U39" s="52" t="s">
        <v>89</v>
      </c>
      <c r="V39" s="53" t="e">
        <f>U39=#REF!</f>
        <v>#REF!</v>
      </c>
    </row>
    <row r="40" spans="1:22" s="53" customFormat="1" ht="15.75" x14ac:dyDescent="0.25">
      <c r="A40" s="54">
        <v>37</v>
      </c>
      <c r="B40" s="49">
        <v>3172</v>
      </c>
      <c r="C40" s="50" t="s">
        <v>151</v>
      </c>
      <c r="D40" s="56">
        <v>592.79999999999995</v>
      </c>
      <c r="E40" s="57" t="s">
        <v>16</v>
      </c>
      <c r="F40" s="58">
        <f>D40*E40</f>
        <v>148.19999999999999</v>
      </c>
      <c r="G40" s="58"/>
      <c r="H40" s="58">
        <f t="shared" si="1"/>
        <v>148.19999999999999</v>
      </c>
      <c r="I40" s="61"/>
      <c r="J40" s="150"/>
      <c r="K40" s="48"/>
      <c r="L40" s="48"/>
      <c r="M40" s="49"/>
      <c r="N40" s="49"/>
      <c r="O40" s="50"/>
      <c r="P40" s="50"/>
      <c r="Q40" s="51"/>
      <c r="R40" s="51"/>
      <c r="S40" s="52"/>
      <c r="T40" s="51"/>
      <c r="U40" s="52"/>
    </row>
    <row r="41" spans="1:22" s="53" customFormat="1" ht="15.75" x14ac:dyDescent="0.25">
      <c r="A41" s="137">
        <v>38</v>
      </c>
      <c r="B41" s="138">
        <v>3173</v>
      </c>
      <c r="C41" s="139" t="s">
        <v>153</v>
      </c>
      <c r="D41" s="140">
        <v>1535.8</v>
      </c>
      <c r="E41" s="141" t="s">
        <v>16</v>
      </c>
      <c r="F41" s="142">
        <f t="shared" si="0"/>
        <v>383.95</v>
      </c>
      <c r="G41" s="142">
        <f>F41</f>
        <v>383.95</v>
      </c>
      <c r="H41" s="142">
        <f t="shared" si="1"/>
        <v>0</v>
      </c>
      <c r="I41" s="173"/>
      <c r="J41" s="150"/>
      <c r="K41" s="48"/>
      <c r="L41" s="48"/>
      <c r="M41" s="63">
        <v>3173</v>
      </c>
      <c r="N41" s="49" t="b">
        <f>M41=B41</f>
        <v>1</v>
      </c>
      <c r="O41" s="64" t="s">
        <v>153</v>
      </c>
      <c r="P41" s="50" t="b">
        <f>O41=C41</f>
        <v>1</v>
      </c>
      <c r="Q41" s="68">
        <v>6825655</v>
      </c>
      <c r="R41" s="51" t="e">
        <f>Q41=#REF!</f>
        <v>#REF!</v>
      </c>
      <c r="S41" s="69" t="s">
        <v>154</v>
      </c>
      <c r="T41" s="51" t="e">
        <f>S41=#REF!</f>
        <v>#REF!</v>
      </c>
      <c r="U41" s="69" t="s">
        <v>19</v>
      </c>
      <c r="V41" s="53" t="e">
        <f>U41=#REF!</f>
        <v>#REF!</v>
      </c>
    </row>
    <row r="42" spans="1:22" s="53" customFormat="1" ht="15.75" x14ac:dyDescent="0.25">
      <c r="A42" s="137">
        <v>39</v>
      </c>
      <c r="B42" s="138">
        <v>3174</v>
      </c>
      <c r="C42" s="139" t="s">
        <v>155</v>
      </c>
      <c r="D42" s="140">
        <v>1887.9</v>
      </c>
      <c r="E42" s="141" t="s">
        <v>16</v>
      </c>
      <c r="F42" s="142">
        <f t="shared" si="0"/>
        <v>471.97500000000002</v>
      </c>
      <c r="G42" s="142">
        <f>F42</f>
        <v>471.97500000000002</v>
      </c>
      <c r="H42" s="142">
        <f t="shared" si="1"/>
        <v>0</v>
      </c>
      <c r="I42" s="173"/>
      <c r="J42" s="150"/>
      <c r="K42" s="48"/>
      <c r="L42" s="48"/>
      <c r="M42" s="49">
        <v>3174</v>
      </c>
      <c r="N42" s="49" t="b">
        <f>M42=B42</f>
        <v>1</v>
      </c>
      <c r="O42" s="50" t="s">
        <v>155</v>
      </c>
      <c r="P42" s="50" t="b">
        <f>O42=C42</f>
        <v>1</v>
      </c>
      <c r="Q42" s="51">
        <v>7547492</v>
      </c>
      <c r="R42" s="51" t="e">
        <f>Q42=#REF!</f>
        <v>#REF!</v>
      </c>
      <c r="S42" s="52" t="s">
        <v>156</v>
      </c>
      <c r="T42" s="51" t="e">
        <f>S42=#REF!</f>
        <v>#REF!</v>
      </c>
      <c r="U42" s="52" t="s">
        <v>19</v>
      </c>
      <c r="V42" s="53" t="e">
        <f>U42=#REF!</f>
        <v>#REF!</v>
      </c>
    </row>
    <row r="43" spans="1:22" s="53" customFormat="1" ht="15.75" x14ac:dyDescent="0.25">
      <c r="A43" s="62">
        <v>40</v>
      </c>
      <c r="B43" s="63">
        <v>3175</v>
      </c>
      <c r="C43" s="64" t="s">
        <v>157</v>
      </c>
      <c r="D43" s="65">
        <v>546.5</v>
      </c>
      <c r="E43" s="66" t="s">
        <v>16</v>
      </c>
      <c r="F43" s="67">
        <f>D43*E43</f>
        <v>136.625</v>
      </c>
      <c r="G43" s="67">
        <f>F43</f>
        <v>136.625</v>
      </c>
      <c r="H43" s="67">
        <f t="shared" si="1"/>
        <v>0</v>
      </c>
      <c r="I43" s="171">
        <v>45691</v>
      </c>
      <c r="J43" s="150"/>
      <c r="K43" s="48"/>
      <c r="L43" s="48"/>
      <c r="M43" s="49">
        <v>3175</v>
      </c>
      <c r="N43" s="49" t="b">
        <f>M43=B43</f>
        <v>1</v>
      </c>
      <c r="O43" s="50" t="s">
        <v>157</v>
      </c>
      <c r="P43" s="50" t="b">
        <f>O43=C43</f>
        <v>1</v>
      </c>
      <c r="Q43" s="51">
        <v>7325076</v>
      </c>
      <c r="R43" s="51" t="e">
        <f>Q43=#REF!</f>
        <v>#REF!</v>
      </c>
      <c r="S43" s="52" t="s">
        <v>158</v>
      </c>
      <c r="T43" s="51" t="e">
        <f>S43=#REF!</f>
        <v>#REF!</v>
      </c>
      <c r="U43" s="52" t="s">
        <v>84</v>
      </c>
      <c r="V43" s="53" t="e">
        <f>U43=#REF!</f>
        <v>#REF!</v>
      </c>
    </row>
    <row r="44" spans="1:22" s="53" customFormat="1" ht="15.75" x14ac:dyDescent="0.25">
      <c r="A44" s="54">
        <v>41</v>
      </c>
      <c r="B44" s="49">
        <v>3176</v>
      </c>
      <c r="C44" s="87" t="s">
        <v>159</v>
      </c>
      <c r="D44" s="56">
        <v>611.6</v>
      </c>
      <c r="E44" s="57" t="s">
        <v>16</v>
      </c>
      <c r="F44" s="58">
        <f t="shared" si="0"/>
        <v>152.9</v>
      </c>
      <c r="G44" s="58"/>
      <c r="H44" s="58">
        <f t="shared" si="1"/>
        <v>152.9</v>
      </c>
      <c r="I44" s="61"/>
      <c r="J44" s="150"/>
      <c r="K44" s="48"/>
      <c r="L44" s="48"/>
      <c r="M44" s="49"/>
      <c r="N44" s="49"/>
      <c r="O44" s="50"/>
      <c r="P44" s="50"/>
      <c r="Q44" s="51"/>
      <c r="R44" s="51"/>
      <c r="S44" s="52"/>
      <c r="T44" s="51"/>
      <c r="U44" s="52"/>
    </row>
    <row r="45" spans="1:22" s="53" customFormat="1" ht="15.75" x14ac:dyDescent="0.25">
      <c r="A45" s="54">
        <v>42</v>
      </c>
      <c r="B45" s="49">
        <v>3179</v>
      </c>
      <c r="C45" s="50" t="s">
        <v>161</v>
      </c>
      <c r="D45" s="56">
        <v>1787.1</v>
      </c>
      <c r="E45" s="57" t="s">
        <v>16</v>
      </c>
      <c r="F45" s="58">
        <f t="shared" si="0"/>
        <v>446.77499999999998</v>
      </c>
      <c r="G45" s="58"/>
      <c r="H45" s="58">
        <f t="shared" si="1"/>
        <v>446.77499999999998</v>
      </c>
      <c r="I45" s="61"/>
      <c r="J45" s="150"/>
      <c r="K45" s="48"/>
      <c r="L45" s="48"/>
      <c r="M45" s="49">
        <v>3179</v>
      </c>
      <c r="N45" s="49" t="b">
        <f t="shared" ref="N45:N51" si="7">M45=B45</f>
        <v>1</v>
      </c>
      <c r="O45" s="50" t="s">
        <v>161</v>
      </c>
      <c r="P45" s="50" t="b">
        <f t="shared" ref="P45:P51" si="8">O45=C45</f>
        <v>1</v>
      </c>
      <c r="Q45" s="51">
        <v>1870852</v>
      </c>
      <c r="R45" s="51" t="e">
        <f>Q45=#REF!</f>
        <v>#REF!</v>
      </c>
      <c r="S45" s="52" t="s">
        <v>162</v>
      </c>
      <c r="T45" s="51" t="e">
        <f>S45=#REF!</f>
        <v>#REF!</v>
      </c>
      <c r="U45" s="52" t="s">
        <v>89</v>
      </c>
      <c r="V45" s="53" t="e">
        <f>U45=#REF!</f>
        <v>#REF!</v>
      </c>
    </row>
    <row r="46" spans="1:22" s="53" customFormat="1" ht="15.75" x14ac:dyDescent="0.25">
      <c r="A46" s="54">
        <v>43</v>
      </c>
      <c r="B46" s="49">
        <v>3181</v>
      </c>
      <c r="C46" s="50" t="s">
        <v>163</v>
      </c>
      <c r="D46" s="56">
        <v>1874.4</v>
      </c>
      <c r="E46" s="57" t="s">
        <v>16</v>
      </c>
      <c r="F46" s="58">
        <f t="shared" si="0"/>
        <v>468.6</v>
      </c>
      <c r="G46" s="58"/>
      <c r="H46" s="58">
        <f t="shared" si="1"/>
        <v>468.6</v>
      </c>
      <c r="I46" s="61"/>
      <c r="J46" s="150"/>
      <c r="K46" s="48"/>
      <c r="L46" s="48"/>
      <c r="M46" s="49">
        <v>3181</v>
      </c>
      <c r="N46" s="49" t="b">
        <f t="shared" si="7"/>
        <v>1</v>
      </c>
      <c r="O46" s="50" t="s">
        <v>163</v>
      </c>
      <c r="P46" s="50" t="b">
        <f t="shared" si="8"/>
        <v>1</v>
      </c>
      <c r="Q46" s="51">
        <v>6116067</v>
      </c>
      <c r="R46" s="51" t="e">
        <f>Q46=#REF!</f>
        <v>#REF!</v>
      </c>
      <c r="S46" s="52" t="s">
        <v>164</v>
      </c>
      <c r="T46" s="51" t="e">
        <f>S46=#REF!</f>
        <v>#REF!</v>
      </c>
      <c r="U46" s="52" t="s">
        <v>89</v>
      </c>
      <c r="V46" s="53" t="e">
        <f>U46=#REF!</f>
        <v>#REF!</v>
      </c>
    </row>
    <row r="47" spans="1:22" s="53" customFormat="1" ht="15.75" x14ac:dyDescent="0.25">
      <c r="A47" s="62">
        <v>44</v>
      </c>
      <c r="B47" s="63">
        <v>3183</v>
      </c>
      <c r="C47" s="72" t="s">
        <v>165</v>
      </c>
      <c r="D47" s="65">
        <v>333</v>
      </c>
      <c r="E47" s="66" t="s">
        <v>16</v>
      </c>
      <c r="F47" s="67">
        <f t="shared" si="0"/>
        <v>83.25</v>
      </c>
      <c r="G47" s="67">
        <f>81.37+1.88</f>
        <v>83.25</v>
      </c>
      <c r="H47" s="67">
        <f t="shared" si="1"/>
        <v>0</v>
      </c>
      <c r="I47" s="171">
        <v>45629</v>
      </c>
      <c r="J47" s="150">
        <v>45658</v>
      </c>
      <c r="K47" s="48"/>
      <c r="L47" s="48"/>
      <c r="M47" s="49">
        <v>3183</v>
      </c>
      <c r="N47" s="49" t="b">
        <f t="shared" si="7"/>
        <v>1</v>
      </c>
      <c r="O47" s="55" t="s">
        <v>165</v>
      </c>
      <c r="P47" s="50" t="b">
        <f t="shared" si="8"/>
        <v>1</v>
      </c>
      <c r="Q47" s="51">
        <v>4955092</v>
      </c>
      <c r="R47" s="51" t="e">
        <f>Q47=#REF!</f>
        <v>#REF!</v>
      </c>
      <c r="S47" s="52" t="s">
        <v>166</v>
      </c>
      <c r="T47" s="51" t="e">
        <f>S47=#REF!</f>
        <v>#REF!</v>
      </c>
      <c r="U47" s="52" t="s">
        <v>19</v>
      </c>
      <c r="V47" s="53" t="e">
        <f>U47=#REF!</f>
        <v>#REF!</v>
      </c>
    </row>
    <row r="48" spans="1:22" s="53" customFormat="1" ht="15.75" x14ac:dyDescent="0.25">
      <c r="A48" s="54">
        <v>45</v>
      </c>
      <c r="B48" s="49">
        <v>3184</v>
      </c>
      <c r="C48" s="50" t="s">
        <v>69</v>
      </c>
      <c r="D48" s="56">
        <v>1876.6</v>
      </c>
      <c r="E48" s="57" t="s">
        <v>16</v>
      </c>
      <c r="F48" s="58">
        <f t="shared" si="0"/>
        <v>469.15</v>
      </c>
      <c r="G48" s="58"/>
      <c r="H48" s="58">
        <f t="shared" si="1"/>
        <v>469.15</v>
      </c>
      <c r="I48" s="61"/>
      <c r="J48" s="150"/>
      <c r="K48" s="48"/>
      <c r="L48" s="48"/>
      <c r="M48" s="49">
        <v>3184</v>
      </c>
      <c r="N48" s="49" t="b">
        <f t="shared" si="7"/>
        <v>1</v>
      </c>
      <c r="O48" s="50" t="s">
        <v>69</v>
      </c>
      <c r="P48" s="50" t="b">
        <f t="shared" si="8"/>
        <v>1</v>
      </c>
      <c r="Q48" s="51">
        <v>6701602</v>
      </c>
      <c r="R48" s="51" t="e">
        <f>Q48=#REF!</f>
        <v>#REF!</v>
      </c>
      <c r="S48" s="52" t="s">
        <v>167</v>
      </c>
      <c r="T48" s="51" t="e">
        <f>S48=#REF!</f>
        <v>#REF!</v>
      </c>
      <c r="U48" s="52" t="s">
        <v>37</v>
      </c>
      <c r="V48" s="53" t="e">
        <f>U48=#REF!</f>
        <v>#REF!</v>
      </c>
    </row>
    <row r="49" spans="1:22" s="53" customFormat="1" ht="15.75" x14ac:dyDescent="0.25">
      <c r="A49" s="62">
        <v>46</v>
      </c>
      <c r="B49" s="63">
        <v>3185</v>
      </c>
      <c r="C49" s="64" t="s">
        <v>168</v>
      </c>
      <c r="D49" s="65">
        <v>1233.8</v>
      </c>
      <c r="E49" s="66" t="s">
        <v>16</v>
      </c>
      <c r="F49" s="67">
        <f t="shared" si="0"/>
        <v>308.45</v>
      </c>
      <c r="G49" s="67">
        <f>304.55+3.9</f>
        <v>308.45</v>
      </c>
      <c r="H49" s="67">
        <f t="shared" si="1"/>
        <v>0</v>
      </c>
      <c r="I49" s="171">
        <v>45630</v>
      </c>
      <c r="J49" s="150">
        <v>45663</v>
      </c>
      <c r="K49" s="48"/>
      <c r="L49" s="48"/>
      <c r="M49" s="49">
        <v>3185</v>
      </c>
      <c r="N49" s="49" t="b">
        <f t="shared" si="7"/>
        <v>1</v>
      </c>
      <c r="O49" s="50" t="s">
        <v>168</v>
      </c>
      <c r="P49" s="50" t="b">
        <f t="shared" si="8"/>
        <v>1</v>
      </c>
      <c r="Q49" s="51">
        <v>15179209</v>
      </c>
      <c r="R49" s="51" t="e">
        <f>Q49=#REF!</f>
        <v>#REF!</v>
      </c>
      <c r="S49" s="52" t="s">
        <v>169</v>
      </c>
      <c r="T49" s="51" t="e">
        <f>S49=#REF!</f>
        <v>#REF!</v>
      </c>
      <c r="U49" s="52" t="s">
        <v>19</v>
      </c>
      <c r="V49" s="53" t="e">
        <f>U49=#REF!</f>
        <v>#REF!</v>
      </c>
    </row>
    <row r="50" spans="1:22" s="53" customFormat="1" ht="15.75" x14ac:dyDescent="0.25">
      <c r="A50" s="62">
        <v>47</v>
      </c>
      <c r="B50" s="63">
        <v>3188</v>
      </c>
      <c r="C50" s="64" t="s">
        <v>170</v>
      </c>
      <c r="D50" s="65">
        <v>1030.0999999999999</v>
      </c>
      <c r="E50" s="66" t="s">
        <v>16</v>
      </c>
      <c r="F50" s="67">
        <f t="shared" si="0"/>
        <v>257.52499999999998</v>
      </c>
      <c r="G50" s="67">
        <f>254.675+2.85</f>
        <v>257.52500000000003</v>
      </c>
      <c r="H50" s="67">
        <f t="shared" si="1"/>
        <v>0</v>
      </c>
      <c r="I50" s="171">
        <v>45629</v>
      </c>
      <c r="J50" s="150">
        <v>45663</v>
      </c>
      <c r="K50" s="48"/>
      <c r="L50" s="48"/>
      <c r="M50" s="49">
        <v>3188</v>
      </c>
      <c r="N50" s="49" t="b">
        <f t="shared" si="7"/>
        <v>1</v>
      </c>
      <c r="O50" s="50" t="s">
        <v>170</v>
      </c>
      <c r="P50" s="50" t="b">
        <f t="shared" si="8"/>
        <v>1</v>
      </c>
      <c r="Q50" s="51">
        <v>19290729</v>
      </c>
      <c r="R50" s="51" t="e">
        <f>Q50=#REF!</f>
        <v>#REF!</v>
      </c>
      <c r="S50" s="52" t="s">
        <v>171</v>
      </c>
      <c r="T50" s="51" t="e">
        <f>S50=#REF!</f>
        <v>#REF!</v>
      </c>
      <c r="U50" s="52" t="s">
        <v>37</v>
      </c>
      <c r="V50" s="53" t="e">
        <f>U50=#REF!</f>
        <v>#REF!</v>
      </c>
    </row>
    <row r="51" spans="1:22" s="53" customFormat="1" ht="15.75" x14ac:dyDescent="0.25">
      <c r="A51" s="62">
        <v>48</v>
      </c>
      <c r="B51" s="63">
        <v>3189</v>
      </c>
      <c r="C51" s="64" t="s">
        <v>172</v>
      </c>
      <c r="D51" s="65">
        <v>975</v>
      </c>
      <c r="E51" s="66" t="s">
        <v>16</v>
      </c>
      <c r="F51" s="67">
        <f t="shared" si="0"/>
        <v>243.75</v>
      </c>
      <c r="G51" s="67">
        <f>240.775+2.975</f>
        <v>243.75</v>
      </c>
      <c r="H51" s="67">
        <f t="shared" si="1"/>
        <v>0</v>
      </c>
      <c r="I51" s="171">
        <v>45624</v>
      </c>
      <c r="J51" s="150">
        <v>45658</v>
      </c>
      <c r="K51" s="48"/>
      <c r="L51" s="48"/>
      <c r="M51" s="49">
        <v>3189</v>
      </c>
      <c r="N51" s="49" t="b">
        <f t="shared" si="7"/>
        <v>1</v>
      </c>
      <c r="O51" s="50" t="s">
        <v>172</v>
      </c>
      <c r="P51" s="50" t="b">
        <f t="shared" si="8"/>
        <v>1</v>
      </c>
      <c r="Q51" s="51">
        <v>2802613</v>
      </c>
      <c r="R51" s="51" t="e">
        <f>Q51=#REF!</f>
        <v>#REF!</v>
      </c>
      <c r="S51" s="52" t="s">
        <v>173</v>
      </c>
      <c r="T51" s="51" t="e">
        <f>S51=#REF!</f>
        <v>#REF!</v>
      </c>
      <c r="U51" s="52" t="s">
        <v>19</v>
      </c>
      <c r="V51" s="53" t="e">
        <f>U51=#REF!</f>
        <v>#REF!</v>
      </c>
    </row>
    <row r="52" spans="1:22" s="53" customFormat="1" ht="15.75" x14ac:dyDescent="0.25">
      <c r="A52" s="54">
        <v>49</v>
      </c>
      <c r="B52" s="85">
        <v>3190</v>
      </c>
      <c r="C52" s="50" t="s">
        <v>174</v>
      </c>
      <c r="D52" s="65"/>
      <c r="E52" s="57" t="s">
        <v>16</v>
      </c>
      <c r="F52" s="58">
        <f t="shared" si="0"/>
        <v>0</v>
      </c>
      <c r="G52" s="58"/>
      <c r="H52" s="58">
        <f t="shared" si="1"/>
        <v>0</v>
      </c>
      <c r="I52" s="61"/>
      <c r="J52" s="150"/>
      <c r="K52" s="48"/>
      <c r="L52" s="48"/>
      <c r="M52" s="85"/>
      <c r="N52" s="85"/>
      <c r="O52" s="50"/>
      <c r="P52" s="50"/>
      <c r="Q52" s="51"/>
      <c r="R52" s="51"/>
      <c r="S52" s="52"/>
      <c r="T52" s="51"/>
      <c r="U52" s="52"/>
    </row>
    <row r="53" spans="1:22" s="53" customFormat="1" ht="15.75" x14ac:dyDescent="0.25">
      <c r="A53" s="62">
        <v>50</v>
      </c>
      <c r="B53" s="63">
        <v>3192</v>
      </c>
      <c r="C53" s="64" t="s">
        <v>38</v>
      </c>
      <c r="D53" s="65">
        <v>1119.5</v>
      </c>
      <c r="E53" s="66" t="s">
        <v>16</v>
      </c>
      <c r="F53" s="67">
        <f t="shared" si="0"/>
        <v>279.875</v>
      </c>
      <c r="G53" s="67">
        <f>276.53</f>
        <v>276.52999999999997</v>
      </c>
      <c r="H53" s="67">
        <f t="shared" si="1"/>
        <v>3.3450000000000273</v>
      </c>
      <c r="I53" s="171">
        <v>45635</v>
      </c>
      <c r="J53" s="150"/>
      <c r="K53" s="48"/>
      <c r="L53" s="48"/>
      <c r="M53" s="85">
        <v>3192</v>
      </c>
      <c r="N53" s="85" t="b">
        <f t="shared" ref="N53:N75" si="9">M53=B53</f>
        <v>1</v>
      </c>
      <c r="O53" s="50" t="s">
        <v>38</v>
      </c>
      <c r="P53" s="50" t="b">
        <f t="shared" ref="P53:P75" si="10">O53=C53</f>
        <v>1</v>
      </c>
      <c r="Q53" s="51">
        <v>5271448</v>
      </c>
      <c r="R53" s="51" t="e">
        <f>Q53=#REF!</f>
        <v>#REF!</v>
      </c>
      <c r="S53" s="52" t="s">
        <v>43</v>
      </c>
      <c r="T53" s="51" t="e">
        <f>S53=#REF!</f>
        <v>#REF!</v>
      </c>
      <c r="U53" s="52" t="s">
        <v>19</v>
      </c>
      <c r="V53" s="53" t="e">
        <f>U53=#REF!</f>
        <v>#REF!</v>
      </c>
    </row>
    <row r="54" spans="1:22" s="92" customFormat="1" ht="15.75" x14ac:dyDescent="0.25">
      <c r="A54" s="54">
        <v>51</v>
      </c>
      <c r="B54" s="49">
        <v>3195</v>
      </c>
      <c r="C54" s="50" t="s">
        <v>176</v>
      </c>
      <c r="D54" s="56">
        <v>598.4</v>
      </c>
      <c r="E54" s="57" t="s">
        <v>16</v>
      </c>
      <c r="F54" s="58">
        <f t="shared" si="0"/>
        <v>149.6</v>
      </c>
      <c r="G54" s="58"/>
      <c r="H54" s="58">
        <f t="shared" si="1"/>
        <v>149.6</v>
      </c>
      <c r="I54" s="61"/>
      <c r="J54" s="150"/>
      <c r="K54" s="48"/>
      <c r="L54" s="48"/>
      <c r="M54" s="49">
        <v>3195</v>
      </c>
      <c r="N54" s="49" t="b">
        <f t="shared" si="9"/>
        <v>1</v>
      </c>
      <c r="O54" s="50" t="s">
        <v>176</v>
      </c>
      <c r="P54" s="50" t="b">
        <f t="shared" si="10"/>
        <v>1</v>
      </c>
      <c r="Q54" s="51">
        <v>675849</v>
      </c>
      <c r="R54" s="51" t="e">
        <f>Q54=#REF!</f>
        <v>#REF!</v>
      </c>
      <c r="S54" s="52" t="s">
        <v>177</v>
      </c>
      <c r="T54" s="51" t="e">
        <f>S54=#REF!</f>
        <v>#REF!</v>
      </c>
      <c r="U54" s="52" t="s">
        <v>37</v>
      </c>
      <c r="V54" s="53" t="e">
        <f>U54=#REF!</f>
        <v>#REF!</v>
      </c>
    </row>
    <row r="55" spans="1:22" s="92" customFormat="1" ht="15.75" x14ac:dyDescent="0.25">
      <c r="A55" s="54">
        <v>52</v>
      </c>
      <c r="B55" s="49">
        <v>3196</v>
      </c>
      <c r="C55" s="93" t="s">
        <v>178</v>
      </c>
      <c r="D55" s="56">
        <v>624.79999999999995</v>
      </c>
      <c r="E55" s="57" t="s">
        <v>16</v>
      </c>
      <c r="F55" s="58">
        <f t="shared" si="0"/>
        <v>156.19999999999999</v>
      </c>
      <c r="G55" s="58"/>
      <c r="H55" s="58">
        <f t="shared" si="1"/>
        <v>156.19999999999999</v>
      </c>
      <c r="I55" s="61"/>
      <c r="J55" s="150"/>
      <c r="K55" s="48"/>
      <c r="L55" s="48"/>
      <c r="M55" s="49">
        <v>3196</v>
      </c>
      <c r="N55" s="49" t="b">
        <f t="shared" si="9"/>
        <v>1</v>
      </c>
      <c r="O55" s="53" t="s">
        <v>178</v>
      </c>
      <c r="P55" s="50" t="b">
        <f t="shared" si="10"/>
        <v>1</v>
      </c>
      <c r="Q55" s="51">
        <v>21080217</v>
      </c>
      <c r="R55" s="51" t="e">
        <f>Q55=#REF!</f>
        <v>#REF!</v>
      </c>
      <c r="S55" s="52" t="s">
        <v>179</v>
      </c>
      <c r="T55" s="51" t="e">
        <f>S55=#REF!</f>
        <v>#REF!</v>
      </c>
      <c r="U55" s="52" t="s">
        <v>19</v>
      </c>
      <c r="V55" s="53" t="e">
        <f>U55=#REF!</f>
        <v>#REF!</v>
      </c>
    </row>
    <row r="56" spans="1:22" s="92" customFormat="1" ht="15.75" x14ac:dyDescent="0.25">
      <c r="A56" s="54">
        <v>53</v>
      </c>
      <c r="B56" s="49">
        <v>3197</v>
      </c>
      <c r="C56" s="50" t="s">
        <v>180</v>
      </c>
      <c r="D56" s="56">
        <v>1658.9</v>
      </c>
      <c r="E56" s="57" t="s">
        <v>16</v>
      </c>
      <c r="F56" s="58">
        <f t="shared" si="0"/>
        <v>414.72500000000002</v>
      </c>
      <c r="G56" s="58"/>
      <c r="H56" s="58">
        <f t="shared" si="1"/>
        <v>414.72500000000002</v>
      </c>
      <c r="I56" s="61"/>
      <c r="J56" s="150"/>
      <c r="K56" s="48"/>
      <c r="L56" s="48"/>
      <c r="M56" s="49">
        <v>3197</v>
      </c>
      <c r="N56" s="49" t="b">
        <f t="shared" si="9"/>
        <v>1</v>
      </c>
      <c r="O56" s="50" t="s">
        <v>180</v>
      </c>
      <c r="P56" s="50" t="b">
        <f t="shared" si="10"/>
        <v>1</v>
      </c>
      <c r="Q56" s="51">
        <v>6479515</v>
      </c>
      <c r="R56" s="51" t="e">
        <f>Q56=#REF!</f>
        <v>#REF!</v>
      </c>
      <c r="S56" s="52" t="s">
        <v>181</v>
      </c>
      <c r="T56" s="51" t="e">
        <f>S56=#REF!</f>
        <v>#REF!</v>
      </c>
      <c r="U56" s="52" t="s">
        <v>19</v>
      </c>
      <c r="V56" s="53" t="e">
        <f>U56=#REF!</f>
        <v>#REF!</v>
      </c>
    </row>
    <row r="57" spans="1:22" s="92" customFormat="1" ht="15.75" x14ac:dyDescent="0.25">
      <c r="A57" s="54">
        <v>54</v>
      </c>
      <c r="B57" s="49">
        <v>3198</v>
      </c>
      <c r="C57" s="74" t="s">
        <v>44</v>
      </c>
      <c r="D57" s="111">
        <v>578.5</v>
      </c>
      <c r="E57" s="57" t="s">
        <v>16</v>
      </c>
      <c r="F57" s="58">
        <f t="shared" si="0"/>
        <v>144.625</v>
      </c>
      <c r="G57" s="58"/>
      <c r="H57" s="58">
        <f t="shared" si="1"/>
        <v>144.625</v>
      </c>
      <c r="I57" s="61"/>
      <c r="J57" s="150"/>
      <c r="K57" s="48"/>
      <c r="L57" s="48"/>
      <c r="M57" s="49">
        <v>3198</v>
      </c>
      <c r="N57" s="49" t="b">
        <f t="shared" si="9"/>
        <v>1</v>
      </c>
      <c r="O57" s="74" t="s">
        <v>44</v>
      </c>
      <c r="P57" s="50" t="b">
        <f t="shared" si="10"/>
        <v>1</v>
      </c>
      <c r="Q57" s="75">
        <v>6360793</v>
      </c>
      <c r="R57" s="51" t="e">
        <f>Q57=#REF!</f>
        <v>#REF!</v>
      </c>
      <c r="S57" s="52" t="s">
        <v>45</v>
      </c>
      <c r="T57" s="51" t="e">
        <f>S57=#REF!</f>
        <v>#REF!</v>
      </c>
      <c r="U57" s="76" t="s">
        <v>47</v>
      </c>
      <c r="V57" s="53" t="e">
        <f>U57=#REF!</f>
        <v>#REF!</v>
      </c>
    </row>
    <row r="58" spans="1:22" s="53" customFormat="1" ht="15.75" x14ac:dyDescent="0.25">
      <c r="A58" s="120">
        <v>55</v>
      </c>
      <c r="B58" s="121">
        <v>3310</v>
      </c>
      <c r="C58" s="122" t="s">
        <v>182</v>
      </c>
      <c r="D58" s="123">
        <v>1252.2</v>
      </c>
      <c r="E58" s="124" t="s">
        <v>16</v>
      </c>
      <c r="F58" s="125">
        <f t="shared" si="0"/>
        <v>313.05</v>
      </c>
      <c r="G58" s="125">
        <f>F58</f>
        <v>313.05</v>
      </c>
      <c r="H58" s="125">
        <f t="shared" si="1"/>
        <v>0</v>
      </c>
      <c r="I58" s="128" t="s">
        <v>239</v>
      </c>
      <c r="J58" s="150"/>
      <c r="K58" s="48"/>
      <c r="L58" s="48"/>
      <c r="M58" s="49">
        <v>3310</v>
      </c>
      <c r="N58" s="49" t="b">
        <f t="shared" si="9"/>
        <v>1</v>
      </c>
      <c r="O58" s="50" t="s">
        <v>182</v>
      </c>
      <c r="P58" s="50" t="b">
        <f t="shared" si="10"/>
        <v>1</v>
      </c>
      <c r="Q58" s="51">
        <v>1007615</v>
      </c>
      <c r="R58" s="51" t="e">
        <f>Q58=#REF!</f>
        <v>#REF!</v>
      </c>
      <c r="S58" s="52" t="s">
        <v>183</v>
      </c>
      <c r="T58" s="51" t="e">
        <f>S58=#REF!</f>
        <v>#REF!</v>
      </c>
      <c r="U58" s="52" t="s">
        <v>19</v>
      </c>
      <c r="V58" s="53" t="e">
        <f>U58=#REF!</f>
        <v>#REF!</v>
      </c>
    </row>
    <row r="59" spans="1:22" s="53" customFormat="1" ht="15.75" x14ac:dyDescent="0.25">
      <c r="A59" s="54">
        <v>56</v>
      </c>
      <c r="B59" s="49">
        <v>3324</v>
      </c>
      <c r="C59" s="51" t="s">
        <v>184</v>
      </c>
      <c r="D59" s="56">
        <v>1253</v>
      </c>
      <c r="E59" s="57" t="s">
        <v>16</v>
      </c>
      <c r="F59" s="58">
        <f t="shared" si="0"/>
        <v>313.25</v>
      </c>
      <c r="G59" s="58"/>
      <c r="H59" s="58">
        <f t="shared" si="1"/>
        <v>313.25</v>
      </c>
      <c r="I59" s="61"/>
      <c r="J59" s="150"/>
      <c r="K59" s="48"/>
      <c r="L59" s="48"/>
      <c r="M59" s="49">
        <v>3324</v>
      </c>
      <c r="N59" s="49" t="b">
        <f t="shared" si="9"/>
        <v>1</v>
      </c>
      <c r="O59" s="51" t="s">
        <v>184</v>
      </c>
      <c r="P59" s="50" t="b">
        <f t="shared" si="10"/>
        <v>1</v>
      </c>
      <c r="Q59" s="52">
        <v>207402</v>
      </c>
      <c r="R59" s="51" t="e">
        <f>Q59=#REF!</f>
        <v>#REF!</v>
      </c>
      <c r="S59" s="52" t="s">
        <v>185</v>
      </c>
      <c r="T59" s="51" t="e">
        <f>S59=#REF!</f>
        <v>#REF!</v>
      </c>
      <c r="U59" s="52" t="s">
        <v>19</v>
      </c>
      <c r="V59" s="53" t="e">
        <f>U59=#REF!</f>
        <v>#REF!</v>
      </c>
    </row>
    <row r="60" spans="1:22" s="53" customFormat="1" ht="15.75" x14ac:dyDescent="0.25">
      <c r="A60" s="54">
        <v>57</v>
      </c>
      <c r="B60" s="49">
        <v>3330</v>
      </c>
      <c r="C60" s="51" t="s">
        <v>186</v>
      </c>
      <c r="D60" s="56">
        <v>1887.9</v>
      </c>
      <c r="E60" s="57" t="s">
        <v>16</v>
      </c>
      <c r="F60" s="58">
        <f t="shared" si="0"/>
        <v>471.97500000000002</v>
      </c>
      <c r="G60" s="58"/>
      <c r="H60" s="58">
        <f t="shared" si="1"/>
        <v>471.97500000000002</v>
      </c>
      <c r="I60" s="94"/>
      <c r="J60" s="150"/>
      <c r="K60" s="48"/>
      <c r="L60" s="48"/>
      <c r="M60" s="85">
        <v>3330</v>
      </c>
      <c r="N60" s="49" t="b">
        <f t="shared" si="9"/>
        <v>1</v>
      </c>
      <c r="O60" s="51" t="s">
        <v>186</v>
      </c>
      <c r="P60" s="50" t="b">
        <f t="shared" si="10"/>
        <v>1</v>
      </c>
      <c r="Q60" s="52">
        <v>6375079</v>
      </c>
      <c r="R60" s="51" t="e">
        <f>Q60=#REF!</f>
        <v>#REF!</v>
      </c>
      <c r="S60" s="52" t="s">
        <v>187</v>
      </c>
      <c r="T60" s="51" t="e">
        <f>S60=#REF!</f>
        <v>#REF!</v>
      </c>
      <c r="U60" s="52" t="s">
        <v>19</v>
      </c>
      <c r="V60" s="53" t="e">
        <f>U60=#REF!</f>
        <v>#REF!</v>
      </c>
    </row>
    <row r="61" spans="1:22" s="53" customFormat="1" ht="15.75" x14ac:dyDescent="0.25">
      <c r="A61" s="54">
        <v>58</v>
      </c>
      <c r="B61" s="49">
        <v>3333</v>
      </c>
      <c r="C61" s="51" t="s">
        <v>189</v>
      </c>
      <c r="D61" s="56">
        <v>1797.6</v>
      </c>
      <c r="E61" s="57" t="s">
        <v>16</v>
      </c>
      <c r="F61" s="58">
        <f t="shared" si="0"/>
        <v>449.4</v>
      </c>
      <c r="G61" s="95"/>
      <c r="H61" s="58">
        <f t="shared" si="1"/>
        <v>449.4</v>
      </c>
      <c r="I61" s="94"/>
      <c r="J61" s="150"/>
      <c r="K61" s="48"/>
      <c r="L61" s="48"/>
      <c r="M61" s="85">
        <v>3333</v>
      </c>
      <c r="N61" s="49" t="b">
        <f t="shared" si="9"/>
        <v>1</v>
      </c>
      <c r="O61" s="51" t="s">
        <v>189</v>
      </c>
      <c r="P61" s="50" t="b">
        <f t="shared" si="10"/>
        <v>1</v>
      </c>
      <c r="Q61" s="96">
        <v>757601</v>
      </c>
      <c r="R61" s="51" t="e">
        <f>Q61=#REF!</f>
        <v>#REF!</v>
      </c>
      <c r="S61" s="96" t="s">
        <v>190</v>
      </c>
      <c r="T61" s="51" t="e">
        <f>S61=#REF!</f>
        <v>#REF!</v>
      </c>
      <c r="U61" s="96" t="s">
        <v>84</v>
      </c>
      <c r="V61" s="53" t="e">
        <f>U61=#REF!</f>
        <v>#REF!</v>
      </c>
    </row>
    <row r="62" spans="1:22" s="53" customFormat="1" ht="15.75" x14ac:dyDescent="0.25">
      <c r="A62" s="62">
        <v>59</v>
      </c>
      <c r="B62" s="63">
        <v>3339</v>
      </c>
      <c r="C62" s="68" t="s">
        <v>191</v>
      </c>
      <c r="D62" s="65">
        <v>209.3</v>
      </c>
      <c r="E62" s="66" t="s">
        <v>16</v>
      </c>
      <c r="F62" s="67">
        <f t="shared" si="0"/>
        <v>52.325000000000003</v>
      </c>
      <c r="G62" s="67">
        <f>50.775+1.55</f>
        <v>52.324999999999996</v>
      </c>
      <c r="H62" s="67">
        <f t="shared" si="1"/>
        <v>0</v>
      </c>
      <c r="I62" s="119">
        <v>45629</v>
      </c>
      <c r="J62" s="150">
        <v>45686</v>
      </c>
      <c r="K62" s="48"/>
      <c r="L62" s="48"/>
      <c r="M62" s="49">
        <v>3339</v>
      </c>
      <c r="N62" s="49" t="b">
        <f t="shared" si="9"/>
        <v>1</v>
      </c>
      <c r="O62" s="88" t="s">
        <v>191</v>
      </c>
      <c r="P62" s="50" t="b">
        <f t="shared" si="10"/>
        <v>1</v>
      </c>
      <c r="Q62" s="89">
        <v>12415718</v>
      </c>
      <c r="R62" s="51" t="e">
        <f>Q62=#REF!</f>
        <v>#REF!</v>
      </c>
      <c r="S62" s="89" t="s">
        <v>192</v>
      </c>
      <c r="T62" s="51" t="e">
        <f>S62=#REF!</f>
        <v>#REF!</v>
      </c>
      <c r="U62" s="89" t="s">
        <v>19</v>
      </c>
      <c r="V62" s="53" t="e">
        <f>U62=#REF!</f>
        <v>#REF!</v>
      </c>
    </row>
    <row r="63" spans="1:22" s="53" customFormat="1" ht="15.75" x14ac:dyDescent="0.25">
      <c r="A63" s="62">
        <v>60</v>
      </c>
      <c r="B63" s="63">
        <v>3500</v>
      </c>
      <c r="C63" s="68" t="s">
        <v>193</v>
      </c>
      <c r="D63" s="65">
        <v>703.2</v>
      </c>
      <c r="E63" s="66" t="s">
        <v>16</v>
      </c>
      <c r="F63" s="67">
        <f t="shared" si="0"/>
        <v>175.8</v>
      </c>
      <c r="G63" s="67">
        <f>172.52+3.28</f>
        <v>175.8</v>
      </c>
      <c r="H63" s="67">
        <f t="shared" si="1"/>
        <v>0</v>
      </c>
      <c r="I63" s="117">
        <v>45655</v>
      </c>
      <c r="J63" s="150">
        <v>45658</v>
      </c>
      <c r="K63" s="48"/>
      <c r="L63" s="48"/>
      <c r="M63" s="49">
        <v>3500</v>
      </c>
      <c r="N63" s="49" t="b">
        <f t="shared" si="9"/>
        <v>1</v>
      </c>
      <c r="O63" s="51" t="s">
        <v>193</v>
      </c>
      <c r="P63" s="50" t="b">
        <f t="shared" si="10"/>
        <v>1</v>
      </c>
      <c r="Q63" s="52">
        <v>13525845</v>
      </c>
      <c r="R63" s="51" t="e">
        <f>Q63=#REF!</f>
        <v>#REF!</v>
      </c>
      <c r="S63" s="52" t="s">
        <v>194</v>
      </c>
      <c r="T63" s="51" t="e">
        <f>S63=#REF!</f>
        <v>#REF!</v>
      </c>
      <c r="U63" s="52" t="s">
        <v>84</v>
      </c>
      <c r="V63" s="53" t="e">
        <f>U63=#REF!</f>
        <v>#REF!</v>
      </c>
    </row>
    <row r="64" spans="1:22" s="91" customFormat="1" ht="15.75" x14ac:dyDescent="0.25">
      <c r="A64" s="62">
        <v>61</v>
      </c>
      <c r="B64" s="63">
        <v>3501</v>
      </c>
      <c r="C64" s="68" t="s">
        <v>195</v>
      </c>
      <c r="D64" s="65">
        <v>1837.7</v>
      </c>
      <c r="E64" s="66" t="s">
        <v>16</v>
      </c>
      <c r="F64" s="67">
        <f t="shared" si="0"/>
        <v>459.42500000000001</v>
      </c>
      <c r="G64" s="67">
        <f>F64</f>
        <v>459.42500000000001</v>
      </c>
      <c r="H64" s="67">
        <f t="shared" si="1"/>
        <v>0</v>
      </c>
      <c r="I64" s="117">
        <v>45932</v>
      </c>
      <c r="J64" s="156"/>
      <c r="K64" s="90"/>
      <c r="L64" s="90"/>
      <c r="M64" s="63">
        <v>3501</v>
      </c>
      <c r="N64" s="63" t="b">
        <f t="shared" si="9"/>
        <v>1</v>
      </c>
      <c r="O64" s="68" t="s">
        <v>195</v>
      </c>
      <c r="P64" s="64" t="b">
        <f t="shared" si="10"/>
        <v>1</v>
      </c>
      <c r="Q64" s="69">
        <v>13525794</v>
      </c>
      <c r="R64" s="68" t="e">
        <f>Q64=#REF!</f>
        <v>#REF!</v>
      </c>
      <c r="S64" s="69" t="s">
        <v>196</v>
      </c>
      <c r="T64" s="68" t="e">
        <f>S64=#REF!</f>
        <v>#REF!</v>
      </c>
      <c r="U64" s="69" t="s">
        <v>19</v>
      </c>
      <c r="V64" s="91" t="e">
        <f>U64=#REF!</f>
        <v>#REF!</v>
      </c>
    </row>
    <row r="65" spans="1:22" s="53" customFormat="1" ht="15.75" x14ac:dyDescent="0.25">
      <c r="A65" s="54">
        <v>62</v>
      </c>
      <c r="B65" s="49">
        <v>3502</v>
      </c>
      <c r="C65" s="93" t="s">
        <v>198</v>
      </c>
      <c r="D65" s="56">
        <v>1247.0999999999999</v>
      </c>
      <c r="E65" s="57" t="s">
        <v>16</v>
      </c>
      <c r="F65" s="58">
        <f t="shared" si="0"/>
        <v>311.77499999999998</v>
      </c>
      <c r="G65" s="58"/>
      <c r="H65" s="58">
        <f t="shared" si="1"/>
        <v>311.77499999999998</v>
      </c>
      <c r="I65" s="26"/>
      <c r="J65" s="150"/>
      <c r="K65" s="48"/>
      <c r="L65" s="48"/>
      <c r="M65" s="49">
        <v>3502</v>
      </c>
      <c r="N65" s="49" t="b">
        <f t="shared" si="9"/>
        <v>1</v>
      </c>
      <c r="O65" s="93" t="s">
        <v>198</v>
      </c>
      <c r="P65" s="50" t="b">
        <f t="shared" si="10"/>
        <v>1</v>
      </c>
      <c r="Q65" s="52">
        <v>22522336</v>
      </c>
      <c r="R65" s="51" t="e">
        <f>Q65=#REF!</f>
        <v>#REF!</v>
      </c>
      <c r="S65" s="52" t="s">
        <v>199</v>
      </c>
      <c r="T65" s="51" t="e">
        <f>S65=#REF!</f>
        <v>#REF!</v>
      </c>
      <c r="U65" s="52" t="s">
        <v>37</v>
      </c>
      <c r="V65" s="53" t="e">
        <f>U65=#REF!</f>
        <v>#REF!</v>
      </c>
    </row>
    <row r="66" spans="1:22" s="53" customFormat="1" ht="15.75" x14ac:dyDescent="0.25">
      <c r="A66" s="54">
        <v>63</v>
      </c>
      <c r="B66" s="49">
        <v>3503</v>
      </c>
      <c r="C66" s="51" t="s">
        <v>200</v>
      </c>
      <c r="D66" s="56">
        <v>625</v>
      </c>
      <c r="E66" s="57" t="s">
        <v>16</v>
      </c>
      <c r="F66" s="58">
        <f t="shared" si="0"/>
        <v>156.25</v>
      </c>
      <c r="G66" s="58"/>
      <c r="H66" s="58">
        <f t="shared" si="1"/>
        <v>156.25</v>
      </c>
      <c r="I66" s="26"/>
      <c r="J66" s="150"/>
      <c r="K66" s="48"/>
      <c r="L66" s="48"/>
      <c r="M66" s="49">
        <v>3503</v>
      </c>
      <c r="N66" s="49" t="b">
        <f t="shared" si="9"/>
        <v>1</v>
      </c>
      <c r="O66" s="51" t="s">
        <v>200</v>
      </c>
      <c r="P66" s="50" t="b">
        <f t="shared" si="10"/>
        <v>1</v>
      </c>
      <c r="Q66" s="52">
        <v>9212492</v>
      </c>
      <c r="R66" s="51" t="e">
        <f>Q66=#REF!</f>
        <v>#REF!</v>
      </c>
      <c r="S66" s="52" t="s">
        <v>201</v>
      </c>
      <c r="T66" s="51" t="e">
        <f>S66=#REF!</f>
        <v>#REF!</v>
      </c>
      <c r="U66" s="52" t="s">
        <v>19</v>
      </c>
      <c r="V66" s="53" t="e">
        <f>U66=#REF!</f>
        <v>#REF!</v>
      </c>
    </row>
    <row r="67" spans="1:22" s="188" customFormat="1" ht="15.75" x14ac:dyDescent="0.25">
      <c r="A67" s="120">
        <v>64</v>
      </c>
      <c r="B67" s="121">
        <v>3504</v>
      </c>
      <c r="C67" s="126" t="s">
        <v>202</v>
      </c>
      <c r="D67" s="123">
        <v>1208.3</v>
      </c>
      <c r="E67" s="124" t="s">
        <v>16</v>
      </c>
      <c r="F67" s="125">
        <f t="shared" si="0"/>
        <v>302.07499999999999</v>
      </c>
      <c r="G67" s="125">
        <f>F67</f>
        <v>302.07499999999999</v>
      </c>
      <c r="H67" s="125">
        <f t="shared" si="1"/>
        <v>0</v>
      </c>
      <c r="I67" s="177" t="s">
        <v>204</v>
      </c>
      <c r="J67" s="186"/>
      <c r="K67" s="189"/>
      <c r="L67" s="189"/>
      <c r="M67" s="179">
        <v>3504</v>
      </c>
      <c r="N67" s="179" t="b">
        <f t="shared" si="9"/>
        <v>1</v>
      </c>
      <c r="O67" s="180" t="s">
        <v>202</v>
      </c>
      <c r="P67" s="187" t="b">
        <f t="shared" si="10"/>
        <v>1</v>
      </c>
      <c r="Q67" s="184">
        <v>939641</v>
      </c>
      <c r="R67" s="180" t="e">
        <f>Q67=#REF!</f>
        <v>#REF!</v>
      </c>
      <c r="S67" s="184" t="s">
        <v>203</v>
      </c>
      <c r="T67" s="180" t="e">
        <f>S67=#REF!</f>
        <v>#REF!</v>
      </c>
      <c r="U67" s="184" t="s">
        <v>19</v>
      </c>
      <c r="V67" s="188" t="e">
        <f>U67=#REF!</f>
        <v>#REF!</v>
      </c>
    </row>
    <row r="68" spans="1:22" s="53" customFormat="1" ht="15.75" x14ac:dyDescent="0.25">
      <c r="A68" s="54">
        <v>65</v>
      </c>
      <c r="B68" s="49">
        <v>3506</v>
      </c>
      <c r="C68" s="51" t="s">
        <v>205</v>
      </c>
      <c r="D68" s="56">
        <v>325.7</v>
      </c>
      <c r="E68" s="57" t="s">
        <v>16</v>
      </c>
      <c r="F68" s="58">
        <f t="shared" si="0"/>
        <v>81.424999999999997</v>
      </c>
      <c r="G68" s="58"/>
      <c r="H68" s="58">
        <f t="shared" si="1"/>
        <v>81.424999999999997</v>
      </c>
      <c r="I68" s="26"/>
      <c r="J68" s="150"/>
      <c r="K68" s="48"/>
      <c r="L68" s="48"/>
      <c r="M68" s="49">
        <v>3506</v>
      </c>
      <c r="N68" s="49" t="b">
        <f t="shared" si="9"/>
        <v>1</v>
      </c>
      <c r="O68" s="51" t="s">
        <v>205</v>
      </c>
      <c r="P68" s="50" t="b">
        <f t="shared" si="10"/>
        <v>1</v>
      </c>
      <c r="Q68" s="52">
        <v>13307752</v>
      </c>
      <c r="R68" s="51" t="e">
        <f>Q68=#REF!</f>
        <v>#REF!</v>
      </c>
      <c r="S68" s="52" t="s">
        <v>206</v>
      </c>
      <c r="T68" s="51" t="e">
        <f>S68=#REF!</f>
        <v>#REF!</v>
      </c>
      <c r="U68" s="52" t="s">
        <v>19</v>
      </c>
      <c r="V68" s="53" t="e">
        <f>U68=#REF!</f>
        <v>#REF!</v>
      </c>
    </row>
    <row r="69" spans="1:22" s="53" customFormat="1" ht="15.75" x14ac:dyDescent="0.25">
      <c r="A69" s="54">
        <v>66</v>
      </c>
      <c r="B69" s="49">
        <v>3507</v>
      </c>
      <c r="C69" s="51" t="s">
        <v>207</v>
      </c>
      <c r="D69" s="56">
        <v>675.1</v>
      </c>
      <c r="E69" s="57" t="s">
        <v>16</v>
      </c>
      <c r="F69" s="58">
        <f t="shared" ref="F69:F84" si="11">D69*E69</f>
        <v>168.77500000000001</v>
      </c>
      <c r="G69" s="58"/>
      <c r="H69" s="58">
        <f t="shared" ref="H69:H84" si="12">F69-G69</f>
        <v>168.77500000000001</v>
      </c>
      <c r="I69" s="26"/>
      <c r="J69" s="150"/>
      <c r="K69" s="48"/>
      <c r="L69" s="48"/>
      <c r="M69" s="49">
        <v>3507</v>
      </c>
      <c r="N69" s="49" t="b">
        <f t="shared" si="9"/>
        <v>1</v>
      </c>
      <c r="O69" s="51" t="s">
        <v>207</v>
      </c>
      <c r="P69" s="50" t="b">
        <f t="shared" si="10"/>
        <v>1</v>
      </c>
      <c r="Q69" s="52">
        <v>1184669</v>
      </c>
      <c r="R69" s="51" t="e">
        <f>Q69=#REF!</f>
        <v>#REF!</v>
      </c>
      <c r="S69" s="52" t="s">
        <v>208</v>
      </c>
      <c r="T69" s="51" t="e">
        <f>S69=#REF!</f>
        <v>#REF!</v>
      </c>
      <c r="U69" s="52" t="s">
        <v>37</v>
      </c>
      <c r="V69" s="53" t="e">
        <f>U69=#REF!</f>
        <v>#REF!</v>
      </c>
    </row>
    <row r="70" spans="1:22" s="53" customFormat="1" ht="15.75" x14ac:dyDescent="0.25">
      <c r="A70" s="54">
        <v>67</v>
      </c>
      <c r="B70" s="49">
        <v>3508</v>
      </c>
      <c r="C70" s="51" t="s">
        <v>49</v>
      </c>
      <c r="D70" s="56">
        <v>619.5</v>
      </c>
      <c r="E70" s="57" t="s">
        <v>16</v>
      </c>
      <c r="F70" s="58">
        <f t="shared" si="11"/>
        <v>154.875</v>
      </c>
      <c r="G70" s="58"/>
      <c r="H70" s="58">
        <f t="shared" si="12"/>
        <v>154.875</v>
      </c>
      <c r="I70" s="26"/>
      <c r="J70" s="150"/>
      <c r="K70" s="48"/>
      <c r="L70" s="48"/>
      <c r="M70" s="49">
        <v>3508</v>
      </c>
      <c r="N70" s="49" t="b">
        <f t="shared" si="9"/>
        <v>1</v>
      </c>
      <c r="O70" s="51" t="s">
        <v>49</v>
      </c>
      <c r="P70" s="50" t="b">
        <f t="shared" si="10"/>
        <v>1</v>
      </c>
      <c r="Q70" s="52">
        <v>2567166</v>
      </c>
      <c r="R70" s="51" t="e">
        <f>Q70=#REF!</f>
        <v>#REF!</v>
      </c>
      <c r="S70" s="52" t="s">
        <v>50</v>
      </c>
      <c r="T70" s="51" t="e">
        <f>S70=#REF!</f>
        <v>#REF!</v>
      </c>
      <c r="U70" s="52" t="s">
        <v>19</v>
      </c>
      <c r="V70" s="53" t="e">
        <f>U70=#REF!</f>
        <v>#REF!</v>
      </c>
    </row>
    <row r="71" spans="1:22" s="53" customFormat="1" ht="15.75" x14ac:dyDescent="0.25">
      <c r="A71" s="54">
        <v>68</v>
      </c>
      <c r="B71" s="49">
        <v>3509</v>
      </c>
      <c r="C71" s="93" t="s">
        <v>209</v>
      </c>
      <c r="D71" s="56">
        <v>577.79999999999995</v>
      </c>
      <c r="E71" s="57" t="s">
        <v>16</v>
      </c>
      <c r="F71" s="58">
        <f t="shared" si="11"/>
        <v>144.44999999999999</v>
      </c>
      <c r="G71" s="58"/>
      <c r="H71" s="58">
        <f t="shared" si="12"/>
        <v>144.44999999999999</v>
      </c>
      <c r="I71" s="26"/>
      <c r="J71" s="150"/>
      <c r="K71" s="48"/>
      <c r="L71" s="48"/>
      <c r="M71" s="49">
        <v>3509</v>
      </c>
      <c r="N71" s="49" t="b">
        <f t="shared" si="9"/>
        <v>1</v>
      </c>
      <c r="O71" s="93" t="s">
        <v>209</v>
      </c>
      <c r="P71" s="50" t="b">
        <f t="shared" si="10"/>
        <v>1</v>
      </c>
      <c r="Q71" s="52">
        <v>22760088</v>
      </c>
      <c r="R71" s="51" t="e">
        <f>Q71=#REF!</f>
        <v>#REF!</v>
      </c>
      <c r="S71" s="52" t="s">
        <v>210</v>
      </c>
      <c r="T71" s="51" t="e">
        <f>S71=#REF!</f>
        <v>#REF!</v>
      </c>
      <c r="U71" s="52" t="s">
        <v>89</v>
      </c>
      <c r="V71" s="53" t="e">
        <f>U71=#REF!</f>
        <v>#REF!</v>
      </c>
    </row>
    <row r="72" spans="1:22" s="91" customFormat="1" ht="15.75" x14ac:dyDescent="0.25">
      <c r="A72" s="62">
        <v>69</v>
      </c>
      <c r="B72" s="63">
        <v>3510</v>
      </c>
      <c r="C72" s="272" t="s">
        <v>211</v>
      </c>
      <c r="D72" s="65">
        <v>562.70000000000005</v>
      </c>
      <c r="E72" s="66" t="s">
        <v>16</v>
      </c>
      <c r="F72" s="67">
        <f t="shared" si="11"/>
        <v>140.67500000000001</v>
      </c>
      <c r="G72" s="67">
        <f>138.6</f>
        <v>138.6</v>
      </c>
      <c r="H72" s="67">
        <f t="shared" si="12"/>
        <v>2.0750000000000171</v>
      </c>
      <c r="I72" s="105" t="s">
        <v>272</v>
      </c>
      <c r="J72" s="156"/>
      <c r="K72" s="90"/>
      <c r="L72" s="90"/>
      <c r="M72" s="63">
        <v>3510</v>
      </c>
      <c r="N72" s="63" t="b">
        <f t="shared" si="9"/>
        <v>1</v>
      </c>
      <c r="O72" s="272" t="s">
        <v>211</v>
      </c>
      <c r="P72" s="64" t="b">
        <f t="shared" si="10"/>
        <v>1</v>
      </c>
      <c r="Q72" s="69">
        <v>6920351</v>
      </c>
      <c r="R72" s="68" t="e">
        <f>Q72=#REF!</f>
        <v>#REF!</v>
      </c>
      <c r="S72" s="69" t="s">
        <v>212</v>
      </c>
      <c r="T72" s="68" t="e">
        <f>S72=#REF!</f>
        <v>#REF!</v>
      </c>
      <c r="U72" s="69" t="s">
        <v>19</v>
      </c>
      <c r="V72" s="91" t="e">
        <f>U72=#REF!</f>
        <v>#REF!</v>
      </c>
    </row>
    <row r="73" spans="1:22" s="53" customFormat="1" ht="15.75" x14ac:dyDescent="0.25">
      <c r="A73" s="62">
        <v>70</v>
      </c>
      <c r="B73" s="63">
        <v>3511</v>
      </c>
      <c r="C73" s="100" t="s">
        <v>21</v>
      </c>
      <c r="D73" s="101">
        <v>523.5</v>
      </c>
      <c r="E73" s="66" t="s">
        <v>16</v>
      </c>
      <c r="F73" s="67">
        <f t="shared" si="11"/>
        <v>130.875</v>
      </c>
      <c r="G73" s="102">
        <f>126.5+4.375</f>
        <v>130.875</v>
      </c>
      <c r="H73" s="67">
        <f t="shared" si="12"/>
        <v>0</v>
      </c>
      <c r="I73" s="117">
        <v>45630</v>
      </c>
      <c r="J73" s="150">
        <v>45658</v>
      </c>
      <c r="K73" s="48"/>
      <c r="L73" s="48"/>
      <c r="M73" s="85">
        <v>3511</v>
      </c>
      <c r="N73" s="85" t="b">
        <f t="shared" si="9"/>
        <v>1</v>
      </c>
      <c r="O73" s="98" t="s">
        <v>21</v>
      </c>
      <c r="P73" s="50" t="b">
        <f t="shared" si="10"/>
        <v>1</v>
      </c>
      <c r="Q73" s="96">
        <v>2640016</v>
      </c>
      <c r="R73" s="51" t="e">
        <f>Q73=#REF!</f>
        <v>#REF!</v>
      </c>
      <c r="S73" s="96" t="s">
        <v>22</v>
      </c>
      <c r="T73" s="51" t="e">
        <f>S73=#REF!</f>
        <v>#REF!</v>
      </c>
      <c r="U73" s="54" t="s">
        <v>24</v>
      </c>
      <c r="V73" s="53" t="e">
        <f>U73=#REF!</f>
        <v>#REF!</v>
      </c>
    </row>
    <row r="74" spans="1:22" s="53" customFormat="1" ht="15.75" x14ac:dyDescent="0.25">
      <c r="A74" s="54">
        <v>71</v>
      </c>
      <c r="B74" s="49">
        <v>3512</v>
      </c>
      <c r="C74" s="98" t="s">
        <v>213</v>
      </c>
      <c r="D74" s="99">
        <v>426.8</v>
      </c>
      <c r="E74" s="57" t="s">
        <v>16</v>
      </c>
      <c r="F74" s="58">
        <f t="shared" si="11"/>
        <v>106.7</v>
      </c>
      <c r="G74" s="95"/>
      <c r="H74" s="58">
        <f t="shared" si="12"/>
        <v>106.7</v>
      </c>
      <c r="I74" s="26"/>
      <c r="J74" s="150"/>
      <c r="K74" s="48"/>
      <c r="L74" s="48"/>
      <c r="M74" s="49">
        <v>3512</v>
      </c>
      <c r="N74" s="49" t="b">
        <f t="shared" si="9"/>
        <v>1</v>
      </c>
      <c r="O74" s="98" t="s">
        <v>213</v>
      </c>
      <c r="P74" s="50" t="b">
        <f t="shared" si="10"/>
        <v>1</v>
      </c>
      <c r="Q74" s="96">
        <v>5514631</v>
      </c>
      <c r="R74" s="51" t="e">
        <f>Q74=#REF!</f>
        <v>#REF!</v>
      </c>
      <c r="S74" s="96" t="s">
        <v>214</v>
      </c>
      <c r="T74" s="51" t="e">
        <f>S74=#REF!</f>
        <v>#REF!</v>
      </c>
      <c r="U74" s="98" t="s">
        <v>37</v>
      </c>
      <c r="V74" s="53" t="e">
        <f>U74=#REF!</f>
        <v>#REF!</v>
      </c>
    </row>
    <row r="75" spans="1:22" s="53" customFormat="1" ht="15.75" x14ac:dyDescent="0.25">
      <c r="A75" s="62">
        <v>72</v>
      </c>
      <c r="B75" s="63">
        <v>3513</v>
      </c>
      <c r="C75" s="100" t="s">
        <v>215</v>
      </c>
      <c r="D75" s="101">
        <v>2118.3000000000002</v>
      </c>
      <c r="E75" s="66" t="s">
        <v>16</v>
      </c>
      <c r="F75" s="67">
        <f t="shared" si="11"/>
        <v>529.57500000000005</v>
      </c>
      <c r="G75" s="102">
        <f>142.625+145.5+237.65+3.8</f>
        <v>529.57499999999993</v>
      </c>
      <c r="H75" s="67">
        <f t="shared" si="12"/>
        <v>0</v>
      </c>
      <c r="I75" s="117">
        <v>45629</v>
      </c>
      <c r="J75" s="150">
        <v>45630</v>
      </c>
      <c r="K75" s="48">
        <v>45635</v>
      </c>
      <c r="L75" s="48" t="s">
        <v>244</v>
      </c>
      <c r="M75" s="85">
        <v>3513</v>
      </c>
      <c r="N75" s="49" t="b">
        <f t="shared" si="9"/>
        <v>1</v>
      </c>
      <c r="O75" s="98" t="s">
        <v>215</v>
      </c>
      <c r="P75" s="50" t="b">
        <f t="shared" si="10"/>
        <v>1</v>
      </c>
      <c r="Q75" s="96">
        <v>7047376</v>
      </c>
      <c r="R75" s="51" t="e">
        <f>Q75=#REF!</f>
        <v>#REF!</v>
      </c>
      <c r="S75" s="96" t="s">
        <v>216</v>
      </c>
      <c r="T75" s="51" t="e">
        <f>S75=#REF!</f>
        <v>#REF!</v>
      </c>
      <c r="U75" s="96" t="s">
        <v>37</v>
      </c>
      <c r="V75" s="53" t="e">
        <f>U75=#REF!</f>
        <v>#REF!</v>
      </c>
    </row>
    <row r="76" spans="1:22" s="53" customFormat="1" ht="18" customHeight="1" x14ac:dyDescent="0.25">
      <c r="A76" s="62">
        <v>73</v>
      </c>
      <c r="B76" s="63">
        <v>3514</v>
      </c>
      <c r="C76" s="100" t="s">
        <v>217</v>
      </c>
      <c r="D76" s="101">
        <v>1334.1</v>
      </c>
      <c r="E76" s="66" t="s">
        <v>16</v>
      </c>
      <c r="F76" s="67">
        <f t="shared" si="11"/>
        <v>333.52499999999998</v>
      </c>
      <c r="G76" s="102">
        <f>F76</f>
        <v>333.52499999999998</v>
      </c>
      <c r="H76" s="67">
        <f t="shared" si="12"/>
        <v>0</v>
      </c>
      <c r="I76" s="117">
        <v>45656</v>
      </c>
      <c r="J76" s="150"/>
      <c r="K76" s="48"/>
      <c r="L76" s="48"/>
      <c r="M76" s="49"/>
      <c r="N76" s="49"/>
      <c r="O76" s="98"/>
      <c r="P76" s="50"/>
      <c r="Q76" s="96"/>
      <c r="R76" s="51"/>
      <c r="S76" s="96"/>
      <c r="T76" s="51"/>
      <c r="U76" s="52"/>
    </row>
    <row r="77" spans="1:22" s="53" customFormat="1" ht="15.75" x14ac:dyDescent="0.25">
      <c r="A77" s="62">
        <v>74</v>
      </c>
      <c r="B77" s="63">
        <v>3515</v>
      </c>
      <c r="C77" s="100" t="s">
        <v>51</v>
      </c>
      <c r="D77" s="101">
        <v>1091.5999999999999</v>
      </c>
      <c r="E77" s="66" t="s">
        <v>16</v>
      </c>
      <c r="F77" s="67">
        <f t="shared" si="11"/>
        <v>272.89999999999998</v>
      </c>
      <c r="G77" s="102">
        <f>266.375+6.525</f>
        <v>272.89999999999998</v>
      </c>
      <c r="H77" s="67">
        <f>F77-G77</f>
        <v>0</v>
      </c>
      <c r="I77" s="117">
        <v>45635</v>
      </c>
      <c r="J77" s="150">
        <v>45658</v>
      </c>
      <c r="K77" s="48"/>
      <c r="L77" s="48"/>
      <c r="M77" s="49">
        <v>3515</v>
      </c>
      <c r="N77" s="49" t="b">
        <f t="shared" ref="N77:N84" si="13">M77=B77</f>
        <v>1</v>
      </c>
      <c r="O77" s="98" t="s">
        <v>51</v>
      </c>
      <c r="P77" s="50" t="b">
        <f t="shared" ref="P77:P84" si="14">O77=C77</f>
        <v>1</v>
      </c>
      <c r="Q77" s="96">
        <v>6645198</v>
      </c>
      <c r="R77" s="51" t="e">
        <f>Q77=#REF!</f>
        <v>#REF!</v>
      </c>
      <c r="S77" s="96" t="s">
        <v>52</v>
      </c>
      <c r="T77" s="51" t="e">
        <f>S77=#REF!</f>
        <v>#REF!</v>
      </c>
      <c r="U77" s="52" t="s">
        <v>37</v>
      </c>
      <c r="V77" s="53" t="e">
        <f>U77=#REF!</f>
        <v>#REF!</v>
      </c>
    </row>
    <row r="78" spans="1:22" s="53" customFormat="1" ht="15.75" x14ac:dyDescent="0.25">
      <c r="A78" s="54">
        <v>75</v>
      </c>
      <c r="B78" s="49">
        <v>3516</v>
      </c>
      <c r="C78" s="98" t="s">
        <v>219</v>
      </c>
      <c r="D78" s="99">
        <v>1240.8</v>
      </c>
      <c r="E78" s="57" t="s">
        <v>16</v>
      </c>
      <c r="F78" s="58">
        <f t="shared" si="11"/>
        <v>310.2</v>
      </c>
      <c r="G78" s="95"/>
      <c r="H78" s="58">
        <f t="shared" si="12"/>
        <v>310.2</v>
      </c>
      <c r="I78" s="26"/>
      <c r="J78" s="150"/>
      <c r="K78" s="48"/>
      <c r="L78" s="48"/>
      <c r="M78" s="49">
        <v>3516</v>
      </c>
      <c r="N78" s="49" t="b">
        <f t="shared" si="13"/>
        <v>1</v>
      </c>
      <c r="O78" s="98" t="s">
        <v>219</v>
      </c>
      <c r="P78" s="50" t="b">
        <f t="shared" si="14"/>
        <v>1</v>
      </c>
      <c r="Q78" s="96">
        <v>1165877</v>
      </c>
      <c r="R78" s="51" t="e">
        <f>Q78=#REF!</f>
        <v>#REF!</v>
      </c>
      <c r="S78" s="96" t="s">
        <v>220</v>
      </c>
      <c r="T78" s="51" t="e">
        <f>S78=#REF!</f>
        <v>#REF!</v>
      </c>
      <c r="U78" s="52" t="s">
        <v>37</v>
      </c>
      <c r="V78" s="53" t="e">
        <f>U78=#REF!</f>
        <v>#REF!</v>
      </c>
    </row>
    <row r="79" spans="1:22" s="53" customFormat="1" ht="15.75" x14ac:dyDescent="0.25">
      <c r="A79" s="62">
        <v>76</v>
      </c>
      <c r="B79" s="63">
        <v>3517</v>
      </c>
      <c r="C79" s="100" t="s">
        <v>221</v>
      </c>
      <c r="D79" s="101">
        <v>1224.4000000000001</v>
      </c>
      <c r="E79" s="66" t="s">
        <v>16</v>
      </c>
      <c r="F79" s="67">
        <f t="shared" si="11"/>
        <v>306.10000000000002</v>
      </c>
      <c r="G79" s="102">
        <f>303.125+2.975</f>
        <v>306.10000000000002</v>
      </c>
      <c r="H79" s="67">
        <f t="shared" si="12"/>
        <v>0</v>
      </c>
      <c r="I79" s="117">
        <v>45630</v>
      </c>
      <c r="J79" s="150" t="s">
        <v>245</v>
      </c>
      <c r="K79" s="48"/>
      <c r="L79" s="48"/>
      <c r="M79" s="49">
        <v>3517</v>
      </c>
      <c r="N79" s="49" t="b">
        <f t="shared" si="13"/>
        <v>1</v>
      </c>
      <c r="O79" s="98" t="s">
        <v>221</v>
      </c>
      <c r="P79" s="50" t="b">
        <f t="shared" si="14"/>
        <v>1</v>
      </c>
      <c r="Q79" s="96">
        <v>7047081</v>
      </c>
      <c r="R79" s="51" t="e">
        <f>Q79=#REF!</f>
        <v>#REF!</v>
      </c>
      <c r="S79" s="96" t="s">
        <v>222</v>
      </c>
      <c r="T79" s="51" t="e">
        <f>S79=#REF!</f>
        <v>#REF!</v>
      </c>
      <c r="U79" s="52" t="s">
        <v>37</v>
      </c>
      <c r="V79" s="53" t="e">
        <f>U79=#REF!</f>
        <v>#REF!</v>
      </c>
    </row>
    <row r="80" spans="1:22" s="91" customFormat="1" ht="15.75" x14ac:dyDescent="0.25">
      <c r="A80" s="62">
        <v>77</v>
      </c>
      <c r="B80" s="63">
        <v>3518</v>
      </c>
      <c r="C80" s="100" t="s">
        <v>54</v>
      </c>
      <c r="D80" s="101">
        <v>949.5</v>
      </c>
      <c r="E80" s="66" t="s">
        <v>16</v>
      </c>
      <c r="F80" s="67">
        <f t="shared" si="11"/>
        <v>237.375</v>
      </c>
      <c r="G80" s="102">
        <f>F80</f>
        <v>237.375</v>
      </c>
      <c r="H80" s="67">
        <f t="shared" si="12"/>
        <v>0</v>
      </c>
      <c r="I80" s="105" t="s">
        <v>272</v>
      </c>
      <c r="J80" s="156"/>
      <c r="K80" s="90"/>
      <c r="L80" s="90"/>
      <c r="M80" s="63">
        <v>3518</v>
      </c>
      <c r="N80" s="63" t="b">
        <f t="shared" si="13"/>
        <v>1</v>
      </c>
      <c r="O80" s="100" t="s">
        <v>54</v>
      </c>
      <c r="P80" s="64" t="b">
        <f t="shared" si="14"/>
        <v>1</v>
      </c>
      <c r="Q80" s="103">
        <v>20386956</v>
      </c>
      <c r="R80" s="68" t="e">
        <f>Q80=#REF!</f>
        <v>#REF!</v>
      </c>
      <c r="S80" s="103" t="s">
        <v>55</v>
      </c>
      <c r="T80" s="68" t="e">
        <f>S80=#REF!</f>
        <v>#REF!</v>
      </c>
      <c r="U80" s="69" t="s">
        <v>19</v>
      </c>
      <c r="V80" s="91" t="e">
        <f>U80=#REF!</f>
        <v>#REF!</v>
      </c>
    </row>
    <row r="81" spans="1:22" s="53" customFormat="1" ht="15.75" x14ac:dyDescent="0.25">
      <c r="A81" s="62">
        <v>78</v>
      </c>
      <c r="B81" s="63">
        <v>3519</v>
      </c>
      <c r="C81" s="100" t="s">
        <v>223</v>
      </c>
      <c r="D81" s="101">
        <v>619.5</v>
      </c>
      <c r="E81" s="66" t="s">
        <v>16</v>
      </c>
      <c r="F81" s="67">
        <f t="shared" si="11"/>
        <v>154.875</v>
      </c>
      <c r="G81" s="102">
        <f>150.474+4.401</f>
        <v>154.875</v>
      </c>
      <c r="H81" s="67">
        <f t="shared" si="12"/>
        <v>0</v>
      </c>
      <c r="I81" s="117">
        <v>45630</v>
      </c>
      <c r="J81" s="150" t="s">
        <v>246</v>
      </c>
      <c r="K81" s="48"/>
      <c r="L81" s="48"/>
      <c r="M81" s="49">
        <v>3519</v>
      </c>
      <c r="N81" s="49" t="b">
        <f t="shared" si="13"/>
        <v>1</v>
      </c>
      <c r="O81" s="98" t="s">
        <v>223</v>
      </c>
      <c r="P81" s="50" t="b">
        <f t="shared" si="14"/>
        <v>1</v>
      </c>
      <c r="Q81" s="96">
        <v>7047221</v>
      </c>
      <c r="R81" s="51" t="e">
        <f>Q81=#REF!</f>
        <v>#REF!</v>
      </c>
      <c r="S81" s="96" t="s">
        <v>224</v>
      </c>
      <c r="T81" s="51" t="e">
        <f>S81=#REF!</f>
        <v>#REF!</v>
      </c>
      <c r="U81" s="52" t="s">
        <v>37</v>
      </c>
      <c r="V81" s="53" t="e">
        <f>U81=#REF!</f>
        <v>#REF!</v>
      </c>
    </row>
    <row r="82" spans="1:22" s="53" customFormat="1" ht="15.75" x14ac:dyDescent="0.25">
      <c r="A82" s="54">
        <v>79</v>
      </c>
      <c r="B82" s="49">
        <v>3520</v>
      </c>
      <c r="C82" s="98" t="s">
        <v>225</v>
      </c>
      <c r="D82" s="99">
        <v>705.5</v>
      </c>
      <c r="E82" s="57" t="s">
        <v>16</v>
      </c>
      <c r="F82" s="58">
        <f t="shared" si="11"/>
        <v>176.375</v>
      </c>
      <c r="G82" s="95"/>
      <c r="H82" s="58">
        <f t="shared" si="12"/>
        <v>176.375</v>
      </c>
      <c r="I82" s="174"/>
      <c r="J82" s="150"/>
      <c r="K82" s="48"/>
      <c r="L82" s="48"/>
      <c r="M82" s="49">
        <v>3520</v>
      </c>
      <c r="N82" s="49" t="b">
        <f t="shared" si="13"/>
        <v>1</v>
      </c>
      <c r="O82" s="98" t="s">
        <v>225</v>
      </c>
      <c r="P82" s="50" t="b">
        <f t="shared" si="14"/>
        <v>1</v>
      </c>
      <c r="Q82" s="96">
        <v>5665362</v>
      </c>
      <c r="R82" s="51" t="e">
        <f>Q82=#REF!</f>
        <v>#REF!</v>
      </c>
      <c r="S82" s="96" t="s">
        <v>226</v>
      </c>
      <c r="T82" s="51" t="e">
        <f>S82=#REF!</f>
        <v>#REF!</v>
      </c>
      <c r="U82" s="52" t="s">
        <v>37</v>
      </c>
      <c r="V82" s="53" t="e">
        <f>U82=#REF!</f>
        <v>#REF!</v>
      </c>
    </row>
    <row r="83" spans="1:22" s="53" customFormat="1" ht="15.75" x14ac:dyDescent="0.25">
      <c r="A83" s="54">
        <v>80</v>
      </c>
      <c r="B83" s="49">
        <v>3521</v>
      </c>
      <c r="C83" s="98" t="s">
        <v>227</v>
      </c>
      <c r="D83" s="99">
        <v>3675.9</v>
      </c>
      <c r="E83" s="57" t="s">
        <v>16</v>
      </c>
      <c r="F83" s="58">
        <f t="shared" si="11"/>
        <v>918.97500000000002</v>
      </c>
      <c r="G83" s="95"/>
      <c r="H83" s="58">
        <f t="shared" si="12"/>
        <v>918.97500000000002</v>
      </c>
      <c r="I83" s="26"/>
      <c r="J83" s="150"/>
      <c r="K83" s="48"/>
      <c r="L83" s="48"/>
      <c r="M83" s="49">
        <v>3521</v>
      </c>
      <c r="N83" s="49" t="b">
        <f t="shared" si="13"/>
        <v>1</v>
      </c>
      <c r="O83" s="98" t="s">
        <v>227</v>
      </c>
      <c r="P83" s="50" t="b">
        <f t="shared" si="14"/>
        <v>1</v>
      </c>
      <c r="Q83" s="96">
        <v>7064553</v>
      </c>
      <c r="R83" s="51" t="e">
        <f>Q83=#REF!</f>
        <v>#REF!</v>
      </c>
      <c r="S83" s="96" t="s">
        <v>228</v>
      </c>
      <c r="T83" s="51" t="e">
        <f>S83=#REF!</f>
        <v>#REF!</v>
      </c>
      <c r="U83" s="52" t="s">
        <v>19</v>
      </c>
      <c r="V83" s="53" t="e">
        <f>U83=#REF!</f>
        <v>#REF!</v>
      </c>
    </row>
    <row r="84" spans="1:22" s="53" customFormat="1" ht="15.75" x14ac:dyDescent="0.25">
      <c r="A84" s="54">
        <v>81</v>
      </c>
      <c r="B84" s="49">
        <v>3522</v>
      </c>
      <c r="C84" s="98" t="s">
        <v>229</v>
      </c>
      <c r="D84" s="99">
        <v>587.4</v>
      </c>
      <c r="E84" s="57" t="s">
        <v>16</v>
      </c>
      <c r="F84" s="58">
        <f t="shared" si="11"/>
        <v>146.85</v>
      </c>
      <c r="G84" s="95"/>
      <c r="H84" s="58">
        <f t="shared" si="12"/>
        <v>146.85</v>
      </c>
      <c r="I84" s="26"/>
      <c r="J84" s="150"/>
      <c r="K84" s="48"/>
      <c r="L84" s="48"/>
      <c r="M84" s="49">
        <v>3522</v>
      </c>
      <c r="N84" s="49" t="b">
        <f t="shared" si="13"/>
        <v>1</v>
      </c>
      <c r="O84" s="98" t="s">
        <v>229</v>
      </c>
      <c r="P84" s="50" t="b">
        <f t="shared" si="14"/>
        <v>1</v>
      </c>
      <c r="Q84" s="96">
        <v>11365191</v>
      </c>
      <c r="R84" s="51" t="e">
        <f>Q84=#REF!</f>
        <v>#REF!</v>
      </c>
      <c r="S84" s="96" t="s">
        <v>230</v>
      </c>
      <c r="T84" s="51" t="e">
        <f>S84=#REF!</f>
        <v>#REF!</v>
      </c>
      <c r="U84" s="52" t="s">
        <v>37</v>
      </c>
      <c r="V84" s="53" t="e">
        <f>U84=#REF!</f>
        <v>#REF!</v>
      </c>
    </row>
    <row r="85" spans="1:22" s="53" customFormat="1" ht="12.6" customHeight="1" x14ac:dyDescent="0.25">
      <c r="A85" s="492"/>
      <c r="B85" s="493"/>
      <c r="C85" s="493"/>
      <c r="D85" s="493"/>
      <c r="E85" s="493"/>
      <c r="F85" s="493"/>
      <c r="G85" s="493"/>
      <c r="H85" s="493"/>
      <c r="I85" s="493"/>
      <c r="J85" s="150"/>
      <c r="K85" s="48"/>
      <c r="L85" s="48"/>
      <c r="M85" s="49"/>
      <c r="N85" s="49"/>
      <c r="O85" s="98"/>
      <c r="P85" s="50"/>
      <c r="Q85" s="96"/>
      <c r="R85" s="51"/>
      <c r="S85" s="96"/>
      <c r="T85" s="51"/>
      <c r="U85" s="52"/>
    </row>
    <row r="86" spans="1:22" s="53" customFormat="1" ht="19.5" x14ac:dyDescent="0.25">
      <c r="A86" s="106"/>
      <c r="B86" s="106"/>
      <c r="C86" s="106"/>
      <c r="D86" s="107">
        <f>SUM(D4:D85)</f>
        <v>129687.2</v>
      </c>
      <c r="E86" s="106" t="s">
        <v>26</v>
      </c>
      <c r="F86" s="106">
        <f>SUM(F4:F85)</f>
        <v>32421.8</v>
      </c>
      <c r="G86" s="106">
        <f t="shared" ref="G86:H86" si="15">SUM(G4:G85)</f>
        <v>16388.985000000001</v>
      </c>
      <c r="H86" s="106">
        <f t="shared" si="15"/>
        <v>16032.815000000004</v>
      </c>
      <c r="I86" s="108"/>
      <c r="J86" s="158"/>
      <c r="K86" s="109"/>
      <c r="L86" s="109"/>
      <c r="M86" s="106"/>
      <c r="N86" s="106"/>
      <c r="O86" s="106"/>
      <c r="P86" s="106"/>
      <c r="Q86" s="106"/>
      <c r="R86" s="106"/>
      <c r="S86" s="106"/>
      <c r="T86" s="106"/>
      <c r="U86" s="106"/>
    </row>
    <row r="87" spans="1:22" x14ac:dyDescent="0.25">
      <c r="F87" s="40"/>
      <c r="G87" s="40"/>
      <c r="H87" s="40"/>
    </row>
    <row r="88" spans="1:22" x14ac:dyDescent="0.25">
      <c r="D88" s="45"/>
      <c r="F88" s="45"/>
      <c r="G88" s="45">
        <f>G67+G58</f>
        <v>615.125</v>
      </c>
      <c r="H88" s="45"/>
    </row>
    <row r="89" spans="1:22" x14ac:dyDescent="0.25">
      <c r="F89" s="40"/>
      <c r="G89" s="40">
        <f>G86-G88</f>
        <v>15773.86</v>
      </c>
      <c r="H89" s="40"/>
    </row>
    <row r="90" spans="1:22" x14ac:dyDescent="0.25">
      <c r="F90" s="40"/>
      <c r="G90" s="198">
        <f>G89/F86</f>
        <v>0.48652018086596061</v>
      </c>
      <c r="H90" s="40"/>
    </row>
    <row r="91" spans="1:22" x14ac:dyDescent="0.25">
      <c r="F91" s="40"/>
      <c r="G91" s="40"/>
      <c r="H91" s="40"/>
    </row>
    <row r="92" spans="1:22" x14ac:dyDescent="0.25">
      <c r="F92" s="40"/>
      <c r="G92" s="40"/>
      <c r="H92" s="40"/>
    </row>
    <row r="93" spans="1:22" x14ac:dyDescent="0.25">
      <c r="F93" s="40"/>
      <c r="G93" s="40"/>
      <c r="H93" s="40"/>
    </row>
    <row r="94" spans="1:22" x14ac:dyDescent="0.25">
      <c r="F94" s="40"/>
      <c r="G94" s="40"/>
      <c r="H94" s="40"/>
    </row>
    <row r="95" spans="1:22" s="41" customFormat="1" x14ac:dyDescent="0.25">
      <c r="A95"/>
      <c r="B95"/>
      <c r="C95"/>
      <c r="D95" s="6"/>
      <c r="E95" s="6"/>
      <c r="F95" s="40"/>
      <c r="G95" s="40"/>
      <c r="H95" s="40"/>
      <c r="I95" s="113"/>
      <c r="J95" s="159"/>
      <c r="K95" s="43"/>
      <c r="L95" s="43"/>
      <c r="M95"/>
      <c r="N95"/>
      <c r="O95"/>
      <c r="P95"/>
    </row>
    <row r="96" spans="1:22" s="41" customFormat="1" x14ac:dyDescent="0.25">
      <c r="A96"/>
      <c r="B96"/>
      <c r="C96"/>
      <c r="D96" s="6"/>
      <c r="E96" s="6"/>
      <c r="F96" s="40"/>
      <c r="G96" s="40"/>
      <c r="H96" s="40"/>
      <c r="I96" s="113"/>
      <c r="J96" s="159"/>
      <c r="K96" s="43"/>
      <c r="L96" s="43"/>
      <c r="M96"/>
      <c r="N96"/>
      <c r="O96"/>
      <c r="P96"/>
    </row>
    <row r="97" spans="1:16" s="41" customFormat="1" x14ac:dyDescent="0.25">
      <c r="A97"/>
      <c r="B97"/>
      <c r="C97"/>
      <c r="D97" s="6"/>
      <c r="E97" s="6"/>
      <c r="F97" s="40"/>
      <c r="G97" s="40"/>
      <c r="H97" s="40"/>
      <c r="I97" s="113"/>
      <c r="J97" s="159"/>
      <c r="K97" s="43"/>
      <c r="L97" s="43"/>
      <c r="M97"/>
      <c r="N97"/>
      <c r="O97"/>
      <c r="P97"/>
    </row>
    <row r="98" spans="1:16" s="41" customFormat="1" x14ac:dyDescent="0.25">
      <c r="A98"/>
      <c r="B98"/>
      <c r="C98"/>
      <c r="D98" s="6"/>
      <c r="E98" s="6"/>
      <c r="F98" s="40"/>
      <c r="G98" s="40"/>
      <c r="H98" s="40"/>
      <c r="I98" s="113"/>
      <c r="J98" s="159"/>
      <c r="K98" s="43"/>
      <c r="L98" s="43"/>
      <c r="M98"/>
      <c r="N98"/>
      <c r="O98"/>
      <c r="P98"/>
    </row>
    <row r="99" spans="1:16" s="41" customFormat="1" x14ac:dyDescent="0.25">
      <c r="A99"/>
      <c r="B99"/>
      <c r="C99"/>
      <c r="D99" s="6"/>
      <c r="E99" s="6"/>
      <c r="F99" s="40"/>
      <c r="G99" s="40"/>
      <c r="H99" s="40"/>
      <c r="I99" s="113"/>
      <c r="J99" s="159"/>
      <c r="K99" s="43"/>
      <c r="L99" s="43"/>
      <c r="M99"/>
      <c r="N99"/>
      <c r="O99"/>
      <c r="P99"/>
    </row>
    <row r="100" spans="1:16" s="41" customFormat="1" x14ac:dyDescent="0.25">
      <c r="A100"/>
      <c r="B100"/>
      <c r="C100"/>
      <c r="D100" s="6"/>
      <c r="E100" s="6"/>
      <c r="F100" s="40"/>
      <c r="G100" s="40"/>
      <c r="H100" s="40"/>
      <c r="I100" s="113"/>
      <c r="J100" s="159"/>
      <c r="K100" s="43"/>
      <c r="L100" s="43"/>
      <c r="M100"/>
      <c r="N100"/>
      <c r="O100"/>
      <c r="P100"/>
    </row>
    <row r="101" spans="1:16" s="41" customFormat="1" x14ac:dyDescent="0.25">
      <c r="A101"/>
      <c r="B101"/>
      <c r="C101"/>
      <c r="D101" s="6"/>
      <c r="E101" s="6"/>
      <c r="F101" s="40"/>
      <c r="G101" s="40"/>
      <c r="H101" s="40"/>
      <c r="I101" s="113"/>
      <c r="J101" s="159"/>
      <c r="K101" s="43"/>
      <c r="L101" s="43"/>
      <c r="M101"/>
      <c r="N101"/>
      <c r="O101"/>
      <c r="P101"/>
    </row>
    <row r="102" spans="1:16" s="41" customFormat="1" x14ac:dyDescent="0.25">
      <c r="A102"/>
      <c r="B102"/>
      <c r="C102"/>
      <c r="D102" s="6"/>
      <c r="E102" s="6"/>
      <c r="F102" s="40"/>
      <c r="G102" s="40"/>
      <c r="H102" s="40"/>
      <c r="I102" s="113"/>
      <c r="J102" s="159"/>
      <c r="K102" s="43"/>
      <c r="L102" s="43"/>
      <c r="M102"/>
      <c r="N102"/>
      <c r="O102"/>
      <c r="P102"/>
    </row>
    <row r="103" spans="1:16" s="41" customFormat="1" x14ac:dyDescent="0.25">
      <c r="A103"/>
      <c r="B103"/>
      <c r="C103"/>
      <c r="D103" s="6"/>
      <c r="E103" s="6"/>
      <c r="F103" s="40"/>
      <c r="G103" s="40"/>
      <c r="H103" s="40"/>
      <c r="I103" s="113"/>
      <c r="J103" s="159"/>
      <c r="K103" s="43"/>
      <c r="L103" s="43"/>
      <c r="M103"/>
      <c r="N103"/>
      <c r="O103"/>
      <c r="P103"/>
    </row>
    <row r="104" spans="1:16" s="41" customFormat="1" x14ac:dyDescent="0.25">
      <c r="A104"/>
      <c r="B104"/>
      <c r="C104"/>
      <c r="D104" s="6"/>
      <c r="E104" s="6"/>
      <c r="F104" s="40"/>
      <c r="G104" s="40"/>
      <c r="H104" s="40"/>
      <c r="I104" s="113"/>
      <c r="J104" s="159"/>
      <c r="K104" s="43"/>
      <c r="L104" s="43"/>
      <c r="M104"/>
      <c r="N104"/>
      <c r="O104"/>
      <c r="P104"/>
    </row>
    <row r="105" spans="1:16" s="41" customFormat="1" x14ac:dyDescent="0.25">
      <c r="A105"/>
      <c r="B105"/>
      <c r="C105"/>
      <c r="D105" s="6"/>
      <c r="E105" s="6"/>
      <c r="F105" s="40"/>
      <c r="G105" s="40"/>
      <c r="H105" s="40"/>
      <c r="I105" s="113"/>
      <c r="J105" s="159"/>
      <c r="K105" s="43"/>
      <c r="L105" s="43"/>
      <c r="M105"/>
      <c r="N105"/>
      <c r="O105"/>
      <c r="P105"/>
    </row>
    <row r="106" spans="1:16" s="41" customFormat="1" x14ac:dyDescent="0.25">
      <c r="A106"/>
      <c r="B106"/>
      <c r="C106"/>
      <c r="D106" s="6"/>
      <c r="E106" s="6"/>
      <c r="F106" s="40"/>
      <c r="G106" s="40"/>
      <c r="H106" s="40"/>
      <c r="I106" s="113"/>
      <c r="J106" s="159"/>
      <c r="K106" s="43"/>
      <c r="L106" s="43"/>
      <c r="M106"/>
      <c r="N106"/>
      <c r="O106"/>
      <c r="P106"/>
    </row>
    <row r="107" spans="1:16" s="41" customFormat="1" x14ac:dyDescent="0.25">
      <c r="A107"/>
      <c r="B107"/>
      <c r="C107"/>
      <c r="D107" s="6"/>
      <c r="E107" s="6"/>
      <c r="F107" s="40"/>
      <c r="G107" s="40"/>
      <c r="H107" s="40"/>
      <c r="I107" s="113"/>
      <c r="J107" s="159"/>
      <c r="K107" s="43"/>
      <c r="L107" s="43"/>
      <c r="M107"/>
      <c r="N107"/>
      <c r="O107"/>
      <c r="P107"/>
    </row>
    <row r="108" spans="1:16" s="41" customFormat="1" x14ac:dyDescent="0.25">
      <c r="A108"/>
      <c r="B108"/>
      <c r="C108"/>
      <c r="D108" s="6"/>
      <c r="E108" s="6"/>
      <c r="F108" s="40"/>
      <c r="G108" s="40"/>
      <c r="H108" s="40"/>
      <c r="I108" s="113"/>
      <c r="J108" s="159"/>
      <c r="K108" s="43"/>
      <c r="L108" s="43"/>
      <c r="M108"/>
      <c r="N108"/>
      <c r="O108"/>
      <c r="P108"/>
    </row>
    <row r="109" spans="1:16" s="41" customFormat="1" x14ac:dyDescent="0.25">
      <c r="A109"/>
      <c r="B109"/>
      <c r="C109"/>
      <c r="D109" s="6"/>
      <c r="E109" s="6"/>
      <c r="F109" s="40"/>
      <c r="G109" s="40"/>
      <c r="H109" s="40"/>
      <c r="I109" s="113"/>
      <c r="J109" s="159"/>
      <c r="K109" s="43"/>
      <c r="L109" s="43"/>
      <c r="M109"/>
      <c r="N109"/>
      <c r="O109"/>
      <c r="P109"/>
    </row>
    <row r="110" spans="1:16" s="41" customFormat="1" x14ac:dyDescent="0.25">
      <c r="A110"/>
      <c r="B110"/>
      <c r="C110"/>
      <c r="D110" s="6"/>
      <c r="E110" s="6"/>
      <c r="F110" s="40"/>
      <c r="G110" s="40"/>
      <c r="H110" s="40"/>
      <c r="I110" s="113"/>
      <c r="J110" s="159"/>
      <c r="K110" s="43"/>
      <c r="L110" s="43"/>
      <c r="M110"/>
      <c r="N110"/>
      <c r="O110"/>
      <c r="P110"/>
    </row>
    <row r="111" spans="1:16" s="41" customFormat="1" x14ac:dyDescent="0.25">
      <c r="A111"/>
      <c r="B111"/>
      <c r="C111"/>
      <c r="D111" s="6"/>
      <c r="E111" s="6"/>
      <c r="F111" s="40"/>
      <c r="G111" s="40"/>
      <c r="H111" s="40"/>
      <c r="I111" s="113"/>
      <c r="J111" s="159"/>
      <c r="K111" s="43"/>
      <c r="L111" s="43"/>
      <c r="M111"/>
      <c r="N111"/>
      <c r="O111"/>
      <c r="P111"/>
    </row>
    <row r="112" spans="1:16" s="41" customFormat="1" x14ac:dyDescent="0.25">
      <c r="A112"/>
      <c r="B112"/>
      <c r="C112"/>
      <c r="D112" s="6"/>
      <c r="E112" s="6"/>
      <c r="F112" s="40"/>
      <c r="G112" s="40"/>
      <c r="H112" s="40"/>
      <c r="I112" s="113"/>
      <c r="J112" s="159"/>
      <c r="K112" s="43"/>
      <c r="L112" s="43"/>
      <c r="M112"/>
      <c r="N112"/>
      <c r="O112"/>
      <c r="P112"/>
    </row>
    <row r="113" spans="1:16" s="41" customFormat="1" x14ac:dyDescent="0.25">
      <c r="A113"/>
      <c r="B113"/>
      <c r="C113"/>
      <c r="D113" s="6"/>
      <c r="E113" s="6"/>
      <c r="F113" s="40"/>
      <c r="G113" s="40"/>
      <c r="H113" s="40"/>
      <c r="I113" s="113"/>
      <c r="J113" s="159"/>
      <c r="K113" s="43"/>
      <c r="L113" s="43"/>
      <c r="M113"/>
      <c r="N113"/>
      <c r="O113"/>
      <c r="P113"/>
    </row>
    <row r="114" spans="1:16" s="41" customFormat="1" x14ac:dyDescent="0.25">
      <c r="A114"/>
      <c r="B114"/>
      <c r="C114"/>
      <c r="D114" s="6"/>
      <c r="E114" s="6"/>
      <c r="F114" s="40"/>
      <c r="G114" s="40"/>
      <c r="H114" s="40"/>
      <c r="I114" s="113"/>
      <c r="J114" s="159"/>
      <c r="K114" s="43"/>
      <c r="L114" s="43"/>
      <c r="M114"/>
      <c r="N114"/>
      <c r="O114"/>
      <c r="P114"/>
    </row>
    <row r="115" spans="1:16" s="41" customFormat="1" x14ac:dyDescent="0.25">
      <c r="A115"/>
      <c r="B115"/>
      <c r="C115"/>
      <c r="D115" s="6"/>
      <c r="E115" s="6"/>
      <c r="F115" s="40"/>
      <c r="G115" s="40"/>
      <c r="H115" s="40"/>
      <c r="I115" s="113"/>
      <c r="J115" s="159"/>
      <c r="K115" s="43"/>
      <c r="L115" s="43"/>
      <c r="M115"/>
      <c r="N115"/>
      <c r="O115"/>
      <c r="P115"/>
    </row>
    <row r="116" spans="1:16" s="41" customFormat="1" x14ac:dyDescent="0.25">
      <c r="A116"/>
      <c r="B116"/>
      <c r="C116"/>
      <c r="D116" s="6"/>
      <c r="E116" s="6"/>
      <c r="F116" s="40"/>
      <c r="G116" s="40"/>
      <c r="H116" s="40"/>
      <c r="I116" s="113"/>
      <c r="J116" s="159"/>
      <c r="K116" s="43"/>
      <c r="L116" s="43"/>
      <c r="M116"/>
      <c r="N116"/>
      <c r="O116"/>
      <c r="P116"/>
    </row>
    <row r="117" spans="1:16" s="41" customFormat="1" x14ac:dyDescent="0.25">
      <c r="A117"/>
      <c r="B117"/>
      <c r="C117"/>
      <c r="D117" s="6"/>
      <c r="E117" s="6"/>
      <c r="F117" s="40"/>
      <c r="G117" s="40"/>
      <c r="H117" s="40"/>
      <c r="I117" s="113"/>
      <c r="J117" s="159"/>
      <c r="K117" s="43"/>
      <c r="L117" s="43"/>
      <c r="M117"/>
      <c r="N117"/>
      <c r="O117"/>
      <c r="P117"/>
    </row>
  </sheetData>
  <autoFilter ref="D1:D117" xr:uid="{2FA1D53A-4FC1-4009-ACAA-24897A5F4B85}"/>
  <mergeCells count="17">
    <mergeCell ref="S2:S3"/>
    <mergeCell ref="T2:T3"/>
    <mergeCell ref="U2:U3"/>
    <mergeCell ref="A85:I85"/>
    <mergeCell ref="G2:G3"/>
    <mergeCell ref="H2:H3"/>
    <mergeCell ref="I2:I3"/>
    <mergeCell ref="M2:M3"/>
    <mergeCell ref="O2:O3"/>
    <mergeCell ref="Q2:Q3"/>
    <mergeCell ref="A1:I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8" scale="50" orientation="landscape" r:id="rId1"/>
  <rowBreaks count="1" manualBreakCount="1">
    <brk id="65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4DB50-77A2-4FF9-8C64-F53B0D7D68F8}">
  <sheetPr codeName="Sheet7"/>
  <dimension ref="A1:O115"/>
  <sheetViews>
    <sheetView view="pageBreakPreview" zoomScaleNormal="100" zoomScaleSheetLayoutView="100" workbookViewId="0">
      <pane xSplit="3" ySplit="3" topLeftCell="D17" activePane="bottomRight" state="frozen"/>
      <selection activeCell="C92" sqref="C92"/>
      <selection pane="topRight" activeCell="C92" sqref="C92"/>
      <selection pane="bottomLeft" activeCell="C92" sqref="C92"/>
      <selection pane="bottomRight" activeCell="C92" sqref="C92"/>
    </sheetView>
  </sheetViews>
  <sheetFormatPr defaultRowHeight="15" x14ac:dyDescent="0.25"/>
  <cols>
    <col min="1" max="1" width="5.7109375" customWidth="1"/>
    <col min="2" max="2" width="9.28515625" customWidth="1"/>
    <col min="3" max="3" width="51.7109375" customWidth="1"/>
    <col min="4" max="4" width="19" style="6" customWidth="1"/>
    <col min="5" max="5" width="12.42578125" style="6" customWidth="1"/>
    <col min="6" max="6" width="16" style="6" bestFit="1" customWidth="1"/>
    <col min="7" max="8" width="16" style="6" customWidth="1"/>
    <col min="9" max="9" width="12.28515625" style="44" customWidth="1"/>
    <col min="10" max="10" width="21.42578125" style="41" bestFit="1" customWidth="1"/>
    <col min="11" max="11" width="15.42578125" style="41" bestFit="1" customWidth="1"/>
    <col min="12" max="12" width="16.5703125" style="41" bestFit="1" customWidth="1"/>
    <col min="13" max="13" width="12" style="41" bestFit="1" customWidth="1"/>
    <col min="14" max="14" width="23.5703125" style="113" customWidth="1"/>
    <col min="15" max="15" width="32.7109375" style="239" bestFit="1" customWidth="1"/>
  </cols>
  <sheetData>
    <row r="1" spans="1:15" s="8" customFormat="1" ht="30" customHeight="1" x14ac:dyDescent="0.25">
      <c r="A1" s="491" t="s">
        <v>247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233"/>
    </row>
    <row r="2" spans="1:15" s="3" customFormat="1" ht="19.5" customHeight="1" x14ac:dyDescent="0.25">
      <c r="A2" s="486" t="s">
        <v>1</v>
      </c>
      <c r="B2" s="487" t="s">
        <v>2</v>
      </c>
      <c r="C2" s="483" t="s">
        <v>3</v>
      </c>
      <c r="D2" s="486" t="s">
        <v>4</v>
      </c>
      <c r="E2" s="487" t="s">
        <v>5</v>
      </c>
      <c r="F2" s="486" t="s">
        <v>6</v>
      </c>
      <c r="G2" s="486" t="s">
        <v>64</v>
      </c>
      <c r="H2" s="486" t="s">
        <v>65</v>
      </c>
      <c r="I2" s="488" t="s">
        <v>9</v>
      </c>
      <c r="J2" s="482" t="s">
        <v>10</v>
      </c>
      <c r="K2" s="483" t="s">
        <v>11</v>
      </c>
      <c r="L2" s="482" t="s">
        <v>12</v>
      </c>
      <c r="M2" s="483" t="s">
        <v>13</v>
      </c>
      <c r="N2" s="489" t="s">
        <v>14</v>
      </c>
      <c r="O2" s="234"/>
    </row>
    <row r="3" spans="1:15" s="3" customFormat="1" ht="26.25" customHeight="1" x14ac:dyDescent="0.25">
      <c r="A3" s="486"/>
      <c r="B3" s="487"/>
      <c r="C3" s="483"/>
      <c r="D3" s="486"/>
      <c r="E3" s="487"/>
      <c r="F3" s="486"/>
      <c r="G3" s="486"/>
      <c r="H3" s="486"/>
      <c r="I3" s="488"/>
      <c r="J3" s="482"/>
      <c r="K3" s="483"/>
      <c r="L3" s="482"/>
      <c r="M3" s="483"/>
      <c r="N3" s="490"/>
      <c r="O3" s="234"/>
    </row>
    <row r="4" spans="1:15" s="53" customFormat="1" ht="15.75" x14ac:dyDescent="0.25">
      <c r="A4" s="54">
        <v>1</v>
      </c>
      <c r="B4" s="49">
        <v>1007</v>
      </c>
      <c r="C4" s="50" t="s">
        <v>73</v>
      </c>
      <c r="D4" s="56">
        <v>6320.7</v>
      </c>
      <c r="E4" s="57" t="s">
        <v>16</v>
      </c>
      <c r="F4" s="58">
        <f t="shared" ref="F4:F35" si="0">D4*E4</f>
        <v>1580.175</v>
      </c>
      <c r="G4" s="58"/>
      <c r="H4" s="58">
        <f t="shared" ref="H4:H35" si="1">F4-G4</f>
        <v>1580.175</v>
      </c>
      <c r="I4" s="51">
        <v>1515504</v>
      </c>
      <c r="J4" s="52" t="s">
        <v>74</v>
      </c>
      <c r="K4" s="51" t="s">
        <v>75</v>
      </c>
      <c r="L4" s="52" t="s">
        <v>76</v>
      </c>
      <c r="M4" s="51">
        <v>91748840</v>
      </c>
      <c r="N4" s="61"/>
      <c r="O4" s="235"/>
    </row>
    <row r="5" spans="1:15" s="53" customFormat="1" ht="15.75" x14ac:dyDescent="0.25">
      <c r="A5" s="54">
        <v>2</v>
      </c>
      <c r="B5" s="49">
        <v>1041</v>
      </c>
      <c r="C5" s="55" t="s">
        <v>77</v>
      </c>
      <c r="D5" s="56">
        <v>2412.1</v>
      </c>
      <c r="E5" s="57" t="s">
        <v>16</v>
      </c>
      <c r="F5" s="58">
        <f t="shared" si="0"/>
        <v>603.02499999999998</v>
      </c>
      <c r="G5" s="58"/>
      <c r="H5" s="58">
        <f t="shared" si="1"/>
        <v>603.02499999999998</v>
      </c>
      <c r="I5" s="51">
        <v>6827729</v>
      </c>
      <c r="J5" s="52" t="s">
        <v>78</v>
      </c>
      <c r="K5" s="17" t="s">
        <v>40</v>
      </c>
      <c r="L5" s="52" t="s">
        <v>19</v>
      </c>
      <c r="M5" s="51">
        <v>92272935</v>
      </c>
      <c r="N5" s="61"/>
      <c r="O5" s="235"/>
    </row>
    <row r="6" spans="1:15" s="53" customFormat="1" ht="15.75" x14ac:dyDescent="0.25">
      <c r="A6" s="62">
        <v>3</v>
      </c>
      <c r="B6" s="63">
        <v>1125</v>
      </c>
      <c r="C6" s="72" t="s">
        <v>79</v>
      </c>
      <c r="D6" s="65">
        <v>6201</v>
      </c>
      <c r="E6" s="66" t="s">
        <v>16</v>
      </c>
      <c r="F6" s="67">
        <f t="shared" si="0"/>
        <v>1550.25</v>
      </c>
      <c r="G6" s="67">
        <f>1547+3.25</f>
        <v>1550.25</v>
      </c>
      <c r="H6" s="67">
        <f t="shared" si="1"/>
        <v>0</v>
      </c>
      <c r="I6" s="68">
        <v>6828774</v>
      </c>
      <c r="J6" s="69" t="s">
        <v>80</v>
      </c>
      <c r="K6" s="73" t="s">
        <v>36</v>
      </c>
      <c r="L6" s="69" t="s">
        <v>37</v>
      </c>
      <c r="M6" s="68">
        <v>91267555</v>
      </c>
      <c r="N6" s="168">
        <v>45691</v>
      </c>
      <c r="O6" s="235"/>
    </row>
    <row r="7" spans="1:15" s="53" customFormat="1" ht="15.75" x14ac:dyDescent="0.25">
      <c r="A7" s="54">
        <v>4</v>
      </c>
      <c r="B7" s="49">
        <v>1222</v>
      </c>
      <c r="C7" s="55" t="s">
        <v>81</v>
      </c>
      <c r="D7" s="56">
        <v>499.2</v>
      </c>
      <c r="E7" s="57" t="s">
        <v>16</v>
      </c>
      <c r="F7" s="58">
        <f t="shared" si="0"/>
        <v>124.8</v>
      </c>
      <c r="G7" s="58"/>
      <c r="H7" s="58">
        <f t="shared" si="1"/>
        <v>124.8</v>
      </c>
      <c r="I7" s="51">
        <v>31221</v>
      </c>
      <c r="J7" s="52" t="s">
        <v>82</v>
      </c>
      <c r="K7" s="51" t="s">
        <v>83</v>
      </c>
      <c r="L7" s="52" t="s">
        <v>84</v>
      </c>
      <c r="M7" s="51"/>
      <c r="N7" s="60"/>
      <c r="O7" s="235"/>
    </row>
    <row r="8" spans="1:15" s="53" customFormat="1" ht="15.75" x14ac:dyDescent="0.25">
      <c r="A8" s="54">
        <v>5</v>
      </c>
      <c r="B8" s="49">
        <v>1286</v>
      </c>
      <c r="C8" s="50" t="s">
        <v>85</v>
      </c>
      <c r="D8" s="56">
        <v>3046.3</v>
      </c>
      <c r="E8" s="57" t="s">
        <v>16</v>
      </c>
      <c r="F8" s="58">
        <f t="shared" si="0"/>
        <v>761.57500000000005</v>
      </c>
      <c r="G8" s="58"/>
      <c r="H8" s="58">
        <f t="shared" si="1"/>
        <v>761.57500000000005</v>
      </c>
      <c r="I8" s="51">
        <v>368056</v>
      </c>
      <c r="J8" s="52" t="s">
        <v>86</v>
      </c>
      <c r="K8" s="51" t="s">
        <v>40</v>
      </c>
      <c r="L8" s="52" t="s">
        <v>19</v>
      </c>
      <c r="M8" s="51">
        <v>99494264</v>
      </c>
      <c r="N8" s="61"/>
      <c r="O8" s="235"/>
    </row>
    <row r="9" spans="1:15" s="53" customFormat="1" ht="15.75" x14ac:dyDescent="0.25">
      <c r="A9" s="137">
        <v>6</v>
      </c>
      <c r="B9" s="138">
        <v>1344</v>
      </c>
      <c r="C9" s="139" t="s">
        <v>66</v>
      </c>
      <c r="D9" s="140">
        <v>2436.6999999999998</v>
      </c>
      <c r="E9" s="141" t="s">
        <v>16</v>
      </c>
      <c r="F9" s="142">
        <f t="shared" si="0"/>
        <v>609.17499999999995</v>
      </c>
      <c r="G9" s="142">
        <f>F9</f>
        <v>609.17499999999995</v>
      </c>
      <c r="H9" s="142">
        <f t="shared" si="1"/>
        <v>0</v>
      </c>
      <c r="I9" s="143">
        <v>4014519</v>
      </c>
      <c r="J9" s="192" t="s">
        <v>87</v>
      </c>
      <c r="K9" s="143" t="s">
        <v>88</v>
      </c>
      <c r="L9" s="192" t="s">
        <v>89</v>
      </c>
      <c r="M9" s="143"/>
      <c r="N9" s="173" t="s">
        <v>248</v>
      </c>
      <c r="O9" s="235"/>
    </row>
    <row r="10" spans="1:15" s="53" customFormat="1" ht="15.75" x14ac:dyDescent="0.25">
      <c r="A10" s="54">
        <v>7</v>
      </c>
      <c r="B10" s="49">
        <v>1352</v>
      </c>
      <c r="C10" s="50" t="s">
        <v>90</v>
      </c>
      <c r="D10" s="56">
        <v>1906.2</v>
      </c>
      <c r="E10" s="57" t="s">
        <v>16</v>
      </c>
      <c r="F10" s="58">
        <f t="shared" si="0"/>
        <v>476.55</v>
      </c>
      <c r="G10" s="58"/>
      <c r="H10" s="58">
        <f t="shared" si="1"/>
        <v>476.55</v>
      </c>
      <c r="I10" s="51">
        <v>1627344</v>
      </c>
      <c r="J10" s="52" t="s">
        <v>91</v>
      </c>
      <c r="K10" s="51" t="s">
        <v>40</v>
      </c>
      <c r="L10" s="52" t="s">
        <v>19</v>
      </c>
      <c r="M10" s="51"/>
      <c r="N10" s="61"/>
      <c r="O10" s="235"/>
    </row>
    <row r="11" spans="1:15" s="53" customFormat="1" ht="15.75" x14ac:dyDescent="0.25">
      <c r="A11" s="54">
        <v>8</v>
      </c>
      <c r="B11" s="49">
        <v>1354</v>
      </c>
      <c r="C11" s="55" t="s">
        <v>92</v>
      </c>
      <c r="D11" s="56">
        <v>2397.8000000000002</v>
      </c>
      <c r="E11" s="57" t="s">
        <v>16</v>
      </c>
      <c r="F11" s="58">
        <f t="shared" si="0"/>
        <v>599.45000000000005</v>
      </c>
      <c r="G11" s="58"/>
      <c r="H11" s="58">
        <f t="shared" si="1"/>
        <v>599.45000000000005</v>
      </c>
      <c r="I11" s="51">
        <v>925709</v>
      </c>
      <c r="J11" s="52" t="s">
        <v>93</v>
      </c>
      <c r="K11" s="51" t="s">
        <v>40</v>
      </c>
      <c r="L11" s="52" t="s">
        <v>19</v>
      </c>
      <c r="M11" s="51">
        <v>95187860</v>
      </c>
      <c r="N11" s="71"/>
      <c r="O11" s="235"/>
    </row>
    <row r="12" spans="1:15" s="53" customFormat="1" ht="15.75" x14ac:dyDescent="0.25">
      <c r="A12" s="54">
        <v>9</v>
      </c>
      <c r="B12" s="49">
        <v>1357</v>
      </c>
      <c r="C12" s="55" t="s">
        <v>94</v>
      </c>
      <c r="D12" s="56">
        <v>4704.6000000000004</v>
      </c>
      <c r="E12" s="57" t="s">
        <v>16</v>
      </c>
      <c r="F12" s="58">
        <f t="shared" si="0"/>
        <v>1176.1500000000001</v>
      </c>
      <c r="G12" s="58"/>
      <c r="H12" s="58">
        <f t="shared" si="1"/>
        <v>1176.1500000000001</v>
      </c>
      <c r="I12" s="51">
        <v>1052276</v>
      </c>
      <c r="J12" s="52" t="s">
        <v>95</v>
      </c>
      <c r="K12" s="17" t="s">
        <v>36</v>
      </c>
      <c r="L12" s="52" t="s">
        <v>37</v>
      </c>
      <c r="M12" s="51">
        <v>95301260</v>
      </c>
      <c r="N12" s="71"/>
      <c r="O12" s="235"/>
    </row>
    <row r="13" spans="1:15" s="53" customFormat="1" ht="15.75" x14ac:dyDescent="0.25">
      <c r="A13" s="62">
        <v>10</v>
      </c>
      <c r="B13" s="63">
        <v>1359</v>
      </c>
      <c r="C13" s="72" t="s">
        <v>96</v>
      </c>
      <c r="D13" s="65">
        <v>2434.3000000000002</v>
      </c>
      <c r="E13" s="66" t="s">
        <v>16</v>
      </c>
      <c r="F13" s="67">
        <f t="shared" si="0"/>
        <v>608.57500000000005</v>
      </c>
      <c r="G13" s="67">
        <f>602+6.575</f>
        <v>608.57500000000005</v>
      </c>
      <c r="H13" s="67">
        <f t="shared" si="1"/>
        <v>0</v>
      </c>
      <c r="I13" s="68">
        <v>4812026</v>
      </c>
      <c r="J13" s="69" t="s">
        <v>97</v>
      </c>
      <c r="K13" s="68" t="s">
        <v>83</v>
      </c>
      <c r="L13" s="69" t="s">
        <v>84</v>
      </c>
      <c r="M13" s="68">
        <v>96616558</v>
      </c>
      <c r="N13" s="151">
        <v>45655</v>
      </c>
      <c r="O13" s="235">
        <v>45680</v>
      </c>
    </row>
    <row r="14" spans="1:15" s="195" customFormat="1" ht="15.75" x14ac:dyDescent="0.25">
      <c r="A14" s="137">
        <v>11</v>
      </c>
      <c r="B14" s="138">
        <v>1367</v>
      </c>
      <c r="C14" s="139" t="s">
        <v>98</v>
      </c>
      <c r="D14" s="140">
        <v>935</v>
      </c>
      <c r="E14" s="141" t="s">
        <v>16</v>
      </c>
      <c r="F14" s="142">
        <f t="shared" si="0"/>
        <v>233.75</v>
      </c>
      <c r="G14" s="142">
        <f>F14</f>
        <v>233.75</v>
      </c>
      <c r="H14" s="142">
        <f t="shared" si="1"/>
        <v>0</v>
      </c>
      <c r="I14" s="143">
        <v>6663593</v>
      </c>
      <c r="J14" s="192" t="s">
        <v>99</v>
      </c>
      <c r="K14" s="143" t="s">
        <v>40</v>
      </c>
      <c r="L14" s="192" t="s">
        <v>19</v>
      </c>
      <c r="M14" s="143">
        <v>92817702</v>
      </c>
      <c r="N14" s="267">
        <v>45902</v>
      </c>
      <c r="O14" s="238"/>
    </row>
    <row r="15" spans="1:15" s="91" customFormat="1" ht="15.75" x14ac:dyDescent="0.25">
      <c r="A15" s="62">
        <v>12</v>
      </c>
      <c r="B15" s="63">
        <v>1368</v>
      </c>
      <c r="C15" s="27" t="s">
        <v>100</v>
      </c>
      <c r="D15" s="65">
        <v>4093.2</v>
      </c>
      <c r="E15" s="66" t="s">
        <v>16</v>
      </c>
      <c r="F15" s="67">
        <f t="shared" si="0"/>
        <v>1023.3</v>
      </c>
      <c r="G15" s="67">
        <f>0.1+1023.2</f>
        <v>1023.3000000000001</v>
      </c>
      <c r="H15" s="67">
        <f t="shared" si="1"/>
        <v>0</v>
      </c>
      <c r="I15" s="69">
        <v>561902</v>
      </c>
      <c r="J15" s="69" t="s">
        <v>101</v>
      </c>
      <c r="K15" s="73" t="s">
        <v>36</v>
      </c>
      <c r="L15" s="69" t="s">
        <v>37</v>
      </c>
      <c r="M15" s="69">
        <v>99499622</v>
      </c>
      <c r="N15" s="152">
        <v>45622</v>
      </c>
      <c r="O15" s="236" t="s">
        <v>249</v>
      </c>
    </row>
    <row r="16" spans="1:15" s="53" customFormat="1" ht="15.75" x14ac:dyDescent="0.25">
      <c r="A16" s="62">
        <v>13</v>
      </c>
      <c r="B16" s="63">
        <v>3002</v>
      </c>
      <c r="C16" s="64" t="s">
        <v>102</v>
      </c>
      <c r="D16" s="65">
        <v>1634.3</v>
      </c>
      <c r="E16" s="66" t="s">
        <v>16</v>
      </c>
      <c r="F16" s="67">
        <f t="shared" si="0"/>
        <v>408.57499999999999</v>
      </c>
      <c r="G16" s="67">
        <f>406.725+1.85</f>
        <v>408.57500000000005</v>
      </c>
      <c r="H16" s="67">
        <f t="shared" si="1"/>
        <v>0</v>
      </c>
      <c r="I16" s="68">
        <v>21220177</v>
      </c>
      <c r="J16" s="69" t="s">
        <v>103</v>
      </c>
      <c r="K16" s="68" t="s">
        <v>40</v>
      </c>
      <c r="L16" s="69" t="s">
        <v>19</v>
      </c>
      <c r="M16" s="68">
        <v>99280644</v>
      </c>
      <c r="N16" s="171">
        <v>45658</v>
      </c>
      <c r="O16" s="235">
        <v>45691</v>
      </c>
    </row>
    <row r="17" spans="1:15" s="53" customFormat="1" ht="15.75" x14ac:dyDescent="0.25">
      <c r="A17" s="62">
        <v>14</v>
      </c>
      <c r="B17" s="63">
        <v>3057</v>
      </c>
      <c r="C17" s="64" t="s">
        <v>67</v>
      </c>
      <c r="D17" s="65">
        <v>2498.6</v>
      </c>
      <c r="E17" s="66" t="s">
        <v>16</v>
      </c>
      <c r="F17" s="67">
        <f t="shared" si="0"/>
        <v>624.65</v>
      </c>
      <c r="G17" s="67">
        <f>623.3+1.35</f>
        <v>624.65</v>
      </c>
      <c r="H17" s="67">
        <f t="shared" si="1"/>
        <v>0</v>
      </c>
      <c r="I17" s="68">
        <v>626819</v>
      </c>
      <c r="J17" s="69" t="s">
        <v>106</v>
      </c>
      <c r="K17" s="68" t="s">
        <v>40</v>
      </c>
      <c r="L17" s="69" t="s">
        <v>19</v>
      </c>
      <c r="M17" s="68">
        <v>99298522</v>
      </c>
      <c r="N17" s="171">
        <v>45655</v>
      </c>
      <c r="O17" s="235">
        <v>45666</v>
      </c>
    </row>
    <row r="18" spans="1:15" s="53" customFormat="1" ht="15.75" x14ac:dyDescent="0.25">
      <c r="A18" s="54">
        <v>15</v>
      </c>
      <c r="B18" s="49">
        <v>3062</v>
      </c>
      <c r="C18" s="50" t="s">
        <v>107</v>
      </c>
      <c r="D18" s="56">
        <v>3129</v>
      </c>
      <c r="E18" s="57" t="s">
        <v>16</v>
      </c>
      <c r="F18" s="58">
        <f t="shared" si="0"/>
        <v>782.25</v>
      </c>
      <c r="G18" s="58"/>
      <c r="H18" s="58">
        <f t="shared" si="1"/>
        <v>782.25</v>
      </c>
      <c r="I18" s="51">
        <v>300741</v>
      </c>
      <c r="J18" s="52" t="s">
        <v>108</v>
      </c>
      <c r="K18" s="51" t="s">
        <v>40</v>
      </c>
      <c r="L18" s="52" t="s">
        <v>19</v>
      </c>
      <c r="M18" s="51">
        <v>99008320</v>
      </c>
      <c r="N18" s="61"/>
      <c r="O18" s="235"/>
    </row>
    <row r="19" spans="1:15" s="53" customFormat="1" ht="15.75" x14ac:dyDescent="0.25">
      <c r="A19" s="54">
        <v>16</v>
      </c>
      <c r="B19" s="49">
        <v>3080</v>
      </c>
      <c r="C19" s="50" t="s">
        <v>109</v>
      </c>
      <c r="D19" s="56">
        <v>1265.9000000000001</v>
      </c>
      <c r="E19" s="57" t="s">
        <v>16</v>
      </c>
      <c r="F19" s="58">
        <f t="shared" si="0"/>
        <v>316.47500000000002</v>
      </c>
      <c r="G19" s="58"/>
      <c r="H19" s="58">
        <f t="shared" si="1"/>
        <v>316.47500000000002</v>
      </c>
      <c r="I19" s="51">
        <v>14301608</v>
      </c>
      <c r="J19" s="52" t="s">
        <v>110</v>
      </c>
      <c r="K19" s="51" t="s">
        <v>40</v>
      </c>
      <c r="L19" s="52" t="s">
        <v>19</v>
      </c>
      <c r="M19" s="51">
        <v>98122611</v>
      </c>
      <c r="N19" s="61"/>
      <c r="O19" s="237"/>
    </row>
    <row r="20" spans="1:15" s="53" customFormat="1" ht="15.75" x14ac:dyDescent="0.25">
      <c r="A20" s="54">
        <v>17</v>
      </c>
      <c r="B20" s="78">
        <v>3086</v>
      </c>
      <c r="C20" s="50" t="s">
        <v>111</v>
      </c>
      <c r="D20" s="56">
        <v>1201.9000000000001</v>
      </c>
      <c r="E20" s="57" t="s">
        <v>16</v>
      </c>
      <c r="F20" s="58">
        <f t="shared" si="0"/>
        <v>300.47500000000002</v>
      </c>
      <c r="G20" s="58"/>
      <c r="H20" s="58">
        <f t="shared" si="1"/>
        <v>300.47500000000002</v>
      </c>
      <c r="I20" s="51">
        <v>300033</v>
      </c>
      <c r="J20" s="52" t="s">
        <v>112</v>
      </c>
      <c r="K20" s="51" t="s">
        <v>40</v>
      </c>
      <c r="L20" s="52" t="s">
        <v>19</v>
      </c>
      <c r="M20" s="51"/>
      <c r="N20" s="197"/>
      <c r="O20" s="235"/>
    </row>
    <row r="21" spans="1:15" s="53" customFormat="1" ht="15.75" x14ac:dyDescent="0.25">
      <c r="A21" s="62">
        <v>18</v>
      </c>
      <c r="B21" s="63">
        <v>3132</v>
      </c>
      <c r="C21" s="64" t="s">
        <v>113</v>
      </c>
      <c r="D21" s="65">
        <v>1296.7</v>
      </c>
      <c r="E21" s="66" t="s">
        <v>16</v>
      </c>
      <c r="F21" s="67">
        <f t="shared" si="0"/>
        <v>324.17500000000001</v>
      </c>
      <c r="G21" s="67">
        <f>323.1+1.075</f>
        <v>324.17500000000001</v>
      </c>
      <c r="H21" s="67">
        <f t="shared" si="1"/>
        <v>0</v>
      </c>
      <c r="I21" s="68">
        <v>14606296</v>
      </c>
      <c r="J21" s="69" t="s">
        <v>114</v>
      </c>
      <c r="K21" s="68" t="s">
        <v>40</v>
      </c>
      <c r="L21" s="69" t="s">
        <v>19</v>
      </c>
      <c r="M21" s="68">
        <v>91493522</v>
      </c>
      <c r="N21" s="171">
        <v>45663</v>
      </c>
      <c r="O21" s="235">
        <v>45779</v>
      </c>
    </row>
    <row r="22" spans="1:15" s="53" customFormat="1" ht="15.75" x14ac:dyDescent="0.25">
      <c r="A22" s="62">
        <v>19</v>
      </c>
      <c r="B22" s="63">
        <v>3134</v>
      </c>
      <c r="C22" s="64" t="s">
        <v>115</v>
      </c>
      <c r="D22" s="65">
        <v>1125.5</v>
      </c>
      <c r="E22" s="66" t="s">
        <v>16</v>
      </c>
      <c r="F22" s="67">
        <f t="shared" si="0"/>
        <v>281.375</v>
      </c>
      <c r="G22" s="67">
        <f>280.05</f>
        <v>280.05</v>
      </c>
      <c r="H22" s="67">
        <f t="shared" si="1"/>
        <v>1.3249999999999886</v>
      </c>
      <c r="I22" s="68">
        <v>2154413</v>
      </c>
      <c r="J22" s="69" t="s">
        <v>116</v>
      </c>
      <c r="K22" s="68" t="s">
        <v>36</v>
      </c>
      <c r="L22" s="69" t="s">
        <v>37</v>
      </c>
      <c r="M22" s="68">
        <v>99493731</v>
      </c>
      <c r="N22" s="171">
        <v>45672</v>
      </c>
      <c r="O22" s="235"/>
    </row>
    <row r="23" spans="1:15" s="53" customFormat="1" ht="15.75" x14ac:dyDescent="0.25">
      <c r="A23" s="54">
        <v>20</v>
      </c>
      <c r="B23" s="49">
        <v>3142</v>
      </c>
      <c r="C23" s="50" t="s">
        <v>117</v>
      </c>
      <c r="D23" s="56">
        <v>4795.8999999999996</v>
      </c>
      <c r="E23" s="57" t="s">
        <v>16</v>
      </c>
      <c r="F23" s="58">
        <f t="shared" si="0"/>
        <v>1198.9749999999999</v>
      </c>
      <c r="G23" s="58"/>
      <c r="H23" s="58">
        <f t="shared" si="1"/>
        <v>1198.9749999999999</v>
      </c>
      <c r="I23" s="51">
        <v>165497</v>
      </c>
      <c r="J23" s="52" t="s">
        <v>118</v>
      </c>
      <c r="K23" s="51" t="s">
        <v>88</v>
      </c>
      <c r="L23" s="52" t="s">
        <v>89</v>
      </c>
      <c r="M23" s="51">
        <v>99499872</v>
      </c>
      <c r="N23" s="61"/>
      <c r="O23" s="235"/>
    </row>
    <row r="24" spans="1:15" s="53" customFormat="1" ht="15.75" x14ac:dyDescent="0.25">
      <c r="A24" s="137">
        <v>21</v>
      </c>
      <c r="B24" s="138">
        <v>3145</v>
      </c>
      <c r="C24" s="139" t="s">
        <v>119</v>
      </c>
      <c r="D24" s="140">
        <v>2436.3000000000002</v>
      </c>
      <c r="E24" s="141" t="s">
        <v>16</v>
      </c>
      <c r="F24" s="142">
        <f t="shared" si="0"/>
        <v>609.07500000000005</v>
      </c>
      <c r="G24" s="142">
        <f>F24</f>
        <v>609.07500000000005</v>
      </c>
      <c r="H24" s="142">
        <f t="shared" si="1"/>
        <v>0</v>
      </c>
      <c r="I24" s="143">
        <v>1915745</v>
      </c>
      <c r="J24" s="192" t="s">
        <v>120</v>
      </c>
      <c r="K24" s="143" t="s">
        <v>40</v>
      </c>
      <c r="L24" s="192" t="s">
        <v>19</v>
      </c>
      <c r="M24" s="143">
        <v>99489050</v>
      </c>
      <c r="N24" s="173" t="s">
        <v>121</v>
      </c>
      <c r="O24" s="235"/>
    </row>
    <row r="25" spans="1:15" s="53" customFormat="1" ht="15.75" x14ac:dyDescent="0.25">
      <c r="A25" s="137">
        <v>22</v>
      </c>
      <c r="B25" s="138">
        <v>3147</v>
      </c>
      <c r="C25" s="139" t="s">
        <v>122</v>
      </c>
      <c r="D25" s="140">
        <v>1951.8</v>
      </c>
      <c r="E25" s="141" t="s">
        <v>16</v>
      </c>
      <c r="F25" s="142">
        <f t="shared" si="0"/>
        <v>487.95</v>
      </c>
      <c r="G25" s="142">
        <f>F25</f>
        <v>487.95</v>
      </c>
      <c r="H25" s="142">
        <f t="shared" si="1"/>
        <v>0</v>
      </c>
      <c r="I25" s="143">
        <v>1662414</v>
      </c>
      <c r="J25" s="192" t="s">
        <v>123</v>
      </c>
      <c r="K25" s="143" t="s">
        <v>88</v>
      </c>
      <c r="L25" s="192" t="s">
        <v>89</v>
      </c>
      <c r="M25" s="143">
        <v>99282006</v>
      </c>
      <c r="N25" s="172">
        <v>45778</v>
      </c>
      <c r="O25" s="235"/>
    </row>
    <row r="26" spans="1:15" s="53" customFormat="1" ht="15.75" x14ac:dyDescent="0.25">
      <c r="A26" s="137">
        <v>23</v>
      </c>
      <c r="B26" s="138">
        <v>3148</v>
      </c>
      <c r="C26" s="139" t="s">
        <v>124</v>
      </c>
      <c r="D26" s="140">
        <v>1240.9000000000001</v>
      </c>
      <c r="E26" s="141" t="s">
        <v>16</v>
      </c>
      <c r="F26" s="142">
        <f t="shared" si="0"/>
        <v>310.22500000000002</v>
      </c>
      <c r="G26" s="142">
        <f>F26</f>
        <v>310.22500000000002</v>
      </c>
      <c r="H26" s="142">
        <f t="shared" si="1"/>
        <v>0</v>
      </c>
      <c r="I26" s="143">
        <v>19545736</v>
      </c>
      <c r="J26" s="192" t="s">
        <v>125</v>
      </c>
      <c r="K26" s="143" t="s">
        <v>36</v>
      </c>
      <c r="L26" s="192" t="s">
        <v>37</v>
      </c>
      <c r="M26" s="143"/>
      <c r="N26" s="172" t="s">
        <v>270</v>
      </c>
      <c r="O26" s="235"/>
    </row>
    <row r="27" spans="1:15" s="53" customFormat="1" ht="15.75" x14ac:dyDescent="0.25">
      <c r="A27" s="62">
        <v>24</v>
      </c>
      <c r="B27" s="63">
        <v>3149</v>
      </c>
      <c r="C27" s="64" t="s">
        <v>126</v>
      </c>
      <c r="D27" s="65">
        <v>1078.8</v>
      </c>
      <c r="E27" s="66" t="s">
        <v>16</v>
      </c>
      <c r="F27" s="67">
        <f t="shared" si="0"/>
        <v>269.7</v>
      </c>
      <c r="G27" s="67">
        <f>266.1+3.6</f>
        <v>269.70000000000005</v>
      </c>
      <c r="H27" s="67">
        <f t="shared" si="1"/>
        <v>0</v>
      </c>
      <c r="I27" s="68">
        <v>4941095</v>
      </c>
      <c r="J27" s="69" t="s">
        <v>127</v>
      </c>
      <c r="K27" s="68" t="s">
        <v>128</v>
      </c>
      <c r="L27" s="69" t="s">
        <v>129</v>
      </c>
      <c r="M27" s="68">
        <v>93500864</v>
      </c>
      <c r="N27" s="171">
        <v>45663</v>
      </c>
      <c r="O27" s="235">
        <v>45691</v>
      </c>
    </row>
    <row r="28" spans="1:15" s="91" customFormat="1" ht="15.75" x14ac:dyDescent="0.25">
      <c r="A28" s="62">
        <v>25</v>
      </c>
      <c r="B28" s="63">
        <v>3152</v>
      </c>
      <c r="C28" s="64" t="s">
        <v>130</v>
      </c>
      <c r="D28" s="65">
        <v>2035</v>
      </c>
      <c r="E28" s="66" t="s">
        <v>16</v>
      </c>
      <c r="F28" s="67">
        <f t="shared" si="0"/>
        <v>508.75</v>
      </c>
      <c r="G28" s="67">
        <f>252.2+255.5</f>
        <v>507.7</v>
      </c>
      <c r="H28" s="67">
        <f t="shared" si="1"/>
        <v>1.0500000000000114</v>
      </c>
      <c r="I28" s="68">
        <v>941993</v>
      </c>
      <c r="J28" s="69" t="s">
        <v>131</v>
      </c>
      <c r="K28" s="68" t="s">
        <v>36</v>
      </c>
      <c r="L28" s="69" t="s">
        <v>37</v>
      </c>
      <c r="M28" s="68">
        <v>99086500</v>
      </c>
      <c r="N28" s="196" t="s">
        <v>250</v>
      </c>
      <c r="O28" s="236">
        <v>45662</v>
      </c>
    </row>
    <row r="29" spans="1:15" s="91" customFormat="1" ht="15.75" x14ac:dyDescent="0.25">
      <c r="A29" s="62">
        <v>26</v>
      </c>
      <c r="B29" s="63">
        <v>3153</v>
      </c>
      <c r="C29" s="64" t="s">
        <v>15</v>
      </c>
      <c r="D29" s="65">
        <v>2980.6</v>
      </c>
      <c r="E29" s="66" t="s">
        <v>16</v>
      </c>
      <c r="F29" s="67">
        <f t="shared" si="0"/>
        <v>745.15</v>
      </c>
      <c r="G29" s="67">
        <f>188.45</f>
        <v>188.45</v>
      </c>
      <c r="H29" s="67">
        <f t="shared" si="1"/>
        <v>556.70000000000005</v>
      </c>
      <c r="I29" s="68">
        <v>6989479</v>
      </c>
      <c r="J29" s="69" t="s">
        <v>17</v>
      </c>
      <c r="K29" s="68" t="s">
        <v>18</v>
      </c>
      <c r="L29" s="69" t="s">
        <v>19</v>
      </c>
      <c r="M29" s="68">
        <v>99699500</v>
      </c>
      <c r="N29" s="196" t="s">
        <v>272</v>
      </c>
      <c r="O29" s="236"/>
    </row>
    <row r="30" spans="1:15" s="53" customFormat="1" ht="15.75" x14ac:dyDescent="0.25">
      <c r="A30" s="54">
        <v>27</v>
      </c>
      <c r="B30" s="78">
        <v>3155</v>
      </c>
      <c r="C30" s="50" t="s">
        <v>132</v>
      </c>
      <c r="D30" s="56">
        <v>630.5</v>
      </c>
      <c r="E30" s="57" t="s">
        <v>16</v>
      </c>
      <c r="F30" s="58">
        <f t="shared" si="0"/>
        <v>157.625</v>
      </c>
      <c r="G30" s="58"/>
      <c r="H30" s="58">
        <f t="shared" si="1"/>
        <v>157.625</v>
      </c>
      <c r="I30" s="51">
        <v>19188794</v>
      </c>
      <c r="J30" s="52" t="s">
        <v>133</v>
      </c>
      <c r="K30" s="51" t="s">
        <v>40</v>
      </c>
      <c r="L30" s="52" t="s">
        <v>19</v>
      </c>
      <c r="M30" s="51">
        <v>93215515</v>
      </c>
      <c r="N30" s="61"/>
      <c r="O30" s="235"/>
    </row>
    <row r="31" spans="1:15" s="53" customFormat="1" ht="15.75" x14ac:dyDescent="0.25">
      <c r="A31" s="54">
        <v>28</v>
      </c>
      <c r="B31" s="49">
        <v>3158</v>
      </c>
      <c r="C31" s="50" t="s">
        <v>134</v>
      </c>
      <c r="D31" s="56">
        <v>2372.6999999999998</v>
      </c>
      <c r="E31" s="57" t="s">
        <v>16</v>
      </c>
      <c r="F31" s="58">
        <f t="shared" si="0"/>
        <v>593.17499999999995</v>
      </c>
      <c r="G31" s="58"/>
      <c r="H31" s="58">
        <f t="shared" si="1"/>
        <v>593.17499999999995</v>
      </c>
      <c r="I31" s="51" t="s">
        <v>135</v>
      </c>
      <c r="J31" s="52" t="s">
        <v>136</v>
      </c>
      <c r="K31" s="51" t="s">
        <v>40</v>
      </c>
      <c r="L31" s="52" t="s">
        <v>19</v>
      </c>
      <c r="M31" s="51">
        <v>99694218</v>
      </c>
      <c r="N31" s="61"/>
      <c r="O31" s="235"/>
    </row>
    <row r="32" spans="1:15" s="53" customFormat="1" ht="15.75" x14ac:dyDescent="0.25">
      <c r="A32" s="54">
        <v>29</v>
      </c>
      <c r="B32" s="49">
        <v>3159</v>
      </c>
      <c r="C32" s="50" t="s">
        <v>137</v>
      </c>
      <c r="D32" s="56">
        <v>617.6</v>
      </c>
      <c r="E32" s="57" t="s">
        <v>16</v>
      </c>
      <c r="F32" s="58">
        <f t="shared" si="0"/>
        <v>154.4</v>
      </c>
      <c r="G32" s="58"/>
      <c r="H32" s="58">
        <f t="shared" si="1"/>
        <v>154.4</v>
      </c>
      <c r="I32" s="51">
        <v>1297478</v>
      </c>
      <c r="J32" s="52" t="s">
        <v>138</v>
      </c>
      <c r="K32" s="51" t="s">
        <v>40</v>
      </c>
      <c r="L32" s="52" t="s">
        <v>19</v>
      </c>
      <c r="M32" s="51">
        <v>99497177</v>
      </c>
      <c r="N32" s="61"/>
      <c r="O32" s="235"/>
    </row>
    <row r="33" spans="1:15" s="53" customFormat="1" ht="15.75" x14ac:dyDescent="0.25">
      <c r="A33" s="54">
        <v>30</v>
      </c>
      <c r="B33" s="49">
        <v>3160</v>
      </c>
      <c r="C33" s="50" t="s">
        <v>139</v>
      </c>
      <c r="D33" s="56">
        <v>1838.6</v>
      </c>
      <c r="E33" s="57" t="s">
        <v>16</v>
      </c>
      <c r="F33" s="58">
        <f t="shared" si="0"/>
        <v>459.65</v>
      </c>
      <c r="G33" s="58"/>
      <c r="H33" s="58">
        <f t="shared" si="1"/>
        <v>459.65</v>
      </c>
      <c r="I33" s="51">
        <v>2837163</v>
      </c>
      <c r="J33" s="52" t="s">
        <v>140</v>
      </c>
      <c r="K33" s="51" t="s">
        <v>46</v>
      </c>
      <c r="L33" s="52" t="s">
        <v>47</v>
      </c>
      <c r="M33" s="51">
        <v>99497455</v>
      </c>
      <c r="N33" s="61"/>
      <c r="O33" s="235"/>
    </row>
    <row r="34" spans="1:15" s="53" customFormat="1" ht="15.75" x14ac:dyDescent="0.25">
      <c r="A34" s="54">
        <v>31</v>
      </c>
      <c r="B34" s="49">
        <v>3162</v>
      </c>
      <c r="C34" s="50" t="s">
        <v>141</v>
      </c>
      <c r="D34" s="56">
        <v>5248.6</v>
      </c>
      <c r="E34" s="57" t="s">
        <v>16</v>
      </c>
      <c r="F34" s="58">
        <f t="shared" si="0"/>
        <v>1312.15</v>
      </c>
      <c r="G34" s="58"/>
      <c r="H34" s="58">
        <f t="shared" si="1"/>
        <v>1312.15</v>
      </c>
      <c r="I34" s="51">
        <v>7017227</v>
      </c>
      <c r="J34" s="52" t="s">
        <v>142</v>
      </c>
      <c r="K34" s="51" t="s">
        <v>36</v>
      </c>
      <c r="L34" s="52" t="s">
        <v>37</v>
      </c>
      <c r="M34" s="51">
        <v>99523400</v>
      </c>
      <c r="N34" s="61"/>
      <c r="O34" s="235"/>
    </row>
    <row r="35" spans="1:15" s="53" customFormat="1" ht="15.75" x14ac:dyDescent="0.25">
      <c r="A35" s="54">
        <v>32</v>
      </c>
      <c r="B35" s="49">
        <v>3164</v>
      </c>
      <c r="C35" s="50" t="s">
        <v>143</v>
      </c>
      <c r="D35" s="56">
        <v>2434</v>
      </c>
      <c r="E35" s="57" t="s">
        <v>16</v>
      </c>
      <c r="F35" s="58">
        <f t="shared" si="0"/>
        <v>608.5</v>
      </c>
      <c r="G35" s="58"/>
      <c r="H35" s="58">
        <f t="shared" si="1"/>
        <v>608.5</v>
      </c>
      <c r="I35" s="51">
        <v>7466062</v>
      </c>
      <c r="J35" s="52" t="s">
        <v>144</v>
      </c>
      <c r="K35" s="17" t="s">
        <v>145</v>
      </c>
      <c r="L35" s="52" t="s">
        <v>146</v>
      </c>
      <c r="M35" s="51">
        <v>91135005</v>
      </c>
      <c r="N35" s="61"/>
      <c r="O35" s="235"/>
    </row>
    <row r="36" spans="1:15" s="53" customFormat="1" ht="15.75" x14ac:dyDescent="0.25">
      <c r="A36" s="54">
        <v>33</v>
      </c>
      <c r="B36" s="49">
        <v>3165</v>
      </c>
      <c r="C36" s="50" t="s">
        <v>147</v>
      </c>
      <c r="D36" s="56">
        <v>516.6</v>
      </c>
      <c r="E36" s="57" t="s">
        <v>16</v>
      </c>
      <c r="F36" s="58">
        <f t="shared" ref="F36:F67" si="2">D36*E36</f>
        <v>129.15</v>
      </c>
      <c r="G36" s="58"/>
      <c r="H36" s="58">
        <f t="shared" ref="H36:H67" si="3">F36-G36</f>
        <v>129.15</v>
      </c>
      <c r="I36" s="51">
        <v>19029628</v>
      </c>
      <c r="J36" s="52" t="s">
        <v>148</v>
      </c>
      <c r="K36" s="51" t="s">
        <v>36</v>
      </c>
      <c r="L36" s="52" t="s">
        <v>37</v>
      </c>
      <c r="M36" s="51">
        <v>96055446</v>
      </c>
      <c r="N36" s="86"/>
      <c r="O36" s="235"/>
    </row>
    <row r="37" spans="1:15" s="53" customFormat="1" ht="15.75" x14ac:dyDescent="0.25">
      <c r="A37" s="54">
        <v>34</v>
      </c>
      <c r="B37" s="49">
        <v>3169</v>
      </c>
      <c r="C37" s="50" t="s">
        <v>34</v>
      </c>
      <c r="D37" s="56">
        <v>634.5</v>
      </c>
      <c r="E37" s="57" t="s">
        <v>16</v>
      </c>
      <c r="F37" s="58">
        <f t="shared" si="2"/>
        <v>158.625</v>
      </c>
      <c r="G37" s="58"/>
      <c r="H37" s="58">
        <f t="shared" si="3"/>
        <v>158.625</v>
      </c>
      <c r="I37" s="51">
        <v>3068756</v>
      </c>
      <c r="J37" s="52" t="s">
        <v>35</v>
      </c>
      <c r="K37" s="51" t="s">
        <v>36</v>
      </c>
      <c r="L37" s="52" t="s">
        <v>37</v>
      </c>
      <c r="M37" s="51">
        <v>99691806</v>
      </c>
      <c r="N37" s="61"/>
      <c r="O37" s="235"/>
    </row>
    <row r="38" spans="1:15" s="53" customFormat="1" ht="15.75" x14ac:dyDescent="0.25">
      <c r="A38" s="62">
        <v>35</v>
      </c>
      <c r="B38" s="63">
        <v>3171</v>
      </c>
      <c r="C38" s="64" t="s">
        <v>149</v>
      </c>
      <c r="D38" s="65">
        <v>985.4</v>
      </c>
      <c r="E38" s="66" t="s">
        <v>16</v>
      </c>
      <c r="F38" s="67">
        <f t="shared" si="2"/>
        <v>246.35</v>
      </c>
      <c r="G38" s="67">
        <f>241.925+4.425</f>
        <v>246.35000000000002</v>
      </c>
      <c r="H38" s="67">
        <f t="shared" si="3"/>
        <v>0</v>
      </c>
      <c r="I38" s="68">
        <v>7239057</v>
      </c>
      <c r="J38" s="69" t="s">
        <v>150</v>
      </c>
      <c r="K38" s="68" t="s">
        <v>88</v>
      </c>
      <c r="L38" s="69" t="s">
        <v>89</v>
      </c>
      <c r="M38" s="68">
        <v>95880860</v>
      </c>
      <c r="N38" s="171">
        <v>45663</v>
      </c>
      <c r="O38" s="235">
        <v>45692</v>
      </c>
    </row>
    <row r="39" spans="1:15" s="53" customFormat="1" ht="15.75" x14ac:dyDescent="0.25">
      <c r="A39" s="54">
        <v>36</v>
      </c>
      <c r="B39" s="49">
        <v>3172</v>
      </c>
      <c r="C39" s="50" t="s">
        <v>151</v>
      </c>
      <c r="D39" s="56">
        <v>630.6</v>
      </c>
      <c r="E39" s="57" t="s">
        <v>16</v>
      </c>
      <c r="F39" s="58">
        <f t="shared" si="2"/>
        <v>157.65</v>
      </c>
      <c r="G39" s="58"/>
      <c r="H39" s="58">
        <f t="shared" si="3"/>
        <v>157.65</v>
      </c>
      <c r="I39" s="51">
        <v>5276984</v>
      </c>
      <c r="J39" s="52" t="s">
        <v>152</v>
      </c>
      <c r="K39" s="51" t="s">
        <v>40</v>
      </c>
      <c r="L39" s="52" t="s">
        <v>19</v>
      </c>
      <c r="M39" s="51">
        <v>99188860</v>
      </c>
      <c r="N39" s="61"/>
      <c r="O39" s="235"/>
    </row>
    <row r="40" spans="1:15" s="53" customFormat="1" ht="15.75" x14ac:dyDescent="0.25">
      <c r="A40" s="137">
        <v>37</v>
      </c>
      <c r="B40" s="138">
        <v>3173</v>
      </c>
      <c r="C40" s="139" t="s">
        <v>153</v>
      </c>
      <c r="D40" s="140">
        <v>1865.1</v>
      </c>
      <c r="E40" s="141" t="s">
        <v>16</v>
      </c>
      <c r="F40" s="142">
        <f t="shared" si="2"/>
        <v>466.27499999999998</v>
      </c>
      <c r="G40" s="142">
        <f>F40</f>
        <v>466.27499999999998</v>
      </c>
      <c r="H40" s="142">
        <f t="shared" si="3"/>
        <v>0</v>
      </c>
      <c r="I40" s="143">
        <v>6825655</v>
      </c>
      <c r="J40" s="192" t="s">
        <v>154</v>
      </c>
      <c r="K40" s="143" t="s">
        <v>40</v>
      </c>
      <c r="L40" s="192" t="s">
        <v>19</v>
      </c>
      <c r="M40" s="143">
        <v>98957747</v>
      </c>
      <c r="N40" s="173" t="s">
        <v>121</v>
      </c>
      <c r="O40" s="235"/>
    </row>
    <row r="41" spans="1:15" s="195" customFormat="1" ht="15.75" x14ac:dyDescent="0.25">
      <c r="A41" s="137">
        <v>38</v>
      </c>
      <c r="B41" s="138">
        <v>3174</v>
      </c>
      <c r="C41" s="139" t="s">
        <v>155</v>
      </c>
      <c r="D41" s="140">
        <v>1397.7</v>
      </c>
      <c r="E41" s="141" t="s">
        <v>16</v>
      </c>
      <c r="F41" s="142">
        <f t="shared" si="2"/>
        <v>349.42500000000001</v>
      </c>
      <c r="G41" s="142">
        <f>2.25+347.175</f>
        <v>349.42500000000001</v>
      </c>
      <c r="H41" s="142">
        <f t="shared" si="3"/>
        <v>0</v>
      </c>
      <c r="I41" s="143">
        <v>7547492</v>
      </c>
      <c r="J41" s="192" t="s">
        <v>156</v>
      </c>
      <c r="K41" s="143" t="s">
        <v>40</v>
      </c>
      <c r="L41" s="192" t="s">
        <v>19</v>
      </c>
      <c r="M41" s="143">
        <v>91790502</v>
      </c>
      <c r="N41" s="173" t="s">
        <v>121</v>
      </c>
      <c r="O41" s="238"/>
    </row>
    <row r="42" spans="1:15" s="53" customFormat="1" ht="15.75" x14ac:dyDescent="0.25">
      <c r="A42" s="62">
        <v>39</v>
      </c>
      <c r="B42" s="63">
        <v>3175</v>
      </c>
      <c r="C42" s="64" t="s">
        <v>157</v>
      </c>
      <c r="D42" s="265">
        <v>556.52</v>
      </c>
      <c r="E42" s="66" t="s">
        <v>16</v>
      </c>
      <c r="F42" s="67">
        <f t="shared" si="2"/>
        <v>139.13</v>
      </c>
      <c r="G42" s="67">
        <f>135.9</f>
        <v>135.9</v>
      </c>
      <c r="H42" s="67">
        <f t="shared" si="3"/>
        <v>3.2299999999999898</v>
      </c>
      <c r="I42" s="68">
        <v>7325076</v>
      </c>
      <c r="J42" s="69" t="s">
        <v>158</v>
      </c>
      <c r="K42" s="68" t="s">
        <v>83</v>
      </c>
      <c r="L42" s="69" t="s">
        <v>84</v>
      </c>
      <c r="M42" s="68">
        <v>92890700</v>
      </c>
      <c r="N42" s="171">
        <v>45718</v>
      </c>
      <c r="O42" s="235"/>
    </row>
    <row r="43" spans="1:15" s="53" customFormat="1" ht="15.75" x14ac:dyDescent="0.25">
      <c r="A43" s="54">
        <v>40</v>
      </c>
      <c r="B43" s="49">
        <v>3176</v>
      </c>
      <c r="C43" s="87" t="s">
        <v>159</v>
      </c>
      <c r="D43" s="56">
        <v>621.70000000000005</v>
      </c>
      <c r="E43" s="57" t="s">
        <v>16</v>
      </c>
      <c r="F43" s="58">
        <f t="shared" si="2"/>
        <v>155.42500000000001</v>
      </c>
      <c r="G43" s="58"/>
      <c r="H43" s="58">
        <f t="shared" si="3"/>
        <v>155.42500000000001</v>
      </c>
      <c r="I43" s="88">
        <v>12178145</v>
      </c>
      <c r="J43" s="89" t="s">
        <v>160</v>
      </c>
      <c r="K43" s="88" t="s">
        <v>40</v>
      </c>
      <c r="L43" s="89" t="s">
        <v>19</v>
      </c>
      <c r="M43" s="88">
        <v>93348565</v>
      </c>
      <c r="N43" s="61"/>
      <c r="O43" s="235"/>
    </row>
    <row r="44" spans="1:15" s="53" customFormat="1" ht="15.75" x14ac:dyDescent="0.25">
      <c r="A44" s="54">
        <v>41</v>
      </c>
      <c r="B44" s="49">
        <v>3179</v>
      </c>
      <c r="C44" s="50" t="s">
        <v>161</v>
      </c>
      <c r="D44" s="56">
        <v>2367.6999999999998</v>
      </c>
      <c r="E44" s="57" t="s">
        <v>16</v>
      </c>
      <c r="F44" s="58">
        <f t="shared" si="2"/>
        <v>591.92499999999995</v>
      </c>
      <c r="G44" s="58"/>
      <c r="H44" s="58">
        <f t="shared" si="3"/>
        <v>591.92499999999995</v>
      </c>
      <c r="I44" s="51">
        <v>1870852</v>
      </c>
      <c r="J44" s="52" t="s">
        <v>162</v>
      </c>
      <c r="K44" s="51" t="s">
        <v>88</v>
      </c>
      <c r="L44" s="52" t="s">
        <v>89</v>
      </c>
      <c r="M44" s="51">
        <v>99050691</v>
      </c>
      <c r="N44" s="61"/>
      <c r="O44" s="235"/>
    </row>
    <row r="45" spans="1:15" s="53" customFormat="1" ht="15.75" x14ac:dyDescent="0.25">
      <c r="A45" s="54">
        <v>42</v>
      </c>
      <c r="B45" s="49">
        <v>3181</v>
      </c>
      <c r="C45" s="50" t="s">
        <v>163</v>
      </c>
      <c r="D45" s="56">
        <v>1919.2</v>
      </c>
      <c r="E45" s="57" t="s">
        <v>16</v>
      </c>
      <c r="F45" s="58">
        <f t="shared" si="2"/>
        <v>479.8</v>
      </c>
      <c r="G45" s="58"/>
      <c r="H45" s="58">
        <f t="shared" si="3"/>
        <v>479.8</v>
      </c>
      <c r="I45" s="51">
        <v>6116067</v>
      </c>
      <c r="J45" s="52" t="s">
        <v>164</v>
      </c>
      <c r="K45" s="51" t="s">
        <v>88</v>
      </c>
      <c r="L45" s="52" t="s">
        <v>89</v>
      </c>
      <c r="M45" s="51">
        <v>99191102</v>
      </c>
      <c r="N45" s="61"/>
      <c r="O45" s="235"/>
    </row>
    <row r="46" spans="1:15" s="53" customFormat="1" ht="15.75" x14ac:dyDescent="0.25">
      <c r="A46" s="62">
        <v>43</v>
      </c>
      <c r="B46" s="63">
        <v>3183</v>
      </c>
      <c r="C46" s="72" t="s">
        <v>165</v>
      </c>
      <c r="D46" s="65">
        <v>457.7</v>
      </c>
      <c r="E46" s="66" t="s">
        <v>16</v>
      </c>
      <c r="F46" s="67">
        <f t="shared" si="2"/>
        <v>114.425</v>
      </c>
      <c r="G46" s="67">
        <f>110.47+3.955</f>
        <v>114.425</v>
      </c>
      <c r="H46" s="67">
        <f t="shared" si="3"/>
        <v>0</v>
      </c>
      <c r="I46" s="68">
        <v>4955092</v>
      </c>
      <c r="J46" s="69" t="s">
        <v>166</v>
      </c>
      <c r="K46" s="73" t="s">
        <v>40</v>
      </c>
      <c r="L46" s="69" t="s">
        <v>19</v>
      </c>
      <c r="M46" s="68">
        <v>98152775</v>
      </c>
      <c r="N46" s="171">
        <v>45658</v>
      </c>
      <c r="O46" s="235">
        <v>45677</v>
      </c>
    </row>
    <row r="47" spans="1:15" s="53" customFormat="1" ht="15.75" x14ac:dyDescent="0.25">
      <c r="A47" s="54">
        <v>44</v>
      </c>
      <c r="B47" s="49">
        <v>3184</v>
      </c>
      <c r="C47" s="50" t="s">
        <v>69</v>
      </c>
      <c r="D47" s="56">
        <v>1888.6</v>
      </c>
      <c r="E47" s="57" t="s">
        <v>16</v>
      </c>
      <c r="F47" s="58">
        <f t="shared" si="2"/>
        <v>472.15</v>
      </c>
      <c r="G47" s="58"/>
      <c r="H47" s="58">
        <f t="shared" si="3"/>
        <v>472.15</v>
      </c>
      <c r="I47" s="51">
        <v>6701602</v>
      </c>
      <c r="J47" s="52" t="s">
        <v>167</v>
      </c>
      <c r="K47" s="51" t="s">
        <v>36</v>
      </c>
      <c r="L47" s="52" t="s">
        <v>37</v>
      </c>
      <c r="M47" s="51">
        <v>99496161</v>
      </c>
      <c r="N47" s="61"/>
      <c r="O47" s="235"/>
    </row>
    <row r="48" spans="1:15" s="53" customFormat="1" ht="15.75" x14ac:dyDescent="0.25">
      <c r="A48" s="62">
        <v>45</v>
      </c>
      <c r="B48" s="63">
        <v>3185</v>
      </c>
      <c r="C48" s="64" t="s">
        <v>168</v>
      </c>
      <c r="D48" s="65">
        <v>1272.5999999999999</v>
      </c>
      <c r="E48" s="66" t="s">
        <v>16</v>
      </c>
      <c r="F48" s="67">
        <f t="shared" si="2"/>
        <v>318.14999999999998</v>
      </c>
      <c r="G48" s="67">
        <f>316.2+1.95</f>
        <v>318.14999999999998</v>
      </c>
      <c r="H48" s="67">
        <f t="shared" si="3"/>
        <v>0</v>
      </c>
      <c r="I48" s="68">
        <v>15179209</v>
      </c>
      <c r="J48" s="69" t="s">
        <v>169</v>
      </c>
      <c r="K48" s="68" t="s">
        <v>40</v>
      </c>
      <c r="L48" s="69" t="s">
        <v>19</v>
      </c>
      <c r="M48" s="68">
        <v>94919974</v>
      </c>
      <c r="N48" s="171">
        <v>45663</v>
      </c>
      <c r="O48" s="235">
        <v>45718</v>
      </c>
    </row>
    <row r="49" spans="1:15" s="53" customFormat="1" ht="15.75" x14ac:dyDescent="0.25">
      <c r="A49" s="62">
        <v>46</v>
      </c>
      <c r="B49" s="63">
        <v>3188</v>
      </c>
      <c r="C49" s="64" t="s">
        <v>170</v>
      </c>
      <c r="D49" s="65">
        <v>1116.4000000000001</v>
      </c>
      <c r="E49" s="66" t="s">
        <v>16</v>
      </c>
      <c r="F49" s="67">
        <f t="shared" si="2"/>
        <v>279.10000000000002</v>
      </c>
      <c r="G49" s="67">
        <f>278.45+0.65</f>
        <v>279.09999999999997</v>
      </c>
      <c r="H49" s="67">
        <f t="shared" si="3"/>
        <v>0</v>
      </c>
      <c r="I49" s="68">
        <v>19290729</v>
      </c>
      <c r="J49" s="69" t="s">
        <v>171</v>
      </c>
      <c r="K49" s="69" t="s">
        <v>36</v>
      </c>
      <c r="L49" s="69" t="s">
        <v>37</v>
      </c>
      <c r="M49" s="68">
        <v>95606029</v>
      </c>
      <c r="N49" s="171">
        <v>45663</v>
      </c>
      <c r="O49" s="235">
        <v>45680</v>
      </c>
    </row>
    <row r="50" spans="1:15" s="53" customFormat="1" ht="15.75" x14ac:dyDescent="0.25">
      <c r="A50" s="62">
        <v>47</v>
      </c>
      <c r="B50" s="63">
        <v>3189</v>
      </c>
      <c r="C50" s="64" t="s">
        <v>172</v>
      </c>
      <c r="D50" s="65">
        <v>1236</v>
      </c>
      <c r="E50" s="66" t="s">
        <v>16</v>
      </c>
      <c r="F50" s="67">
        <f t="shared" si="2"/>
        <v>309</v>
      </c>
      <c r="G50" s="67">
        <f>302.575+6.425</f>
        <v>309</v>
      </c>
      <c r="H50" s="67">
        <f t="shared" si="3"/>
        <v>0</v>
      </c>
      <c r="I50" s="68">
        <v>2802613</v>
      </c>
      <c r="J50" s="69" t="s">
        <v>173</v>
      </c>
      <c r="K50" s="68" t="s">
        <v>40</v>
      </c>
      <c r="L50" s="69" t="s">
        <v>19</v>
      </c>
      <c r="M50" s="68">
        <v>99480848</v>
      </c>
      <c r="N50" s="171">
        <v>45658</v>
      </c>
      <c r="O50" s="235">
        <v>45693</v>
      </c>
    </row>
    <row r="51" spans="1:15" s="53" customFormat="1" ht="15.75" x14ac:dyDescent="0.25">
      <c r="A51" s="54">
        <v>48</v>
      </c>
      <c r="B51" s="85">
        <v>3190</v>
      </c>
      <c r="C51" s="50" t="s">
        <v>174</v>
      </c>
      <c r="D51" s="56">
        <v>20.9</v>
      </c>
      <c r="E51" s="57" t="s">
        <v>16</v>
      </c>
      <c r="F51" s="58">
        <f t="shared" si="2"/>
        <v>5.2249999999999996</v>
      </c>
      <c r="G51" s="58"/>
      <c r="H51" s="58">
        <f t="shared" si="3"/>
        <v>5.2249999999999996</v>
      </c>
      <c r="I51" s="51">
        <v>3555896</v>
      </c>
      <c r="J51" s="194" t="s">
        <v>175</v>
      </c>
      <c r="K51" s="51" t="s">
        <v>40</v>
      </c>
      <c r="L51" s="52" t="s">
        <v>19</v>
      </c>
      <c r="M51" s="51">
        <v>92881155</v>
      </c>
      <c r="N51" s="61"/>
      <c r="O51" s="235"/>
    </row>
    <row r="52" spans="1:15" s="53" customFormat="1" ht="15.75" x14ac:dyDescent="0.25">
      <c r="A52" s="54">
        <v>49</v>
      </c>
      <c r="B52" s="85">
        <v>3192</v>
      </c>
      <c r="C52" s="50" t="s">
        <v>38</v>
      </c>
      <c r="D52" s="56">
        <v>1011.2</v>
      </c>
      <c r="E52" s="57" t="s">
        <v>16</v>
      </c>
      <c r="F52" s="58">
        <f t="shared" si="2"/>
        <v>252.8</v>
      </c>
      <c r="G52" s="58"/>
      <c r="H52" s="58">
        <f t="shared" si="3"/>
        <v>252.8</v>
      </c>
      <c r="I52" s="51">
        <v>5271448</v>
      </c>
      <c r="J52" s="52" t="s">
        <v>39</v>
      </c>
      <c r="K52" s="51" t="s">
        <v>40</v>
      </c>
      <c r="L52" s="52" t="s">
        <v>19</v>
      </c>
      <c r="M52" s="51">
        <v>99489918</v>
      </c>
      <c r="N52" s="61"/>
      <c r="O52" s="235"/>
    </row>
    <row r="53" spans="1:15" s="92" customFormat="1" ht="15.75" x14ac:dyDescent="0.25">
      <c r="A53" s="54">
        <v>50</v>
      </c>
      <c r="B53" s="49">
        <v>3195</v>
      </c>
      <c r="C53" s="50" t="s">
        <v>176</v>
      </c>
      <c r="D53" s="56">
        <v>632.70000000000005</v>
      </c>
      <c r="E53" s="57" t="s">
        <v>16</v>
      </c>
      <c r="F53" s="58">
        <f t="shared" si="2"/>
        <v>158.17500000000001</v>
      </c>
      <c r="G53" s="58"/>
      <c r="H53" s="58">
        <f t="shared" si="3"/>
        <v>158.17500000000001</v>
      </c>
      <c r="I53" s="51">
        <v>675849</v>
      </c>
      <c r="J53" s="52" t="s">
        <v>177</v>
      </c>
      <c r="K53" s="51" t="s">
        <v>36</v>
      </c>
      <c r="L53" s="52" t="s">
        <v>37</v>
      </c>
      <c r="M53" s="51">
        <v>99483811</v>
      </c>
      <c r="N53" s="61"/>
      <c r="O53" s="235"/>
    </row>
    <row r="54" spans="1:15" s="92" customFormat="1" ht="15.75" x14ac:dyDescent="0.25">
      <c r="A54" s="54">
        <v>51</v>
      </c>
      <c r="B54" s="49">
        <v>3196</v>
      </c>
      <c r="C54" s="93" t="s">
        <v>178</v>
      </c>
      <c r="D54" s="56">
        <v>630.20000000000005</v>
      </c>
      <c r="E54" s="57" t="s">
        <v>16</v>
      </c>
      <c r="F54" s="58">
        <f t="shared" si="2"/>
        <v>157.55000000000001</v>
      </c>
      <c r="G54" s="58"/>
      <c r="H54" s="58">
        <f t="shared" si="3"/>
        <v>157.55000000000001</v>
      </c>
      <c r="I54" s="51">
        <v>21080217</v>
      </c>
      <c r="J54" s="52" t="s">
        <v>179</v>
      </c>
      <c r="K54" s="51" t="s">
        <v>40</v>
      </c>
      <c r="L54" s="52" t="s">
        <v>19</v>
      </c>
      <c r="M54" s="51">
        <v>95490778</v>
      </c>
      <c r="N54" s="61"/>
      <c r="O54" s="235"/>
    </row>
    <row r="55" spans="1:15" s="92" customFormat="1" ht="15.75" x14ac:dyDescent="0.25">
      <c r="A55" s="54">
        <v>52</v>
      </c>
      <c r="B55" s="49">
        <v>3197</v>
      </c>
      <c r="C55" s="50" t="s">
        <v>180</v>
      </c>
      <c r="D55" s="56">
        <v>1612.7</v>
      </c>
      <c r="E55" s="57" t="s">
        <v>16</v>
      </c>
      <c r="F55" s="58">
        <f t="shared" si="2"/>
        <v>403.17500000000001</v>
      </c>
      <c r="G55" s="58"/>
      <c r="H55" s="58">
        <f t="shared" si="3"/>
        <v>403.17500000000001</v>
      </c>
      <c r="I55" s="51">
        <v>6479515</v>
      </c>
      <c r="J55" s="52" t="s">
        <v>181</v>
      </c>
      <c r="K55" s="51" t="s">
        <v>40</v>
      </c>
      <c r="L55" s="52" t="s">
        <v>19</v>
      </c>
      <c r="M55" s="51">
        <v>92349032</v>
      </c>
      <c r="N55" s="61"/>
      <c r="O55" s="235"/>
    </row>
    <row r="56" spans="1:15" s="92" customFormat="1" ht="15.75" x14ac:dyDescent="0.25">
      <c r="A56" s="54">
        <v>53</v>
      </c>
      <c r="B56" s="49">
        <v>3198</v>
      </c>
      <c r="C56" s="74" t="s">
        <v>44</v>
      </c>
      <c r="D56" s="111">
        <v>627.6</v>
      </c>
      <c r="E56" s="57" t="s">
        <v>16</v>
      </c>
      <c r="F56" s="58">
        <f t="shared" si="2"/>
        <v>156.9</v>
      </c>
      <c r="G56" s="58"/>
      <c r="H56" s="58">
        <f t="shared" si="3"/>
        <v>156.9</v>
      </c>
      <c r="I56" s="75">
        <v>6360793</v>
      </c>
      <c r="J56" s="52" t="s">
        <v>45</v>
      </c>
      <c r="K56" s="75" t="s">
        <v>46</v>
      </c>
      <c r="L56" s="76" t="s">
        <v>47</v>
      </c>
      <c r="M56" s="51">
        <v>99336200</v>
      </c>
      <c r="N56" s="61"/>
      <c r="O56" s="235"/>
    </row>
    <row r="57" spans="1:15" s="53" customFormat="1" ht="15.75" x14ac:dyDescent="0.25">
      <c r="A57" s="120">
        <v>54</v>
      </c>
      <c r="B57" s="121">
        <v>3310</v>
      </c>
      <c r="C57" s="122" t="s">
        <v>182</v>
      </c>
      <c r="D57" s="123">
        <v>1274.8</v>
      </c>
      <c r="E57" s="124" t="s">
        <v>16</v>
      </c>
      <c r="F57" s="125">
        <f t="shared" si="2"/>
        <v>318.7</v>
      </c>
      <c r="G57" s="125">
        <f>F57</f>
        <v>318.7</v>
      </c>
      <c r="H57" s="125">
        <f t="shared" si="3"/>
        <v>0</v>
      </c>
      <c r="I57" s="126">
        <v>1007615</v>
      </c>
      <c r="J57" s="127" t="s">
        <v>183</v>
      </c>
      <c r="K57" s="126" t="s">
        <v>40</v>
      </c>
      <c r="L57" s="127" t="s">
        <v>19</v>
      </c>
      <c r="M57" s="126">
        <v>99056614</v>
      </c>
      <c r="N57" s="128" t="s">
        <v>239</v>
      </c>
      <c r="O57" s="235"/>
    </row>
    <row r="58" spans="1:15" s="53" customFormat="1" ht="15.75" x14ac:dyDescent="0.25">
      <c r="A58" s="54">
        <v>55</v>
      </c>
      <c r="B58" s="49">
        <v>3324</v>
      </c>
      <c r="C58" s="51" t="s">
        <v>184</v>
      </c>
      <c r="D58" s="56">
        <v>1247.5</v>
      </c>
      <c r="E58" s="57" t="s">
        <v>16</v>
      </c>
      <c r="F58" s="58">
        <f t="shared" si="2"/>
        <v>311.875</v>
      </c>
      <c r="G58" s="58"/>
      <c r="H58" s="58">
        <f t="shared" si="3"/>
        <v>311.875</v>
      </c>
      <c r="I58" s="52">
        <v>207402</v>
      </c>
      <c r="J58" s="52" t="s">
        <v>185</v>
      </c>
      <c r="K58" s="52" t="s">
        <v>40</v>
      </c>
      <c r="L58" s="52" t="s">
        <v>19</v>
      </c>
      <c r="M58" s="51">
        <v>99487533</v>
      </c>
      <c r="N58" s="61"/>
      <c r="O58" s="235"/>
    </row>
    <row r="59" spans="1:15" s="53" customFormat="1" ht="15.75" x14ac:dyDescent="0.25">
      <c r="A59" s="54">
        <v>56</v>
      </c>
      <c r="B59" s="49">
        <v>3330</v>
      </c>
      <c r="C59" s="51" t="s">
        <v>186</v>
      </c>
      <c r="D59" s="56">
        <v>1932</v>
      </c>
      <c r="E59" s="57" t="s">
        <v>16</v>
      </c>
      <c r="F59" s="58">
        <f t="shared" si="2"/>
        <v>483</v>
      </c>
      <c r="G59" s="58"/>
      <c r="H59" s="58">
        <f t="shared" si="3"/>
        <v>483</v>
      </c>
      <c r="I59" s="52">
        <v>6375079</v>
      </c>
      <c r="J59" s="52" t="s">
        <v>187</v>
      </c>
      <c r="K59" s="52" t="s">
        <v>188</v>
      </c>
      <c r="L59" s="52" t="s">
        <v>19</v>
      </c>
      <c r="M59" s="51"/>
      <c r="N59" s="94"/>
      <c r="O59" s="235"/>
    </row>
    <row r="60" spans="1:15" s="53" customFormat="1" ht="15.75" x14ac:dyDescent="0.25">
      <c r="A60" s="54">
        <v>57</v>
      </c>
      <c r="B60" s="49">
        <v>3333</v>
      </c>
      <c r="C60" s="51" t="s">
        <v>189</v>
      </c>
      <c r="D60" s="56">
        <v>1803.9</v>
      </c>
      <c r="E60" s="57" t="s">
        <v>16</v>
      </c>
      <c r="F60" s="58">
        <f t="shared" si="2"/>
        <v>450.97500000000002</v>
      </c>
      <c r="G60" s="95"/>
      <c r="H60" s="58">
        <f t="shared" si="3"/>
        <v>450.97500000000002</v>
      </c>
      <c r="I60" s="96">
        <v>757601</v>
      </c>
      <c r="J60" s="96" t="s">
        <v>190</v>
      </c>
      <c r="K60" s="96" t="s">
        <v>83</v>
      </c>
      <c r="L60" s="96" t="s">
        <v>84</v>
      </c>
      <c r="M60" s="97"/>
      <c r="N60" s="94"/>
      <c r="O60" s="235"/>
    </row>
    <row r="61" spans="1:15" s="53" customFormat="1" ht="15.75" x14ac:dyDescent="0.25">
      <c r="A61" s="54">
        <v>58</v>
      </c>
      <c r="B61" s="138">
        <v>3339</v>
      </c>
      <c r="C61" s="143" t="s">
        <v>191</v>
      </c>
      <c r="D61" s="140">
        <v>545.20000000000005</v>
      </c>
      <c r="E61" s="141" t="s">
        <v>16</v>
      </c>
      <c r="F61" s="142">
        <f t="shared" si="2"/>
        <v>136.30000000000001</v>
      </c>
      <c r="G61" s="142">
        <f>F61</f>
        <v>136.30000000000001</v>
      </c>
      <c r="H61" s="142">
        <f t="shared" si="3"/>
        <v>0</v>
      </c>
      <c r="I61" s="192">
        <v>12415718</v>
      </c>
      <c r="J61" s="192" t="s">
        <v>192</v>
      </c>
      <c r="K61" s="143" t="s">
        <v>40</v>
      </c>
      <c r="L61" s="192" t="s">
        <v>19</v>
      </c>
      <c r="M61" s="143"/>
      <c r="N61" s="193" t="s">
        <v>121</v>
      </c>
      <c r="O61" s="235"/>
    </row>
    <row r="62" spans="1:15" s="53" customFormat="1" ht="15.75" x14ac:dyDescent="0.25">
      <c r="A62" s="62">
        <v>59</v>
      </c>
      <c r="B62" s="63">
        <v>3500</v>
      </c>
      <c r="C62" s="68" t="s">
        <v>193</v>
      </c>
      <c r="D62" s="65">
        <v>590.5</v>
      </c>
      <c r="E62" s="66" t="s">
        <v>16</v>
      </c>
      <c r="F62" s="67">
        <f t="shared" si="2"/>
        <v>147.625</v>
      </c>
      <c r="G62" s="67">
        <f>147.07+0.555</f>
        <v>147.625</v>
      </c>
      <c r="H62" s="67">
        <f t="shared" si="3"/>
        <v>0</v>
      </c>
      <c r="I62" s="69">
        <v>13525845</v>
      </c>
      <c r="J62" s="69" t="s">
        <v>194</v>
      </c>
      <c r="K62" s="68" t="s">
        <v>83</v>
      </c>
      <c r="L62" s="69" t="s">
        <v>84</v>
      </c>
      <c r="M62" s="68">
        <v>93985671</v>
      </c>
      <c r="N62" s="117">
        <v>45658</v>
      </c>
      <c r="O62" s="235" t="s">
        <v>251</v>
      </c>
    </row>
    <row r="63" spans="1:15" s="91" customFormat="1" ht="15.75" x14ac:dyDescent="0.25">
      <c r="A63" s="62">
        <v>60</v>
      </c>
      <c r="B63" s="63">
        <v>3501</v>
      </c>
      <c r="C63" s="68" t="s">
        <v>195</v>
      </c>
      <c r="D63" s="65">
        <v>1888.9</v>
      </c>
      <c r="E63" s="66" t="s">
        <v>16</v>
      </c>
      <c r="F63" s="67">
        <f t="shared" si="2"/>
        <v>472.22500000000002</v>
      </c>
      <c r="G63" s="67">
        <f>471.775</f>
        <v>471.77499999999998</v>
      </c>
      <c r="H63" s="67">
        <f t="shared" si="3"/>
        <v>0.45000000000004547</v>
      </c>
      <c r="I63" s="69">
        <v>13525794</v>
      </c>
      <c r="J63" s="69" t="s">
        <v>196</v>
      </c>
      <c r="K63" s="68" t="s">
        <v>40</v>
      </c>
      <c r="L63" s="69" t="s">
        <v>19</v>
      </c>
      <c r="M63" s="68">
        <v>92868004</v>
      </c>
      <c r="N63" s="117">
        <v>45932</v>
      </c>
      <c r="O63" s="236"/>
    </row>
    <row r="64" spans="1:15" s="53" customFormat="1" ht="15.75" x14ac:dyDescent="0.25">
      <c r="A64" s="54">
        <v>61</v>
      </c>
      <c r="B64" s="49">
        <v>3502</v>
      </c>
      <c r="C64" s="93" t="s">
        <v>198</v>
      </c>
      <c r="D64" s="56">
        <v>1231.2</v>
      </c>
      <c r="E64" s="57" t="s">
        <v>16</v>
      </c>
      <c r="F64" s="58">
        <f t="shared" si="2"/>
        <v>307.8</v>
      </c>
      <c r="G64" s="58"/>
      <c r="H64" s="58">
        <f t="shared" si="3"/>
        <v>307.8</v>
      </c>
      <c r="I64" s="52">
        <v>22522336</v>
      </c>
      <c r="J64" s="52" t="s">
        <v>199</v>
      </c>
      <c r="K64" s="51" t="s">
        <v>36</v>
      </c>
      <c r="L64" s="52" t="s">
        <v>37</v>
      </c>
      <c r="M64" s="51"/>
      <c r="N64" s="26"/>
      <c r="O64" s="235"/>
    </row>
    <row r="65" spans="1:15" s="53" customFormat="1" ht="15.75" x14ac:dyDescent="0.25">
      <c r="A65" s="54">
        <v>62</v>
      </c>
      <c r="B65" s="49">
        <v>3503</v>
      </c>
      <c r="C65" s="51" t="s">
        <v>200</v>
      </c>
      <c r="D65" s="56">
        <v>642.6</v>
      </c>
      <c r="E65" s="57" t="s">
        <v>16</v>
      </c>
      <c r="F65" s="58">
        <f t="shared" si="2"/>
        <v>160.65</v>
      </c>
      <c r="G65" s="58"/>
      <c r="H65" s="58">
        <f t="shared" si="3"/>
        <v>160.65</v>
      </c>
      <c r="I65" s="52">
        <v>9212492</v>
      </c>
      <c r="J65" s="52" t="s">
        <v>201</v>
      </c>
      <c r="K65" s="51" t="s">
        <v>40</v>
      </c>
      <c r="L65" s="52" t="s">
        <v>19</v>
      </c>
      <c r="M65" s="51">
        <v>98080144</v>
      </c>
      <c r="N65" s="26"/>
      <c r="O65" s="235"/>
    </row>
    <row r="66" spans="1:15" s="195" customFormat="1" ht="15.75" x14ac:dyDescent="0.25">
      <c r="A66" s="137">
        <v>63</v>
      </c>
      <c r="B66" s="138">
        <v>3504</v>
      </c>
      <c r="C66" s="143" t="s">
        <v>202</v>
      </c>
      <c r="D66" s="140">
        <v>1228</v>
      </c>
      <c r="E66" s="141" t="s">
        <v>16</v>
      </c>
      <c r="F66" s="142">
        <f t="shared" si="2"/>
        <v>307</v>
      </c>
      <c r="G66" s="142">
        <f>F66</f>
        <v>307</v>
      </c>
      <c r="H66" s="142">
        <f t="shared" si="3"/>
        <v>0</v>
      </c>
      <c r="I66" s="192">
        <v>939641</v>
      </c>
      <c r="J66" s="192" t="s">
        <v>203</v>
      </c>
      <c r="K66" s="143" t="s">
        <v>40</v>
      </c>
      <c r="L66" s="192" t="s">
        <v>19</v>
      </c>
      <c r="M66" s="143">
        <v>99588609</v>
      </c>
      <c r="N66" s="269">
        <v>45902</v>
      </c>
      <c r="O66" s="238"/>
    </row>
    <row r="67" spans="1:15" s="53" customFormat="1" ht="15.75" x14ac:dyDescent="0.25">
      <c r="A67" s="54">
        <v>64</v>
      </c>
      <c r="B67" s="49">
        <v>3506</v>
      </c>
      <c r="C67" s="51" t="s">
        <v>205</v>
      </c>
      <c r="D67" s="56">
        <v>557.5</v>
      </c>
      <c r="E67" s="57" t="s">
        <v>16</v>
      </c>
      <c r="F67" s="58">
        <f t="shared" si="2"/>
        <v>139.375</v>
      </c>
      <c r="G67" s="58"/>
      <c r="H67" s="58">
        <f t="shared" si="3"/>
        <v>139.375</v>
      </c>
      <c r="I67" s="52">
        <v>13307752</v>
      </c>
      <c r="J67" s="52" t="s">
        <v>206</v>
      </c>
      <c r="K67" s="51" t="s">
        <v>40</v>
      </c>
      <c r="L67" s="52" t="s">
        <v>19</v>
      </c>
      <c r="M67" s="51">
        <v>99294425</v>
      </c>
      <c r="N67" s="26"/>
      <c r="O67" s="235"/>
    </row>
    <row r="68" spans="1:15" s="53" customFormat="1" ht="15.75" x14ac:dyDescent="0.25">
      <c r="A68" s="54">
        <v>65</v>
      </c>
      <c r="B68" s="49">
        <v>3507</v>
      </c>
      <c r="C68" s="51" t="s">
        <v>207</v>
      </c>
      <c r="D68" s="56">
        <v>445.7</v>
      </c>
      <c r="E68" s="57" t="s">
        <v>16</v>
      </c>
      <c r="F68" s="58">
        <f t="shared" ref="F68:F83" si="4">D68*E68</f>
        <v>111.425</v>
      </c>
      <c r="G68" s="58"/>
      <c r="H68" s="58">
        <f t="shared" ref="H68:H83" si="5">F68-G68</f>
        <v>111.425</v>
      </c>
      <c r="I68" s="52">
        <v>1184669</v>
      </c>
      <c r="J68" s="52" t="s">
        <v>208</v>
      </c>
      <c r="K68" s="51" t="s">
        <v>36</v>
      </c>
      <c r="L68" s="52" t="s">
        <v>37</v>
      </c>
      <c r="M68" s="51">
        <v>99291928</v>
      </c>
      <c r="N68" s="26"/>
      <c r="O68" s="235"/>
    </row>
    <row r="69" spans="1:15" s="53" customFormat="1" ht="15.75" x14ac:dyDescent="0.25">
      <c r="A69" s="54">
        <v>66</v>
      </c>
      <c r="B69" s="49">
        <v>3508</v>
      </c>
      <c r="C69" s="51" t="s">
        <v>49</v>
      </c>
      <c r="D69" s="56">
        <v>634.1</v>
      </c>
      <c r="E69" s="57" t="s">
        <v>16</v>
      </c>
      <c r="F69" s="58">
        <f t="shared" si="4"/>
        <v>158.52500000000001</v>
      </c>
      <c r="G69" s="58"/>
      <c r="H69" s="58">
        <f t="shared" si="5"/>
        <v>158.52500000000001</v>
      </c>
      <c r="I69" s="52">
        <v>2567166</v>
      </c>
      <c r="J69" s="52" t="s">
        <v>50</v>
      </c>
      <c r="K69" s="51" t="s">
        <v>40</v>
      </c>
      <c r="L69" s="52" t="s">
        <v>19</v>
      </c>
      <c r="M69" s="51">
        <v>92570156</v>
      </c>
      <c r="N69" s="26"/>
      <c r="O69" s="235"/>
    </row>
    <row r="70" spans="1:15" s="53" customFormat="1" ht="15.75" x14ac:dyDescent="0.25">
      <c r="A70" s="54">
        <v>67</v>
      </c>
      <c r="B70" s="49">
        <v>3509</v>
      </c>
      <c r="C70" s="93" t="s">
        <v>209</v>
      </c>
      <c r="D70" s="56">
        <v>589.9</v>
      </c>
      <c r="E70" s="57" t="s">
        <v>16</v>
      </c>
      <c r="F70" s="58">
        <f t="shared" si="4"/>
        <v>147.47499999999999</v>
      </c>
      <c r="G70" s="58"/>
      <c r="H70" s="58">
        <f t="shared" si="5"/>
        <v>147.47499999999999</v>
      </c>
      <c r="I70" s="52">
        <v>22760088</v>
      </c>
      <c r="J70" s="52" t="s">
        <v>210</v>
      </c>
      <c r="K70" s="51" t="s">
        <v>88</v>
      </c>
      <c r="L70" s="52" t="s">
        <v>89</v>
      </c>
      <c r="M70" s="51">
        <v>91476443</v>
      </c>
      <c r="N70" s="26"/>
      <c r="O70" s="235"/>
    </row>
    <row r="71" spans="1:15" s="53" customFormat="1" ht="15.75" x14ac:dyDescent="0.25">
      <c r="A71" s="54">
        <v>68</v>
      </c>
      <c r="B71" s="49">
        <v>3510</v>
      </c>
      <c r="C71" s="93" t="s">
        <v>211</v>
      </c>
      <c r="D71" s="56">
        <v>620.5</v>
      </c>
      <c r="E71" s="57" t="s">
        <v>16</v>
      </c>
      <c r="F71" s="58">
        <f t="shared" si="4"/>
        <v>155.125</v>
      </c>
      <c r="G71" s="58"/>
      <c r="H71" s="58">
        <f t="shared" si="5"/>
        <v>155.125</v>
      </c>
      <c r="I71" s="52">
        <v>6920351</v>
      </c>
      <c r="J71" s="52" t="s">
        <v>212</v>
      </c>
      <c r="K71" s="51" t="s">
        <v>40</v>
      </c>
      <c r="L71" s="52" t="s">
        <v>19</v>
      </c>
      <c r="M71" s="51">
        <v>98933077</v>
      </c>
      <c r="N71" s="26"/>
      <c r="O71" s="235"/>
    </row>
    <row r="72" spans="1:15" s="53" customFormat="1" ht="15.75" x14ac:dyDescent="0.25">
      <c r="A72" s="62">
        <v>69</v>
      </c>
      <c r="B72" s="63">
        <v>3511</v>
      </c>
      <c r="C72" s="100" t="s">
        <v>21</v>
      </c>
      <c r="D72" s="101">
        <v>1050</v>
      </c>
      <c r="E72" s="66" t="s">
        <v>16</v>
      </c>
      <c r="F72" s="67">
        <f t="shared" si="4"/>
        <v>262.5</v>
      </c>
      <c r="G72" s="102">
        <f>257.525+4.975</f>
        <v>262.5</v>
      </c>
      <c r="H72" s="67">
        <f t="shared" si="5"/>
        <v>0</v>
      </c>
      <c r="I72" s="103">
        <v>2640016</v>
      </c>
      <c r="J72" s="103" t="s">
        <v>22</v>
      </c>
      <c r="K72" s="100" t="s">
        <v>23</v>
      </c>
      <c r="L72" s="103" t="s">
        <v>24</v>
      </c>
      <c r="M72" s="104">
        <v>92953388</v>
      </c>
      <c r="N72" s="117">
        <v>45658</v>
      </c>
      <c r="O72" s="235">
        <v>45685</v>
      </c>
    </row>
    <row r="73" spans="1:15" s="53" customFormat="1" ht="15.75" x14ac:dyDescent="0.25">
      <c r="A73" s="54">
        <v>70</v>
      </c>
      <c r="B73" s="49">
        <v>3512</v>
      </c>
      <c r="C73" s="98" t="s">
        <v>213</v>
      </c>
      <c r="D73" s="99">
        <v>459.6</v>
      </c>
      <c r="E73" s="57" t="s">
        <v>16</v>
      </c>
      <c r="F73" s="58">
        <f t="shared" si="4"/>
        <v>114.9</v>
      </c>
      <c r="G73" s="95"/>
      <c r="H73" s="58">
        <f t="shared" si="5"/>
        <v>114.9</v>
      </c>
      <c r="I73" s="96">
        <v>5514631</v>
      </c>
      <c r="J73" s="96" t="s">
        <v>214</v>
      </c>
      <c r="K73" s="98" t="s">
        <v>36</v>
      </c>
      <c r="L73" s="98" t="s">
        <v>37</v>
      </c>
      <c r="M73" s="97"/>
      <c r="N73" s="26"/>
      <c r="O73" s="235"/>
    </row>
    <row r="74" spans="1:15" s="53" customFormat="1" ht="15.75" x14ac:dyDescent="0.25">
      <c r="A74" s="62">
        <v>71</v>
      </c>
      <c r="B74" s="63">
        <v>3513</v>
      </c>
      <c r="C74" s="100" t="s">
        <v>215</v>
      </c>
      <c r="D74" s="101">
        <v>2566.6</v>
      </c>
      <c r="E74" s="66" t="s">
        <v>16</v>
      </c>
      <c r="F74" s="67">
        <f t="shared" si="4"/>
        <v>641.65</v>
      </c>
      <c r="G74" s="102">
        <f>641.25+0.4</f>
        <v>641.65</v>
      </c>
      <c r="H74" s="67">
        <f t="shared" si="5"/>
        <v>0</v>
      </c>
      <c r="I74" s="103">
        <v>7047376</v>
      </c>
      <c r="J74" s="103" t="s">
        <v>216</v>
      </c>
      <c r="K74" s="100" t="s">
        <v>36</v>
      </c>
      <c r="L74" s="103" t="s">
        <v>37</v>
      </c>
      <c r="M74" s="104">
        <v>90106022</v>
      </c>
      <c r="N74" s="117">
        <v>45656</v>
      </c>
      <c r="O74" s="235">
        <v>45691</v>
      </c>
    </row>
    <row r="75" spans="1:15" s="53" customFormat="1" ht="18" customHeight="1" x14ac:dyDescent="0.25">
      <c r="A75" s="62">
        <v>72</v>
      </c>
      <c r="B75" s="63">
        <v>3514</v>
      </c>
      <c r="C75" s="100" t="s">
        <v>217</v>
      </c>
      <c r="D75" s="101">
        <v>1396.9</v>
      </c>
      <c r="E75" s="66" t="s">
        <v>16</v>
      </c>
      <c r="F75" s="67">
        <f t="shared" si="4"/>
        <v>349.22500000000002</v>
      </c>
      <c r="G75" s="102">
        <f>345.4752</f>
        <v>345.47519999999997</v>
      </c>
      <c r="H75" s="67">
        <f t="shared" si="5"/>
        <v>3.7498000000000502</v>
      </c>
      <c r="I75" s="103">
        <v>440083</v>
      </c>
      <c r="J75" s="69" t="s">
        <v>218</v>
      </c>
      <c r="K75" s="68" t="s">
        <v>188</v>
      </c>
      <c r="L75" s="69" t="s">
        <v>19</v>
      </c>
      <c r="M75" s="104">
        <v>92363355</v>
      </c>
      <c r="N75" s="117">
        <v>45656</v>
      </c>
      <c r="O75" s="235"/>
    </row>
    <row r="76" spans="1:15" s="53" customFormat="1" ht="15.75" x14ac:dyDescent="0.25">
      <c r="A76" s="62">
        <v>73</v>
      </c>
      <c r="B76" s="63">
        <v>3515</v>
      </c>
      <c r="C76" s="100" t="s">
        <v>51</v>
      </c>
      <c r="D76" s="101">
        <v>1205.3</v>
      </c>
      <c r="E76" s="66" t="s">
        <v>16</v>
      </c>
      <c r="F76" s="67">
        <f t="shared" si="4"/>
        <v>301.32499999999999</v>
      </c>
      <c r="G76" s="102">
        <f>294.175+7.15</f>
        <v>301.32499999999999</v>
      </c>
      <c r="H76" s="67">
        <f t="shared" si="5"/>
        <v>0</v>
      </c>
      <c r="I76" s="103">
        <v>6645198</v>
      </c>
      <c r="J76" s="103" t="s">
        <v>52</v>
      </c>
      <c r="K76" s="68" t="s">
        <v>36</v>
      </c>
      <c r="L76" s="69" t="s">
        <v>37</v>
      </c>
      <c r="M76" s="104">
        <v>94411217</v>
      </c>
      <c r="N76" s="117">
        <v>45658</v>
      </c>
      <c r="O76" s="235">
        <v>45693</v>
      </c>
    </row>
    <row r="77" spans="1:15" s="53" customFormat="1" ht="15.75" x14ac:dyDescent="0.25">
      <c r="A77" s="54">
        <v>74</v>
      </c>
      <c r="B77" s="49">
        <v>3516</v>
      </c>
      <c r="C77" s="98" t="s">
        <v>219</v>
      </c>
      <c r="D77" s="99">
        <v>1360.8</v>
      </c>
      <c r="E77" s="57" t="s">
        <v>16</v>
      </c>
      <c r="F77" s="58">
        <f t="shared" si="4"/>
        <v>340.2</v>
      </c>
      <c r="G77" s="95"/>
      <c r="H77" s="58">
        <f t="shared" si="5"/>
        <v>340.2</v>
      </c>
      <c r="I77" s="96">
        <v>1165877</v>
      </c>
      <c r="J77" s="96" t="s">
        <v>220</v>
      </c>
      <c r="K77" s="98" t="s">
        <v>36</v>
      </c>
      <c r="L77" s="52" t="s">
        <v>37</v>
      </c>
      <c r="M77" s="97"/>
      <c r="N77" s="26"/>
      <c r="O77" s="235"/>
    </row>
    <row r="78" spans="1:15" s="53" customFormat="1" ht="15.75" x14ac:dyDescent="0.25">
      <c r="A78" s="137">
        <v>75</v>
      </c>
      <c r="B78" s="138">
        <v>3517</v>
      </c>
      <c r="C78" s="145" t="s">
        <v>221</v>
      </c>
      <c r="D78" s="146">
        <v>1253.9000000000001</v>
      </c>
      <c r="E78" s="141" t="s">
        <v>16</v>
      </c>
      <c r="F78" s="142">
        <f t="shared" si="4"/>
        <v>313.47500000000002</v>
      </c>
      <c r="G78" s="147">
        <f>F78</f>
        <v>313.47500000000002</v>
      </c>
      <c r="H78" s="142">
        <f t="shared" si="5"/>
        <v>0</v>
      </c>
      <c r="I78" s="148">
        <v>7047081</v>
      </c>
      <c r="J78" s="148" t="s">
        <v>222</v>
      </c>
      <c r="K78" s="145" t="s">
        <v>36</v>
      </c>
      <c r="L78" s="192" t="s">
        <v>37</v>
      </c>
      <c r="M78" s="191"/>
      <c r="N78" s="149"/>
      <c r="O78" s="235"/>
    </row>
    <row r="79" spans="1:15" s="91" customFormat="1" ht="15.75" x14ac:dyDescent="0.25">
      <c r="A79" s="62">
        <v>76</v>
      </c>
      <c r="B79" s="63">
        <v>3518</v>
      </c>
      <c r="C79" s="100" t="s">
        <v>54</v>
      </c>
      <c r="D79" s="101">
        <v>473.4</v>
      </c>
      <c r="E79" s="66" t="s">
        <v>16</v>
      </c>
      <c r="F79" s="67">
        <f t="shared" si="4"/>
        <v>118.35</v>
      </c>
      <c r="G79" s="102">
        <f>F79</f>
        <v>118.35</v>
      </c>
      <c r="H79" s="67">
        <f t="shared" si="5"/>
        <v>0</v>
      </c>
      <c r="I79" s="103">
        <v>20386956</v>
      </c>
      <c r="J79" s="103" t="s">
        <v>55</v>
      </c>
      <c r="K79" s="68" t="s">
        <v>40</v>
      </c>
      <c r="L79" s="69" t="s">
        <v>19</v>
      </c>
      <c r="M79" s="104"/>
      <c r="N79" s="259" t="s">
        <v>272</v>
      </c>
      <c r="O79" s="236"/>
    </row>
    <row r="80" spans="1:15" s="53" customFormat="1" ht="15.75" x14ac:dyDescent="0.25">
      <c r="A80" s="137">
        <v>77</v>
      </c>
      <c r="B80" s="138">
        <v>3519</v>
      </c>
      <c r="C80" s="145" t="s">
        <v>223</v>
      </c>
      <c r="D80" s="146">
        <v>636.79999999999995</v>
      </c>
      <c r="E80" s="141" t="s">
        <v>16</v>
      </c>
      <c r="F80" s="142">
        <f t="shared" si="4"/>
        <v>159.19999999999999</v>
      </c>
      <c r="G80" s="147">
        <f>F80</f>
        <v>159.19999999999999</v>
      </c>
      <c r="H80" s="142">
        <f t="shared" si="5"/>
        <v>0</v>
      </c>
      <c r="I80" s="148">
        <v>7047221</v>
      </c>
      <c r="J80" s="148" t="s">
        <v>224</v>
      </c>
      <c r="K80" s="145" t="s">
        <v>36</v>
      </c>
      <c r="L80" s="192" t="s">
        <v>37</v>
      </c>
      <c r="M80" s="191"/>
      <c r="N80" s="190"/>
      <c r="O80" s="235"/>
    </row>
    <row r="81" spans="1:15" s="53" customFormat="1" ht="15.75" x14ac:dyDescent="0.25">
      <c r="A81" s="54">
        <v>78</v>
      </c>
      <c r="B81" s="49">
        <v>3520</v>
      </c>
      <c r="C81" s="98" t="s">
        <v>225</v>
      </c>
      <c r="D81" s="99">
        <v>879</v>
      </c>
      <c r="E81" s="57" t="s">
        <v>16</v>
      </c>
      <c r="F81" s="58">
        <f t="shared" si="4"/>
        <v>219.75</v>
      </c>
      <c r="G81" s="95"/>
      <c r="H81" s="58">
        <f t="shared" si="5"/>
        <v>219.75</v>
      </c>
      <c r="I81" s="96">
        <v>5665362</v>
      </c>
      <c r="J81" s="96" t="s">
        <v>226</v>
      </c>
      <c r="K81" s="98" t="s">
        <v>36</v>
      </c>
      <c r="L81" s="52" t="s">
        <v>37</v>
      </c>
      <c r="M81" s="97"/>
      <c r="N81" s="174"/>
      <c r="O81" s="235"/>
    </row>
    <row r="82" spans="1:15" s="53" customFormat="1" ht="15.75" x14ac:dyDescent="0.25">
      <c r="A82" s="54">
        <v>79</v>
      </c>
      <c r="B82" s="49">
        <v>3521</v>
      </c>
      <c r="C82" s="98" t="s">
        <v>227</v>
      </c>
      <c r="D82" s="99">
        <v>3692.4</v>
      </c>
      <c r="E82" s="57" t="s">
        <v>16</v>
      </c>
      <c r="F82" s="58">
        <f t="shared" si="4"/>
        <v>923.1</v>
      </c>
      <c r="G82" s="95"/>
      <c r="H82" s="58">
        <f t="shared" si="5"/>
        <v>923.1</v>
      </c>
      <c r="I82" s="96">
        <v>7064553</v>
      </c>
      <c r="J82" s="96" t="s">
        <v>228</v>
      </c>
      <c r="K82" s="51" t="s">
        <v>40</v>
      </c>
      <c r="L82" s="52" t="s">
        <v>19</v>
      </c>
      <c r="M82" s="97"/>
      <c r="N82" s="26"/>
      <c r="O82" s="235"/>
    </row>
    <row r="83" spans="1:15" s="53" customFormat="1" ht="15.75" x14ac:dyDescent="0.25">
      <c r="A83" s="54">
        <v>80</v>
      </c>
      <c r="B83" s="49">
        <v>3522</v>
      </c>
      <c r="C83" s="98" t="s">
        <v>229</v>
      </c>
      <c r="D83" s="99">
        <v>719</v>
      </c>
      <c r="E83" s="57" t="s">
        <v>16</v>
      </c>
      <c r="F83" s="58">
        <f t="shared" si="4"/>
        <v>179.75</v>
      </c>
      <c r="G83" s="95"/>
      <c r="H83" s="58">
        <f t="shared" si="5"/>
        <v>179.75</v>
      </c>
      <c r="I83" s="96">
        <v>11365191</v>
      </c>
      <c r="J83" s="96" t="s">
        <v>230</v>
      </c>
      <c r="K83" s="98" t="s">
        <v>36</v>
      </c>
      <c r="L83" s="52" t="s">
        <v>37</v>
      </c>
      <c r="M83" s="97"/>
      <c r="N83" s="26"/>
      <c r="O83" s="235"/>
    </row>
    <row r="84" spans="1:15" s="53" customFormat="1" ht="19.5" x14ac:dyDescent="0.25">
      <c r="A84" s="106"/>
      <c r="B84" s="106"/>
      <c r="C84" s="106"/>
      <c r="D84" s="107">
        <f>SUM(D4:D83)</f>
        <v>132127.92000000001</v>
      </c>
      <c r="E84" s="106" t="s">
        <v>26</v>
      </c>
      <c r="F84" s="106">
        <f>SUM(F4:F83)</f>
        <v>33031.980000000003</v>
      </c>
      <c r="G84" s="106">
        <f>SUM(G4:G83)</f>
        <v>13777.600199999999</v>
      </c>
      <c r="H84" s="106">
        <f>SUM(H4:H83)</f>
        <v>19254.379799999995</v>
      </c>
      <c r="I84" s="106"/>
      <c r="J84" s="106"/>
      <c r="K84" s="106"/>
      <c r="L84" s="106"/>
      <c r="M84" s="106"/>
      <c r="N84" s="108"/>
      <c r="O84" s="232"/>
    </row>
    <row r="85" spans="1:15" x14ac:dyDescent="0.25">
      <c r="F85" s="40"/>
      <c r="G85" s="40">
        <f>G57</f>
        <v>318.7</v>
      </c>
      <c r="H85" s="40"/>
    </row>
    <row r="86" spans="1:15" x14ac:dyDescent="0.25">
      <c r="D86" s="45"/>
      <c r="F86" s="45"/>
      <c r="G86" s="45">
        <f>G84-G85</f>
        <v>13458.900199999998</v>
      </c>
      <c r="H86" s="45"/>
    </row>
    <row r="87" spans="1:15" x14ac:dyDescent="0.25">
      <c r="F87" s="40"/>
      <c r="G87" s="198">
        <f>G86/F84</f>
        <v>0.40745060392988847</v>
      </c>
      <c r="H87" s="40"/>
    </row>
    <row r="88" spans="1:15" x14ac:dyDescent="0.25">
      <c r="F88" s="40"/>
      <c r="G88" s="40"/>
      <c r="H88" s="40"/>
    </row>
    <row r="89" spans="1:15" x14ac:dyDescent="0.25">
      <c r="F89" s="40"/>
      <c r="G89" s="40"/>
      <c r="H89" s="40"/>
    </row>
    <row r="90" spans="1:15" x14ac:dyDescent="0.25">
      <c r="F90" s="40"/>
      <c r="G90" s="40"/>
      <c r="H90" s="40"/>
    </row>
    <row r="91" spans="1:15" x14ac:dyDescent="0.25">
      <c r="F91" s="40"/>
      <c r="G91" s="40"/>
      <c r="H91" s="40"/>
    </row>
    <row r="92" spans="1:15" x14ac:dyDescent="0.25">
      <c r="F92" s="40"/>
      <c r="G92" s="40"/>
      <c r="H92" s="40"/>
    </row>
    <row r="93" spans="1:15" s="41" customFormat="1" x14ac:dyDescent="0.25">
      <c r="A93"/>
      <c r="B93"/>
      <c r="C93"/>
      <c r="D93" s="6"/>
      <c r="E93" s="6"/>
      <c r="F93" s="40"/>
      <c r="G93" s="40"/>
      <c r="H93" s="40"/>
      <c r="I93" s="44"/>
      <c r="N93" s="113"/>
      <c r="O93" s="239"/>
    </row>
    <row r="94" spans="1:15" s="41" customFormat="1" x14ac:dyDescent="0.25">
      <c r="A94"/>
      <c r="B94"/>
      <c r="C94"/>
      <c r="D94" s="6"/>
      <c r="E94" s="6"/>
      <c r="F94" s="40"/>
      <c r="G94" s="40"/>
      <c r="H94" s="40"/>
      <c r="I94" s="44"/>
      <c r="N94" s="113"/>
      <c r="O94" s="239"/>
    </row>
    <row r="95" spans="1:15" s="41" customFormat="1" x14ac:dyDescent="0.25">
      <c r="A95"/>
      <c r="B95"/>
      <c r="C95"/>
      <c r="D95" s="6"/>
      <c r="E95" s="6"/>
      <c r="F95" s="40"/>
      <c r="G95" s="40"/>
      <c r="H95" s="40"/>
      <c r="I95" s="44"/>
      <c r="N95" s="113"/>
      <c r="O95" s="239"/>
    </row>
    <row r="96" spans="1:15" s="41" customFormat="1" x14ac:dyDescent="0.25">
      <c r="A96"/>
      <c r="B96"/>
      <c r="C96"/>
      <c r="D96" s="6"/>
      <c r="E96" s="6"/>
      <c r="F96" s="40"/>
      <c r="G96" s="40"/>
      <c r="H96" s="40"/>
      <c r="I96" s="44"/>
      <c r="N96" s="113"/>
      <c r="O96" s="239"/>
    </row>
    <row r="97" spans="1:15" s="41" customFormat="1" x14ac:dyDescent="0.25">
      <c r="A97"/>
      <c r="B97"/>
      <c r="C97"/>
      <c r="D97" s="6"/>
      <c r="E97" s="6"/>
      <c r="F97" s="40"/>
      <c r="G97" s="40"/>
      <c r="H97" s="40"/>
      <c r="I97" s="44"/>
      <c r="N97" s="113"/>
      <c r="O97" s="239"/>
    </row>
    <row r="98" spans="1:15" s="41" customFormat="1" x14ac:dyDescent="0.25">
      <c r="A98"/>
      <c r="B98"/>
      <c r="C98"/>
      <c r="D98" s="6"/>
      <c r="E98" s="6"/>
      <c r="F98" s="40"/>
      <c r="G98" s="40"/>
      <c r="H98" s="40"/>
      <c r="I98" s="44"/>
      <c r="N98" s="113"/>
      <c r="O98" s="239"/>
    </row>
    <row r="99" spans="1:15" s="41" customFormat="1" x14ac:dyDescent="0.25">
      <c r="A99"/>
      <c r="B99"/>
      <c r="C99"/>
      <c r="D99" s="6"/>
      <c r="E99" s="6"/>
      <c r="F99" s="40"/>
      <c r="G99" s="40"/>
      <c r="H99" s="40"/>
      <c r="I99" s="44"/>
      <c r="N99" s="113"/>
      <c r="O99" s="239"/>
    </row>
    <row r="100" spans="1:15" s="41" customFormat="1" x14ac:dyDescent="0.25">
      <c r="A100"/>
      <c r="B100"/>
      <c r="C100"/>
      <c r="D100" s="6"/>
      <c r="E100" s="6"/>
      <c r="F100" s="40"/>
      <c r="G100" s="40"/>
      <c r="H100" s="40"/>
      <c r="I100" s="44"/>
      <c r="N100" s="113"/>
      <c r="O100" s="239"/>
    </row>
    <row r="101" spans="1:15" s="41" customFormat="1" x14ac:dyDescent="0.25">
      <c r="A101"/>
      <c r="B101"/>
      <c r="C101"/>
      <c r="D101" s="6"/>
      <c r="E101" s="6"/>
      <c r="F101" s="40"/>
      <c r="G101" s="40"/>
      <c r="H101" s="40"/>
      <c r="I101" s="44"/>
      <c r="N101" s="113"/>
      <c r="O101" s="239"/>
    </row>
    <row r="102" spans="1:15" s="41" customFormat="1" x14ac:dyDescent="0.25">
      <c r="A102"/>
      <c r="B102"/>
      <c r="C102"/>
      <c r="D102" s="6"/>
      <c r="E102" s="6"/>
      <c r="F102" s="40"/>
      <c r="G102" s="40"/>
      <c r="H102" s="40"/>
      <c r="I102" s="44"/>
      <c r="N102" s="113"/>
      <c r="O102" s="239"/>
    </row>
    <row r="103" spans="1:15" s="41" customFormat="1" x14ac:dyDescent="0.25">
      <c r="A103"/>
      <c r="B103"/>
      <c r="C103"/>
      <c r="D103" s="6"/>
      <c r="E103" s="6"/>
      <c r="F103" s="40"/>
      <c r="G103" s="40"/>
      <c r="H103" s="40"/>
      <c r="I103" s="44"/>
      <c r="N103" s="113"/>
      <c r="O103" s="239"/>
    </row>
    <row r="104" spans="1:15" s="41" customFormat="1" x14ac:dyDescent="0.25">
      <c r="A104"/>
      <c r="B104"/>
      <c r="C104"/>
      <c r="D104" s="6"/>
      <c r="E104" s="6"/>
      <c r="F104" s="40"/>
      <c r="G104" s="40"/>
      <c r="H104" s="40"/>
      <c r="I104" s="44"/>
      <c r="N104" s="113"/>
      <c r="O104" s="239"/>
    </row>
    <row r="105" spans="1:15" s="41" customFormat="1" x14ac:dyDescent="0.25">
      <c r="A105"/>
      <c r="B105"/>
      <c r="C105"/>
      <c r="D105" s="6"/>
      <c r="E105" s="6"/>
      <c r="F105" s="40"/>
      <c r="G105" s="40"/>
      <c r="H105" s="40"/>
      <c r="I105" s="44"/>
      <c r="N105" s="113"/>
      <c r="O105" s="239"/>
    </row>
    <row r="106" spans="1:15" s="41" customFormat="1" x14ac:dyDescent="0.25">
      <c r="A106"/>
      <c r="B106"/>
      <c r="C106"/>
      <c r="D106" s="6"/>
      <c r="E106" s="6"/>
      <c r="F106" s="40"/>
      <c r="G106" s="40"/>
      <c r="H106" s="40"/>
      <c r="I106" s="44"/>
      <c r="N106" s="113"/>
      <c r="O106" s="239"/>
    </row>
    <row r="107" spans="1:15" s="41" customFormat="1" x14ac:dyDescent="0.25">
      <c r="A107"/>
      <c r="B107"/>
      <c r="C107"/>
      <c r="D107" s="6"/>
      <c r="E107" s="6"/>
      <c r="F107" s="40"/>
      <c r="G107" s="40"/>
      <c r="H107" s="40"/>
      <c r="I107" s="44"/>
      <c r="N107" s="113"/>
      <c r="O107" s="239"/>
    </row>
    <row r="108" spans="1:15" s="41" customFormat="1" x14ac:dyDescent="0.25">
      <c r="A108"/>
      <c r="B108"/>
      <c r="C108"/>
      <c r="D108" s="6"/>
      <c r="E108" s="6"/>
      <c r="F108" s="40"/>
      <c r="G108" s="40"/>
      <c r="H108" s="40"/>
      <c r="I108" s="44"/>
      <c r="N108" s="113"/>
      <c r="O108" s="239"/>
    </row>
    <row r="109" spans="1:15" s="41" customFormat="1" x14ac:dyDescent="0.25">
      <c r="A109"/>
      <c r="B109"/>
      <c r="C109"/>
      <c r="D109" s="6"/>
      <c r="E109" s="6"/>
      <c r="F109" s="40"/>
      <c r="G109" s="40"/>
      <c r="H109" s="40"/>
      <c r="I109" s="44"/>
      <c r="N109" s="113"/>
      <c r="O109" s="239"/>
    </row>
    <row r="110" spans="1:15" s="41" customFormat="1" x14ac:dyDescent="0.25">
      <c r="A110"/>
      <c r="B110"/>
      <c r="C110"/>
      <c r="D110" s="6"/>
      <c r="E110" s="6"/>
      <c r="F110" s="40"/>
      <c r="G110" s="40"/>
      <c r="H110" s="40"/>
      <c r="I110" s="44"/>
      <c r="N110" s="113"/>
      <c r="O110" s="239"/>
    </row>
    <row r="111" spans="1:15" s="41" customFormat="1" x14ac:dyDescent="0.25">
      <c r="A111"/>
      <c r="B111"/>
      <c r="C111"/>
      <c r="D111" s="6"/>
      <c r="E111" s="6"/>
      <c r="F111" s="40"/>
      <c r="G111" s="40"/>
      <c r="H111" s="40"/>
      <c r="I111" s="44"/>
      <c r="N111" s="113"/>
      <c r="O111" s="239"/>
    </row>
    <row r="112" spans="1:15" s="41" customFormat="1" x14ac:dyDescent="0.25">
      <c r="A112"/>
      <c r="B112"/>
      <c r="C112"/>
      <c r="D112" s="6"/>
      <c r="E112" s="6"/>
      <c r="F112" s="40"/>
      <c r="G112" s="40"/>
      <c r="H112" s="40"/>
      <c r="I112" s="44"/>
      <c r="N112" s="113"/>
      <c r="O112" s="239"/>
    </row>
    <row r="113" spans="1:15" s="41" customFormat="1" x14ac:dyDescent="0.25">
      <c r="A113"/>
      <c r="B113"/>
      <c r="C113"/>
      <c r="D113" s="6"/>
      <c r="E113" s="6"/>
      <c r="F113" s="40"/>
      <c r="G113" s="40"/>
      <c r="H113" s="40"/>
      <c r="I113" s="44"/>
      <c r="N113" s="113"/>
      <c r="O113" s="239"/>
    </row>
    <row r="114" spans="1:15" s="41" customFormat="1" x14ac:dyDescent="0.25">
      <c r="A114"/>
      <c r="B114"/>
      <c r="C114"/>
      <c r="D114" s="6"/>
      <c r="E114" s="6"/>
      <c r="F114" s="40"/>
      <c r="G114" s="40"/>
      <c r="H114" s="40"/>
      <c r="I114" s="44"/>
      <c r="N114" s="113"/>
      <c r="O114" s="239"/>
    </row>
    <row r="115" spans="1:15" s="41" customFormat="1" x14ac:dyDescent="0.25">
      <c r="A115"/>
      <c r="B115"/>
      <c r="C115"/>
      <c r="D115" s="6"/>
      <c r="E115" s="6"/>
      <c r="F115" s="40"/>
      <c r="G115" s="40"/>
      <c r="H115" s="40"/>
      <c r="I115" s="44"/>
      <c r="N115" s="113"/>
      <c r="O115" s="239"/>
    </row>
  </sheetData>
  <autoFilter ref="D1:D115" xr:uid="{C4E73674-9B07-46AC-992D-3FECC910E243}"/>
  <mergeCells count="15">
    <mergeCell ref="A1:N1"/>
    <mergeCell ref="A2:A3"/>
    <mergeCell ref="B2:B3"/>
    <mergeCell ref="C2:C3"/>
    <mergeCell ref="D2:D3"/>
    <mergeCell ref="E2:E3"/>
    <mergeCell ref="F2:F3"/>
    <mergeCell ref="I2:I3"/>
    <mergeCell ref="J2:J3"/>
    <mergeCell ref="K2:K3"/>
    <mergeCell ref="G2:G3"/>
    <mergeCell ref="H2:H3"/>
    <mergeCell ref="L2:L3"/>
    <mergeCell ref="M2:M3"/>
    <mergeCell ref="N2:N3"/>
  </mergeCells>
  <pageMargins left="0.7" right="0.7" top="0.75" bottom="0.75" header="0.3" footer="0.3"/>
  <pageSetup paperSize="8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8740-24A1-4CDF-AE33-9A82FC788311}">
  <sheetPr codeName="Sheet8"/>
  <dimension ref="A1:K116"/>
  <sheetViews>
    <sheetView view="pageBreakPreview" zoomScaleNormal="100" zoomScaleSheetLayoutView="100" workbookViewId="0">
      <pane xSplit="3" ySplit="3" topLeftCell="D24" activePane="bottomRight" state="frozen"/>
      <selection activeCell="C92" sqref="C92"/>
      <selection pane="topRight" activeCell="C92" sqref="C92"/>
      <selection pane="bottomLeft" activeCell="C92" sqref="C92"/>
      <selection pane="bottomRight" activeCell="C92" sqref="C92"/>
    </sheetView>
  </sheetViews>
  <sheetFormatPr defaultRowHeight="15" x14ac:dyDescent="0.25"/>
  <cols>
    <col min="1" max="1" width="5.7109375" customWidth="1"/>
    <col min="2" max="2" width="9.28515625" customWidth="1"/>
    <col min="3" max="3" width="51.7109375" customWidth="1"/>
    <col min="4" max="4" width="19" style="6" customWidth="1"/>
    <col min="5" max="5" width="12.42578125" style="6" customWidth="1"/>
    <col min="6" max="6" width="16" style="6" bestFit="1" customWidth="1"/>
    <col min="7" max="8" width="16" style="6" customWidth="1"/>
    <col min="9" max="9" width="10.28515625" style="44" bestFit="1" customWidth="1"/>
    <col min="10" max="10" width="28" style="167" customWidth="1"/>
    <col min="11" max="11" width="14.28515625" style="159" customWidth="1"/>
    <col min="257" max="257" width="5.7109375" customWidth="1"/>
    <col min="258" max="258" width="9.28515625" customWidth="1"/>
    <col min="259" max="259" width="51.7109375" customWidth="1"/>
    <col min="260" max="260" width="19" customWidth="1"/>
    <col min="261" max="261" width="12.42578125" customWidth="1"/>
    <col min="262" max="262" width="16" bestFit="1" customWidth="1"/>
    <col min="263" max="264" width="16" customWidth="1"/>
    <col min="265" max="265" width="10.28515625" bestFit="1" customWidth="1"/>
    <col min="266" max="266" width="28" customWidth="1"/>
    <col min="267" max="267" width="11" customWidth="1"/>
    <col min="513" max="513" width="5.7109375" customWidth="1"/>
    <col min="514" max="514" width="9.28515625" customWidth="1"/>
    <col min="515" max="515" width="51.7109375" customWidth="1"/>
    <col min="516" max="516" width="19" customWidth="1"/>
    <col min="517" max="517" width="12.42578125" customWidth="1"/>
    <col min="518" max="518" width="16" bestFit="1" customWidth="1"/>
    <col min="519" max="520" width="16" customWidth="1"/>
    <col min="521" max="521" width="10.28515625" bestFit="1" customWidth="1"/>
    <col min="522" max="522" width="28" customWidth="1"/>
    <col min="523" max="523" width="11" customWidth="1"/>
    <col min="769" max="769" width="5.7109375" customWidth="1"/>
    <col min="770" max="770" width="9.28515625" customWidth="1"/>
    <col min="771" max="771" width="51.7109375" customWidth="1"/>
    <col min="772" max="772" width="19" customWidth="1"/>
    <col min="773" max="773" width="12.42578125" customWidth="1"/>
    <col min="774" max="774" width="16" bestFit="1" customWidth="1"/>
    <col min="775" max="776" width="16" customWidth="1"/>
    <col min="777" max="777" width="10.28515625" bestFit="1" customWidth="1"/>
    <col min="778" max="778" width="28" customWidth="1"/>
    <col min="779" max="779" width="11" customWidth="1"/>
    <col min="1025" max="1025" width="5.7109375" customWidth="1"/>
    <col min="1026" max="1026" width="9.28515625" customWidth="1"/>
    <col min="1027" max="1027" width="51.7109375" customWidth="1"/>
    <col min="1028" max="1028" width="19" customWidth="1"/>
    <col min="1029" max="1029" width="12.42578125" customWidth="1"/>
    <col min="1030" max="1030" width="16" bestFit="1" customWidth="1"/>
    <col min="1031" max="1032" width="16" customWidth="1"/>
    <col min="1033" max="1033" width="10.28515625" bestFit="1" customWidth="1"/>
    <col min="1034" max="1034" width="28" customWidth="1"/>
    <col min="1035" max="1035" width="11" customWidth="1"/>
    <col min="1281" max="1281" width="5.7109375" customWidth="1"/>
    <col min="1282" max="1282" width="9.28515625" customWidth="1"/>
    <col min="1283" max="1283" width="51.7109375" customWidth="1"/>
    <col min="1284" max="1284" width="19" customWidth="1"/>
    <col min="1285" max="1285" width="12.42578125" customWidth="1"/>
    <col min="1286" max="1286" width="16" bestFit="1" customWidth="1"/>
    <col min="1287" max="1288" width="16" customWidth="1"/>
    <col min="1289" max="1289" width="10.28515625" bestFit="1" customWidth="1"/>
    <col min="1290" max="1290" width="28" customWidth="1"/>
    <col min="1291" max="1291" width="11" customWidth="1"/>
    <col min="1537" max="1537" width="5.7109375" customWidth="1"/>
    <col min="1538" max="1538" width="9.28515625" customWidth="1"/>
    <col min="1539" max="1539" width="51.7109375" customWidth="1"/>
    <col min="1540" max="1540" width="19" customWidth="1"/>
    <col min="1541" max="1541" width="12.42578125" customWidth="1"/>
    <col min="1542" max="1542" width="16" bestFit="1" customWidth="1"/>
    <col min="1543" max="1544" width="16" customWidth="1"/>
    <col min="1545" max="1545" width="10.28515625" bestFit="1" customWidth="1"/>
    <col min="1546" max="1546" width="28" customWidth="1"/>
    <col min="1547" max="1547" width="11" customWidth="1"/>
    <col min="1793" max="1793" width="5.7109375" customWidth="1"/>
    <col min="1794" max="1794" width="9.28515625" customWidth="1"/>
    <col min="1795" max="1795" width="51.7109375" customWidth="1"/>
    <col min="1796" max="1796" width="19" customWidth="1"/>
    <col min="1797" max="1797" width="12.42578125" customWidth="1"/>
    <col min="1798" max="1798" width="16" bestFit="1" customWidth="1"/>
    <col min="1799" max="1800" width="16" customWidth="1"/>
    <col min="1801" max="1801" width="10.28515625" bestFit="1" customWidth="1"/>
    <col min="1802" max="1802" width="28" customWidth="1"/>
    <col min="1803" max="1803" width="11" customWidth="1"/>
    <col min="2049" max="2049" width="5.7109375" customWidth="1"/>
    <col min="2050" max="2050" width="9.28515625" customWidth="1"/>
    <col min="2051" max="2051" width="51.7109375" customWidth="1"/>
    <col min="2052" max="2052" width="19" customWidth="1"/>
    <col min="2053" max="2053" width="12.42578125" customWidth="1"/>
    <col min="2054" max="2054" width="16" bestFit="1" customWidth="1"/>
    <col min="2055" max="2056" width="16" customWidth="1"/>
    <col min="2057" max="2057" width="10.28515625" bestFit="1" customWidth="1"/>
    <col min="2058" max="2058" width="28" customWidth="1"/>
    <col min="2059" max="2059" width="11" customWidth="1"/>
    <col min="2305" max="2305" width="5.7109375" customWidth="1"/>
    <col min="2306" max="2306" width="9.28515625" customWidth="1"/>
    <col min="2307" max="2307" width="51.7109375" customWidth="1"/>
    <col min="2308" max="2308" width="19" customWidth="1"/>
    <col min="2309" max="2309" width="12.42578125" customWidth="1"/>
    <col min="2310" max="2310" width="16" bestFit="1" customWidth="1"/>
    <col min="2311" max="2312" width="16" customWidth="1"/>
    <col min="2313" max="2313" width="10.28515625" bestFit="1" customWidth="1"/>
    <col min="2314" max="2314" width="28" customWidth="1"/>
    <col min="2315" max="2315" width="11" customWidth="1"/>
    <col min="2561" max="2561" width="5.7109375" customWidth="1"/>
    <col min="2562" max="2562" width="9.28515625" customWidth="1"/>
    <col min="2563" max="2563" width="51.7109375" customWidth="1"/>
    <col min="2564" max="2564" width="19" customWidth="1"/>
    <col min="2565" max="2565" width="12.42578125" customWidth="1"/>
    <col min="2566" max="2566" width="16" bestFit="1" customWidth="1"/>
    <col min="2567" max="2568" width="16" customWidth="1"/>
    <col min="2569" max="2569" width="10.28515625" bestFit="1" customWidth="1"/>
    <col min="2570" max="2570" width="28" customWidth="1"/>
    <col min="2571" max="2571" width="11" customWidth="1"/>
    <col min="2817" max="2817" width="5.7109375" customWidth="1"/>
    <col min="2818" max="2818" width="9.28515625" customWidth="1"/>
    <col min="2819" max="2819" width="51.7109375" customWidth="1"/>
    <col min="2820" max="2820" width="19" customWidth="1"/>
    <col min="2821" max="2821" width="12.42578125" customWidth="1"/>
    <col min="2822" max="2822" width="16" bestFit="1" customWidth="1"/>
    <col min="2823" max="2824" width="16" customWidth="1"/>
    <col min="2825" max="2825" width="10.28515625" bestFit="1" customWidth="1"/>
    <col min="2826" max="2826" width="28" customWidth="1"/>
    <col min="2827" max="2827" width="11" customWidth="1"/>
    <col min="3073" max="3073" width="5.7109375" customWidth="1"/>
    <col min="3074" max="3074" width="9.28515625" customWidth="1"/>
    <col min="3075" max="3075" width="51.7109375" customWidth="1"/>
    <col min="3076" max="3076" width="19" customWidth="1"/>
    <col min="3077" max="3077" width="12.42578125" customWidth="1"/>
    <col min="3078" max="3078" width="16" bestFit="1" customWidth="1"/>
    <col min="3079" max="3080" width="16" customWidth="1"/>
    <col min="3081" max="3081" width="10.28515625" bestFit="1" customWidth="1"/>
    <col min="3082" max="3082" width="28" customWidth="1"/>
    <col min="3083" max="3083" width="11" customWidth="1"/>
    <col min="3329" max="3329" width="5.7109375" customWidth="1"/>
    <col min="3330" max="3330" width="9.28515625" customWidth="1"/>
    <col min="3331" max="3331" width="51.7109375" customWidth="1"/>
    <col min="3332" max="3332" width="19" customWidth="1"/>
    <col min="3333" max="3333" width="12.42578125" customWidth="1"/>
    <col min="3334" max="3334" width="16" bestFit="1" customWidth="1"/>
    <col min="3335" max="3336" width="16" customWidth="1"/>
    <col min="3337" max="3337" width="10.28515625" bestFit="1" customWidth="1"/>
    <col min="3338" max="3338" width="28" customWidth="1"/>
    <col min="3339" max="3339" width="11" customWidth="1"/>
    <col min="3585" max="3585" width="5.7109375" customWidth="1"/>
    <col min="3586" max="3586" width="9.28515625" customWidth="1"/>
    <col min="3587" max="3587" width="51.7109375" customWidth="1"/>
    <col min="3588" max="3588" width="19" customWidth="1"/>
    <col min="3589" max="3589" width="12.42578125" customWidth="1"/>
    <col min="3590" max="3590" width="16" bestFit="1" customWidth="1"/>
    <col min="3591" max="3592" width="16" customWidth="1"/>
    <col min="3593" max="3593" width="10.28515625" bestFit="1" customWidth="1"/>
    <col min="3594" max="3594" width="28" customWidth="1"/>
    <col min="3595" max="3595" width="11" customWidth="1"/>
    <col min="3841" max="3841" width="5.7109375" customWidth="1"/>
    <col min="3842" max="3842" width="9.28515625" customWidth="1"/>
    <col min="3843" max="3843" width="51.7109375" customWidth="1"/>
    <col min="3844" max="3844" width="19" customWidth="1"/>
    <col min="3845" max="3845" width="12.42578125" customWidth="1"/>
    <col min="3846" max="3846" width="16" bestFit="1" customWidth="1"/>
    <col min="3847" max="3848" width="16" customWidth="1"/>
    <col min="3849" max="3849" width="10.28515625" bestFit="1" customWidth="1"/>
    <col min="3850" max="3850" width="28" customWidth="1"/>
    <col min="3851" max="3851" width="11" customWidth="1"/>
    <col min="4097" max="4097" width="5.7109375" customWidth="1"/>
    <col min="4098" max="4098" width="9.28515625" customWidth="1"/>
    <col min="4099" max="4099" width="51.7109375" customWidth="1"/>
    <col min="4100" max="4100" width="19" customWidth="1"/>
    <col min="4101" max="4101" width="12.42578125" customWidth="1"/>
    <col min="4102" max="4102" width="16" bestFit="1" customWidth="1"/>
    <col min="4103" max="4104" width="16" customWidth="1"/>
    <col min="4105" max="4105" width="10.28515625" bestFit="1" customWidth="1"/>
    <col min="4106" max="4106" width="28" customWidth="1"/>
    <col min="4107" max="4107" width="11" customWidth="1"/>
    <col min="4353" max="4353" width="5.7109375" customWidth="1"/>
    <col min="4354" max="4354" width="9.28515625" customWidth="1"/>
    <col min="4355" max="4355" width="51.7109375" customWidth="1"/>
    <col min="4356" max="4356" width="19" customWidth="1"/>
    <col min="4357" max="4357" width="12.42578125" customWidth="1"/>
    <col min="4358" max="4358" width="16" bestFit="1" customWidth="1"/>
    <col min="4359" max="4360" width="16" customWidth="1"/>
    <col min="4361" max="4361" width="10.28515625" bestFit="1" customWidth="1"/>
    <col min="4362" max="4362" width="28" customWidth="1"/>
    <col min="4363" max="4363" width="11" customWidth="1"/>
    <col min="4609" max="4609" width="5.7109375" customWidth="1"/>
    <col min="4610" max="4610" width="9.28515625" customWidth="1"/>
    <col min="4611" max="4611" width="51.7109375" customWidth="1"/>
    <col min="4612" max="4612" width="19" customWidth="1"/>
    <col min="4613" max="4613" width="12.42578125" customWidth="1"/>
    <col min="4614" max="4614" width="16" bestFit="1" customWidth="1"/>
    <col min="4615" max="4616" width="16" customWidth="1"/>
    <col min="4617" max="4617" width="10.28515625" bestFit="1" customWidth="1"/>
    <col min="4618" max="4618" width="28" customWidth="1"/>
    <col min="4619" max="4619" width="11" customWidth="1"/>
    <col min="4865" max="4865" width="5.7109375" customWidth="1"/>
    <col min="4866" max="4866" width="9.28515625" customWidth="1"/>
    <col min="4867" max="4867" width="51.7109375" customWidth="1"/>
    <col min="4868" max="4868" width="19" customWidth="1"/>
    <col min="4869" max="4869" width="12.42578125" customWidth="1"/>
    <col min="4870" max="4870" width="16" bestFit="1" customWidth="1"/>
    <col min="4871" max="4872" width="16" customWidth="1"/>
    <col min="4873" max="4873" width="10.28515625" bestFit="1" customWidth="1"/>
    <col min="4874" max="4874" width="28" customWidth="1"/>
    <col min="4875" max="4875" width="11" customWidth="1"/>
    <col min="5121" max="5121" width="5.7109375" customWidth="1"/>
    <col min="5122" max="5122" width="9.28515625" customWidth="1"/>
    <col min="5123" max="5123" width="51.7109375" customWidth="1"/>
    <col min="5124" max="5124" width="19" customWidth="1"/>
    <col min="5125" max="5125" width="12.42578125" customWidth="1"/>
    <col min="5126" max="5126" width="16" bestFit="1" customWidth="1"/>
    <col min="5127" max="5128" width="16" customWidth="1"/>
    <col min="5129" max="5129" width="10.28515625" bestFit="1" customWidth="1"/>
    <col min="5130" max="5130" width="28" customWidth="1"/>
    <col min="5131" max="5131" width="11" customWidth="1"/>
    <col min="5377" max="5377" width="5.7109375" customWidth="1"/>
    <col min="5378" max="5378" width="9.28515625" customWidth="1"/>
    <col min="5379" max="5379" width="51.7109375" customWidth="1"/>
    <col min="5380" max="5380" width="19" customWidth="1"/>
    <col min="5381" max="5381" width="12.42578125" customWidth="1"/>
    <col min="5382" max="5382" width="16" bestFit="1" customWidth="1"/>
    <col min="5383" max="5384" width="16" customWidth="1"/>
    <col min="5385" max="5385" width="10.28515625" bestFit="1" customWidth="1"/>
    <col min="5386" max="5386" width="28" customWidth="1"/>
    <col min="5387" max="5387" width="11" customWidth="1"/>
    <col min="5633" max="5633" width="5.7109375" customWidth="1"/>
    <col min="5634" max="5634" width="9.28515625" customWidth="1"/>
    <col min="5635" max="5635" width="51.7109375" customWidth="1"/>
    <col min="5636" max="5636" width="19" customWidth="1"/>
    <col min="5637" max="5637" width="12.42578125" customWidth="1"/>
    <col min="5638" max="5638" width="16" bestFit="1" customWidth="1"/>
    <col min="5639" max="5640" width="16" customWidth="1"/>
    <col min="5641" max="5641" width="10.28515625" bestFit="1" customWidth="1"/>
    <col min="5642" max="5642" width="28" customWidth="1"/>
    <col min="5643" max="5643" width="11" customWidth="1"/>
    <col min="5889" max="5889" width="5.7109375" customWidth="1"/>
    <col min="5890" max="5890" width="9.28515625" customWidth="1"/>
    <col min="5891" max="5891" width="51.7109375" customWidth="1"/>
    <col min="5892" max="5892" width="19" customWidth="1"/>
    <col min="5893" max="5893" width="12.42578125" customWidth="1"/>
    <col min="5894" max="5894" width="16" bestFit="1" customWidth="1"/>
    <col min="5895" max="5896" width="16" customWidth="1"/>
    <col min="5897" max="5897" width="10.28515625" bestFit="1" customWidth="1"/>
    <col min="5898" max="5898" width="28" customWidth="1"/>
    <col min="5899" max="5899" width="11" customWidth="1"/>
    <col min="6145" max="6145" width="5.7109375" customWidth="1"/>
    <col min="6146" max="6146" width="9.28515625" customWidth="1"/>
    <col min="6147" max="6147" width="51.7109375" customWidth="1"/>
    <col min="6148" max="6148" width="19" customWidth="1"/>
    <col min="6149" max="6149" width="12.42578125" customWidth="1"/>
    <col min="6150" max="6150" width="16" bestFit="1" customWidth="1"/>
    <col min="6151" max="6152" width="16" customWidth="1"/>
    <col min="6153" max="6153" width="10.28515625" bestFit="1" customWidth="1"/>
    <col min="6154" max="6154" width="28" customWidth="1"/>
    <col min="6155" max="6155" width="11" customWidth="1"/>
    <col min="6401" max="6401" width="5.7109375" customWidth="1"/>
    <col min="6402" max="6402" width="9.28515625" customWidth="1"/>
    <col min="6403" max="6403" width="51.7109375" customWidth="1"/>
    <col min="6404" max="6404" width="19" customWidth="1"/>
    <col min="6405" max="6405" width="12.42578125" customWidth="1"/>
    <col min="6406" max="6406" width="16" bestFit="1" customWidth="1"/>
    <col min="6407" max="6408" width="16" customWidth="1"/>
    <col min="6409" max="6409" width="10.28515625" bestFit="1" customWidth="1"/>
    <col min="6410" max="6410" width="28" customWidth="1"/>
    <col min="6411" max="6411" width="11" customWidth="1"/>
    <col min="6657" max="6657" width="5.7109375" customWidth="1"/>
    <col min="6658" max="6658" width="9.28515625" customWidth="1"/>
    <col min="6659" max="6659" width="51.7109375" customWidth="1"/>
    <col min="6660" max="6660" width="19" customWidth="1"/>
    <col min="6661" max="6661" width="12.42578125" customWidth="1"/>
    <col min="6662" max="6662" width="16" bestFit="1" customWidth="1"/>
    <col min="6663" max="6664" width="16" customWidth="1"/>
    <col min="6665" max="6665" width="10.28515625" bestFit="1" customWidth="1"/>
    <col min="6666" max="6666" width="28" customWidth="1"/>
    <col min="6667" max="6667" width="11" customWidth="1"/>
    <col min="6913" max="6913" width="5.7109375" customWidth="1"/>
    <col min="6914" max="6914" width="9.28515625" customWidth="1"/>
    <col min="6915" max="6915" width="51.7109375" customWidth="1"/>
    <col min="6916" max="6916" width="19" customWidth="1"/>
    <col min="6917" max="6917" width="12.42578125" customWidth="1"/>
    <col min="6918" max="6918" width="16" bestFit="1" customWidth="1"/>
    <col min="6919" max="6920" width="16" customWidth="1"/>
    <col min="6921" max="6921" width="10.28515625" bestFit="1" customWidth="1"/>
    <col min="6922" max="6922" width="28" customWidth="1"/>
    <col min="6923" max="6923" width="11" customWidth="1"/>
    <col min="7169" max="7169" width="5.7109375" customWidth="1"/>
    <col min="7170" max="7170" width="9.28515625" customWidth="1"/>
    <col min="7171" max="7171" width="51.7109375" customWidth="1"/>
    <col min="7172" max="7172" width="19" customWidth="1"/>
    <col min="7173" max="7173" width="12.42578125" customWidth="1"/>
    <col min="7174" max="7174" width="16" bestFit="1" customWidth="1"/>
    <col min="7175" max="7176" width="16" customWidth="1"/>
    <col min="7177" max="7177" width="10.28515625" bestFit="1" customWidth="1"/>
    <col min="7178" max="7178" width="28" customWidth="1"/>
    <col min="7179" max="7179" width="11" customWidth="1"/>
    <col min="7425" max="7425" width="5.7109375" customWidth="1"/>
    <col min="7426" max="7426" width="9.28515625" customWidth="1"/>
    <col min="7427" max="7427" width="51.7109375" customWidth="1"/>
    <col min="7428" max="7428" width="19" customWidth="1"/>
    <col min="7429" max="7429" width="12.42578125" customWidth="1"/>
    <col min="7430" max="7430" width="16" bestFit="1" customWidth="1"/>
    <col min="7431" max="7432" width="16" customWidth="1"/>
    <col min="7433" max="7433" width="10.28515625" bestFit="1" customWidth="1"/>
    <col min="7434" max="7434" width="28" customWidth="1"/>
    <col min="7435" max="7435" width="11" customWidth="1"/>
    <col min="7681" max="7681" width="5.7109375" customWidth="1"/>
    <col min="7682" max="7682" width="9.28515625" customWidth="1"/>
    <col min="7683" max="7683" width="51.7109375" customWidth="1"/>
    <col min="7684" max="7684" width="19" customWidth="1"/>
    <col min="7685" max="7685" width="12.42578125" customWidth="1"/>
    <col min="7686" max="7686" width="16" bestFit="1" customWidth="1"/>
    <col min="7687" max="7688" width="16" customWidth="1"/>
    <col min="7689" max="7689" width="10.28515625" bestFit="1" customWidth="1"/>
    <col min="7690" max="7690" width="28" customWidth="1"/>
    <col min="7691" max="7691" width="11" customWidth="1"/>
    <col min="7937" max="7937" width="5.7109375" customWidth="1"/>
    <col min="7938" max="7938" width="9.28515625" customWidth="1"/>
    <col min="7939" max="7939" width="51.7109375" customWidth="1"/>
    <col min="7940" max="7940" width="19" customWidth="1"/>
    <col min="7941" max="7941" width="12.42578125" customWidth="1"/>
    <col min="7942" max="7942" width="16" bestFit="1" customWidth="1"/>
    <col min="7943" max="7944" width="16" customWidth="1"/>
    <col min="7945" max="7945" width="10.28515625" bestFit="1" customWidth="1"/>
    <col min="7946" max="7946" width="28" customWidth="1"/>
    <col min="7947" max="7947" width="11" customWidth="1"/>
    <col min="8193" max="8193" width="5.7109375" customWidth="1"/>
    <col min="8194" max="8194" width="9.28515625" customWidth="1"/>
    <col min="8195" max="8195" width="51.7109375" customWidth="1"/>
    <col min="8196" max="8196" width="19" customWidth="1"/>
    <col min="8197" max="8197" width="12.42578125" customWidth="1"/>
    <col min="8198" max="8198" width="16" bestFit="1" customWidth="1"/>
    <col min="8199" max="8200" width="16" customWidth="1"/>
    <col min="8201" max="8201" width="10.28515625" bestFit="1" customWidth="1"/>
    <col min="8202" max="8202" width="28" customWidth="1"/>
    <col min="8203" max="8203" width="11" customWidth="1"/>
    <col min="8449" max="8449" width="5.7109375" customWidth="1"/>
    <col min="8450" max="8450" width="9.28515625" customWidth="1"/>
    <col min="8451" max="8451" width="51.7109375" customWidth="1"/>
    <col min="8452" max="8452" width="19" customWidth="1"/>
    <col min="8453" max="8453" width="12.42578125" customWidth="1"/>
    <col min="8454" max="8454" width="16" bestFit="1" customWidth="1"/>
    <col min="8455" max="8456" width="16" customWidth="1"/>
    <col min="8457" max="8457" width="10.28515625" bestFit="1" customWidth="1"/>
    <col min="8458" max="8458" width="28" customWidth="1"/>
    <col min="8459" max="8459" width="11" customWidth="1"/>
    <col min="8705" max="8705" width="5.7109375" customWidth="1"/>
    <col min="8706" max="8706" width="9.28515625" customWidth="1"/>
    <col min="8707" max="8707" width="51.7109375" customWidth="1"/>
    <col min="8708" max="8708" width="19" customWidth="1"/>
    <col min="8709" max="8709" width="12.42578125" customWidth="1"/>
    <col min="8710" max="8710" width="16" bestFit="1" customWidth="1"/>
    <col min="8711" max="8712" width="16" customWidth="1"/>
    <col min="8713" max="8713" width="10.28515625" bestFit="1" customWidth="1"/>
    <col min="8714" max="8714" width="28" customWidth="1"/>
    <col min="8715" max="8715" width="11" customWidth="1"/>
    <col min="8961" max="8961" width="5.7109375" customWidth="1"/>
    <col min="8962" max="8962" width="9.28515625" customWidth="1"/>
    <col min="8963" max="8963" width="51.7109375" customWidth="1"/>
    <col min="8964" max="8964" width="19" customWidth="1"/>
    <col min="8965" max="8965" width="12.42578125" customWidth="1"/>
    <col min="8966" max="8966" width="16" bestFit="1" customWidth="1"/>
    <col min="8967" max="8968" width="16" customWidth="1"/>
    <col min="8969" max="8969" width="10.28515625" bestFit="1" customWidth="1"/>
    <col min="8970" max="8970" width="28" customWidth="1"/>
    <col min="8971" max="8971" width="11" customWidth="1"/>
    <col min="9217" max="9217" width="5.7109375" customWidth="1"/>
    <col min="9218" max="9218" width="9.28515625" customWidth="1"/>
    <col min="9219" max="9219" width="51.7109375" customWidth="1"/>
    <col min="9220" max="9220" width="19" customWidth="1"/>
    <col min="9221" max="9221" width="12.42578125" customWidth="1"/>
    <col min="9222" max="9222" width="16" bestFit="1" customWidth="1"/>
    <col min="9223" max="9224" width="16" customWidth="1"/>
    <col min="9225" max="9225" width="10.28515625" bestFit="1" customWidth="1"/>
    <col min="9226" max="9226" width="28" customWidth="1"/>
    <col min="9227" max="9227" width="11" customWidth="1"/>
    <col min="9473" max="9473" width="5.7109375" customWidth="1"/>
    <col min="9474" max="9474" width="9.28515625" customWidth="1"/>
    <col min="9475" max="9475" width="51.7109375" customWidth="1"/>
    <col min="9476" max="9476" width="19" customWidth="1"/>
    <col min="9477" max="9477" width="12.42578125" customWidth="1"/>
    <col min="9478" max="9478" width="16" bestFit="1" customWidth="1"/>
    <col min="9479" max="9480" width="16" customWidth="1"/>
    <col min="9481" max="9481" width="10.28515625" bestFit="1" customWidth="1"/>
    <col min="9482" max="9482" width="28" customWidth="1"/>
    <col min="9483" max="9483" width="11" customWidth="1"/>
    <col min="9729" max="9729" width="5.7109375" customWidth="1"/>
    <col min="9730" max="9730" width="9.28515625" customWidth="1"/>
    <col min="9731" max="9731" width="51.7109375" customWidth="1"/>
    <col min="9732" max="9732" width="19" customWidth="1"/>
    <col min="9733" max="9733" width="12.42578125" customWidth="1"/>
    <col min="9734" max="9734" width="16" bestFit="1" customWidth="1"/>
    <col min="9735" max="9736" width="16" customWidth="1"/>
    <col min="9737" max="9737" width="10.28515625" bestFit="1" customWidth="1"/>
    <col min="9738" max="9738" width="28" customWidth="1"/>
    <col min="9739" max="9739" width="11" customWidth="1"/>
    <col min="9985" max="9985" width="5.7109375" customWidth="1"/>
    <col min="9986" max="9986" width="9.28515625" customWidth="1"/>
    <col min="9987" max="9987" width="51.7109375" customWidth="1"/>
    <col min="9988" max="9988" width="19" customWidth="1"/>
    <col min="9989" max="9989" width="12.42578125" customWidth="1"/>
    <col min="9990" max="9990" width="16" bestFit="1" customWidth="1"/>
    <col min="9991" max="9992" width="16" customWidth="1"/>
    <col min="9993" max="9993" width="10.28515625" bestFit="1" customWidth="1"/>
    <col min="9994" max="9994" width="28" customWidth="1"/>
    <col min="9995" max="9995" width="11" customWidth="1"/>
    <col min="10241" max="10241" width="5.7109375" customWidth="1"/>
    <col min="10242" max="10242" width="9.28515625" customWidth="1"/>
    <col min="10243" max="10243" width="51.7109375" customWidth="1"/>
    <col min="10244" max="10244" width="19" customWidth="1"/>
    <col min="10245" max="10245" width="12.42578125" customWidth="1"/>
    <col min="10246" max="10246" width="16" bestFit="1" customWidth="1"/>
    <col min="10247" max="10248" width="16" customWidth="1"/>
    <col min="10249" max="10249" width="10.28515625" bestFit="1" customWidth="1"/>
    <col min="10250" max="10250" width="28" customWidth="1"/>
    <col min="10251" max="10251" width="11" customWidth="1"/>
    <col min="10497" max="10497" width="5.7109375" customWidth="1"/>
    <col min="10498" max="10498" width="9.28515625" customWidth="1"/>
    <col min="10499" max="10499" width="51.7109375" customWidth="1"/>
    <col min="10500" max="10500" width="19" customWidth="1"/>
    <col min="10501" max="10501" width="12.42578125" customWidth="1"/>
    <col min="10502" max="10502" width="16" bestFit="1" customWidth="1"/>
    <col min="10503" max="10504" width="16" customWidth="1"/>
    <col min="10505" max="10505" width="10.28515625" bestFit="1" customWidth="1"/>
    <col min="10506" max="10506" width="28" customWidth="1"/>
    <col min="10507" max="10507" width="11" customWidth="1"/>
    <col min="10753" max="10753" width="5.7109375" customWidth="1"/>
    <col min="10754" max="10754" width="9.28515625" customWidth="1"/>
    <col min="10755" max="10755" width="51.7109375" customWidth="1"/>
    <col min="10756" max="10756" width="19" customWidth="1"/>
    <col min="10757" max="10757" width="12.42578125" customWidth="1"/>
    <col min="10758" max="10758" width="16" bestFit="1" customWidth="1"/>
    <col min="10759" max="10760" width="16" customWidth="1"/>
    <col min="10761" max="10761" width="10.28515625" bestFit="1" customWidth="1"/>
    <col min="10762" max="10762" width="28" customWidth="1"/>
    <col min="10763" max="10763" width="11" customWidth="1"/>
    <col min="11009" max="11009" width="5.7109375" customWidth="1"/>
    <col min="11010" max="11010" width="9.28515625" customWidth="1"/>
    <col min="11011" max="11011" width="51.7109375" customWidth="1"/>
    <col min="11012" max="11012" width="19" customWidth="1"/>
    <col min="11013" max="11013" width="12.42578125" customWidth="1"/>
    <col min="11014" max="11014" width="16" bestFit="1" customWidth="1"/>
    <col min="11015" max="11016" width="16" customWidth="1"/>
    <col min="11017" max="11017" width="10.28515625" bestFit="1" customWidth="1"/>
    <col min="11018" max="11018" width="28" customWidth="1"/>
    <col min="11019" max="11019" width="11" customWidth="1"/>
    <col min="11265" max="11265" width="5.7109375" customWidth="1"/>
    <col min="11266" max="11266" width="9.28515625" customWidth="1"/>
    <col min="11267" max="11267" width="51.7109375" customWidth="1"/>
    <col min="11268" max="11268" width="19" customWidth="1"/>
    <col min="11269" max="11269" width="12.42578125" customWidth="1"/>
    <col min="11270" max="11270" width="16" bestFit="1" customWidth="1"/>
    <col min="11271" max="11272" width="16" customWidth="1"/>
    <col min="11273" max="11273" width="10.28515625" bestFit="1" customWidth="1"/>
    <col min="11274" max="11274" width="28" customWidth="1"/>
    <col min="11275" max="11275" width="11" customWidth="1"/>
    <col min="11521" max="11521" width="5.7109375" customWidth="1"/>
    <col min="11522" max="11522" width="9.28515625" customWidth="1"/>
    <col min="11523" max="11523" width="51.7109375" customWidth="1"/>
    <col min="11524" max="11524" width="19" customWidth="1"/>
    <col min="11525" max="11525" width="12.42578125" customWidth="1"/>
    <col min="11526" max="11526" width="16" bestFit="1" customWidth="1"/>
    <col min="11527" max="11528" width="16" customWidth="1"/>
    <col min="11529" max="11529" width="10.28515625" bestFit="1" customWidth="1"/>
    <col min="11530" max="11530" width="28" customWidth="1"/>
    <col min="11531" max="11531" width="11" customWidth="1"/>
    <col min="11777" max="11777" width="5.7109375" customWidth="1"/>
    <col min="11778" max="11778" width="9.28515625" customWidth="1"/>
    <col min="11779" max="11779" width="51.7109375" customWidth="1"/>
    <col min="11780" max="11780" width="19" customWidth="1"/>
    <col min="11781" max="11781" width="12.42578125" customWidth="1"/>
    <col min="11782" max="11782" width="16" bestFit="1" customWidth="1"/>
    <col min="11783" max="11784" width="16" customWidth="1"/>
    <col min="11785" max="11785" width="10.28515625" bestFit="1" customWidth="1"/>
    <col min="11786" max="11786" width="28" customWidth="1"/>
    <col min="11787" max="11787" width="11" customWidth="1"/>
    <col min="12033" max="12033" width="5.7109375" customWidth="1"/>
    <col min="12034" max="12034" width="9.28515625" customWidth="1"/>
    <col min="12035" max="12035" width="51.7109375" customWidth="1"/>
    <col min="12036" max="12036" width="19" customWidth="1"/>
    <col min="12037" max="12037" width="12.42578125" customWidth="1"/>
    <col min="12038" max="12038" width="16" bestFit="1" customWidth="1"/>
    <col min="12039" max="12040" width="16" customWidth="1"/>
    <col min="12041" max="12041" width="10.28515625" bestFit="1" customWidth="1"/>
    <col min="12042" max="12042" width="28" customWidth="1"/>
    <col min="12043" max="12043" width="11" customWidth="1"/>
    <col min="12289" max="12289" width="5.7109375" customWidth="1"/>
    <col min="12290" max="12290" width="9.28515625" customWidth="1"/>
    <col min="12291" max="12291" width="51.7109375" customWidth="1"/>
    <col min="12292" max="12292" width="19" customWidth="1"/>
    <col min="12293" max="12293" width="12.42578125" customWidth="1"/>
    <col min="12294" max="12294" width="16" bestFit="1" customWidth="1"/>
    <col min="12295" max="12296" width="16" customWidth="1"/>
    <col min="12297" max="12297" width="10.28515625" bestFit="1" customWidth="1"/>
    <col min="12298" max="12298" width="28" customWidth="1"/>
    <col min="12299" max="12299" width="11" customWidth="1"/>
    <col min="12545" max="12545" width="5.7109375" customWidth="1"/>
    <col min="12546" max="12546" width="9.28515625" customWidth="1"/>
    <col min="12547" max="12547" width="51.7109375" customWidth="1"/>
    <col min="12548" max="12548" width="19" customWidth="1"/>
    <col min="12549" max="12549" width="12.42578125" customWidth="1"/>
    <col min="12550" max="12550" width="16" bestFit="1" customWidth="1"/>
    <col min="12551" max="12552" width="16" customWidth="1"/>
    <col min="12553" max="12553" width="10.28515625" bestFit="1" customWidth="1"/>
    <col min="12554" max="12554" width="28" customWidth="1"/>
    <col min="12555" max="12555" width="11" customWidth="1"/>
    <col min="12801" max="12801" width="5.7109375" customWidth="1"/>
    <col min="12802" max="12802" width="9.28515625" customWidth="1"/>
    <col min="12803" max="12803" width="51.7109375" customWidth="1"/>
    <col min="12804" max="12804" width="19" customWidth="1"/>
    <col min="12805" max="12805" width="12.42578125" customWidth="1"/>
    <col min="12806" max="12806" width="16" bestFit="1" customWidth="1"/>
    <col min="12807" max="12808" width="16" customWidth="1"/>
    <col min="12809" max="12809" width="10.28515625" bestFit="1" customWidth="1"/>
    <col min="12810" max="12810" width="28" customWidth="1"/>
    <col min="12811" max="12811" width="11" customWidth="1"/>
    <col min="13057" max="13057" width="5.7109375" customWidth="1"/>
    <col min="13058" max="13058" width="9.28515625" customWidth="1"/>
    <col min="13059" max="13059" width="51.7109375" customWidth="1"/>
    <col min="13060" max="13060" width="19" customWidth="1"/>
    <col min="13061" max="13061" width="12.42578125" customWidth="1"/>
    <col min="13062" max="13062" width="16" bestFit="1" customWidth="1"/>
    <col min="13063" max="13064" width="16" customWidth="1"/>
    <col min="13065" max="13065" width="10.28515625" bestFit="1" customWidth="1"/>
    <col min="13066" max="13066" width="28" customWidth="1"/>
    <col min="13067" max="13067" width="11" customWidth="1"/>
    <col min="13313" max="13313" width="5.7109375" customWidth="1"/>
    <col min="13314" max="13314" width="9.28515625" customWidth="1"/>
    <col min="13315" max="13315" width="51.7109375" customWidth="1"/>
    <col min="13316" max="13316" width="19" customWidth="1"/>
    <col min="13317" max="13317" width="12.42578125" customWidth="1"/>
    <col min="13318" max="13318" width="16" bestFit="1" customWidth="1"/>
    <col min="13319" max="13320" width="16" customWidth="1"/>
    <col min="13321" max="13321" width="10.28515625" bestFit="1" customWidth="1"/>
    <col min="13322" max="13322" width="28" customWidth="1"/>
    <col min="13323" max="13323" width="11" customWidth="1"/>
    <col min="13569" max="13569" width="5.7109375" customWidth="1"/>
    <col min="13570" max="13570" width="9.28515625" customWidth="1"/>
    <col min="13571" max="13571" width="51.7109375" customWidth="1"/>
    <col min="13572" max="13572" width="19" customWidth="1"/>
    <col min="13573" max="13573" width="12.42578125" customWidth="1"/>
    <col min="13574" max="13574" width="16" bestFit="1" customWidth="1"/>
    <col min="13575" max="13576" width="16" customWidth="1"/>
    <col min="13577" max="13577" width="10.28515625" bestFit="1" customWidth="1"/>
    <col min="13578" max="13578" width="28" customWidth="1"/>
    <col min="13579" max="13579" width="11" customWidth="1"/>
    <col min="13825" max="13825" width="5.7109375" customWidth="1"/>
    <col min="13826" max="13826" width="9.28515625" customWidth="1"/>
    <col min="13827" max="13827" width="51.7109375" customWidth="1"/>
    <col min="13828" max="13828" width="19" customWidth="1"/>
    <col min="13829" max="13829" width="12.42578125" customWidth="1"/>
    <col min="13830" max="13830" width="16" bestFit="1" customWidth="1"/>
    <col min="13831" max="13832" width="16" customWidth="1"/>
    <col min="13833" max="13833" width="10.28515625" bestFit="1" customWidth="1"/>
    <col min="13834" max="13834" width="28" customWidth="1"/>
    <col min="13835" max="13835" width="11" customWidth="1"/>
    <col min="14081" max="14081" width="5.7109375" customWidth="1"/>
    <col min="14082" max="14082" width="9.28515625" customWidth="1"/>
    <col min="14083" max="14083" width="51.7109375" customWidth="1"/>
    <col min="14084" max="14084" width="19" customWidth="1"/>
    <col min="14085" max="14085" width="12.42578125" customWidth="1"/>
    <col min="14086" max="14086" width="16" bestFit="1" customWidth="1"/>
    <col min="14087" max="14088" width="16" customWidth="1"/>
    <col min="14089" max="14089" width="10.28515625" bestFit="1" customWidth="1"/>
    <col min="14090" max="14090" width="28" customWidth="1"/>
    <col min="14091" max="14091" width="11" customWidth="1"/>
    <col min="14337" max="14337" width="5.7109375" customWidth="1"/>
    <col min="14338" max="14338" width="9.28515625" customWidth="1"/>
    <col min="14339" max="14339" width="51.7109375" customWidth="1"/>
    <col min="14340" max="14340" width="19" customWidth="1"/>
    <col min="14341" max="14341" width="12.42578125" customWidth="1"/>
    <col min="14342" max="14342" width="16" bestFit="1" customWidth="1"/>
    <col min="14343" max="14344" width="16" customWidth="1"/>
    <col min="14345" max="14345" width="10.28515625" bestFit="1" customWidth="1"/>
    <col min="14346" max="14346" width="28" customWidth="1"/>
    <col min="14347" max="14347" width="11" customWidth="1"/>
    <col min="14593" max="14593" width="5.7109375" customWidth="1"/>
    <col min="14594" max="14594" width="9.28515625" customWidth="1"/>
    <col min="14595" max="14595" width="51.7109375" customWidth="1"/>
    <col min="14596" max="14596" width="19" customWidth="1"/>
    <col min="14597" max="14597" width="12.42578125" customWidth="1"/>
    <col min="14598" max="14598" width="16" bestFit="1" customWidth="1"/>
    <col min="14599" max="14600" width="16" customWidth="1"/>
    <col min="14601" max="14601" width="10.28515625" bestFit="1" customWidth="1"/>
    <col min="14602" max="14602" width="28" customWidth="1"/>
    <col min="14603" max="14603" width="11" customWidth="1"/>
    <col min="14849" max="14849" width="5.7109375" customWidth="1"/>
    <col min="14850" max="14850" width="9.28515625" customWidth="1"/>
    <col min="14851" max="14851" width="51.7109375" customWidth="1"/>
    <col min="14852" max="14852" width="19" customWidth="1"/>
    <col min="14853" max="14853" width="12.42578125" customWidth="1"/>
    <col min="14854" max="14854" width="16" bestFit="1" customWidth="1"/>
    <col min="14855" max="14856" width="16" customWidth="1"/>
    <col min="14857" max="14857" width="10.28515625" bestFit="1" customWidth="1"/>
    <col min="14858" max="14858" width="28" customWidth="1"/>
    <col min="14859" max="14859" width="11" customWidth="1"/>
    <col min="15105" max="15105" width="5.7109375" customWidth="1"/>
    <col min="15106" max="15106" width="9.28515625" customWidth="1"/>
    <col min="15107" max="15107" width="51.7109375" customWidth="1"/>
    <col min="15108" max="15108" width="19" customWidth="1"/>
    <col min="15109" max="15109" width="12.42578125" customWidth="1"/>
    <col min="15110" max="15110" width="16" bestFit="1" customWidth="1"/>
    <col min="15111" max="15112" width="16" customWidth="1"/>
    <col min="15113" max="15113" width="10.28515625" bestFit="1" customWidth="1"/>
    <col min="15114" max="15114" width="28" customWidth="1"/>
    <col min="15115" max="15115" width="11" customWidth="1"/>
    <col min="15361" max="15361" width="5.7109375" customWidth="1"/>
    <col min="15362" max="15362" width="9.28515625" customWidth="1"/>
    <col min="15363" max="15363" width="51.7109375" customWidth="1"/>
    <col min="15364" max="15364" width="19" customWidth="1"/>
    <col min="15365" max="15365" width="12.42578125" customWidth="1"/>
    <col min="15366" max="15366" width="16" bestFit="1" customWidth="1"/>
    <col min="15367" max="15368" width="16" customWidth="1"/>
    <col min="15369" max="15369" width="10.28515625" bestFit="1" customWidth="1"/>
    <col min="15370" max="15370" width="28" customWidth="1"/>
    <col min="15371" max="15371" width="11" customWidth="1"/>
    <col min="15617" max="15617" width="5.7109375" customWidth="1"/>
    <col min="15618" max="15618" width="9.28515625" customWidth="1"/>
    <col min="15619" max="15619" width="51.7109375" customWidth="1"/>
    <col min="15620" max="15620" width="19" customWidth="1"/>
    <col min="15621" max="15621" width="12.42578125" customWidth="1"/>
    <col min="15622" max="15622" width="16" bestFit="1" customWidth="1"/>
    <col min="15623" max="15624" width="16" customWidth="1"/>
    <col min="15625" max="15625" width="10.28515625" bestFit="1" customWidth="1"/>
    <col min="15626" max="15626" width="28" customWidth="1"/>
    <col min="15627" max="15627" width="11" customWidth="1"/>
    <col min="15873" max="15873" width="5.7109375" customWidth="1"/>
    <col min="15874" max="15874" width="9.28515625" customWidth="1"/>
    <col min="15875" max="15875" width="51.7109375" customWidth="1"/>
    <col min="15876" max="15876" width="19" customWidth="1"/>
    <col min="15877" max="15877" width="12.42578125" customWidth="1"/>
    <col min="15878" max="15878" width="16" bestFit="1" customWidth="1"/>
    <col min="15879" max="15880" width="16" customWidth="1"/>
    <col min="15881" max="15881" width="10.28515625" bestFit="1" customWidth="1"/>
    <col min="15882" max="15882" width="28" customWidth="1"/>
    <col min="15883" max="15883" width="11" customWidth="1"/>
    <col min="16129" max="16129" width="5.7109375" customWidth="1"/>
    <col min="16130" max="16130" width="9.28515625" customWidth="1"/>
    <col min="16131" max="16131" width="51.7109375" customWidth="1"/>
    <col min="16132" max="16132" width="19" customWidth="1"/>
    <col min="16133" max="16133" width="12.42578125" customWidth="1"/>
    <col min="16134" max="16134" width="16" bestFit="1" customWidth="1"/>
    <col min="16135" max="16136" width="16" customWidth="1"/>
    <col min="16137" max="16137" width="10.28515625" bestFit="1" customWidth="1"/>
    <col min="16138" max="16138" width="28" customWidth="1"/>
    <col min="16139" max="16139" width="11" customWidth="1"/>
  </cols>
  <sheetData>
    <row r="1" spans="1:11" s="8" customFormat="1" ht="30" customHeight="1" x14ac:dyDescent="0.25">
      <c r="A1" s="485" t="s">
        <v>252</v>
      </c>
      <c r="B1" s="485"/>
      <c r="C1" s="485"/>
      <c r="D1" s="485"/>
      <c r="E1" s="485"/>
      <c r="F1" s="485"/>
      <c r="G1" s="485"/>
      <c r="H1" s="485"/>
      <c r="I1" s="485"/>
      <c r="J1" s="485"/>
      <c r="K1" s="154"/>
    </row>
    <row r="2" spans="1:11" s="3" customFormat="1" ht="19.5" customHeight="1" x14ac:dyDescent="0.25">
      <c r="A2" s="496" t="s">
        <v>1</v>
      </c>
      <c r="B2" s="496" t="s">
        <v>2</v>
      </c>
      <c r="C2" s="497" t="s">
        <v>3</v>
      </c>
      <c r="D2" s="496" t="s">
        <v>4</v>
      </c>
      <c r="E2" s="496" t="s">
        <v>5</v>
      </c>
      <c r="F2" s="496" t="s">
        <v>6</v>
      </c>
      <c r="G2" s="496" t="s">
        <v>64</v>
      </c>
      <c r="H2" s="496" t="s">
        <v>65</v>
      </c>
      <c r="I2" s="498" t="s">
        <v>9</v>
      </c>
      <c r="J2" s="494" t="s">
        <v>14</v>
      </c>
      <c r="K2" s="155"/>
    </row>
    <row r="3" spans="1:11" s="3" customFormat="1" ht="26.25" customHeight="1" x14ac:dyDescent="0.25">
      <c r="A3" s="496"/>
      <c r="B3" s="496"/>
      <c r="C3" s="497"/>
      <c r="D3" s="496"/>
      <c r="E3" s="496"/>
      <c r="F3" s="496"/>
      <c r="G3" s="496"/>
      <c r="H3" s="496"/>
      <c r="I3" s="498"/>
      <c r="J3" s="495"/>
      <c r="K3" s="155"/>
    </row>
    <row r="4" spans="1:11" s="21" customFormat="1" x14ac:dyDescent="0.25">
      <c r="A4" s="12">
        <v>1</v>
      </c>
      <c r="B4" s="200">
        <v>1007</v>
      </c>
      <c r="C4" s="201" t="s">
        <v>73</v>
      </c>
      <c r="D4" s="202">
        <v>5918.3</v>
      </c>
      <c r="E4" s="203" t="s">
        <v>16</v>
      </c>
      <c r="F4" s="204">
        <f>D4*E4</f>
        <v>1479.575</v>
      </c>
      <c r="G4" s="204"/>
      <c r="H4" s="204">
        <f t="shared" ref="H4:H15" si="0">F4-G4</f>
        <v>1479.575</v>
      </c>
      <c r="I4" s="205">
        <v>1515504</v>
      </c>
      <c r="J4" s="246"/>
      <c r="K4" s="229"/>
    </row>
    <row r="5" spans="1:11" s="21" customFormat="1" x14ac:dyDescent="0.25">
      <c r="A5" s="12">
        <v>2</v>
      </c>
      <c r="B5" s="200">
        <v>1041</v>
      </c>
      <c r="C5" s="206" t="s">
        <v>77</v>
      </c>
      <c r="D5" s="202">
        <v>2883.4</v>
      </c>
      <c r="E5" s="203" t="s">
        <v>16</v>
      </c>
      <c r="F5" s="204">
        <f t="shared" ref="F5:F68" si="1">D5*E5</f>
        <v>720.85</v>
      </c>
      <c r="G5" s="204"/>
      <c r="H5" s="204">
        <f t="shared" si="0"/>
        <v>720.85</v>
      </c>
      <c r="I5" s="205">
        <v>6827729</v>
      </c>
      <c r="J5" s="246"/>
      <c r="K5" s="229"/>
    </row>
    <row r="6" spans="1:11" s="21" customFormat="1" x14ac:dyDescent="0.25">
      <c r="A6" s="210">
        <v>3</v>
      </c>
      <c r="B6" s="211">
        <v>1125</v>
      </c>
      <c r="C6" s="240" t="s">
        <v>79</v>
      </c>
      <c r="D6" s="213">
        <v>5823.6</v>
      </c>
      <c r="E6" s="214" t="s">
        <v>16</v>
      </c>
      <c r="F6" s="175">
        <f t="shared" si="1"/>
        <v>1455.9</v>
      </c>
      <c r="G6" s="175">
        <f>1455.6</f>
        <v>1455.6</v>
      </c>
      <c r="H6" s="175">
        <f t="shared" si="0"/>
        <v>0.3000000000001819</v>
      </c>
      <c r="I6" s="215">
        <v>6828774</v>
      </c>
      <c r="J6" s="264">
        <v>45691</v>
      </c>
      <c r="K6" s="229"/>
    </row>
    <row r="7" spans="1:11" s="21" customFormat="1" x14ac:dyDescent="0.25">
      <c r="A7" s="12">
        <v>4</v>
      </c>
      <c r="B7" s="200">
        <v>1222</v>
      </c>
      <c r="C7" s="206" t="s">
        <v>81</v>
      </c>
      <c r="D7" s="202">
        <v>106.4</v>
      </c>
      <c r="E7" s="203" t="s">
        <v>16</v>
      </c>
      <c r="F7" s="204">
        <f>D7*E7</f>
        <v>26.6</v>
      </c>
      <c r="G7" s="204"/>
      <c r="H7" s="204">
        <f t="shared" si="0"/>
        <v>26.6</v>
      </c>
      <c r="I7" s="205">
        <v>31221</v>
      </c>
      <c r="J7" s="247"/>
      <c r="K7" s="229"/>
    </row>
    <row r="8" spans="1:11" s="21" customFormat="1" x14ac:dyDescent="0.25">
      <c r="A8" s="12">
        <v>5</v>
      </c>
      <c r="B8" s="200">
        <v>1286</v>
      </c>
      <c r="C8" s="201" t="s">
        <v>85</v>
      </c>
      <c r="D8" s="202">
        <v>3086.9</v>
      </c>
      <c r="E8" s="203" t="s">
        <v>16</v>
      </c>
      <c r="F8" s="204">
        <f t="shared" si="1"/>
        <v>771.72500000000002</v>
      </c>
      <c r="G8" s="204"/>
      <c r="H8" s="204">
        <f t="shared" si="0"/>
        <v>771.72500000000002</v>
      </c>
      <c r="I8" s="205">
        <v>368056</v>
      </c>
      <c r="J8" s="247"/>
      <c r="K8" s="229"/>
    </row>
    <row r="9" spans="1:11" s="227" customFormat="1" x14ac:dyDescent="0.25">
      <c r="A9" s="218">
        <v>6</v>
      </c>
      <c r="B9" s="219">
        <v>1344</v>
      </c>
      <c r="C9" s="220" t="s">
        <v>66</v>
      </c>
      <c r="D9" s="221">
        <v>3155</v>
      </c>
      <c r="E9" s="222" t="s">
        <v>16</v>
      </c>
      <c r="F9" s="223">
        <f t="shared" si="1"/>
        <v>788.75</v>
      </c>
      <c r="G9" s="223">
        <f>F9</f>
        <v>788.75</v>
      </c>
      <c r="H9" s="223">
        <f t="shared" si="0"/>
        <v>0</v>
      </c>
      <c r="I9" s="224">
        <v>4014519</v>
      </c>
      <c r="J9" s="252">
        <v>45718</v>
      </c>
      <c r="K9" s="268"/>
    </row>
    <row r="10" spans="1:11" s="21" customFormat="1" x14ac:dyDescent="0.25">
      <c r="A10" s="12">
        <v>7</v>
      </c>
      <c r="B10" s="200">
        <v>1352</v>
      </c>
      <c r="C10" s="201" t="s">
        <v>90</v>
      </c>
      <c r="D10" s="202">
        <v>1804.3</v>
      </c>
      <c r="E10" s="203" t="s">
        <v>16</v>
      </c>
      <c r="F10" s="204">
        <f t="shared" si="1"/>
        <v>451.07499999999999</v>
      </c>
      <c r="G10" s="204"/>
      <c r="H10" s="204">
        <f t="shared" si="0"/>
        <v>451.07499999999999</v>
      </c>
      <c r="I10" s="205">
        <v>1627344</v>
      </c>
      <c r="J10" s="246"/>
      <c r="K10" s="229"/>
    </row>
    <row r="11" spans="1:11" s="21" customFormat="1" x14ac:dyDescent="0.25">
      <c r="A11" s="12">
        <v>8</v>
      </c>
      <c r="B11" s="200">
        <v>1354</v>
      </c>
      <c r="C11" s="206" t="s">
        <v>92</v>
      </c>
      <c r="D11" s="202">
        <v>2119.4</v>
      </c>
      <c r="E11" s="203" t="s">
        <v>16</v>
      </c>
      <c r="F11" s="204">
        <f t="shared" si="1"/>
        <v>529.85</v>
      </c>
      <c r="G11" s="204"/>
      <c r="H11" s="204">
        <f t="shared" si="0"/>
        <v>529.85</v>
      </c>
      <c r="I11" s="205">
        <v>925709</v>
      </c>
      <c r="J11" s="248"/>
      <c r="K11" s="229"/>
    </row>
    <row r="12" spans="1:11" s="21" customFormat="1" x14ac:dyDescent="0.25">
      <c r="A12" s="12">
        <v>9</v>
      </c>
      <c r="B12" s="200">
        <v>1357</v>
      </c>
      <c r="C12" s="206" t="s">
        <v>94</v>
      </c>
      <c r="D12" s="202">
        <v>4575.3</v>
      </c>
      <c r="E12" s="203" t="s">
        <v>16</v>
      </c>
      <c r="F12" s="204">
        <f t="shared" si="1"/>
        <v>1143.825</v>
      </c>
      <c r="G12" s="204"/>
      <c r="H12" s="204">
        <f t="shared" si="0"/>
        <v>1143.825</v>
      </c>
      <c r="I12" s="205">
        <v>1052276</v>
      </c>
      <c r="J12" s="248"/>
      <c r="K12" s="229"/>
    </row>
    <row r="13" spans="1:11" s="21" customFormat="1" x14ac:dyDescent="0.25">
      <c r="A13" s="210">
        <v>10</v>
      </c>
      <c r="B13" s="211">
        <v>1359</v>
      </c>
      <c r="C13" s="240" t="s">
        <v>96</v>
      </c>
      <c r="D13" s="213">
        <v>3449</v>
      </c>
      <c r="E13" s="214" t="s">
        <v>16</v>
      </c>
      <c r="F13" s="175">
        <f t="shared" si="1"/>
        <v>862.25</v>
      </c>
      <c r="G13" s="175">
        <f>856.725</f>
        <v>856.72500000000002</v>
      </c>
      <c r="H13" s="175">
        <f t="shared" si="0"/>
        <v>5.5249999999999773</v>
      </c>
      <c r="I13" s="215">
        <v>4812026</v>
      </c>
      <c r="J13" s="249">
        <v>45680</v>
      </c>
      <c r="K13" s="229"/>
    </row>
    <row r="14" spans="1:11" s="227" customFormat="1" x14ac:dyDescent="0.25">
      <c r="A14" s="218">
        <v>11</v>
      </c>
      <c r="B14" s="219">
        <v>1367</v>
      </c>
      <c r="C14" s="220" t="s">
        <v>98</v>
      </c>
      <c r="D14" s="221">
        <v>1121</v>
      </c>
      <c r="E14" s="222" t="s">
        <v>16</v>
      </c>
      <c r="F14" s="223">
        <f t="shared" si="1"/>
        <v>280.25</v>
      </c>
      <c r="G14" s="223">
        <f>F14</f>
        <v>280.25</v>
      </c>
      <c r="H14" s="223">
        <f t="shared" si="0"/>
        <v>0</v>
      </c>
      <c r="I14" s="224">
        <v>6663593</v>
      </c>
      <c r="J14" s="267">
        <v>45902</v>
      </c>
      <c r="K14" s="268"/>
    </row>
    <row r="15" spans="1:11" s="21" customFormat="1" x14ac:dyDescent="0.25">
      <c r="A15" s="218">
        <v>12</v>
      </c>
      <c r="B15" s="219">
        <v>1368</v>
      </c>
      <c r="C15" s="227" t="s">
        <v>100</v>
      </c>
      <c r="D15" s="221">
        <v>3909.6</v>
      </c>
      <c r="E15" s="222" t="s">
        <v>16</v>
      </c>
      <c r="F15" s="223">
        <f t="shared" si="1"/>
        <v>977.4</v>
      </c>
      <c r="G15" s="223">
        <f>F15</f>
        <v>977.4</v>
      </c>
      <c r="H15" s="223">
        <f t="shared" si="0"/>
        <v>0</v>
      </c>
      <c r="I15" s="228">
        <v>561902</v>
      </c>
      <c r="J15" s="250" t="s">
        <v>253</v>
      </c>
      <c r="K15" s="229"/>
    </row>
    <row r="16" spans="1:11" s="21" customFormat="1" x14ac:dyDescent="0.25">
      <c r="A16" s="210">
        <v>13</v>
      </c>
      <c r="B16" s="211">
        <v>3002</v>
      </c>
      <c r="C16" s="212" t="s">
        <v>102</v>
      </c>
      <c r="D16" s="213">
        <v>1384.4</v>
      </c>
      <c r="E16" s="214" t="s">
        <v>16</v>
      </c>
      <c r="F16" s="175">
        <f t="shared" si="1"/>
        <v>346.1</v>
      </c>
      <c r="G16" s="175">
        <f>342.8</f>
        <v>342.8</v>
      </c>
      <c r="H16" s="175">
        <f>F16-G16</f>
        <v>3.3000000000000114</v>
      </c>
      <c r="I16" s="215">
        <v>21220177</v>
      </c>
      <c r="J16" s="251">
        <v>45691</v>
      </c>
      <c r="K16" s="229"/>
    </row>
    <row r="17" spans="1:11" s="21" customFormat="1" x14ac:dyDescent="0.25">
      <c r="A17" s="12">
        <v>14</v>
      </c>
      <c r="B17" s="13">
        <v>3035</v>
      </c>
      <c r="C17" s="208" t="s">
        <v>104</v>
      </c>
      <c r="D17" s="202">
        <v>618.6</v>
      </c>
      <c r="E17" s="203" t="s">
        <v>16</v>
      </c>
      <c r="F17" s="204">
        <f t="shared" si="1"/>
        <v>154.65</v>
      </c>
      <c r="G17" s="204"/>
      <c r="H17" s="204">
        <f t="shared" ref="H17:H80" si="2">F17-G17</f>
        <v>154.65</v>
      </c>
      <c r="I17" s="209">
        <v>6725058</v>
      </c>
      <c r="J17" s="246"/>
      <c r="K17" s="229"/>
    </row>
    <row r="18" spans="1:11" s="21" customFormat="1" x14ac:dyDescent="0.25">
      <c r="A18" s="210">
        <v>15</v>
      </c>
      <c r="B18" s="211">
        <v>3057</v>
      </c>
      <c r="C18" s="212" t="s">
        <v>67</v>
      </c>
      <c r="D18" s="213">
        <v>2358</v>
      </c>
      <c r="E18" s="214" t="s">
        <v>16</v>
      </c>
      <c r="F18" s="175">
        <f t="shared" si="1"/>
        <v>589.5</v>
      </c>
      <c r="G18" s="175">
        <f>585.5+4</f>
        <v>589.5</v>
      </c>
      <c r="H18" s="175">
        <f t="shared" si="2"/>
        <v>0</v>
      </c>
      <c r="I18" s="215">
        <v>626819</v>
      </c>
      <c r="J18" s="251">
        <v>45666</v>
      </c>
      <c r="K18" s="229">
        <v>45673</v>
      </c>
    </row>
    <row r="19" spans="1:11" s="21" customFormat="1" x14ac:dyDescent="0.25">
      <c r="A19" s="12">
        <v>16</v>
      </c>
      <c r="B19" s="200">
        <v>3062</v>
      </c>
      <c r="C19" s="201" t="s">
        <v>107</v>
      </c>
      <c r="D19" s="202">
        <v>2673.5</v>
      </c>
      <c r="E19" s="203" t="s">
        <v>16</v>
      </c>
      <c r="F19" s="204">
        <f t="shared" si="1"/>
        <v>668.375</v>
      </c>
      <c r="G19" s="204"/>
      <c r="H19" s="204">
        <f t="shared" si="2"/>
        <v>668.375</v>
      </c>
      <c r="I19" s="205">
        <v>300741</v>
      </c>
      <c r="J19" s="246"/>
      <c r="K19" s="229"/>
    </row>
    <row r="20" spans="1:11" s="21" customFormat="1" x14ac:dyDescent="0.25">
      <c r="A20" s="12">
        <v>17</v>
      </c>
      <c r="B20" s="200">
        <v>3080</v>
      </c>
      <c r="C20" s="201" t="s">
        <v>109</v>
      </c>
      <c r="D20" s="202">
        <v>1190.9000000000001</v>
      </c>
      <c r="E20" s="203" t="s">
        <v>16</v>
      </c>
      <c r="F20" s="204">
        <f t="shared" si="1"/>
        <v>297.72500000000002</v>
      </c>
      <c r="G20" s="204"/>
      <c r="H20" s="204">
        <f t="shared" si="2"/>
        <v>297.72500000000002</v>
      </c>
      <c r="I20" s="205">
        <v>14301608</v>
      </c>
      <c r="J20" s="246"/>
      <c r="K20" s="159"/>
    </row>
    <row r="21" spans="1:11" s="21" customFormat="1" x14ac:dyDescent="0.25">
      <c r="A21" s="12">
        <v>18</v>
      </c>
      <c r="B21" s="81">
        <v>3086</v>
      </c>
      <c r="C21" s="201" t="s">
        <v>111</v>
      </c>
      <c r="D21" s="202">
        <v>1288.0999999999999</v>
      </c>
      <c r="E21" s="203" t="s">
        <v>16</v>
      </c>
      <c r="F21" s="204">
        <f t="shared" si="1"/>
        <v>322.02499999999998</v>
      </c>
      <c r="G21" s="204"/>
      <c r="H21" s="204">
        <f t="shared" si="2"/>
        <v>322.02499999999998</v>
      </c>
      <c r="I21" s="205">
        <v>300033</v>
      </c>
      <c r="J21" s="246"/>
      <c r="K21" s="229"/>
    </row>
    <row r="22" spans="1:11" s="21" customFormat="1" x14ac:dyDescent="0.25">
      <c r="A22" s="210">
        <v>19</v>
      </c>
      <c r="B22" s="211">
        <v>3132</v>
      </c>
      <c r="C22" s="212" t="s">
        <v>113</v>
      </c>
      <c r="D22" s="213">
        <v>1200.3</v>
      </c>
      <c r="E22" s="214" t="s">
        <v>16</v>
      </c>
      <c r="F22" s="175">
        <f t="shared" si="1"/>
        <v>300.07499999999999</v>
      </c>
      <c r="G22" s="175">
        <f>299.03</f>
        <v>299.02999999999997</v>
      </c>
      <c r="H22" s="175">
        <f t="shared" si="2"/>
        <v>1.0450000000000159</v>
      </c>
      <c r="I22" s="215">
        <v>14606296</v>
      </c>
      <c r="J22" s="251">
        <v>45779</v>
      </c>
      <c r="K22" s="229"/>
    </row>
    <row r="23" spans="1:11" s="21" customFormat="1" x14ac:dyDescent="0.25">
      <c r="A23" s="12">
        <v>20</v>
      </c>
      <c r="B23" s="200">
        <v>3134</v>
      </c>
      <c r="C23" s="201" t="s">
        <v>115</v>
      </c>
      <c r="D23" s="202">
        <v>942.6</v>
      </c>
      <c r="E23" s="203" t="s">
        <v>16</v>
      </c>
      <c r="F23" s="204">
        <f t="shared" si="1"/>
        <v>235.65</v>
      </c>
      <c r="G23" s="204"/>
      <c r="H23" s="204">
        <f t="shared" si="2"/>
        <v>235.65</v>
      </c>
      <c r="I23" s="205">
        <v>2154413</v>
      </c>
      <c r="J23" s="246"/>
      <c r="K23" s="229"/>
    </row>
    <row r="24" spans="1:11" s="21" customFormat="1" x14ac:dyDescent="0.25">
      <c r="A24" s="12">
        <v>21</v>
      </c>
      <c r="B24" s="200">
        <v>3142</v>
      </c>
      <c r="C24" s="201" t="s">
        <v>117</v>
      </c>
      <c r="D24" s="202">
        <v>4434.8</v>
      </c>
      <c r="E24" s="203" t="s">
        <v>16</v>
      </c>
      <c r="F24" s="204">
        <f t="shared" si="1"/>
        <v>1108.7</v>
      </c>
      <c r="G24" s="204"/>
      <c r="H24" s="204">
        <f t="shared" si="2"/>
        <v>1108.7</v>
      </c>
      <c r="I24" s="205">
        <v>165497</v>
      </c>
      <c r="J24" s="246"/>
      <c r="K24" s="229"/>
    </row>
    <row r="25" spans="1:11" s="21" customFormat="1" x14ac:dyDescent="0.25">
      <c r="A25" s="218">
        <v>22</v>
      </c>
      <c r="B25" s="219">
        <v>3145</v>
      </c>
      <c r="C25" s="220" t="s">
        <v>119</v>
      </c>
      <c r="D25" s="221">
        <v>1948.9</v>
      </c>
      <c r="E25" s="222" t="s">
        <v>16</v>
      </c>
      <c r="F25" s="223">
        <f t="shared" si="1"/>
        <v>487.22500000000002</v>
      </c>
      <c r="G25" s="223">
        <f>F25</f>
        <v>487.22500000000002</v>
      </c>
      <c r="H25" s="223">
        <f t="shared" si="2"/>
        <v>0</v>
      </c>
      <c r="I25" s="224">
        <v>1915745</v>
      </c>
      <c r="J25" s="252" t="s">
        <v>254</v>
      </c>
      <c r="K25" s="229"/>
    </row>
    <row r="26" spans="1:11" s="227" customFormat="1" x14ac:dyDescent="0.25">
      <c r="A26" s="218">
        <v>23</v>
      </c>
      <c r="B26" s="219">
        <v>3147</v>
      </c>
      <c r="C26" s="220" t="s">
        <v>122</v>
      </c>
      <c r="D26" s="221">
        <v>1884.9</v>
      </c>
      <c r="E26" s="222" t="s">
        <v>16</v>
      </c>
      <c r="F26" s="223">
        <f t="shared" si="1"/>
        <v>471.22500000000002</v>
      </c>
      <c r="G26" s="223">
        <f>F26</f>
        <v>471.22500000000002</v>
      </c>
      <c r="H26" s="223">
        <f t="shared" si="2"/>
        <v>0</v>
      </c>
      <c r="I26" s="224">
        <v>1662414</v>
      </c>
      <c r="J26" s="252">
        <v>45932</v>
      </c>
      <c r="K26" s="268"/>
    </row>
    <row r="27" spans="1:11" s="21" customFormat="1" x14ac:dyDescent="0.25">
      <c r="A27" s="218">
        <v>24</v>
      </c>
      <c r="B27" s="219">
        <v>3148</v>
      </c>
      <c r="C27" s="220" t="s">
        <v>124</v>
      </c>
      <c r="D27" s="221">
        <v>1017.5</v>
      </c>
      <c r="E27" s="222" t="s">
        <v>16</v>
      </c>
      <c r="F27" s="223">
        <f t="shared" si="1"/>
        <v>254.375</v>
      </c>
      <c r="G27" s="223">
        <f>F27</f>
        <v>254.375</v>
      </c>
      <c r="H27" s="223">
        <f t="shared" si="2"/>
        <v>0</v>
      </c>
      <c r="I27" s="224">
        <v>19545736</v>
      </c>
      <c r="J27" s="252" t="s">
        <v>255</v>
      </c>
      <c r="K27" s="229"/>
    </row>
    <row r="28" spans="1:11" s="21" customFormat="1" x14ac:dyDescent="0.25">
      <c r="A28" s="210">
        <v>25</v>
      </c>
      <c r="B28" s="211">
        <v>3149</v>
      </c>
      <c r="C28" s="212" t="s">
        <v>126</v>
      </c>
      <c r="D28" s="213">
        <v>980.5</v>
      </c>
      <c r="E28" s="214" t="s">
        <v>16</v>
      </c>
      <c r="F28" s="175">
        <f t="shared" si="1"/>
        <v>245.125</v>
      </c>
      <c r="G28" s="175">
        <f>244.85</f>
        <v>244.85</v>
      </c>
      <c r="H28" s="175">
        <f t="shared" si="2"/>
        <v>0.27500000000000568</v>
      </c>
      <c r="I28" s="215">
        <v>4941095</v>
      </c>
      <c r="J28" s="251">
        <v>45691</v>
      </c>
      <c r="K28" s="229"/>
    </row>
    <row r="29" spans="1:11" s="21" customFormat="1" x14ac:dyDescent="0.25">
      <c r="A29" s="12">
        <v>26</v>
      </c>
      <c r="B29" s="200">
        <v>3152</v>
      </c>
      <c r="C29" s="201" t="s">
        <v>130</v>
      </c>
      <c r="D29" s="202">
        <v>1581.8</v>
      </c>
      <c r="E29" s="203" t="s">
        <v>16</v>
      </c>
      <c r="F29" s="204">
        <f t="shared" si="1"/>
        <v>395.45</v>
      </c>
      <c r="G29" s="204"/>
      <c r="H29" s="204">
        <f t="shared" si="2"/>
        <v>395.45</v>
      </c>
      <c r="I29" s="205">
        <v>941993</v>
      </c>
      <c r="J29" s="246"/>
      <c r="K29" s="229"/>
    </row>
    <row r="30" spans="1:11" s="21" customFormat="1" x14ac:dyDescent="0.25">
      <c r="A30" s="12">
        <v>27</v>
      </c>
      <c r="B30" s="200">
        <v>3153</v>
      </c>
      <c r="C30" s="201" t="s">
        <v>15</v>
      </c>
      <c r="D30" s="202">
        <v>2701.9</v>
      </c>
      <c r="E30" s="203" t="s">
        <v>16</v>
      </c>
      <c r="F30" s="204">
        <f t="shared" si="1"/>
        <v>675.47500000000002</v>
      </c>
      <c r="G30" s="204"/>
      <c r="H30" s="204">
        <f t="shared" si="2"/>
        <v>675.47500000000002</v>
      </c>
      <c r="I30" s="205">
        <v>6989479</v>
      </c>
      <c r="J30" s="246"/>
      <c r="K30" s="229"/>
    </row>
    <row r="31" spans="1:11" s="21" customFormat="1" x14ac:dyDescent="0.25">
      <c r="A31" s="12">
        <v>28</v>
      </c>
      <c r="B31" s="81">
        <v>3155</v>
      </c>
      <c r="C31" s="201" t="s">
        <v>132</v>
      </c>
      <c r="D31" s="202">
        <v>560.70000000000005</v>
      </c>
      <c r="E31" s="203" t="s">
        <v>16</v>
      </c>
      <c r="F31" s="204">
        <f t="shared" si="1"/>
        <v>140.17500000000001</v>
      </c>
      <c r="G31" s="204"/>
      <c r="H31" s="204">
        <f t="shared" si="2"/>
        <v>140.17500000000001</v>
      </c>
      <c r="I31" s="205">
        <v>19188794</v>
      </c>
      <c r="J31" s="246"/>
      <c r="K31" s="229"/>
    </row>
    <row r="32" spans="1:11" s="21" customFormat="1" x14ac:dyDescent="0.25">
      <c r="A32" s="12">
        <v>29</v>
      </c>
      <c r="B32" s="200">
        <v>3158</v>
      </c>
      <c r="C32" s="201" t="s">
        <v>134</v>
      </c>
      <c r="D32" s="202">
        <v>2292.9</v>
      </c>
      <c r="E32" s="203" t="s">
        <v>16</v>
      </c>
      <c r="F32" s="204">
        <f t="shared" si="1"/>
        <v>573.22500000000002</v>
      </c>
      <c r="G32" s="204"/>
      <c r="H32" s="204">
        <f t="shared" si="2"/>
        <v>573.22500000000002</v>
      </c>
      <c r="I32" s="205" t="s">
        <v>135</v>
      </c>
      <c r="J32" s="246"/>
      <c r="K32" s="229"/>
    </row>
    <row r="33" spans="1:11" s="21" customFormat="1" x14ac:dyDescent="0.25">
      <c r="A33" s="12">
        <v>30</v>
      </c>
      <c r="B33" s="200">
        <v>3159</v>
      </c>
      <c r="C33" s="201" t="s">
        <v>137</v>
      </c>
      <c r="D33" s="202">
        <v>590.79999999999995</v>
      </c>
      <c r="E33" s="203" t="s">
        <v>16</v>
      </c>
      <c r="F33" s="204">
        <f t="shared" si="1"/>
        <v>147.69999999999999</v>
      </c>
      <c r="G33" s="204"/>
      <c r="H33" s="204">
        <f t="shared" si="2"/>
        <v>147.69999999999999</v>
      </c>
      <c r="I33" s="205">
        <v>1297478</v>
      </c>
      <c r="J33" s="246"/>
      <c r="K33" s="229"/>
    </row>
    <row r="34" spans="1:11" s="21" customFormat="1" x14ac:dyDescent="0.25">
      <c r="A34" s="12">
        <v>31</v>
      </c>
      <c r="B34" s="200">
        <v>3160</v>
      </c>
      <c r="C34" s="201" t="s">
        <v>139</v>
      </c>
      <c r="D34" s="202">
        <v>1701.8</v>
      </c>
      <c r="E34" s="203" t="s">
        <v>16</v>
      </c>
      <c r="F34" s="204">
        <f t="shared" si="1"/>
        <v>425.45</v>
      </c>
      <c r="G34" s="204"/>
      <c r="H34" s="204">
        <f t="shared" si="2"/>
        <v>425.45</v>
      </c>
      <c r="I34" s="205">
        <v>2837163</v>
      </c>
      <c r="J34" s="246"/>
      <c r="K34" s="229"/>
    </row>
    <row r="35" spans="1:11" s="21" customFormat="1" x14ac:dyDescent="0.25">
      <c r="A35" s="12">
        <v>32</v>
      </c>
      <c r="B35" s="200">
        <v>3162</v>
      </c>
      <c r="C35" s="201" t="s">
        <v>141</v>
      </c>
      <c r="D35" s="202">
        <v>4589.5</v>
      </c>
      <c r="E35" s="203" t="s">
        <v>16</v>
      </c>
      <c r="F35" s="204">
        <f t="shared" si="1"/>
        <v>1147.375</v>
      </c>
      <c r="G35" s="204"/>
      <c r="H35" s="204">
        <f t="shared" si="2"/>
        <v>1147.375</v>
      </c>
      <c r="I35" s="205">
        <v>7017227</v>
      </c>
      <c r="J35" s="246"/>
      <c r="K35" s="229"/>
    </row>
    <row r="36" spans="1:11" s="21" customFormat="1" x14ac:dyDescent="0.25">
      <c r="A36" s="12">
        <v>33</v>
      </c>
      <c r="B36" s="200">
        <v>3164</v>
      </c>
      <c r="C36" s="201" t="s">
        <v>143</v>
      </c>
      <c r="D36" s="202">
        <v>2258.9</v>
      </c>
      <c r="E36" s="203" t="s">
        <v>16</v>
      </c>
      <c r="F36" s="204">
        <f t="shared" si="1"/>
        <v>564.72500000000002</v>
      </c>
      <c r="G36" s="204"/>
      <c r="H36" s="204">
        <f t="shared" si="2"/>
        <v>564.72500000000002</v>
      </c>
      <c r="I36" s="205">
        <v>7466062</v>
      </c>
      <c r="J36" s="246"/>
      <c r="K36" s="229"/>
    </row>
    <row r="37" spans="1:11" s="21" customFormat="1" x14ac:dyDescent="0.25">
      <c r="A37" s="12">
        <v>34</v>
      </c>
      <c r="B37" s="200">
        <v>3165</v>
      </c>
      <c r="C37" s="201" t="s">
        <v>147</v>
      </c>
      <c r="D37" s="202">
        <v>463.2</v>
      </c>
      <c r="E37" s="203" t="s">
        <v>16</v>
      </c>
      <c r="F37" s="204">
        <f t="shared" si="1"/>
        <v>115.8</v>
      </c>
      <c r="G37" s="204"/>
      <c r="H37" s="204">
        <f t="shared" si="2"/>
        <v>115.8</v>
      </c>
      <c r="I37" s="205">
        <v>19029628</v>
      </c>
      <c r="J37" s="248"/>
      <c r="K37" s="229"/>
    </row>
    <row r="38" spans="1:11" s="21" customFormat="1" x14ac:dyDescent="0.25">
      <c r="A38" s="12">
        <v>35</v>
      </c>
      <c r="B38" s="200">
        <v>3169</v>
      </c>
      <c r="C38" s="201" t="s">
        <v>34</v>
      </c>
      <c r="D38" s="202">
        <v>751.4</v>
      </c>
      <c r="E38" s="203" t="s">
        <v>16</v>
      </c>
      <c r="F38" s="204">
        <f t="shared" si="1"/>
        <v>187.85</v>
      </c>
      <c r="G38" s="204"/>
      <c r="H38" s="204">
        <f t="shared" si="2"/>
        <v>187.85</v>
      </c>
      <c r="I38" s="205">
        <v>3068756</v>
      </c>
      <c r="J38" s="246"/>
      <c r="K38" s="229"/>
    </row>
    <row r="39" spans="1:11" s="21" customFormat="1" x14ac:dyDescent="0.25">
      <c r="A39" s="210">
        <v>36</v>
      </c>
      <c r="B39" s="211">
        <v>3171</v>
      </c>
      <c r="C39" s="212" t="s">
        <v>149</v>
      </c>
      <c r="D39" s="213">
        <v>952.6</v>
      </c>
      <c r="E39" s="214" t="s">
        <v>16</v>
      </c>
      <c r="F39" s="175">
        <f t="shared" si="1"/>
        <v>238.15</v>
      </c>
      <c r="G39" s="175">
        <f>238.08</f>
        <v>238.08</v>
      </c>
      <c r="H39" s="175">
        <f t="shared" si="2"/>
        <v>6.9999999999993179E-2</v>
      </c>
      <c r="I39" s="215">
        <v>7239057</v>
      </c>
      <c r="J39" s="251">
        <v>45692</v>
      </c>
      <c r="K39" s="229"/>
    </row>
    <row r="40" spans="1:11" s="21" customFormat="1" x14ac:dyDescent="0.25">
      <c r="A40" s="12">
        <v>37</v>
      </c>
      <c r="B40" s="200">
        <v>3172</v>
      </c>
      <c r="C40" s="201" t="s">
        <v>151</v>
      </c>
      <c r="D40" s="202">
        <v>591.70000000000005</v>
      </c>
      <c r="E40" s="203" t="s">
        <v>16</v>
      </c>
      <c r="F40" s="204">
        <f>D40*E40</f>
        <v>147.92500000000001</v>
      </c>
      <c r="G40" s="204"/>
      <c r="H40" s="204">
        <f t="shared" si="2"/>
        <v>147.92500000000001</v>
      </c>
      <c r="I40" s="205">
        <v>5276984</v>
      </c>
      <c r="J40" s="246"/>
      <c r="K40" s="229"/>
    </row>
    <row r="41" spans="1:11" s="21" customFormat="1" x14ac:dyDescent="0.25">
      <c r="A41" s="218">
        <v>38</v>
      </c>
      <c r="B41" s="219">
        <v>3173</v>
      </c>
      <c r="C41" s="220" t="s">
        <v>153</v>
      </c>
      <c r="D41" s="221">
        <v>1917.9</v>
      </c>
      <c r="E41" s="222" t="s">
        <v>16</v>
      </c>
      <c r="F41" s="223">
        <f t="shared" si="1"/>
        <v>479.47500000000002</v>
      </c>
      <c r="G41" s="223">
        <f>F41</f>
        <v>479.47500000000002</v>
      </c>
      <c r="H41" s="223">
        <f t="shared" si="2"/>
        <v>0</v>
      </c>
      <c r="I41" s="224">
        <v>6825655</v>
      </c>
      <c r="J41" s="252">
        <v>45693</v>
      </c>
      <c r="K41" s="229"/>
    </row>
    <row r="42" spans="1:11" s="21" customFormat="1" x14ac:dyDescent="0.25">
      <c r="A42" s="210">
        <v>39</v>
      </c>
      <c r="B42" s="211">
        <v>3174</v>
      </c>
      <c r="C42" s="212" t="s">
        <v>155</v>
      </c>
      <c r="D42" s="213">
        <v>1430.5</v>
      </c>
      <c r="E42" s="214" t="s">
        <v>16</v>
      </c>
      <c r="F42" s="175">
        <f t="shared" si="1"/>
        <v>357.625</v>
      </c>
      <c r="G42" s="175">
        <f>356.65+0.975</f>
        <v>357.625</v>
      </c>
      <c r="H42" s="175">
        <f t="shared" si="2"/>
        <v>0</v>
      </c>
      <c r="I42" s="215">
        <v>7547492</v>
      </c>
      <c r="J42" s="251">
        <v>45666</v>
      </c>
      <c r="K42" s="229" t="s">
        <v>256</v>
      </c>
    </row>
    <row r="43" spans="1:11" s="21" customFormat="1" x14ac:dyDescent="0.25">
      <c r="A43" s="12">
        <v>40</v>
      </c>
      <c r="B43" s="200">
        <v>3175</v>
      </c>
      <c r="C43" s="201" t="s">
        <v>157</v>
      </c>
      <c r="D43" s="202">
        <v>578.6</v>
      </c>
      <c r="E43" s="203" t="s">
        <v>16</v>
      </c>
      <c r="F43" s="204">
        <f>D43*E43</f>
        <v>144.65</v>
      </c>
      <c r="G43" s="204"/>
      <c r="H43" s="204">
        <f t="shared" si="2"/>
        <v>144.65</v>
      </c>
      <c r="I43" s="205">
        <v>7325076</v>
      </c>
      <c r="J43" s="246"/>
      <c r="K43" s="229"/>
    </row>
    <row r="44" spans="1:11" s="21" customFormat="1" x14ac:dyDescent="0.25">
      <c r="A44" s="12">
        <v>41</v>
      </c>
      <c r="B44" s="200">
        <v>3176</v>
      </c>
      <c r="C44" s="216" t="s">
        <v>159</v>
      </c>
      <c r="D44" s="202">
        <v>585.4</v>
      </c>
      <c r="E44" s="203" t="s">
        <v>16</v>
      </c>
      <c r="F44" s="204">
        <f t="shared" si="1"/>
        <v>146.35</v>
      </c>
      <c r="G44" s="204"/>
      <c r="H44" s="204">
        <f t="shared" si="2"/>
        <v>146.35</v>
      </c>
      <c r="I44" s="217">
        <v>12178145</v>
      </c>
      <c r="J44" s="246"/>
      <c r="K44" s="229"/>
    </row>
    <row r="45" spans="1:11" s="21" customFormat="1" x14ac:dyDescent="0.25">
      <c r="A45" s="12">
        <v>42</v>
      </c>
      <c r="B45" s="200">
        <v>3179</v>
      </c>
      <c r="C45" s="201" t="s">
        <v>161</v>
      </c>
      <c r="D45" s="202">
        <v>2204.6999999999998</v>
      </c>
      <c r="E45" s="203" t="s">
        <v>16</v>
      </c>
      <c r="F45" s="204">
        <f t="shared" si="1"/>
        <v>551.17499999999995</v>
      </c>
      <c r="G45" s="204"/>
      <c r="H45" s="204">
        <f t="shared" si="2"/>
        <v>551.17499999999995</v>
      </c>
      <c r="I45" s="205">
        <v>1870852</v>
      </c>
      <c r="J45" s="246"/>
      <c r="K45" s="229"/>
    </row>
    <row r="46" spans="1:11" s="21" customFormat="1" x14ac:dyDescent="0.25">
      <c r="A46" s="12">
        <v>43</v>
      </c>
      <c r="B46" s="200">
        <v>3181</v>
      </c>
      <c r="C46" s="201" t="s">
        <v>163</v>
      </c>
      <c r="D46" s="202">
        <v>1710.8</v>
      </c>
      <c r="E46" s="203" t="s">
        <v>16</v>
      </c>
      <c r="F46" s="204">
        <f t="shared" si="1"/>
        <v>427.7</v>
      </c>
      <c r="G46" s="204"/>
      <c r="H46" s="204">
        <f t="shared" si="2"/>
        <v>427.7</v>
      </c>
      <c r="I46" s="205">
        <v>6116067</v>
      </c>
      <c r="J46" s="246"/>
      <c r="K46" s="229"/>
    </row>
    <row r="47" spans="1:11" s="21" customFormat="1" x14ac:dyDescent="0.25">
      <c r="A47" s="210">
        <v>44</v>
      </c>
      <c r="B47" s="211">
        <v>3183</v>
      </c>
      <c r="C47" s="240" t="s">
        <v>165</v>
      </c>
      <c r="D47" s="213">
        <v>626.1</v>
      </c>
      <c r="E47" s="214" t="s">
        <v>16</v>
      </c>
      <c r="F47" s="175">
        <f t="shared" si="1"/>
        <v>156.52500000000001</v>
      </c>
      <c r="G47" s="175">
        <f>151.2+5.325</f>
        <v>156.52499999999998</v>
      </c>
      <c r="H47" s="175">
        <f t="shared" si="2"/>
        <v>0</v>
      </c>
      <c r="I47" s="215">
        <v>4955092</v>
      </c>
      <c r="J47" s="251">
        <v>45677</v>
      </c>
      <c r="K47" s="229" t="s">
        <v>272</v>
      </c>
    </row>
    <row r="48" spans="1:11" s="21" customFormat="1" x14ac:dyDescent="0.25">
      <c r="A48" s="12">
        <v>45</v>
      </c>
      <c r="B48" s="200">
        <v>3184</v>
      </c>
      <c r="C48" s="201" t="s">
        <v>69</v>
      </c>
      <c r="D48" s="202">
        <v>2012</v>
      </c>
      <c r="E48" s="203" t="s">
        <v>16</v>
      </c>
      <c r="F48" s="204">
        <f t="shared" si="1"/>
        <v>503</v>
      </c>
      <c r="G48" s="204"/>
      <c r="H48" s="204">
        <f t="shared" si="2"/>
        <v>503</v>
      </c>
      <c r="I48" s="205">
        <v>6701602</v>
      </c>
      <c r="J48" s="246"/>
      <c r="K48" s="229"/>
    </row>
    <row r="49" spans="1:11" s="21" customFormat="1" x14ac:dyDescent="0.25">
      <c r="A49" s="210">
        <v>46</v>
      </c>
      <c r="B49" s="211">
        <v>3185</v>
      </c>
      <c r="C49" s="212" t="s">
        <v>168</v>
      </c>
      <c r="D49" s="213">
        <v>1149.4000000000001</v>
      </c>
      <c r="E49" s="214" t="s">
        <v>16</v>
      </c>
      <c r="F49" s="175">
        <f t="shared" si="1"/>
        <v>287.35000000000002</v>
      </c>
      <c r="G49" s="175">
        <f>284.2</f>
        <v>284.2</v>
      </c>
      <c r="H49" s="175">
        <f t="shared" si="2"/>
        <v>3.1500000000000341</v>
      </c>
      <c r="I49" s="215">
        <v>15179209</v>
      </c>
      <c r="J49" s="251">
        <v>45691</v>
      </c>
      <c r="K49" s="229"/>
    </row>
    <row r="50" spans="1:11" s="21" customFormat="1" x14ac:dyDescent="0.25">
      <c r="A50" s="210">
        <v>47</v>
      </c>
      <c r="B50" s="211">
        <v>3188</v>
      </c>
      <c r="C50" s="212" t="s">
        <v>170</v>
      </c>
      <c r="D50" s="213">
        <v>1086.2</v>
      </c>
      <c r="E50" s="214" t="s">
        <v>16</v>
      </c>
      <c r="F50" s="175">
        <f t="shared" si="1"/>
        <v>271.55</v>
      </c>
      <c r="G50" s="175">
        <f>159.4</f>
        <v>159.4</v>
      </c>
      <c r="H50" s="175">
        <f t="shared" si="2"/>
        <v>112.15</v>
      </c>
      <c r="I50" s="215">
        <v>19290729</v>
      </c>
      <c r="J50" s="251">
        <v>45679</v>
      </c>
      <c r="K50" s="229"/>
    </row>
    <row r="51" spans="1:11" s="27" customFormat="1" ht="15.75" x14ac:dyDescent="0.25">
      <c r="A51" s="210">
        <v>48</v>
      </c>
      <c r="B51" s="211">
        <v>3189</v>
      </c>
      <c r="C51" s="212" t="s">
        <v>172</v>
      </c>
      <c r="D51" s="213">
        <v>1496.6</v>
      </c>
      <c r="E51" s="214" t="s">
        <v>16</v>
      </c>
      <c r="F51" s="175">
        <f t="shared" si="1"/>
        <v>374.15</v>
      </c>
      <c r="G51" s="175">
        <f>371.88</f>
        <v>371.88</v>
      </c>
      <c r="H51" s="175">
        <f t="shared" si="2"/>
        <v>2.2699999999999818</v>
      </c>
      <c r="I51" s="215">
        <v>2802613</v>
      </c>
      <c r="J51" s="236">
        <v>45693</v>
      </c>
      <c r="K51" s="266"/>
    </row>
    <row r="52" spans="1:11" s="21" customFormat="1" x14ac:dyDescent="0.25">
      <c r="A52" s="12">
        <v>49</v>
      </c>
      <c r="B52" s="13">
        <v>3190</v>
      </c>
      <c r="C52" s="201" t="s">
        <v>174</v>
      </c>
      <c r="D52" s="202">
        <v>746.6</v>
      </c>
      <c r="E52" s="203" t="s">
        <v>16</v>
      </c>
      <c r="F52" s="204">
        <f t="shared" si="1"/>
        <v>186.65</v>
      </c>
      <c r="G52" s="204"/>
      <c r="H52" s="204">
        <f t="shared" si="2"/>
        <v>186.65</v>
      </c>
      <c r="I52" s="205">
        <v>3555896</v>
      </c>
      <c r="J52" s="246"/>
      <c r="K52" s="229"/>
    </row>
    <row r="53" spans="1:11" s="21" customFormat="1" x14ac:dyDescent="0.25">
      <c r="A53" s="12">
        <v>50</v>
      </c>
      <c r="B53" s="13">
        <v>3192</v>
      </c>
      <c r="C53" s="201" t="s">
        <v>38</v>
      </c>
      <c r="D53" s="202">
        <v>1015.5</v>
      </c>
      <c r="E53" s="203" t="s">
        <v>16</v>
      </c>
      <c r="F53" s="204">
        <f t="shared" si="1"/>
        <v>253.875</v>
      </c>
      <c r="G53" s="204"/>
      <c r="H53" s="204">
        <f t="shared" si="2"/>
        <v>253.875</v>
      </c>
      <c r="I53" s="205">
        <v>5271448</v>
      </c>
      <c r="J53" s="246"/>
      <c r="K53" s="229"/>
    </row>
    <row r="54" spans="1:11" s="226" customFormat="1" x14ac:dyDescent="0.25">
      <c r="A54" s="12">
        <v>51</v>
      </c>
      <c r="B54" s="200">
        <v>3195</v>
      </c>
      <c r="C54" s="201" t="s">
        <v>176</v>
      </c>
      <c r="D54" s="202">
        <v>568.6</v>
      </c>
      <c r="E54" s="203" t="s">
        <v>16</v>
      </c>
      <c r="F54" s="204">
        <f t="shared" si="1"/>
        <v>142.15</v>
      </c>
      <c r="G54" s="204"/>
      <c r="H54" s="204">
        <f t="shared" si="2"/>
        <v>142.15</v>
      </c>
      <c r="I54" s="205">
        <v>675849</v>
      </c>
      <c r="J54" s="246"/>
      <c r="K54" s="229"/>
    </row>
    <row r="55" spans="1:11" s="226" customFormat="1" x14ac:dyDescent="0.25">
      <c r="A55" s="12">
        <v>52</v>
      </c>
      <c r="B55" s="200">
        <v>3196</v>
      </c>
      <c r="C55" s="42" t="s">
        <v>178</v>
      </c>
      <c r="D55" s="202">
        <v>564.20000000000005</v>
      </c>
      <c r="E55" s="203" t="s">
        <v>16</v>
      </c>
      <c r="F55" s="204">
        <f t="shared" si="1"/>
        <v>141.05000000000001</v>
      </c>
      <c r="G55" s="204"/>
      <c r="H55" s="204">
        <f t="shared" si="2"/>
        <v>141.05000000000001</v>
      </c>
      <c r="I55" s="205">
        <v>21080217</v>
      </c>
      <c r="J55" s="246"/>
      <c r="K55" s="229"/>
    </row>
    <row r="56" spans="1:11" s="226" customFormat="1" x14ac:dyDescent="0.25">
      <c r="A56" s="12">
        <v>53</v>
      </c>
      <c r="B56" s="200">
        <v>3197</v>
      </c>
      <c r="C56" s="201" t="s">
        <v>180</v>
      </c>
      <c r="D56" s="202">
        <v>1444.1</v>
      </c>
      <c r="E56" s="203" t="s">
        <v>16</v>
      </c>
      <c r="F56" s="204">
        <f t="shared" si="1"/>
        <v>361.02499999999998</v>
      </c>
      <c r="G56" s="204"/>
      <c r="H56" s="204">
        <f t="shared" si="2"/>
        <v>361.02499999999998</v>
      </c>
      <c r="I56" s="205">
        <v>6479515</v>
      </c>
      <c r="J56" s="246"/>
      <c r="K56" s="229"/>
    </row>
    <row r="57" spans="1:11" s="226" customFormat="1" x14ac:dyDescent="0.25">
      <c r="A57" s="12">
        <v>54</v>
      </c>
      <c r="B57" s="200">
        <v>3198</v>
      </c>
      <c r="C57" s="208" t="s">
        <v>44</v>
      </c>
      <c r="D57" s="225">
        <v>570.5</v>
      </c>
      <c r="E57" s="203" t="s">
        <v>16</v>
      </c>
      <c r="F57" s="204">
        <f t="shared" si="1"/>
        <v>142.625</v>
      </c>
      <c r="G57" s="204"/>
      <c r="H57" s="204">
        <f t="shared" si="2"/>
        <v>142.625</v>
      </c>
      <c r="I57" s="209">
        <v>6360793</v>
      </c>
      <c r="J57" s="246"/>
      <c r="K57" s="229"/>
    </row>
    <row r="58" spans="1:11" s="21" customFormat="1" x14ac:dyDescent="0.25">
      <c r="A58" s="12">
        <v>55</v>
      </c>
      <c r="B58" s="200">
        <v>3310</v>
      </c>
      <c r="C58" s="201" t="s">
        <v>182</v>
      </c>
      <c r="D58" s="202">
        <v>1198.0999999999999</v>
      </c>
      <c r="E58" s="203" t="s">
        <v>16</v>
      </c>
      <c r="F58" s="204">
        <f t="shared" si="1"/>
        <v>299.52499999999998</v>
      </c>
      <c r="G58" s="204"/>
      <c r="H58" s="204">
        <f t="shared" si="2"/>
        <v>299.52499999999998</v>
      </c>
      <c r="I58" s="205">
        <v>1007615</v>
      </c>
      <c r="J58" s="253"/>
      <c r="K58" s="229"/>
    </row>
    <row r="59" spans="1:11" s="21" customFormat="1" x14ac:dyDescent="0.25">
      <c r="A59" s="12">
        <v>56</v>
      </c>
      <c r="B59" s="200">
        <v>3324</v>
      </c>
      <c r="C59" s="60" t="s">
        <v>184</v>
      </c>
      <c r="D59" s="202">
        <v>1193.5</v>
      </c>
      <c r="E59" s="203" t="s">
        <v>16</v>
      </c>
      <c r="F59" s="204">
        <f t="shared" si="1"/>
        <v>298.375</v>
      </c>
      <c r="G59" s="204"/>
      <c r="H59" s="204">
        <f t="shared" si="2"/>
        <v>298.375</v>
      </c>
      <c r="I59" s="207">
        <v>207402</v>
      </c>
      <c r="J59" s="246"/>
      <c r="K59" s="229"/>
    </row>
    <row r="60" spans="1:11" s="21" customFormat="1" x14ac:dyDescent="0.25">
      <c r="A60" s="12">
        <v>57</v>
      </c>
      <c r="B60" s="200">
        <v>3330</v>
      </c>
      <c r="C60" s="60" t="s">
        <v>186</v>
      </c>
      <c r="D60" s="202">
        <v>1637.4</v>
      </c>
      <c r="E60" s="203" t="s">
        <v>16</v>
      </c>
      <c r="F60" s="204">
        <f t="shared" si="1"/>
        <v>409.35</v>
      </c>
      <c r="G60" s="204"/>
      <c r="H60" s="204">
        <f t="shared" si="2"/>
        <v>409.35</v>
      </c>
      <c r="I60" s="207">
        <v>6375079</v>
      </c>
      <c r="J60" s="254"/>
      <c r="K60" s="229"/>
    </row>
    <row r="61" spans="1:11" s="21" customFormat="1" x14ac:dyDescent="0.25">
      <c r="A61" s="12">
        <v>58</v>
      </c>
      <c r="B61" s="200">
        <v>3333</v>
      </c>
      <c r="C61" s="60" t="s">
        <v>189</v>
      </c>
      <c r="D61" s="202">
        <v>1790.1</v>
      </c>
      <c r="E61" s="203" t="s">
        <v>16</v>
      </c>
      <c r="F61" s="204">
        <f t="shared" si="1"/>
        <v>447.52499999999998</v>
      </c>
      <c r="G61" s="204"/>
      <c r="H61" s="204">
        <f t="shared" si="2"/>
        <v>447.52499999999998</v>
      </c>
      <c r="I61" s="24">
        <v>757601</v>
      </c>
      <c r="J61" s="254"/>
      <c r="K61" s="229"/>
    </row>
    <row r="62" spans="1:11" s="21" customFormat="1" x14ac:dyDescent="0.25">
      <c r="A62" s="218">
        <v>59</v>
      </c>
      <c r="B62" s="219">
        <v>3339</v>
      </c>
      <c r="C62" s="231" t="s">
        <v>191</v>
      </c>
      <c r="D62" s="221">
        <v>567.9</v>
      </c>
      <c r="E62" s="222" t="s">
        <v>16</v>
      </c>
      <c r="F62" s="223">
        <f t="shared" si="1"/>
        <v>141.97499999999999</v>
      </c>
      <c r="G62" s="223">
        <f>F62</f>
        <v>141.97499999999999</v>
      </c>
      <c r="H62" s="223">
        <f t="shared" si="2"/>
        <v>0</v>
      </c>
      <c r="I62" s="228">
        <v>12415718</v>
      </c>
      <c r="J62" s="255" t="s">
        <v>257</v>
      </c>
      <c r="K62" s="229"/>
    </row>
    <row r="63" spans="1:11" s="21" customFormat="1" x14ac:dyDescent="0.25">
      <c r="A63" s="218">
        <v>60</v>
      </c>
      <c r="B63" s="219">
        <v>3500</v>
      </c>
      <c r="C63" s="231" t="s">
        <v>193</v>
      </c>
      <c r="D63" s="221">
        <v>519.1</v>
      </c>
      <c r="E63" s="222" t="s">
        <v>16</v>
      </c>
      <c r="F63" s="223">
        <f t="shared" si="1"/>
        <v>129.77500000000001</v>
      </c>
      <c r="G63" s="223">
        <f>F63</f>
        <v>129.77500000000001</v>
      </c>
      <c r="H63" s="223">
        <f t="shared" si="2"/>
        <v>0</v>
      </c>
      <c r="I63" s="228">
        <v>13525845</v>
      </c>
      <c r="J63" s="255" t="s">
        <v>258</v>
      </c>
      <c r="K63" s="229"/>
    </row>
    <row r="64" spans="1:11" s="21" customFormat="1" x14ac:dyDescent="0.25">
      <c r="A64" s="12">
        <v>61</v>
      </c>
      <c r="B64" s="200">
        <v>3501</v>
      </c>
      <c r="C64" s="60" t="s">
        <v>195</v>
      </c>
      <c r="D64" s="202">
        <v>1573.4</v>
      </c>
      <c r="E64" s="203" t="s">
        <v>16</v>
      </c>
      <c r="F64" s="204">
        <f t="shared" si="1"/>
        <v>393.35</v>
      </c>
      <c r="G64" s="204"/>
      <c r="H64" s="204">
        <f t="shared" si="2"/>
        <v>393.35</v>
      </c>
      <c r="I64" s="207">
        <v>13525794</v>
      </c>
      <c r="J64" s="254"/>
      <c r="K64" s="229"/>
    </row>
    <row r="65" spans="1:11" s="21" customFormat="1" x14ac:dyDescent="0.25">
      <c r="A65" s="12">
        <v>62</v>
      </c>
      <c r="B65" s="200">
        <v>3502</v>
      </c>
      <c r="C65" s="42" t="s">
        <v>198</v>
      </c>
      <c r="D65" s="202">
        <v>1188.5999999999999</v>
      </c>
      <c r="E65" s="203" t="s">
        <v>16</v>
      </c>
      <c r="F65" s="204">
        <f t="shared" si="1"/>
        <v>297.14999999999998</v>
      </c>
      <c r="G65" s="204"/>
      <c r="H65" s="204">
        <f t="shared" si="2"/>
        <v>297.14999999999998</v>
      </c>
      <c r="I65" s="207">
        <v>22522336</v>
      </c>
      <c r="J65" s="254"/>
      <c r="K65" s="229"/>
    </row>
    <row r="66" spans="1:11" s="21" customFormat="1" x14ac:dyDescent="0.25">
      <c r="A66" s="12">
        <v>63</v>
      </c>
      <c r="B66" s="200">
        <v>3503</v>
      </c>
      <c r="C66" s="60" t="s">
        <v>200</v>
      </c>
      <c r="D66" s="202">
        <v>574</v>
      </c>
      <c r="E66" s="203" t="s">
        <v>16</v>
      </c>
      <c r="F66" s="204">
        <f t="shared" si="1"/>
        <v>143.5</v>
      </c>
      <c r="G66" s="204"/>
      <c r="H66" s="204">
        <f t="shared" si="2"/>
        <v>143.5</v>
      </c>
      <c r="I66" s="207">
        <v>9212492</v>
      </c>
      <c r="J66" s="254"/>
      <c r="K66" s="229"/>
    </row>
    <row r="67" spans="1:11" s="227" customFormat="1" x14ac:dyDescent="0.25">
      <c r="A67" s="218">
        <v>64</v>
      </c>
      <c r="B67" s="219">
        <v>3504</v>
      </c>
      <c r="C67" s="231" t="s">
        <v>202</v>
      </c>
      <c r="D67" s="221">
        <v>1181.4000000000001</v>
      </c>
      <c r="E67" s="222" t="s">
        <v>16</v>
      </c>
      <c r="F67" s="223">
        <f t="shared" si="1"/>
        <v>295.35000000000002</v>
      </c>
      <c r="G67" s="223">
        <f>F67</f>
        <v>295.35000000000002</v>
      </c>
      <c r="H67" s="223">
        <f t="shared" si="2"/>
        <v>0</v>
      </c>
      <c r="I67" s="228">
        <v>939641</v>
      </c>
      <c r="J67" s="269">
        <v>45902</v>
      </c>
      <c r="K67" s="268"/>
    </row>
    <row r="68" spans="1:11" s="21" customFormat="1" x14ac:dyDescent="0.25">
      <c r="A68" s="12">
        <v>65</v>
      </c>
      <c r="B68" s="200">
        <v>3506</v>
      </c>
      <c r="C68" s="60" t="s">
        <v>205</v>
      </c>
      <c r="D68" s="202">
        <v>547.79999999999995</v>
      </c>
      <c r="E68" s="203" t="s">
        <v>16</v>
      </c>
      <c r="F68" s="204">
        <f t="shared" si="1"/>
        <v>136.94999999999999</v>
      </c>
      <c r="G68" s="204"/>
      <c r="H68" s="204">
        <f t="shared" si="2"/>
        <v>136.94999999999999</v>
      </c>
      <c r="I68" s="207">
        <v>13307752</v>
      </c>
      <c r="J68" s="254"/>
      <c r="K68" s="229"/>
    </row>
    <row r="69" spans="1:11" s="21" customFormat="1" x14ac:dyDescent="0.25">
      <c r="A69" s="12">
        <v>66</v>
      </c>
      <c r="B69" s="200">
        <v>3507</v>
      </c>
      <c r="C69" s="60" t="s">
        <v>207</v>
      </c>
      <c r="D69" s="202">
        <v>322.60000000000002</v>
      </c>
      <c r="E69" s="203" t="s">
        <v>16</v>
      </c>
      <c r="F69" s="204">
        <f t="shared" ref="F69:F84" si="3">D69*E69</f>
        <v>80.650000000000006</v>
      </c>
      <c r="G69" s="204"/>
      <c r="H69" s="204">
        <f t="shared" si="2"/>
        <v>80.650000000000006</v>
      </c>
      <c r="I69" s="207">
        <v>1184669</v>
      </c>
      <c r="J69" s="254"/>
      <c r="K69" s="229"/>
    </row>
    <row r="70" spans="1:11" s="21" customFormat="1" x14ac:dyDescent="0.25">
      <c r="A70" s="12">
        <v>67</v>
      </c>
      <c r="B70" s="200">
        <v>3508</v>
      </c>
      <c r="C70" s="60" t="s">
        <v>49</v>
      </c>
      <c r="D70" s="202">
        <v>580.20000000000005</v>
      </c>
      <c r="E70" s="203" t="s">
        <v>16</v>
      </c>
      <c r="F70" s="204">
        <f t="shared" si="3"/>
        <v>145.05000000000001</v>
      </c>
      <c r="G70" s="204"/>
      <c r="H70" s="204">
        <f t="shared" si="2"/>
        <v>145.05000000000001</v>
      </c>
      <c r="I70" s="207">
        <v>2567166</v>
      </c>
      <c r="J70" s="254"/>
      <c r="K70" s="229"/>
    </row>
    <row r="71" spans="1:11" s="21" customFormat="1" x14ac:dyDescent="0.25">
      <c r="A71" s="12">
        <v>68</v>
      </c>
      <c r="B71" s="200">
        <v>3509</v>
      </c>
      <c r="C71" s="42" t="s">
        <v>209</v>
      </c>
      <c r="D71" s="202">
        <v>555.5</v>
      </c>
      <c r="E71" s="203" t="s">
        <v>16</v>
      </c>
      <c r="F71" s="204">
        <f t="shared" si="3"/>
        <v>138.875</v>
      </c>
      <c r="G71" s="204"/>
      <c r="H71" s="204">
        <f t="shared" si="2"/>
        <v>138.875</v>
      </c>
      <c r="I71" s="207">
        <v>22760088</v>
      </c>
      <c r="J71" s="254"/>
      <c r="K71" s="229"/>
    </row>
    <row r="72" spans="1:11" s="21" customFormat="1" x14ac:dyDescent="0.25">
      <c r="A72" s="12">
        <v>69</v>
      </c>
      <c r="B72" s="200">
        <v>3510</v>
      </c>
      <c r="C72" s="42" t="s">
        <v>211</v>
      </c>
      <c r="D72" s="202">
        <v>871.3</v>
      </c>
      <c r="E72" s="203" t="s">
        <v>16</v>
      </c>
      <c r="F72" s="204">
        <f t="shared" si="3"/>
        <v>217.82499999999999</v>
      </c>
      <c r="G72" s="204"/>
      <c r="H72" s="204">
        <f t="shared" si="2"/>
        <v>217.82499999999999</v>
      </c>
      <c r="I72" s="207">
        <v>6920351</v>
      </c>
      <c r="J72" s="254"/>
      <c r="K72" s="229"/>
    </row>
    <row r="73" spans="1:11" s="21" customFormat="1" x14ac:dyDescent="0.25">
      <c r="A73" s="210">
        <v>70</v>
      </c>
      <c r="B73" s="211">
        <v>3511</v>
      </c>
      <c r="C73" s="257" t="s">
        <v>21</v>
      </c>
      <c r="D73" s="213">
        <v>1250.5999999999999</v>
      </c>
      <c r="E73" s="214" t="s">
        <v>16</v>
      </c>
      <c r="F73" s="175">
        <f t="shared" si="3"/>
        <v>312.64999999999998</v>
      </c>
      <c r="G73" s="175">
        <f>310.675+1.975</f>
        <v>312.65000000000003</v>
      </c>
      <c r="H73" s="175">
        <f t="shared" si="2"/>
        <v>0</v>
      </c>
      <c r="I73" s="258">
        <v>2640016</v>
      </c>
      <c r="J73" s="259">
        <v>45685</v>
      </c>
      <c r="K73" s="229">
        <v>45932</v>
      </c>
    </row>
    <row r="74" spans="1:11" s="21" customFormat="1" x14ac:dyDescent="0.25">
      <c r="A74" s="12">
        <v>71</v>
      </c>
      <c r="B74" s="200">
        <v>3512</v>
      </c>
      <c r="C74" s="22" t="s">
        <v>213</v>
      </c>
      <c r="D74" s="202">
        <v>39.200000000000003</v>
      </c>
      <c r="E74" s="203" t="s">
        <v>16</v>
      </c>
      <c r="F74" s="204">
        <f t="shared" si="3"/>
        <v>9.8000000000000007</v>
      </c>
      <c r="G74" s="204"/>
      <c r="H74" s="204">
        <f t="shared" si="2"/>
        <v>9.8000000000000007</v>
      </c>
      <c r="I74" s="24">
        <v>5514631</v>
      </c>
      <c r="J74" s="254"/>
      <c r="K74" s="229"/>
    </row>
    <row r="75" spans="1:11" s="21" customFormat="1" x14ac:dyDescent="0.25">
      <c r="A75" s="210">
        <v>72</v>
      </c>
      <c r="B75" s="211">
        <v>3513</v>
      </c>
      <c r="C75" s="257" t="s">
        <v>215</v>
      </c>
      <c r="D75" s="213">
        <v>2399.8000000000002</v>
      </c>
      <c r="E75" s="214" t="s">
        <v>16</v>
      </c>
      <c r="F75" s="175">
        <f t="shared" si="3"/>
        <v>599.95000000000005</v>
      </c>
      <c r="G75" s="175">
        <f>596.15</f>
        <v>596.15</v>
      </c>
      <c r="H75" s="175">
        <f t="shared" si="2"/>
        <v>3.8000000000000682</v>
      </c>
      <c r="I75" s="258">
        <v>7047376</v>
      </c>
      <c r="J75" s="259">
        <v>45691</v>
      </c>
      <c r="K75" s="229"/>
    </row>
    <row r="76" spans="1:11" s="21" customFormat="1" ht="18" customHeight="1" x14ac:dyDescent="0.25">
      <c r="A76" s="12">
        <v>73</v>
      </c>
      <c r="B76" s="200">
        <v>3514</v>
      </c>
      <c r="C76" s="22" t="s">
        <v>217</v>
      </c>
      <c r="D76" s="202">
        <v>1293.8</v>
      </c>
      <c r="E76" s="203" t="s">
        <v>16</v>
      </c>
      <c r="F76" s="204">
        <f t="shared" si="3"/>
        <v>323.45</v>
      </c>
      <c r="G76" s="204"/>
      <c r="H76" s="204">
        <f t="shared" si="2"/>
        <v>323.45</v>
      </c>
      <c r="I76" s="24">
        <v>440083</v>
      </c>
      <c r="J76" s="254"/>
      <c r="K76" s="229"/>
    </row>
    <row r="77" spans="1:11" s="27" customFormat="1" ht="15.75" x14ac:dyDescent="0.25">
      <c r="A77" s="210">
        <v>74</v>
      </c>
      <c r="B77" s="211">
        <v>3515</v>
      </c>
      <c r="C77" s="257" t="s">
        <v>51</v>
      </c>
      <c r="D77" s="213">
        <v>1562.8</v>
      </c>
      <c r="E77" s="214" t="s">
        <v>16</v>
      </c>
      <c r="F77" s="175">
        <f t="shared" si="3"/>
        <v>390.7</v>
      </c>
      <c r="G77" s="175">
        <f>390.55</f>
        <v>390.55</v>
      </c>
      <c r="H77" s="175">
        <f t="shared" si="2"/>
        <v>0.14999999999997726</v>
      </c>
      <c r="I77" s="258">
        <v>6645198</v>
      </c>
      <c r="J77" s="236">
        <v>45693</v>
      </c>
      <c r="K77" s="266"/>
    </row>
    <row r="78" spans="1:11" s="21" customFormat="1" x14ac:dyDescent="0.25">
      <c r="A78" s="12">
        <v>75</v>
      </c>
      <c r="B78" s="200">
        <v>3516</v>
      </c>
      <c r="C78" s="22" t="s">
        <v>219</v>
      </c>
      <c r="D78" s="202">
        <v>1696.7</v>
      </c>
      <c r="E78" s="203" t="s">
        <v>16</v>
      </c>
      <c r="F78" s="204">
        <f t="shared" si="3"/>
        <v>424.17500000000001</v>
      </c>
      <c r="G78" s="204"/>
      <c r="H78" s="204">
        <f t="shared" si="2"/>
        <v>424.17500000000001</v>
      </c>
      <c r="I78" s="24">
        <v>1165877</v>
      </c>
      <c r="J78" s="254"/>
      <c r="K78" s="229"/>
    </row>
    <row r="79" spans="1:11" s="21" customFormat="1" x14ac:dyDescent="0.25">
      <c r="A79" s="218">
        <v>76</v>
      </c>
      <c r="B79" s="219">
        <v>3517</v>
      </c>
      <c r="C79" s="260" t="s">
        <v>221</v>
      </c>
      <c r="D79" s="221">
        <v>1182</v>
      </c>
      <c r="E79" s="222" t="s">
        <v>16</v>
      </c>
      <c r="F79" s="223">
        <f t="shared" si="3"/>
        <v>295.5</v>
      </c>
      <c r="G79" s="223">
        <f>F79</f>
        <v>295.5</v>
      </c>
      <c r="H79" s="223">
        <f t="shared" si="2"/>
        <v>0</v>
      </c>
      <c r="I79" s="261">
        <v>7047081</v>
      </c>
      <c r="J79" s="255" t="s">
        <v>257</v>
      </c>
      <c r="K79" s="229"/>
    </row>
    <row r="80" spans="1:11" s="27" customFormat="1" x14ac:dyDescent="0.25">
      <c r="A80" s="210">
        <v>77</v>
      </c>
      <c r="B80" s="211">
        <v>3518</v>
      </c>
      <c r="C80" s="257" t="s">
        <v>54</v>
      </c>
      <c r="D80" s="213">
        <v>572.6</v>
      </c>
      <c r="E80" s="214" t="s">
        <v>16</v>
      </c>
      <c r="F80" s="175">
        <f t="shared" si="3"/>
        <v>143.15</v>
      </c>
      <c r="G80" s="175">
        <f>F80</f>
        <v>143.15</v>
      </c>
      <c r="H80" s="175">
        <f t="shared" si="2"/>
        <v>0</v>
      </c>
      <c r="I80" s="258">
        <v>20386956</v>
      </c>
      <c r="J80" s="259" t="s">
        <v>272</v>
      </c>
      <c r="K80" s="266"/>
    </row>
    <row r="81" spans="1:11" s="21" customFormat="1" x14ac:dyDescent="0.25">
      <c r="A81" s="218">
        <v>78</v>
      </c>
      <c r="B81" s="219">
        <v>3519</v>
      </c>
      <c r="C81" s="260" t="s">
        <v>223</v>
      </c>
      <c r="D81" s="221">
        <v>584.79999999999995</v>
      </c>
      <c r="E81" s="222" t="s">
        <v>16</v>
      </c>
      <c r="F81" s="223">
        <f t="shared" si="3"/>
        <v>146.19999999999999</v>
      </c>
      <c r="G81" s="223">
        <f>F81</f>
        <v>146.19999999999999</v>
      </c>
      <c r="H81" s="223">
        <f>F81-G81</f>
        <v>0</v>
      </c>
      <c r="I81" s="263">
        <v>7047221</v>
      </c>
      <c r="J81" s="255" t="s">
        <v>257</v>
      </c>
      <c r="K81" s="229"/>
    </row>
    <row r="82" spans="1:11" s="21" customFormat="1" x14ac:dyDescent="0.25">
      <c r="A82" s="12">
        <v>79</v>
      </c>
      <c r="B82" s="200">
        <v>3520</v>
      </c>
      <c r="C82" s="22" t="s">
        <v>225</v>
      </c>
      <c r="D82" s="202">
        <v>746.9</v>
      </c>
      <c r="E82" s="203" t="s">
        <v>16</v>
      </c>
      <c r="F82" s="204">
        <f t="shared" si="3"/>
        <v>186.72499999999999</v>
      </c>
      <c r="G82" s="204"/>
      <c r="H82" s="204">
        <f>F82-G82</f>
        <v>186.72499999999999</v>
      </c>
      <c r="I82" s="18">
        <v>5665362</v>
      </c>
      <c r="J82" s="262"/>
      <c r="K82" s="229"/>
    </row>
    <row r="83" spans="1:11" s="21" customFormat="1" x14ac:dyDescent="0.25">
      <c r="A83" s="12">
        <v>80</v>
      </c>
      <c r="B83" s="200">
        <v>3521</v>
      </c>
      <c r="C83" s="22" t="s">
        <v>227</v>
      </c>
      <c r="D83" s="202">
        <v>3489.9</v>
      </c>
      <c r="E83" s="203" t="s">
        <v>16</v>
      </c>
      <c r="F83" s="204">
        <f t="shared" si="3"/>
        <v>872.47500000000002</v>
      </c>
      <c r="G83" s="204"/>
      <c r="H83" s="204">
        <f>F83-G83</f>
        <v>872.47500000000002</v>
      </c>
      <c r="I83" s="24">
        <v>7064553</v>
      </c>
      <c r="J83" s="254"/>
      <c r="K83" s="229"/>
    </row>
    <row r="84" spans="1:11" s="21" customFormat="1" x14ac:dyDescent="0.25">
      <c r="A84" s="12">
        <v>81</v>
      </c>
      <c r="B84" s="200">
        <v>3522</v>
      </c>
      <c r="C84" s="22" t="s">
        <v>229</v>
      </c>
      <c r="D84" s="202">
        <v>831.4</v>
      </c>
      <c r="E84" s="203" t="s">
        <v>16</v>
      </c>
      <c r="F84" s="204">
        <f t="shared" si="3"/>
        <v>207.85</v>
      </c>
      <c r="G84" s="204"/>
      <c r="H84" s="204">
        <f>F84-G84</f>
        <v>207.85</v>
      </c>
      <c r="I84" s="24">
        <v>11365191</v>
      </c>
      <c r="J84" s="254"/>
      <c r="K84" s="229"/>
    </row>
    <row r="85" spans="1:11" s="21" customFormat="1" x14ac:dyDescent="0.25">
      <c r="A85" s="28"/>
      <c r="B85" s="28"/>
      <c r="C85" s="28"/>
      <c r="D85" s="29">
        <f>SUM(D4:D84)</f>
        <v>128571.50000000003</v>
      </c>
      <c r="E85" s="28" t="s">
        <v>26</v>
      </c>
      <c r="F85" s="28">
        <f>SUM(F4:F84)</f>
        <v>32142.875000000007</v>
      </c>
      <c r="G85" s="28">
        <f>SUM(G4:G84)</f>
        <v>11546.215</v>
      </c>
      <c r="H85" s="28">
        <f>SUM(H4:H84)</f>
        <v>20596.659999999996</v>
      </c>
      <c r="I85" s="28"/>
      <c r="J85" s="256"/>
      <c r="K85" s="230"/>
    </row>
    <row r="86" spans="1:11" x14ac:dyDescent="0.25">
      <c r="F86" s="40"/>
      <c r="G86" s="40"/>
      <c r="H86" s="40"/>
    </row>
    <row r="87" spans="1:11" x14ac:dyDescent="0.25">
      <c r="D87" s="45"/>
      <c r="F87" s="45"/>
      <c r="G87" s="45"/>
      <c r="H87" s="45"/>
    </row>
    <row r="88" spans="1:11" x14ac:dyDescent="0.25">
      <c r="F88" s="40"/>
      <c r="G88" s="40"/>
      <c r="H88" s="40"/>
    </row>
    <row r="89" spans="1:11" x14ac:dyDescent="0.25">
      <c r="F89" s="40"/>
      <c r="G89" s="40"/>
      <c r="H89" s="40"/>
    </row>
    <row r="90" spans="1:11" x14ac:dyDescent="0.25">
      <c r="F90" s="40"/>
      <c r="G90" s="40"/>
      <c r="H90" s="40"/>
    </row>
    <row r="91" spans="1:11" x14ac:dyDescent="0.25">
      <c r="F91" s="40"/>
      <c r="G91" s="40"/>
      <c r="H91" s="40"/>
    </row>
    <row r="92" spans="1:11" x14ac:dyDescent="0.25">
      <c r="F92" s="40"/>
      <c r="G92" s="40"/>
      <c r="H92" s="40"/>
    </row>
    <row r="93" spans="1:11" x14ac:dyDescent="0.25">
      <c r="F93" s="40"/>
      <c r="G93" s="40"/>
      <c r="H93" s="40"/>
    </row>
    <row r="94" spans="1:11" s="41" customFormat="1" x14ac:dyDescent="0.25">
      <c r="A94"/>
      <c r="B94"/>
      <c r="C94"/>
      <c r="D94" s="6"/>
      <c r="E94" s="6"/>
      <c r="F94" s="40"/>
      <c r="G94" s="40"/>
      <c r="H94" s="40"/>
      <c r="I94" s="44"/>
      <c r="J94" s="167"/>
      <c r="K94" s="159"/>
    </row>
    <row r="95" spans="1:11" s="41" customFormat="1" x14ac:dyDescent="0.25">
      <c r="A95"/>
      <c r="B95"/>
      <c r="C95"/>
      <c r="D95" s="6"/>
      <c r="E95" s="6"/>
      <c r="F95" s="40"/>
      <c r="G95" s="40"/>
      <c r="H95" s="40"/>
      <c r="I95" s="44"/>
      <c r="J95" s="167"/>
      <c r="K95" s="159"/>
    </row>
    <row r="96" spans="1:11" s="41" customFormat="1" x14ac:dyDescent="0.25">
      <c r="A96"/>
      <c r="B96"/>
      <c r="C96"/>
      <c r="D96" s="6"/>
      <c r="E96" s="6"/>
      <c r="F96" s="40"/>
      <c r="G96" s="40"/>
      <c r="H96" s="40"/>
      <c r="I96" s="44"/>
      <c r="J96" s="167"/>
      <c r="K96" s="159"/>
    </row>
    <row r="97" spans="1:11" s="41" customFormat="1" x14ac:dyDescent="0.25">
      <c r="A97"/>
      <c r="B97"/>
      <c r="C97"/>
      <c r="D97" s="6"/>
      <c r="E97" s="6"/>
      <c r="F97" s="40"/>
      <c r="G97" s="40"/>
      <c r="H97" s="40"/>
      <c r="I97" s="44"/>
      <c r="J97" s="167"/>
      <c r="K97" s="159"/>
    </row>
    <row r="98" spans="1:11" s="41" customFormat="1" x14ac:dyDescent="0.25">
      <c r="A98"/>
      <c r="B98"/>
      <c r="C98"/>
      <c r="D98" s="6"/>
      <c r="E98" s="6"/>
      <c r="F98" s="40"/>
      <c r="G98" s="40"/>
      <c r="H98" s="40"/>
      <c r="I98" s="44"/>
      <c r="J98" s="167"/>
      <c r="K98" s="159"/>
    </row>
    <row r="99" spans="1:11" s="41" customFormat="1" x14ac:dyDescent="0.25">
      <c r="A99"/>
      <c r="B99"/>
      <c r="C99"/>
      <c r="D99" s="6"/>
      <c r="E99" s="6"/>
      <c r="F99" s="40"/>
      <c r="G99" s="40"/>
      <c r="H99" s="40"/>
      <c r="I99" s="44"/>
      <c r="J99" s="167"/>
      <c r="K99" s="159"/>
    </row>
    <row r="100" spans="1:11" s="41" customFormat="1" x14ac:dyDescent="0.25">
      <c r="A100"/>
      <c r="B100"/>
      <c r="C100"/>
      <c r="D100" s="6"/>
      <c r="E100" s="6"/>
      <c r="F100" s="40"/>
      <c r="G100" s="40"/>
      <c r="H100" s="40"/>
      <c r="I100" s="44"/>
      <c r="J100" s="167"/>
      <c r="K100" s="159"/>
    </row>
    <row r="101" spans="1:11" s="41" customFormat="1" x14ac:dyDescent="0.25">
      <c r="A101"/>
      <c r="B101"/>
      <c r="C101"/>
      <c r="D101" s="6"/>
      <c r="E101" s="6"/>
      <c r="F101" s="40"/>
      <c r="G101" s="40"/>
      <c r="H101" s="40"/>
      <c r="I101" s="44"/>
      <c r="J101" s="167"/>
      <c r="K101" s="159"/>
    </row>
    <row r="102" spans="1:11" s="41" customFormat="1" x14ac:dyDescent="0.25">
      <c r="A102"/>
      <c r="B102"/>
      <c r="C102"/>
      <c r="D102" s="6"/>
      <c r="E102" s="6"/>
      <c r="F102" s="40"/>
      <c r="G102" s="40"/>
      <c r="H102" s="40"/>
      <c r="I102" s="44"/>
      <c r="J102" s="167"/>
      <c r="K102" s="159"/>
    </row>
    <row r="103" spans="1:11" s="41" customFormat="1" x14ac:dyDescent="0.25">
      <c r="A103"/>
      <c r="B103"/>
      <c r="C103"/>
      <c r="D103" s="6"/>
      <c r="E103" s="6"/>
      <c r="F103" s="40"/>
      <c r="G103" s="40"/>
      <c r="H103" s="40"/>
      <c r="I103" s="44"/>
      <c r="J103" s="167"/>
      <c r="K103" s="159"/>
    </row>
    <row r="104" spans="1:11" s="41" customFormat="1" x14ac:dyDescent="0.25">
      <c r="A104"/>
      <c r="B104"/>
      <c r="C104"/>
      <c r="D104" s="6"/>
      <c r="E104" s="6"/>
      <c r="F104" s="40"/>
      <c r="G104" s="40"/>
      <c r="H104" s="40"/>
      <c r="I104" s="44"/>
      <c r="J104" s="167"/>
      <c r="K104" s="159"/>
    </row>
    <row r="105" spans="1:11" s="41" customFormat="1" x14ac:dyDescent="0.25">
      <c r="A105"/>
      <c r="B105"/>
      <c r="C105"/>
      <c r="D105" s="6"/>
      <c r="E105" s="6"/>
      <c r="F105" s="40"/>
      <c r="G105" s="40"/>
      <c r="H105" s="40"/>
      <c r="I105" s="44"/>
      <c r="J105" s="167"/>
      <c r="K105" s="159"/>
    </row>
    <row r="106" spans="1:11" s="41" customFormat="1" x14ac:dyDescent="0.25">
      <c r="A106"/>
      <c r="B106"/>
      <c r="C106"/>
      <c r="D106" s="6"/>
      <c r="E106" s="6"/>
      <c r="F106" s="40"/>
      <c r="G106" s="40"/>
      <c r="H106" s="40"/>
      <c r="I106" s="44"/>
      <c r="J106" s="167"/>
      <c r="K106" s="159"/>
    </row>
    <row r="107" spans="1:11" s="41" customFormat="1" x14ac:dyDescent="0.25">
      <c r="A107"/>
      <c r="B107"/>
      <c r="C107"/>
      <c r="D107" s="6"/>
      <c r="E107" s="6"/>
      <c r="F107" s="40"/>
      <c r="G107" s="40"/>
      <c r="H107" s="40"/>
      <c r="I107" s="44"/>
      <c r="J107" s="167"/>
      <c r="K107" s="159"/>
    </row>
    <row r="108" spans="1:11" s="41" customFormat="1" x14ac:dyDescent="0.25">
      <c r="A108"/>
      <c r="B108"/>
      <c r="C108"/>
      <c r="D108" s="6"/>
      <c r="E108" s="6"/>
      <c r="F108" s="40"/>
      <c r="G108" s="40"/>
      <c r="H108" s="40"/>
      <c r="I108" s="44"/>
      <c r="J108" s="167"/>
      <c r="K108" s="159"/>
    </row>
    <row r="109" spans="1:11" s="41" customFormat="1" x14ac:dyDescent="0.25">
      <c r="A109"/>
      <c r="B109"/>
      <c r="C109"/>
      <c r="D109" s="6"/>
      <c r="E109" s="6"/>
      <c r="F109" s="40"/>
      <c r="G109" s="40"/>
      <c r="H109" s="40"/>
      <c r="I109" s="44"/>
      <c r="J109" s="167"/>
      <c r="K109" s="159"/>
    </row>
    <row r="110" spans="1:11" s="41" customFormat="1" x14ac:dyDescent="0.25">
      <c r="A110"/>
      <c r="B110"/>
      <c r="C110"/>
      <c r="D110" s="6"/>
      <c r="E110" s="6"/>
      <c r="F110" s="40"/>
      <c r="G110" s="40"/>
      <c r="H110" s="40"/>
      <c r="I110" s="44"/>
      <c r="J110" s="167"/>
      <c r="K110" s="159"/>
    </row>
    <row r="111" spans="1:11" s="41" customFormat="1" x14ac:dyDescent="0.25">
      <c r="A111"/>
      <c r="B111"/>
      <c r="C111"/>
      <c r="D111" s="6"/>
      <c r="E111" s="6"/>
      <c r="F111" s="40"/>
      <c r="G111" s="40"/>
      <c r="H111" s="40"/>
      <c r="I111" s="44"/>
      <c r="J111" s="167"/>
      <c r="K111" s="159"/>
    </row>
    <row r="112" spans="1:11" s="41" customFormat="1" x14ac:dyDescent="0.25">
      <c r="A112"/>
      <c r="B112"/>
      <c r="C112"/>
      <c r="D112" s="6"/>
      <c r="E112" s="6"/>
      <c r="F112" s="40"/>
      <c r="G112" s="40"/>
      <c r="H112" s="40"/>
      <c r="I112" s="44"/>
      <c r="J112" s="167"/>
      <c r="K112" s="159"/>
    </row>
    <row r="113" spans="1:11" s="41" customFormat="1" x14ac:dyDescent="0.25">
      <c r="A113"/>
      <c r="B113"/>
      <c r="C113"/>
      <c r="D113" s="6"/>
      <c r="E113" s="6"/>
      <c r="F113" s="40"/>
      <c r="G113" s="40"/>
      <c r="H113" s="40"/>
      <c r="I113" s="44"/>
      <c r="J113" s="167"/>
      <c r="K113" s="159"/>
    </row>
    <row r="114" spans="1:11" s="41" customFormat="1" x14ac:dyDescent="0.25">
      <c r="A114"/>
      <c r="B114"/>
      <c r="C114"/>
      <c r="D114" s="6"/>
      <c r="E114" s="6"/>
      <c r="F114" s="40"/>
      <c r="G114" s="40"/>
      <c r="H114" s="40"/>
      <c r="I114" s="44"/>
      <c r="J114" s="167"/>
      <c r="K114" s="159"/>
    </row>
    <row r="115" spans="1:11" s="41" customFormat="1" x14ac:dyDescent="0.25">
      <c r="A115"/>
      <c r="B115"/>
      <c r="C115"/>
      <c r="D115" s="6"/>
      <c r="E115" s="6"/>
      <c r="F115" s="40"/>
      <c r="G115" s="40"/>
      <c r="H115" s="40"/>
      <c r="I115" s="44"/>
      <c r="J115" s="167"/>
      <c r="K115" s="159"/>
    </row>
    <row r="116" spans="1:11" s="41" customFormat="1" x14ac:dyDescent="0.25">
      <c r="A116"/>
      <c r="B116"/>
      <c r="C116"/>
      <c r="D116" s="6"/>
      <c r="E116" s="6"/>
      <c r="F116" s="40"/>
      <c r="G116" s="40"/>
      <c r="H116" s="40"/>
      <c r="I116" s="44"/>
      <c r="J116" s="167"/>
      <c r="K116" s="159"/>
    </row>
  </sheetData>
  <sheetProtection pivotTables="0"/>
  <autoFilter ref="D1:D116" xr:uid="{317FCA77-6956-4773-8ED7-655D2610FECD}"/>
  <mergeCells count="11">
    <mergeCell ref="J2:J3"/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8" scale="50" orientation="landscape" r:id="rId1"/>
  <rowBreaks count="1" manualBreakCount="1">
    <brk id="65" max="1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D3411-64E5-4C23-BAF0-A87BA028022A}">
  <sheetPr codeName="Sheet9"/>
  <dimension ref="A1:K116"/>
  <sheetViews>
    <sheetView view="pageBreakPreview" zoomScaleNormal="100" zoomScaleSheetLayoutView="100" workbookViewId="0">
      <pane xSplit="3" ySplit="3" topLeftCell="D4" activePane="bottomRight" state="frozen"/>
      <selection activeCell="C92" sqref="C92"/>
      <selection pane="topRight" activeCell="C92" sqref="C92"/>
      <selection pane="bottomLeft" activeCell="C92" sqref="C92"/>
      <selection pane="bottomRight" activeCell="C92" sqref="C92"/>
    </sheetView>
  </sheetViews>
  <sheetFormatPr defaultRowHeight="15" x14ac:dyDescent="0.25"/>
  <cols>
    <col min="1" max="1" width="5.7109375" customWidth="1"/>
    <col min="2" max="2" width="9.28515625" customWidth="1"/>
    <col min="3" max="3" width="51.7109375" customWidth="1"/>
    <col min="4" max="4" width="19" style="6" customWidth="1"/>
    <col min="5" max="5" width="12.42578125" style="6" customWidth="1"/>
    <col min="6" max="6" width="16" style="6" bestFit="1" customWidth="1"/>
    <col min="7" max="8" width="16" style="6" customWidth="1"/>
    <col min="9" max="9" width="12.28515625" style="44" customWidth="1"/>
    <col min="10" max="10" width="28" customWidth="1"/>
    <col min="11" max="11" width="11" style="43" customWidth="1"/>
    <col min="257" max="257" width="5.7109375" customWidth="1"/>
    <col min="258" max="258" width="9.28515625" customWidth="1"/>
    <col min="259" max="259" width="51.7109375" customWidth="1"/>
    <col min="260" max="260" width="19" customWidth="1"/>
    <col min="261" max="261" width="12.42578125" customWidth="1"/>
    <col min="262" max="262" width="16" bestFit="1" customWidth="1"/>
    <col min="263" max="264" width="16" customWidth="1"/>
    <col min="265" max="265" width="12.28515625" customWidth="1"/>
    <col min="266" max="266" width="28" customWidth="1"/>
    <col min="267" max="267" width="11" customWidth="1"/>
    <col min="513" max="513" width="5.7109375" customWidth="1"/>
    <col min="514" max="514" width="9.28515625" customWidth="1"/>
    <col min="515" max="515" width="51.7109375" customWidth="1"/>
    <col min="516" max="516" width="19" customWidth="1"/>
    <col min="517" max="517" width="12.42578125" customWidth="1"/>
    <col min="518" max="518" width="16" bestFit="1" customWidth="1"/>
    <col min="519" max="520" width="16" customWidth="1"/>
    <col min="521" max="521" width="12.28515625" customWidth="1"/>
    <col min="522" max="522" width="28" customWidth="1"/>
    <col min="523" max="523" width="11" customWidth="1"/>
    <col min="769" max="769" width="5.7109375" customWidth="1"/>
    <col min="770" max="770" width="9.28515625" customWidth="1"/>
    <col min="771" max="771" width="51.7109375" customWidth="1"/>
    <col min="772" max="772" width="19" customWidth="1"/>
    <col min="773" max="773" width="12.42578125" customWidth="1"/>
    <col min="774" max="774" width="16" bestFit="1" customWidth="1"/>
    <col min="775" max="776" width="16" customWidth="1"/>
    <col min="777" max="777" width="12.28515625" customWidth="1"/>
    <col min="778" max="778" width="28" customWidth="1"/>
    <col min="779" max="779" width="11" customWidth="1"/>
    <col min="1025" max="1025" width="5.7109375" customWidth="1"/>
    <col min="1026" max="1026" width="9.28515625" customWidth="1"/>
    <col min="1027" max="1027" width="51.7109375" customWidth="1"/>
    <col min="1028" max="1028" width="19" customWidth="1"/>
    <col min="1029" max="1029" width="12.42578125" customWidth="1"/>
    <col min="1030" max="1030" width="16" bestFit="1" customWidth="1"/>
    <col min="1031" max="1032" width="16" customWidth="1"/>
    <col min="1033" max="1033" width="12.28515625" customWidth="1"/>
    <col min="1034" max="1034" width="28" customWidth="1"/>
    <col min="1035" max="1035" width="11" customWidth="1"/>
    <col min="1281" max="1281" width="5.7109375" customWidth="1"/>
    <col min="1282" max="1282" width="9.28515625" customWidth="1"/>
    <col min="1283" max="1283" width="51.7109375" customWidth="1"/>
    <col min="1284" max="1284" width="19" customWidth="1"/>
    <col min="1285" max="1285" width="12.42578125" customWidth="1"/>
    <col min="1286" max="1286" width="16" bestFit="1" customWidth="1"/>
    <col min="1287" max="1288" width="16" customWidth="1"/>
    <col min="1289" max="1289" width="12.28515625" customWidth="1"/>
    <col min="1290" max="1290" width="28" customWidth="1"/>
    <col min="1291" max="1291" width="11" customWidth="1"/>
    <col min="1537" max="1537" width="5.7109375" customWidth="1"/>
    <col min="1538" max="1538" width="9.28515625" customWidth="1"/>
    <col min="1539" max="1539" width="51.7109375" customWidth="1"/>
    <col min="1540" max="1540" width="19" customWidth="1"/>
    <col min="1541" max="1541" width="12.42578125" customWidth="1"/>
    <col min="1542" max="1542" width="16" bestFit="1" customWidth="1"/>
    <col min="1543" max="1544" width="16" customWidth="1"/>
    <col min="1545" max="1545" width="12.28515625" customWidth="1"/>
    <col min="1546" max="1546" width="28" customWidth="1"/>
    <col min="1547" max="1547" width="11" customWidth="1"/>
    <col min="1793" max="1793" width="5.7109375" customWidth="1"/>
    <col min="1794" max="1794" width="9.28515625" customWidth="1"/>
    <col min="1795" max="1795" width="51.7109375" customWidth="1"/>
    <col min="1796" max="1796" width="19" customWidth="1"/>
    <col min="1797" max="1797" width="12.42578125" customWidth="1"/>
    <col min="1798" max="1798" width="16" bestFit="1" customWidth="1"/>
    <col min="1799" max="1800" width="16" customWidth="1"/>
    <col min="1801" max="1801" width="12.28515625" customWidth="1"/>
    <col min="1802" max="1802" width="28" customWidth="1"/>
    <col min="1803" max="1803" width="11" customWidth="1"/>
    <col min="2049" max="2049" width="5.7109375" customWidth="1"/>
    <col min="2050" max="2050" width="9.28515625" customWidth="1"/>
    <col min="2051" max="2051" width="51.7109375" customWidth="1"/>
    <col min="2052" max="2052" width="19" customWidth="1"/>
    <col min="2053" max="2053" width="12.42578125" customWidth="1"/>
    <col min="2054" max="2054" width="16" bestFit="1" customWidth="1"/>
    <col min="2055" max="2056" width="16" customWidth="1"/>
    <col min="2057" max="2057" width="12.28515625" customWidth="1"/>
    <col min="2058" max="2058" width="28" customWidth="1"/>
    <col min="2059" max="2059" width="11" customWidth="1"/>
    <col min="2305" max="2305" width="5.7109375" customWidth="1"/>
    <col min="2306" max="2306" width="9.28515625" customWidth="1"/>
    <col min="2307" max="2307" width="51.7109375" customWidth="1"/>
    <col min="2308" max="2308" width="19" customWidth="1"/>
    <col min="2309" max="2309" width="12.42578125" customWidth="1"/>
    <col min="2310" max="2310" width="16" bestFit="1" customWidth="1"/>
    <col min="2311" max="2312" width="16" customWidth="1"/>
    <col min="2313" max="2313" width="12.28515625" customWidth="1"/>
    <col min="2314" max="2314" width="28" customWidth="1"/>
    <col min="2315" max="2315" width="11" customWidth="1"/>
    <col min="2561" max="2561" width="5.7109375" customWidth="1"/>
    <col min="2562" max="2562" width="9.28515625" customWidth="1"/>
    <col min="2563" max="2563" width="51.7109375" customWidth="1"/>
    <col min="2564" max="2564" width="19" customWidth="1"/>
    <col min="2565" max="2565" width="12.42578125" customWidth="1"/>
    <col min="2566" max="2566" width="16" bestFit="1" customWidth="1"/>
    <col min="2567" max="2568" width="16" customWidth="1"/>
    <col min="2569" max="2569" width="12.28515625" customWidth="1"/>
    <col min="2570" max="2570" width="28" customWidth="1"/>
    <col min="2571" max="2571" width="11" customWidth="1"/>
    <col min="2817" max="2817" width="5.7109375" customWidth="1"/>
    <col min="2818" max="2818" width="9.28515625" customWidth="1"/>
    <col min="2819" max="2819" width="51.7109375" customWidth="1"/>
    <col min="2820" max="2820" width="19" customWidth="1"/>
    <col min="2821" max="2821" width="12.42578125" customWidth="1"/>
    <col min="2822" max="2822" width="16" bestFit="1" customWidth="1"/>
    <col min="2823" max="2824" width="16" customWidth="1"/>
    <col min="2825" max="2825" width="12.28515625" customWidth="1"/>
    <col min="2826" max="2826" width="28" customWidth="1"/>
    <col min="2827" max="2827" width="11" customWidth="1"/>
    <col min="3073" max="3073" width="5.7109375" customWidth="1"/>
    <col min="3074" max="3074" width="9.28515625" customWidth="1"/>
    <col min="3075" max="3075" width="51.7109375" customWidth="1"/>
    <col min="3076" max="3076" width="19" customWidth="1"/>
    <col min="3077" max="3077" width="12.42578125" customWidth="1"/>
    <col min="3078" max="3078" width="16" bestFit="1" customWidth="1"/>
    <col min="3079" max="3080" width="16" customWidth="1"/>
    <col min="3081" max="3081" width="12.28515625" customWidth="1"/>
    <col min="3082" max="3082" width="28" customWidth="1"/>
    <col min="3083" max="3083" width="11" customWidth="1"/>
    <col min="3329" max="3329" width="5.7109375" customWidth="1"/>
    <col min="3330" max="3330" width="9.28515625" customWidth="1"/>
    <col min="3331" max="3331" width="51.7109375" customWidth="1"/>
    <col min="3332" max="3332" width="19" customWidth="1"/>
    <col min="3333" max="3333" width="12.42578125" customWidth="1"/>
    <col min="3334" max="3334" width="16" bestFit="1" customWidth="1"/>
    <col min="3335" max="3336" width="16" customWidth="1"/>
    <col min="3337" max="3337" width="12.28515625" customWidth="1"/>
    <col min="3338" max="3338" width="28" customWidth="1"/>
    <col min="3339" max="3339" width="11" customWidth="1"/>
    <col min="3585" max="3585" width="5.7109375" customWidth="1"/>
    <col min="3586" max="3586" width="9.28515625" customWidth="1"/>
    <col min="3587" max="3587" width="51.7109375" customWidth="1"/>
    <col min="3588" max="3588" width="19" customWidth="1"/>
    <col min="3589" max="3589" width="12.42578125" customWidth="1"/>
    <col min="3590" max="3590" width="16" bestFit="1" customWidth="1"/>
    <col min="3591" max="3592" width="16" customWidth="1"/>
    <col min="3593" max="3593" width="12.28515625" customWidth="1"/>
    <col min="3594" max="3594" width="28" customWidth="1"/>
    <col min="3595" max="3595" width="11" customWidth="1"/>
    <col min="3841" max="3841" width="5.7109375" customWidth="1"/>
    <col min="3842" max="3842" width="9.28515625" customWidth="1"/>
    <col min="3843" max="3843" width="51.7109375" customWidth="1"/>
    <col min="3844" max="3844" width="19" customWidth="1"/>
    <col min="3845" max="3845" width="12.42578125" customWidth="1"/>
    <col min="3846" max="3846" width="16" bestFit="1" customWidth="1"/>
    <col min="3847" max="3848" width="16" customWidth="1"/>
    <col min="3849" max="3849" width="12.28515625" customWidth="1"/>
    <col min="3850" max="3850" width="28" customWidth="1"/>
    <col min="3851" max="3851" width="11" customWidth="1"/>
    <col min="4097" max="4097" width="5.7109375" customWidth="1"/>
    <col min="4098" max="4098" width="9.28515625" customWidth="1"/>
    <col min="4099" max="4099" width="51.7109375" customWidth="1"/>
    <col min="4100" max="4100" width="19" customWidth="1"/>
    <col min="4101" max="4101" width="12.42578125" customWidth="1"/>
    <col min="4102" max="4102" width="16" bestFit="1" customWidth="1"/>
    <col min="4103" max="4104" width="16" customWidth="1"/>
    <col min="4105" max="4105" width="12.28515625" customWidth="1"/>
    <col min="4106" max="4106" width="28" customWidth="1"/>
    <col min="4107" max="4107" width="11" customWidth="1"/>
    <col min="4353" max="4353" width="5.7109375" customWidth="1"/>
    <col min="4354" max="4354" width="9.28515625" customWidth="1"/>
    <col min="4355" max="4355" width="51.7109375" customWidth="1"/>
    <col min="4356" max="4356" width="19" customWidth="1"/>
    <col min="4357" max="4357" width="12.42578125" customWidth="1"/>
    <col min="4358" max="4358" width="16" bestFit="1" customWidth="1"/>
    <col min="4359" max="4360" width="16" customWidth="1"/>
    <col min="4361" max="4361" width="12.28515625" customWidth="1"/>
    <col min="4362" max="4362" width="28" customWidth="1"/>
    <col min="4363" max="4363" width="11" customWidth="1"/>
    <col min="4609" max="4609" width="5.7109375" customWidth="1"/>
    <col min="4610" max="4610" width="9.28515625" customWidth="1"/>
    <col min="4611" max="4611" width="51.7109375" customWidth="1"/>
    <col min="4612" max="4612" width="19" customWidth="1"/>
    <col min="4613" max="4613" width="12.42578125" customWidth="1"/>
    <col min="4614" max="4614" width="16" bestFit="1" customWidth="1"/>
    <col min="4615" max="4616" width="16" customWidth="1"/>
    <col min="4617" max="4617" width="12.28515625" customWidth="1"/>
    <col min="4618" max="4618" width="28" customWidth="1"/>
    <col min="4619" max="4619" width="11" customWidth="1"/>
    <col min="4865" max="4865" width="5.7109375" customWidth="1"/>
    <col min="4866" max="4866" width="9.28515625" customWidth="1"/>
    <col min="4867" max="4867" width="51.7109375" customWidth="1"/>
    <col min="4868" max="4868" width="19" customWidth="1"/>
    <col min="4869" max="4869" width="12.42578125" customWidth="1"/>
    <col min="4870" max="4870" width="16" bestFit="1" customWidth="1"/>
    <col min="4871" max="4872" width="16" customWidth="1"/>
    <col min="4873" max="4873" width="12.28515625" customWidth="1"/>
    <col min="4874" max="4874" width="28" customWidth="1"/>
    <col min="4875" max="4875" width="11" customWidth="1"/>
    <col min="5121" max="5121" width="5.7109375" customWidth="1"/>
    <col min="5122" max="5122" width="9.28515625" customWidth="1"/>
    <col min="5123" max="5123" width="51.7109375" customWidth="1"/>
    <col min="5124" max="5124" width="19" customWidth="1"/>
    <col min="5125" max="5125" width="12.42578125" customWidth="1"/>
    <col min="5126" max="5126" width="16" bestFit="1" customWidth="1"/>
    <col min="5127" max="5128" width="16" customWidth="1"/>
    <col min="5129" max="5129" width="12.28515625" customWidth="1"/>
    <col min="5130" max="5130" width="28" customWidth="1"/>
    <col min="5131" max="5131" width="11" customWidth="1"/>
    <col min="5377" max="5377" width="5.7109375" customWidth="1"/>
    <col min="5378" max="5378" width="9.28515625" customWidth="1"/>
    <col min="5379" max="5379" width="51.7109375" customWidth="1"/>
    <col min="5380" max="5380" width="19" customWidth="1"/>
    <col min="5381" max="5381" width="12.42578125" customWidth="1"/>
    <col min="5382" max="5382" width="16" bestFit="1" customWidth="1"/>
    <col min="5383" max="5384" width="16" customWidth="1"/>
    <col min="5385" max="5385" width="12.28515625" customWidth="1"/>
    <col min="5386" max="5386" width="28" customWidth="1"/>
    <col min="5387" max="5387" width="11" customWidth="1"/>
    <col min="5633" max="5633" width="5.7109375" customWidth="1"/>
    <col min="5634" max="5634" width="9.28515625" customWidth="1"/>
    <col min="5635" max="5635" width="51.7109375" customWidth="1"/>
    <col min="5636" max="5636" width="19" customWidth="1"/>
    <col min="5637" max="5637" width="12.42578125" customWidth="1"/>
    <col min="5638" max="5638" width="16" bestFit="1" customWidth="1"/>
    <col min="5639" max="5640" width="16" customWidth="1"/>
    <col min="5641" max="5641" width="12.28515625" customWidth="1"/>
    <col min="5642" max="5642" width="28" customWidth="1"/>
    <col min="5643" max="5643" width="11" customWidth="1"/>
    <col min="5889" max="5889" width="5.7109375" customWidth="1"/>
    <col min="5890" max="5890" width="9.28515625" customWidth="1"/>
    <col min="5891" max="5891" width="51.7109375" customWidth="1"/>
    <col min="5892" max="5892" width="19" customWidth="1"/>
    <col min="5893" max="5893" width="12.42578125" customWidth="1"/>
    <col min="5894" max="5894" width="16" bestFit="1" customWidth="1"/>
    <col min="5895" max="5896" width="16" customWidth="1"/>
    <col min="5897" max="5897" width="12.28515625" customWidth="1"/>
    <col min="5898" max="5898" width="28" customWidth="1"/>
    <col min="5899" max="5899" width="11" customWidth="1"/>
    <col min="6145" max="6145" width="5.7109375" customWidth="1"/>
    <col min="6146" max="6146" width="9.28515625" customWidth="1"/>
    <col min="6147" max="6147" width="51.7109375" customWidth="1"/>
    <col min="6148" max="6148" width="19" customWidth="1"/>
    <col min="6149" max="6149" width="12.42578125" customWidth="1"/>
    <col min="6150" max="6150" width="16" bestFit="1" customWidth="1"/>
    <col min="6151" max="6152" width="16" customWidth="1"/>
    <col min="6153" max="6153" width="12.28515625" customWidth="1"/>
    <col min="6154" max="6154" width="28" customWidth="1"/>
    <col min="6155" max="6155" width="11" customWidth="1"/>
    <col min="6401" max="6401" width="5.7109375" customWidth="1"/>
    <col min="6402" max="6402" width="9.28515625" customWidth="1"/>
    <col min="6403" max="6403" width="51.7109375" customWidth="1"/>
    <col min="6404" max="6404" width="19" customWidth="1"/>
    <col min="6405" max="6405" width="12.42578125" customWidth="1"/>
    <col min="6406" max="6406" width="16" bestFit="1" customWidth="1"/>
    <col min="6407" max="6408" width="16" customWidth="1"/>
    <col min="6409" max="6409" width="12.28515625" customWidth="1"/>
    <col min="6410" max="6410" width="28" customWidth="1"/>
    <col min="6411" max="6411" width="11" customWidth="1"/>
    <col min="6657" max="6657" width="5.7109375" customWidth="1"/>
    <col min="6658" max="6658" width="9.28515625" customWidth="1"/>
    <col min="6659" max="6659" width="51.7109375" customWidth="1"/>
    <col min="6660" max="6660" width="19" customWidth="1"/>
    <col min="6661" max="6661" width="12.42578125" customWidth="1"/>
    <col min="6662" max="6662" width="16" bestFit="1" customWidth="1"/>
    <col min="6663" max="6664" width="16" customWidth="1"/>
    <col min="6665" max="6665" width="12.28515625" customWidth="1"/>
    <col min="6666" max="6666" width="28" customWidth="1"/>
    <col min="6667" max="6667" width="11" customWidth="1"/>
    <col min="6913" max="6913" width="5.7109375" customWidth="1"/>
    <col min="6914" max="6914" width="9.28515625" customWidth="1"/>
    <col min="6915" max="6915" width="51.7109375" customWidth="1"/>
    <col min="6916" max="6916" width="19" customWidth="1"/>
    <col min="6917" max="6917" width="12.42578125" customWidth="1"/>
    <col min="6918" max="6918" width="16" bestFit="1" customWidth="1"/>
    <col min="6919" max="6920" width="16" customWidth="1"/>
    <col min="6921" max="6921" width="12.28515625" customWidth="1"/>
    <col min="6922" max="6922" width="28" customWidth="1"/>
    <col min="6923" max="6923" width="11" customWidth="1"/>
    <col min="7169" max="7169" width="5.7109375" customWidth="1"/>
    <col min="7170" max="7170" width="9.28515625" customWidth="1"/>
    <col min="7171" max="7171" width="51.7109375" customWidth="1"/>
    <col min="7172" max="7172" width="19" customWidth="1"/>
    <col min="7173" max="7173" width="12.42578125" customWidth="1"/>
    <col min="7174" max="7174" width="16" bestFit="1" customWidth="1"/>
    <col min="7175" max="7176" width="16" customWidth="1"/>
    <col min="7177" max="7177" width="12.28515625" customWidth="1"/>
    <col min="7178" max="7178" width="28" customWidth="1"/>
    <col min="7179" max="7179" width="11" customWidth="1"/>
    <col min="7425" max="7425" width="5.7109375" customWidth="1"/>
    <col min="7426" max="7426" width="9.28515625" customWidth="1"/>
    <col min="7427" max="7427" width="51.7109375" customWidth="1"/>
    <col min="7428" max="7428" width="19" customWidth="1"/>
    <col min="7429" max="7429" width="12.42578125" customWidth="1"/>
    <col min="7430" max="7430" width="16" bestFit="1" customWidth="1"/>
    <col min="7431" max="7432" width="16" customWidth="1"/>
    <col min="7433" max="7433" width="12.28515625" customWidth="1"/>
    <col min="7434" max="7434" width="28" customWidth="1"/>
    <col min="7435" max="7435" width="11" customWidth="1"/>
    <col min="7681" max="7681" width="5.7109375" customWidth="1"/>
    <col min="7682" max="7682" width="9.28515625" customWidth="1"/>
    <col min="7683" max="7683" width="51.7109375" customWidth="1"/>
    <col min="7684" max="7684" width="19" customWidth="1"/>
    <col min="7685" max="7685" width="12.42578125" customWidth="1"/>
    <col min="7686" max="7686" width="16" bestFit="1" customWidth="1"/>
    <col min="7687" max="7688" width="16" customWidth="1"/>
    <col min="7689" max="7689" width="12.28515625" customWidth="1"/>
    <col min="7690" max="7690" width="28" customWidth="1"/>
    <col min="7691" max="7691" width="11" customWidth="1"/>
    <col min="7937" max="7937" width="5.7109375" customWidth="1"/>
    <col min="7938" max="7938" width="9.28515625" customWidth="1"/>
    <col min="7939" max="7939" width="51.7109375" customWidth="1"/>
    <col min="7940" max="7940" width="19" customWidth="1"/>
    <col min="7941" max="7941" width="12.42578125" customWidth="1"/>
    <col min="7942" max="7942" width="16" bestFit="1" customWidth="1"/>
    <col min="7943" max="7944" width="16" customWidth="1"/>
    <col min="7945" max="7945" width="12.28515625" customWidth="1"/>
    <col min="7946" max="7946" width="28" customWidth="1"/>
    <col min="7947" max="7947" width="11" customWidth="1"/>
    <col min="8193" max="8193" width="5.7109375" customWidth="1"/>
    <col min="8194" max="8194" width="9.28515625" customWidth="1"/>
    <col min="8195" max="8195" width="51.7109375" customWidth="1"/>
    <col min="8196" max="8196" width="19" customWidth="1"/>
    <col min="8197" max="8197" width="12.42578125" customWidth="1"/>
    <col min="8198" max="8198" width="16" bestFit="1" customWidth="1"/>
    <col min="8199" max="8200" width="16" customWidth="1"/>
    <col min="8201" max="8201" width="12.28515625" customWidth="1"/>
    <col min="8202" max="8202" width="28" customWidth="1"/>
    <col min="8203" max="8203" width="11" customWidth="1"/>
    <col min="8449" max="8449" width="5.7109375" customWidth="1"/>
    <col min="8450" max="8450" width="9.28515625" customWidth="1"/>
    <col min="8451" max="8451" width="51.7109375" customWidth="1"/>
    <col min="8452" max="8452" width="19" customWidth="1"/>
    <col min="8453" max="8453" width="12.42578125" customWidth="1"/>
    <col min="8454" max="8454" width="16" bestFit="1" customWidth="1"/>
    <col min="8455" max="8456" width="16" customWidth="1"/>
    <col min="8457" max="8457" width="12.28515625" customWidth="1"/>
    <col min="8458" max="8458" width="28" customWidth="1"/>
    <col min="8459" max="8459" width="11" customWidth="1"/>
    <col min="8705" max="8705" width="5.7109375" customWidth="1"/>
    <col min="8706" max="8706" width="9.28515625" customWidth="1"/>
    <col min="8707" max="8707" width="51.7109375" customWidth="1"/>
    <col min="8708" max="8708" width="19" customWidth="1"/>
    <col min="8709" max="8709" width="12.42578125" customWidth="1"/>
    <col min="8710" max="8710" width="16" bestFit="1" customWidth="1"/>
    <col min="8711" max="8712" width="16" customWidth="1"/>
    <col min="8713" max="8713" width="12.28515625" customWidth="1"/>
    <col min="8714" max="8714" width="28" customWidth="1"/>
    <col min="8715" max="8715" width="11" customWidth="1"/>
    <col min="8961" max="8961" width="5.7109375" customWidth="1"/>
    <col min="8962" max="8962" width="9.28515625" customWidth="1"/>
    <col min="8963" max="8963" width="51.7109375" customWidth="1"/>
    <col min="8964" max="8964" width="19" customWidth="1"/>
    <col min="8965" max="8965" width="12.42578125" customWidth="1"/>
    <col min="8966" max="8966" width="16" bestFit="1" customWidth="1"/>
    <col min="8967" max="8968" width="16" customWidth="1"/>
    <col min="8969" max="8969" width="12.28515625" customWidth="1"/>
    <col min="8970" max="8970" width="28" customWidth="1"/>
    <col min="8971" max="8971" width="11" customWidth="1"/>
    <col min="9217" max="9217" width="5.7109375" customWidth="1"/>
    <col min="9218" max="9218" width="9.28515625" customWidth="1"/>
    <col min="9219" max="9219" width="51.7109375" customWidth="1"/>
    <col min="9220" max="9220" width="19" customWidth="1"/>
    <col min="9221" max="9221" width="12.42578125" customWidth="1"/>
    <col min="9222" max="9222" width="16" bestFit="1" customWidth="1"/>
    <col min="9223" max="9224" width="16" customWidth="1"/>
    <col min="9225" max="9225" width="12.28515625" customWidth="1"/>
    <col min="9226" max="9226" width="28" customWidth="1"/>
    <col min="9227" max="9227" width="11" customWidth="1"/>
    <col min="9473" max="9473" width="5.7109375" customWidth="1"/>
    <col min="9474" max="9474" width="9.28515625" customWidth="1"/>
    <col min="9475" max="9475" width="51.7109375" customWidth="1"/>
    <col min="9476" max="9476" width="19" customWidth="1"/>
    <col min="9477" max="9477" width="12.42578125" customWidth="1"/>
    <col min="9478" max="9478" width="16" bestFit="1" customWidth="1"/>
    <col min="9479" max="9480" width="16" customWidth="1"/>
    <col min="9481" max="9481" width="12.28515625" customWidth="1"/>
    <col min="9482" max="9482" width="28" customWidth="1"/>
    <col min="9483" max="9483" width="11" customWidth="1"/>
    <col min="9729" max="9729" width="5.7109375" customWidth="1"/>
    <col min="9730" max="9730" width="9.28515625" customWidth="1"/>
    <col min="9731" max="9731" width="51.7109375" customWidth="1"/>
    <col min="9732" max="9732" width="19" customWidth="1"/>
    <col min="9733" max="9733" width="12.42578125" customWidth="1"/>
    <col min="9734" max="9734" width="16" bestFit="1" customWidth="1"/>
    <col min="9735" max="9736" width="16" customWidth="1"/>
    <col min="9737" max="9737" width="12.28515625" customWidth="1"/>
    <col min="9738" max="9738" width="28" customWidth="1"/>
    <col min="9739" max="9739" width="11" customWidth="1"/>
    <col min="9985" max="9985" width="5.7109375" customWidth="1"/>
    <col min="9986" max="9986" width="9.28515625" customWidth="1"/>
    <col min="9987" max="9987" width="51.7109375" customWidth="1"/>
    <col min="9988" max="9988" width="19" customWidth="1"/>
    <col min="9989" max="9989" width="12.42578125" customWidth="1"/>
    <col min="9990" max="9990" width="16" bestFit="1" customWidth="1"/>
    <col min="9991" max="9992" width="16" customWidth="1"/>
    <col min="9993" max="9993" width="12.28515625" customWidth="1"/>
    <col min="9994" max="9994" width="28" customWidth="1"/>
    <col min="9995" max="9995" width="11" customWidth="1"/>
    <col min="10241" max="10241" width="5.7109375" customWidth="1"/>
    <col min="10242" max="10242" width="9.28515625" customWidth="1"/>
    <col min="10243" max="10243" width="51.7109375" customWidth="1"/>
    <col min="10244" max="10244" width="19" customWidth="1"/>
    <col min="10245" max="10245" width="12.42578125" customWidth="1"/>
    <col min="10246" max="10246" width="16" bestFit="1" customWidth="1"/>
    <col min="10247" max="10248" width="16" customWidth="1"/>
    <col min="10249" max="10249" width="12.28515625" customWidth="1"/>
    <col min="10250" max="10250" width="28" customWidth="1"/>
    <col min="10251" max="10251" width="11" customWidth="1"/>
    <col min="10497" max="10497" width="5.7109375" customWidth="1"/>
    <col min="10498" max="10498" width="9.28515625" customWidth="1"/>
    <col min="10499" max="10499" width="51.7109375" customWidth="1"/>
    <col min="10500" max="10500" width="19" customWidth="1"/>
    <col min="10501" max="10501" width="12.42578125" customWidth="1"/>
    <col min="10502" max="10502" width="16" bestFit="1" customWidth="1"/>
    <col min="10503" max="10504" width="16" customWidth="1"/>
    <col min="10505" max="10505" width="12.28515625" customWidth="1"/>
    <col min="10506" max="10506" width="28" customWidth="1"/>
    <col min="10507" max="10507" width="11" customWidth="1"/>
    <col min="10753" max="10753" width="5.7109375" customWidth="1"/>
    <col min="10754" max="10754" width="9.28515625" customWidth="1"/>
    <col min="10755" max="10755" width="51.7109375" customWidth="1"/>
    <col min="10756" max="10756" width="19" customWidth="1"/>
    <col min="10757" max="10757" width="12.42578125" customWidth="1"/>
    <col min="10758" max="10758" width="16" bestFit="1" customWidth="1"/>
    <col min="10759" max="10760" width="16" customWidth="1"/>
    <col min="10761" max="10761" width="12.28515625" customWidth="1"/>
    <col min="10762" max="10762" width="28" customWidth="1"/>
    <col min="10763" max="10763" width="11" customWidth="1"/>
    <col min="11009" max="11009" width="5.7109375" customWidth="1"/>
    <col min="11010" max="11010" width="9.28515625" customWidth="1"/>
    <col min="11011" max="11011" width="51.7109375" customWidth="1"/>
    <col min="11012" max="11012" width="19" customWidth="1"/>
    <col min="11013" max="11013" width="12.42578125" customWidth="1"/>
    <col min="11014" max="11014" width="16" bestFit="1" customWidth="1"/>
    <col min="11015" max="11016" width="16" customWidth="1"/>
    <col min="11017" max="11017" width="12.28515625" customWidth="1"/>
    <col min="11018" max="11018" width="28" customWidth="1"/>
    <col min="11019" max="11019" width="11" customWidth="1"/>
    <col min="11265" max="11265" width="5.7109375" customWidth="1"/>
    <col min="11266" max="11266" width="9.28515625" customWidth="1"/>
    <col min="11267" max="11267" width="51.7109375" customWidth="1"/>
    <col min="11268" max="11268" width="19" customWidth="1"/>
    <col min="11269" max="11269" width="12.42578125" customWidth="1"/>
    <col min="11270" max="11270" width="16" bestFit="1" customWidth="1"/>
    <col min="11271" max="11272" width="16" customWidth="1"/>
    <col min="11273" max="11273" width="12.28515625" customWidth="1"/>
    <col min="11274" max="11274" width="28" customWidth="1"/>
    <col min="11275" max="11275" width="11" customWidth="1"/>
    <col min="11521" max="11521" width="5.7109375" customWidth="1"/>
    <col min="11522" max="11522" width="9.28515625" customWidth="1"/>
    <col min="11523" max="11523" width="51.7109375" customWidth="1"/>
    <col min="11524" max="11524" width="19" customWidth="1"/>
    <col min="11525" max="11525" width="12.42578125" customWidth="1"/>
    <col min="11526" max="11526" width="16" bestFit="1" customWidth="1"/>
    <col min="11527" max="11528" width="16" customWidth="1"/>
    <col min="11529" max="11529" width="12.28515625" customWidth="1"/>
    <col min="11530" max="11530" width="28" customWidth="1"/>
    <col min="11531" max="11531" width="11" customWidth="1"/>
    <col min="11777" max="11777" width="5.7109375" customWidth="1"/>
    <col min="11778" max="11778" width="9.28515625" customWidth="1"/>
    <col min="11779" max="11779" width="51.7109375" customWidth="1"/>
    <col min="11780" max="11780" width="19" customWidth="1"/>
    <col min="11781" max="11781" width="12.42578125" customWidth="1"/>
    <col min="11782" max="11782" width="16" bestFit="1" customWidth="1"/>
    <col min="11783" max="11784" width="16" customWidth="1"/>
    <col min="11785" max="11785" width="12.28515625" customWidth="1"/>
    <col min="11786" max="11786" width="28" customWidth="1"/>
    <col min="11787" max="11787" width="11" customWidth="1"/>
    <col min="12033" max="12033" width="5.7109375" customWidth="1"/>
    <col min="12034" max="12034" width="9.28515625" customWidth="1"/>
    <col min="12035" max="12035" width="51.7109375" customWidth="1"/>
    <col min="12036" max="12036" width="19" customWidth="1"/>
    <col min="12037" max="12037" width="12.42578125" customWidth="1"/>
    <col min="12038" max="12038" width="16" bestFit="1" customWidth="1"/>
    <col min="12039" max="12040" width="16" customWidth="1"/>
    <col min="12041" max="12041" width="12.28515625" customWidth="1"/>
    <col min="12042" max="12042" width="28" customWidth="1"/>
    <col min="12043" max="12043" width="11" customWidth="1"/>
    <col min="12289" max="12289" width="5.7109375" customWidth="1"/>
    <col min="12290" max="12290" width="9.28515625" customWidth="1"/>
    <col min="12291" max="12291" width="51.7109375" customWidth="1"/>
    <col min="12292" max="12292" width="19" customWidth="1"/>
    <col min="12293" max="12293" width="12.42578125" customWidth="1"/>
    <col min="12294" max="12294" width="16" bestFit="1" customWidth="1"/>
    <col min="12295" max="12296" width="16" customWidth="1"/>
    <col min="12297" max="12297" width="12.28515625" customWidth="1"/>
    <col min="12298" max="12298" width="28" customWidth="1"/>
    <col min="12299" max="12299" width="11" customWidth="1"/>
    <col min="12545" max="12545" width="5.7109375" customWidth="1"/>
    <col min="12546" max="12546" width="9.28515625" customWidth="1"/>
    <col min="12547" max="12547" width="51.7109375" customWidth="1"/>
    <col min="12548" max="12548" width="19" customWidth="1"/>
    <col min="12549" max="12549" width="12.42578125" customWidth="1"/>
    <col min="12550" max="12550" width="16" bestFit="1" customWidth="1"/>
    <col min="12551" max="12552" width="16" customWidth="1"/>
    <col min="12553" max="12553" width="12.28515625" customWidth="1"/>
    <col min="12554" max="12554" width="28" customWidth="1"/>
    <col min="12555" max="12555" width="11" customWidth="1"/>
    <col min="12801" max="12801" width="5.7109375" customWidth="1"/>
    <col min="12802" max="12802" width="9.28515625" customWidth="1"/>
    <col min="12803" max="12803" width="51.7109375" customWidth="1"/>
    <col min="12804" max="12804" width="19" customWidth="1"/>
    <col min="12805" max="12805" width="12.42578125" customWidth="1"/>
    <col min="12806" max="12806" width="16" bestFit="1" customWidth="1"/>
    <col min="12807" max="12808" width="16" customWidth="1"/>
    <col min="12809" max="12809" width="12.28515625" customWidth="1"/>
    <col min="12810" max="12810" width="28" customWidth="1"/>
    <col min="12811" max="12811" width="11" customWidth="1"/>
    <col min="13057" max="13057" width="5.7109375" customWidth="1"/>
    <col min="13058" max="13058" width="9.28515625" customWidth="1"/>
    <col min="13059" max="13059" width="51.7109375" customWidth="1"/>
    <col min="13060" max="13060" width="19" customWidth="1"/>
    <col min="13061" max="13061" width="12.42578125" customWidth="1"/>
    <col min="13062" max="13062" width="16" bestFit="1" customWidth="1"/>
    <col min="13063" max="13064" width="16" customWidth="1"/>
    <col min="13065" max="13065" width="12.28515625" customWidth="1"/>
    <col min="13066" max="13066" width="28" customWidth="1"/>
    <col min="13067" max="13067" width="11" customWidth="1"/>
    <col min="13313" max="13313" width="5.7109375" customWidth="1"/>
    <col min="13314" max="13314" width="9.28515625" customWidth="1"/>
    <col min="13315" max="13315" width="51.7109375" customWidth="1"/>
    <col min="13316" max="13316" width="19" customWidth="1"/>
    <col min="13317" max="13317" width="12.42578125" customWidth="1"/>
    <col min="13318" max="13318" width="16" bestFit="1" customWidth="1"/>
    <col min="13319" max="13320" width="16" customWidth="1"/>
    <col min="13321" max="13321" width="12.28515625" customWidth="1"/>
    <col min="13322" max="13322" width="28" customWidth="1"/>
    <col min="13323" max="13323" width="11" customWidth="1"/>
    <col min="13569" max="13569" width="5.7109375" customWidth="1"/>
    <col min="13570" max="13570" width="9.28515625" customWidth="1"/>
    <col min="13571" max="13571" width="51.7109375" customWidth="1"/>
    <col min="13572" max="13572" width="19" customWidth="1"/>
    <col min="13573" max="13573" width="12.42578125" customWidth="1"/>
    <col min="13574" max="13574" width="16" bestFit="1" customWidth="1"/>
    <col min="13575" max="13576" width="16" customWidth="1"/>
    <col min="13577" max="13577" width="12.28515625" customWidth="1"/>
    <col min="13578" max="13578" width="28" customWidth="1"/>
    <col min="13579" max="13579" width="11" customWidth="1"/>
    <col min="13825" max="13825" width="5.7109375" customWidth="1"/>
    <col min="13826" max="13826" width="9.28515625" customWidth="1"/>
    <col min="13827" max="13827" width="51.7109375" customWidth="1"/>
    <col min="13828" max="13828" width="19" customWidth="1"/>
    <col min="13829" max="13829" width="12.42578125" customWidth="1"/>
    <col min="13830" max="13830" width="16" bestFit="1" customWidth="1"/>
    <col min="13831" max="13832" width="16" customWidth="1"/>
    <col min="13833" max="13833" width="12.28515625" customWidth="1"/>
    <col min="13834" max="13834" width="28" customWidth="1"/>
    <col min="13835" max="13835" width="11" customWidth="1"/>
    <col min="14081" max="14081" width="5.7109375" customWidth="1"/>
    <col min="14082" max="14082" width="9.28515625" customWidth="1"/>
    <col min="14083" max="14083" width="51.7109375" customWidth="1"/>
    <col min="14084" max="14084" width="19" customWidth="1"/>
    <col min="14085" max="14085" width="12.42578125" customWidth="1"/>
    <col min="14086" max="14086" width="16" bestFit="1" customWidth="1"/>
    <col min="14087" max="14088" width="16" customWidth="1"/>
    <col min="14089" max="14089" width="12.28515625" customWidth="1"/>
    <col min="14090" max="14090" width="28" customWidth="1"/>
    <col min="14091" max="14091" width="11" customWidth="1"/>
    <col min="14337" max="14337" width="5.7109375" customWidth="1"/>
    <col min="14338" max="14338" width="9.28515625" customWidth="1"/>
    <col min="14339" max="14339" width="51.7109375" customWidth="1"/>
    <col min="14340" max="14340" width="19" customWidth="1"/>
    <col min="14341" max="14341" width="12.42578125" customWidth="1"/>
    <col min="14342" max="14342" width="16" bestFit="1" customWidth="1"/>
    <col min="14343" max="14344" width="16" customWidth="1"/>
    <col min="14345" max="14345" width="12.28515625" customWidth="1"/>
    <col min="14346" max="14346" width="28" customWidth="1"/>
    <col min="14347" max="14347" width="11" customWidth="1"/>
    <col min="14593" max="14593" width="5.7109375" customWidth="1"/>
    <col min="14594" max="14594" width="9.28515625" customWidth="1"/>
    <col min="14595" max="14595" width="51.7109375" customWidth="1"/>
    <col min="14596" max="14596" width="19" customWidth="1"/>
    <col min="14597" max="14597" width="12.42578125" customWidth="1"/>
    <col min="14598" max="14598" width="16" bestFit="1" customWidth="1"/>
    <col min="14599" max="14600" width="16" customWidth="1"/>
    <col min="14601" max="14601" width="12.28515625" customWidth="1"/>
    <col min="14602" max="14602" width="28" customWidth="1"/>
    <col min="14603" max="14603" width="11" customWidth="1"/>
    <col min="14849" max="14849" width="5.7109375" customWidth="1"/>
    <col min="14850" max="14850" width="9.28515625" customWidth="1"/>
    <col min="14851" max="14851" width="51.7109375" customWidth="1"/>
    <col min="14852" max="14852" width="19" customWidth="1"/>
    <col min="14853" max="14853" width="12.42578125" customWidth="1"/>
    <col min="14854" max="14854" width="16" bestFit="1" customWidth="1"/>
    <col min="14855" max="14856" width="16" customWidth="1"/>
    <col min="14857" max="14857" width="12.28515625" customWidth="1"/>
    <col min="14858" max="14858" width="28" customWidth="1"/>
    <col min="14859" max="14859" width="11" customWidth="1"/>
    <col min="15105" max="15105" width="5.7109375" customWidth="1"/>
    <col min="15106" max="15106" width="9.28515625" customWidth="1"/>
    <col min="15107" max="15107" width="51.7109375" customWidth="1"/>
    <col min="15108" max="15108" width="19" customWidth="1"/>
    <col min="15109" max="15109" width="12.42578125" customWidth="1"/>
    <col min="15110" max="15110" width="16" bestFit="1" customWidth="1"/>
    <col min="15111" max="15112" width="16" customWidth="1"/>
    <col min="15113" max="15113" width="12.28515625" customWidth="1"/>
    <col min="15114" max="15114" width="28" customWidth="1"/>
    <col min="15115" max="15115" width="11" customWidth="1"/>
    <col min="15361" max="15361" width="5.7109375" customWidth="1"/>
    <col min="15362" max="15362" width="9.28515625" customWidth="1"/>
    <col min="15363" max="15363" width="51.7109375" customWidth="1"/>
    <col min="15364" max="15364" width="19" customWidth="1"/>
    <col min="15365" max="15365" width="12.42578125" customWidth="1"/>
    <col min="15366" max="15366" width="16" bestFit="1" customWidth="1"/>
    <col min="15367" max="15368" width="16" customWidth="1"/>
    <col min="15369" max="15369" width="12.28515625" customWidth="1"/>
    <col min="15370" max="15370" width="28" customWidth="1"/>
    <col min="15371" max="15371" width="11" customWidth="1"/>
    <col min="15617" max="15617" width="5.7109375" customWidth="1"/>
    <col min="15618" max="15618" width="9.28515625" customWidth="1"/>
    <col min="15619" max="15619" width="51.7109375" customWidth="1"/>
    <col min="15620" max="15620" width="19" customWidth="1"/>
    <col min="15621" max="15621" width="12.42578125" customWidth="1"/>
    <col min="15622" max="15622" width="16" bestFit="1" customWidth="1"/>
    <col min="15623" max="15624" width="16" customWidth="1"/>
    <col min="15625" max="15625" width="12.28515625" customWidth="1"/>
    <col min="15626" max="15626" width="28" customWidth="1"/>
    <col min="15627" max="15627" width="11" customWidth="1"/>
    <col min="15873" max="15873" width="5.7109375" customWidth="1"/>
    <col min="15874" max="15874" width="9.28515625" customWidth="1"/>
    <col min="15875" max="15875" width="51.7109375" customWidth="1"/>
    <col min="15876" max="15876" width="19" customWidth="1"/>
    <col min="15877" max="15877" width="12.42578125" customWidth="1"/>
    <col min="15878" max="15878" width="16" bestFit="1" customWidth="1"/>
    <col min="15879" max="15880" width="16" customWidth="1"/>
    <col min="15881" max="15881" width="12.28515625" customWidth="1"/>
    <col min="15882" max="15882" width="28" customWidth="1"/>
    <col min="15883" max="15883" width="11" customWidth="1"/>
    <col min="16129" max="16129" width="5.7109375" customWidth="1"/>
    <col min="16130" max="16130" width="9.28515625" customWidth="1"/>
    <col min="16131" max="16131" width="51.7109375" customWidth="1"/>
    <col min="16132" max="16132" width="19" customWidth="1"/>
    <col min="16133" max="16133" width="12.42578125" customWidth="1"/>
    <col min="16134" max="16134" width="16" bestFit="1" customWidth="1"/>
    <col min="16135" max="16136" width="16" customWidth="1"/>
    <col min="16137" max="16137" width="12.28515625" customWidth="1"/>
    <col min="16138" max="16138" width="28" customWidth="1"/>
    <col min="16139" max="16139" width="11" customWidth="1"/>
  </cols>
  <sheetData>
    <row r="1" spans="1:11" s="8" customFormat="1" ht="30" customHeight="1" x14ac:dyDescent="0.25">
      <c r="A1" s="491" t="s">
        <v>273</v>
      </c>
      <c r="B1" s="491"/>
      <c r="C1" s="491"/>
      <c r="D1" s="491"/>
      <c r="E1" s="491"/>
      <c r="F1" s="491"/>
      <c r="G1" s="491"/>
      <c r="H1" s="491"/>
      <c r="I1" s="491"/>
      <c r="J1" s="491"/>
      <c r="K1" s="7"/>
    </row>
    <row r="2" spans="1:11" s="3" customFormat="1" ht="19.5" customHeight="1" x14ac:dyDescent="0.25">
      <c r="A2" s="486" t="s">
        <v>1</v>
      </c>
      <c r="B2" s="487" t="s">
        <v>2</v>
      </c>
      <c r="C2" s="483" t="s">
        <v>3</v>
      </c>
      <c r="D2" s="486" t="s">
        <v>4</v>
      </c>
      <c r="E2" s="487" t="s">
        <v>5</v>
      </c>
      <c r="F2" s="486" t="s">
        <v>6</v>
      </c>
      <c r="G2" s="486" t="s">
        <v>64</v>
      </c>
      <c r="H2" s="486" t="s">
        <v>65</v>
      </c>
      <c r="I2" s="488" t="s">
        <v>9</v>
      </c>
      <c r="J2" s="482" t="s">
        <v>14</v>
      </c>
      <c r="K2" s="11"/>
    </row>
    <row r="3" spans="1:11" s="3" customFormat="1" ht="26.25" customHeight="1" x14ac:dyDescent="0.25">
      <c r="A3" s="486"/>
      <c r="B3" s="487"/>
      <c r="C3" s="483"/>
      <c r="D3" s="486"/>
      <c r="E3" s="487"/>
      <c r="F3" s="486"/>
      <c r="G3" s="486"/>
      <c r="H3" s="486"/>
      <c r="I3" s="488"/>
      <c r="J3" s="484"/>
      <c r="K3" s="11"/>
    </row>
    <row r="4" spans="1:11" s="53" customFormat="1" ht="15.75" x14ac:dyDescent="0.25">
      <c r="A4" s="54">
        <v>1</v>
      </c>
      <c r="B4" s="49">
        <v>1007</v>
      </c>
      <c r="C4" s="273" t="s">
        <v>73</v>
      </c>
      <c r="D4" s="274">
        <v>6267.6</v>
      </c>
      <c r="E4" s="271" t="s">
        <v>16</v>
      </c>
      <c r="F4" s="129">
        <f>D4*E4</f>
        <v>1566.9</v>
      </c>
      <c r="G4" s="129"/>
      <c r="H4" s="129">
        <f>F4-G4</f>
        <v>1566.9</v>
      </c>
      <c r="I4" s="275">
        <v>1515504</v>
      </c>
      <c r="J4" s="276"/>
      <c r="K4" s="48"/>
    </row>
    <row r="5" spans="1:11" s="53" customFormat="1" ht="15.75" x14ac:dyDescent="0.25">
      <c r="A5" s="54">
        <v>2</v>
      </c>
      <c r="B5" s="49">
        <v>1041</v>
      </c>
      <c r="C5" s="206" t="s">
        <v>77</v>
      </c>
      <c r="D5" s="274">
        <v>3741.7</v>
      </c>
      <c r="E5" s="271" t="s">
        <v>16</v>
      </c>
      <c r="F5" s="129">
        <f t="shared" ref="F5:F68" si="0">D5*E5</f>
        <v>935.42499999999995</v>
      </c>
      <c r="G5" s="129"/>
      <c r="H5" s="129">
        <f t="shared" ref="H5:H68" si="1">F5-G5</f>
        <v>935.42499999999995</v>
      </c>
      <c r="I5" s="275">
        <v>6827729</v>
      </c>
      <c r="J5" s="276"/>
      <c r="K5" s="48"/>
    </row>
    <row r="6" spans="1:11" s="53" customFormat="1" ht="15.75" x14ac:dyDescent="0.25">
      <c r="A6" s="54">
        <v>3</v>
      </c>
      <c r="B6" s="49">
        <v>1125</v>
      </c>
      <c r="C6" s="206" t="s">
        <v>79</v>
      </c>
      <c r="D6" s="274">
        <v>6440.3</v>
      </c>
      <c r="E6" s="271" t="s">
        <v>16</v>
      </c>
      <c r="F6" s="129">
        <f t="shared" si="0"/>
        <v>1610.075</v>
      </c>
      <c r="G6" s="129"/>
      <c r="H6" s="129">
        <f t="shared" si="1"/>
        <v>1610.075</v>
      </c>
      <c r="I6" s="275">
        <v>6828774</v>
      </c>
      <c r="J6" s="247"/>
      <c r="K6" s="48"/>
    </row>
    <row r="7" spans="1:11" s="53" customFormat="1" ht="15.75" x14ac:dyDescent="0.25">
      <c r="A7" s="54">
        <v>4</v>
      </c>
      <c r="B7" s="49">
        <v>1222</v>
      </c>
      <c r="C7" s="206" t="s">
        <v>81</v>
      </c>
      <c r="D7" s="274">
        <v>483.1</v>
      </c>
      <c r="E7" s="271" t="s">
        <v>16</v>
      </c>
      <c r="F7" s="129">
        <f>D7*E7</f>
        <v>120.77500000000001</v>
      </c>
      <c r="G7" s="129"/>
      <c r="H7" s="129">
        <f t="shared" si="1"/>
        <v>120.77500000000001</v>
      </c>
      <c r="I7" s="275">
        <v>31221</v>
      </c>
      <c r="J7" s="247"/>
      <c r="K7" s="48"/>
    </row>
    <row r="8" spans="1:11" s="53" customFormat="1" ht="15.75" x14ac:dyDescent="0.25">
      <c r="A8" s="54">
        <v>5</v>
      </c>
      <c r="B8" s="49">
        <v>1286</v>
      </c>
      <c r="C8" s="273" t="s">
        <v>85</v>
      </c>
      <c r="D8" s="274">
        <v>3071.5</v>
      </c>
      <c r="E8" s="271" t="s">
        <v>16</v>
      </c>
      <c r="F8" s="129">
        <f t="shared" si="0"/>
        <v>767.875</v>
      </c>
      <c r="G8" s="129"/>
      <c r="H8" s="129">
        <f t="shared" si="1"/>
        <v>767.875</v>
      </c>
      <c r="I8" s="275">
        <v>368056</v>
      </c>
      <c r="J8" s="277"/>
      <c r="K8" s="48"/>
    </row>
    <row r="9" spans="1:11" s="53" customFormat="1" ht="15.75" x14ac:dyDescent="0.25">
      <c r="A9" s="54">
        <v>6</v>
      </c>
      <c r="B9" s="49">
        <v>1344</v>
      </c>
      <c r="C9" s="273" t="s">
        <v>66</v>
      </c>
      <c r="D9" s="274">
        <v>2569.5</v>
      </c>
      <c r="E9" s="271" t="s">
        <v>16</v>
      </c>
      <c r="F9" s="129">
        <f t="shared" si="0"/>
        <v>642.375</v>
      </c>
      <c r="G9" s="129"/>
      <c r="H9" s="129">
        <f t="shared" si="1"/>
        <v>642.375</v>
      </c>
      <c r="I9" s="275">
        <v>4014519</v>
      </c>
      <c r="J9" s="276"/>
      <c r="K9" s="48"/>
    </row>
    <row r="10" spans="1:11" s="53" customFormat="1" ht="15.75" x14ac:dyDescent="0.25">
      <c r="A10" s="54">
        <v>7</v>
      </c>
      <c r="B10" s="49">
        <v>1352</v>
      </c>
      <c r="C10" s="273" t="s">
        <v>90</v>
      </c>
      <c r="D10" s="274">
        <v>1843</v>
      </c>
      <c r="E10" s="271" t="s">
        <v>16</v>
      </c>
      <c r="F10" s="129">
        <f t="shared" si="0"/>
        <v>460.75</v>
      </c>
      <c r="G10" s="129"/>
      <c r="H10" s="129">
        <f t="shared" si="1"/>
        <v>460.75</v>
      </c>
      <c r="I10" s="275">
        <v>1627344</v>
      </c>
      <c r="J10" s="276"/>
      <c r="K10" s="48"/>
    </row>
    <row r="11" spans="1:11" s="53" customFormat="1" ht="15.75" x14ac:dyDescent="0.25">
      <c r="A11" s="54">
        <v>8</v>
      </c>
      <c r="B11" s="49">
        <v>1354</v>
      </c>
      <c r="C11" s="206" t="s">
        <v>92</v>
      </c>
      <c r="D11" s="274">
        <v>2487.1</v>
      </c>
      <c r="E11" s="271" t="s">
        <v>16</v>
      </c>
      <c r="F11" s="129">
        <f t="shared" si="0"/>
        <v>621.77499999999998</v>
      </c>
      <c r="G11" s="129"/>
      <c r="H11" s="129">
        <f t="shared" si="1"/>
        <v>621.77499999999998</v>
      </c>
      <c r="I11" s="275">
        <v>925709</v>
      </c>
      <c r="J11" s="248"/>
      <c r="K11" s="48"/>
    </row>
    <row r="12" spans="1:11" s="53" customFormat="1" ht="15.75" x14ac:dyDescent="0.25">
      <c r="A12" s="54">
        <v>9</v>
      </c>
      <c r="B12" s="49">
        <v>1357</v>
      </c>
      <c r="C12" s="206" t="s">
        <v>94</v>
      </c>
      <c r="D12" s="274">
        <v>5185.2</v>
      </c>
      <c r="E12" s="271" t="s">
        <v>16</v>
      </c>
      <c r="F12" s="129">
        <f t="shared" si="0"/>
        <v>1296.3</v>
      </c>
      <c r="G12" s="129"/>
      <c r="H12" s="129">
        <f t="shared" si="1"/>
        <v>1296.3</v>
      </c>
      <c r="I12" s="275">
        <v>1052276</v>
      </c>
      <c r="J12" s="248"/>
      <c r="K12" s="48"/>
    </row>
    <row r="13" spans="1:11" s="53" customFormat="1" ht="15.75" x14ac:dyDescent="0.25">
      <c r="A13" s="54">
        <v>10</v>
      </c>
      <c r="B13" s="49">
        <v>1359</v>
      </c>
      <c r="C13" s="206" t="s">
        <v>96</v>
      </c>
      <c r="D13" s="274">
        <v>4102.2</v>
      </c>
      <c r="E13" s="271" t="s">
        <v>16</v>
      </c>
      <c r="F13" s="129">
        <f t="shared" si="0"/>
        <v>1025.55</v>
      </c>
      <c r="G13" s="129"/>
      <c r="H13" s="129">
        <f t="shared" si="1"/>
        <v>1025.55</v>
      </c>
      <c r="I13" s="275">
        <v>4812026</v>
      </c>
      <c r="J13" s="248"/>
      <c r="K13" s="48"/>
    </row>
    <row r="14" spans="1:11" s="195" customFormat="1" ht="15.75" x14ac:dyDescent="0.25">
      <c r="A14" s="137">
        <v>11</v>
      </c>
      <c r="B14" s="138">
        <v>1367</v>
      </c>
      <c r="C14" s="278" t="s">
        <v>98</v>
      </c>
      <c r="D14" s="140">
        <v>1284.5999999999999</v>
      </c>
      <c r="E14" s="141" t="s">
        <v>16</v>
      </c>
      <c r="F14" s="142">
        <f t="shared" si="0"/>
        <v>321.14999999999998</v>
      </c>
      <c r="G14" s="142">
        <f>F14</f>
        <v>321.14999999999998</v>
      </c>
      <c r="H14" s="142">
        <f t="shared" si="1"/>
        <v>0</v>
      </c>
      <c r="I14" s="279">
        <v>6663593</v>
      </c>
      <c r="J14" s="250">
        <v>45902</v>
      </c>
      <c r="K14" s="270"/>
    </row>
    <row r="15" spans="1:11" s="195" customFormat="1" ht="15.75" x14ac:dyDescent="0.25">
      <c r="A15" s="137">
        <v>12</v>
      </c>
      <c r="B15" s="138">
        <v>1368</v>
      </c>
      <c r="C15" s="227" t="s">
        <v>100</v>
      </c>
      <c r="D15" s="140">
        <v>4172</v>
      </c>
      <c r="E15" s="141" t="s">
        <v>16</v>
      </c>
      <c r="F15" s="142">
        <f t="shared" si="0"/>
        <v>1043</v>
      </c>
      <c r="G15" s="142">
        <f>F15</f>
        <v>1043</v>
      </c>
      <c r="H15" s="142">
        <f t="shared" si="1"/>
        <v>0</v>
      </c>
      <c r="I15" s="290">
        <v>561902</v>
      </c>
      <c r="J15" s="291" t="s">
        <v>276</v>
      </c>
      <c r="K15" s="270"/>
    </row>
    <row r="16" spans="1:11" s="53" customFormat="1" ht="15.75" x14ac:dyDescent="0.25">
      <c r="A16" s="54">
        <v>13</v>
      </c>
      <c r="B16" s="49">
        <v>3002</v>
      </c>
      <c r="C16" s="273" t="s">
        <v>102</v>
      </c>
      <c r="D16" s="274">
        <v>1778.3</v>
      </c>
      <c r="E16" s="271" t="s">
        <v>16</v>
      </c>
      <c r="F16" s="129">
        <f t="shared" si="0"/>
        <v>444.57499999999999</v>
      </c>
      <c r="G16" s="129"/>
      <c r="H16" s="129">
        <f t="shared" si="1"/>
        <v>444.57499999999999</v>
      </c>
      <c r="I16" s="275">
        <v>21220177</v>
      </c>
      <c r="J16" s="59"/>
      <c r="K16" s="48"/>
    </row>
    <row r="17" spans="1:11" s="53" customFormat="1" ht="15.75" x14ac:dyDescent="0.25">
      <c r="A17" s="54">
        <v>14</v>
      </c>
      <c r="B17" s="85">
        <v>3035</v>
      </c>
      <c r="C17" s="281" t="s">
        <v>104</v>
      </c>
      <c r="D17" s="274">
        <v>677</v>
      </c>
      <c r="E17" s="271" t="s">
        <v>16</v>
      </c>
      <c r="F17" s="129">
        <f t="shared" si="0"/>
        <v>169.25</v>
      </c>
      <c r="G17" s="129"/>
      <c r="H17" s="129">
        <f t="shared" si="1"/>
        <v>169.25</v>
      </c>
      <c r="I17" s="282">
        <v>6725058</v>
      </c>
      <c r="J17" s="59"/>
      <c r="K17" s="48"/>
    </row>
    <row r="18" spans="1:11" s="53" customFormat="1" ht="15.75" x14ac:dyDescent="0.25">
      <c r="A18" s="62">
        <v>15</v>
      </c>
      <c r="B18" s="63">
        <v>3057</v>
      </c>
      <c r="C18" s="283" t="s">
        <v>67</v>
      </c>
      <c r="D18" s="65">
        <v>2694.3</v>
      </c>
      <c r="E18" s="66" t="s">
        <v>16</v>
      </c>
      <c r="F18" s="67">
        <f t="shared" si="0"/>
        <v>673.57500000000005</v>
      </c>
      <c r="G18" s="67">
        <f>670.15+3.425</f>
        <v>673.57499999999993</v>
      </c>
      <c r="H18" s="67">
        <f t="shared" si="1"/>
        <v>0</v>
      </c>
      <c r="I18" s="284">
        <v>626819</v>
      </c>
      <c r="J18" s="116">
        <v>45673</v>
      </c>
      <c r="K18" s="150">
        <v>45691</v>
      </c>
    </row>
    <row r="19" spans="1:11" s="53" customFormat="1" ht="15.75" x14ac:dyDescent="0.25">
      <c r="A19" s="54">
        <v>16</v>
      </c>
      <c r="B19" s="49">
        <v>3062</v>
      </c>
      <c r="C19" s="273" t="s">
        <v>107</v>
      </c>
      <c r="D19" s="274">
        <v>2834.9</v>
      </c>
      <c r="E19" s="271" t="s">
        <v>16</v>
      </c>
      <c r="F19" s="129">
        <f t="shared" si="0"/>
        <v>708.72500000000002</v>
      </c>
      <c r="G19" s="129"/>
      <c r="H19" s="129">
        <f t="shared" si="1"/>
        <v>708.72500000000002</v>
      </c>
      <c r="I19" s="275">
        <v>300741</v>
      </c>
      <c r="J19" s="59"/>
      <c r="K19" s="48"/>
    </row>
    <row r="20" spans="1:11" s="53" customFormat="1" ht="15.75" x14ac:dyDescent="0.25">
      <c r="A20" s="54">
        <v>17</v>
      </c>
      <c r="B20" s="49">
        <v>3080</v>
      </c>
      <c r="C20" s="273" t="s">
        <v>109</v>
      </c>
      <c r="D20" s="274">
        <v>1277.8</v>
      </c>
      <c r="E20" s="271" t="s">
        <v>16</v>
      </c>
      <c r="F20" s="129">
        <f t="shared" si="0"/>
        <v>319.45</v>
      </c>
      <c r="G20" s="129"/>
      <c r="H20" s="129">
        <f t="shared" si="1"/>
        <v>319.45</v>
      </c>
      <c r="I20" s="275">
        <v>14301608</v>
      </c>
      <c r="J20" s="59"/>
      <c r="K20" s="77"/>
    </row>
    <row r="21" spans="1:11" s="53" customFormat="1" ht="15.75" x14ac:dyDescent="0.25">
      <c r="A21" s="54">
        <v>18</v>
      </c>
      <c r="B21" s="78">
        <v>3086</v>
      </c>
      <c r="C21" s="273" t="s">
        <v>111</v>
      </c>
      <c r="D21" s="274">
        <v>1292.8</v>
      </c>
      <c r="E21" s="271" t="s">
        <v>16</v>
      </c>
      <c r="F21" s="129">
        <f t="shared" si="0"/>
        <v>323.2</v>
      </c>
      <c r="G21" s="129"/>
      <c r="H21" s="129">
        <f t="shared" si="1"/>
        <v>323.2</v>
      </c>
      <c r="I21" s="275">
        <v>300033</v>
      </c>
      <c r="J21" s="285"/>
      <c r="K21" s="48"/>
    </row>
    <row r="22" spans="1:11" s="53" customFormat="1" ht="15.75" x14ac:dyDescent="0.25">
      <c r="A22" s="54">
        <v>19</v>
      </c>
      <c r="B22" s="49">
        <v>3132</v>
      </c>
      <c r="C22" s="273" t="s">
        <v>113</v>
      </c>
      <c r="D22" s="274">
        <v>1300.8</v>
      </c>
      <c r="E22" s="271" t="s">
        <v>16</v>
      </c>
      <c r="F22" s="129">
        <f t="shared" si="0"/>
        <v>325.2</v>
      </c>
      <c r="G22" s="129"/>
      <c r="H22" s="129">
        <f t="shared" si="1"/>
        <v>325.2</v>
      </c>
      <c r="I22" s="275">
        <v>14606296</v>
      </c>
      <c r="J22" s="59"/>
      <c r="K22" s="48"/>
    </row>
    <row r="23" spans="1:11" s="53" customFormat="1" ht="15.75" x14ac:dyDescent="0.25">
      <c r="A23" s="54">
        <v>20</v>
      </c>
      <c r="B23" s="49">
        <v>3134</v>
      </c>
      <c r="C23" s="273" t="s">
        <v>115</v>
      </c>
      <c r="D23" s="274">
        <v>941.1</v>
      </c>
      <c r="E23" s="271" t="s">
        <v>16</v>
      </c>
      <c r="F23" s="129">
        <f t="shared" si="0"/>
        <v>235.27500000000001</v>
      </c>
      <c r="G23" s="129"/>
      <c r="H23" s="129">
        <f t="shared" si="1"/>
        <v>235.27500000000001</v>
      </c>
      <c r="I23" s="275">
        <v>2154413</v>
      </c>
      <c r="J23" s="59"/>
      <c r="K23" s="48"/>
    </row>
    <row r="24" spans="1:11" s="53" customFormat="1" ht="15.75" x14ac:dyDescent="0.25">
      <c r="A24" s="54">
        <v>21</v>
      </c>
      <c r="B24" s="49">
        <v>3142</v>
      </c>
      <c r="C24" s="273" t="s">
        <v>117</v>
      </c>
      <c r="D24" s="274">
        <v>4729.1000000000004</v>
      </c>
      <c r="E24" s="271" t="s">
        <v>16</v>
      </c>
      <c r="F24" s="129">
        <f t="shared" si="0"/>
        <v>1182.2750000000001</v>
      </c>
      <c r="G24" s="129"/>
      <c r="H24" s="129">
        <f t="shared" si="1"/>
        <v>1182.2750000000001</v>
      </c>
      <c r="I24" s="275">
        <v>165497</v>
      </c>
      <c r="J24" s="59"/>
      <c r="K24" s="48"/>
    </row>
    <row r="25" spans="1:11" s="195" customFormat="1" ht="15.75" x14ac:dyDescent="0.25">
      <c r="A25" s="137">
        <v>22</v>
      </c>
      <c r="B25" s="138">
        <v>3145</v>
      </c>
      <c r="C25" s="278" t="s">
        <v>119</v>
      </c>
      <c r="D25" s="140">
        <v>1752.5</v>
      </c>
      <c r="E25" s="141" t="s">
        <v>16</v>
      </c>
      <c r="F25" s="142">
        <f t="shared" si="0"/>
        <v>438.125</v>
      </c>
      <c r="G25" s="142">
        <f>F25</f>
        <v>438.125</v>
      </c>
      <c r="H25" s="142">
        <f t="shared" si="1"/>
        <v>0</v>
      </c>
      <c r="I25" s="279">
        <v>1915745</v>
      </c>
      <c r="J25" s="144" t="s">
        <v>280</v>
      </c>
      <c r="K25" s="270"/>
    </row>
    <row r="26" spans="1:11" s="53" customFormat="1" ht="15.75" x14ac:dyDescent="0.25">
      <c r="A26" s="54">
        <v>23</v>
      </c>
      <c r="B26" s="49">
        <v>3147</v>
      </c>
      <c r="C26" s="273" t="s">
        <v>122</v>
      </c>
      <c r="D26" s="274">
        <v>2251.0500000000002</v>
      </c>
      <c r="E26" s="271" t="s">
        <v>16</v>
      </c>
      <c r="F26" s="129">
        <f t="shared" si="0"/>
        <v>562.76250000000005</v>
      </c>
      <c r="G26" s="129"/>
      <c r="H26" s="129">
        <f t="shared" si="1"/>
        <v>562.76250000000005</v>
      </c>
      <c r="I26" s="275">
        <v>1662414</v>
      </c>
      <c r="J26" s="59"/>
      <c r="K26" s="48"/>
    </row>
    <row r="27" spans="1:11" s="53" customFormat="1" ht="15.75" x14ac:dyDescent="0.25">
      <c r="A27" s="137">
        <v>24</v>
      </c>
      <c r="B27" s="138">
        <v>3148</v>
      </c>
      <c r="C27" s="278" t="s">
        <v>124</v>
      </c>
      <c r="D27" s="140">
        <v>902.5</v>
      </c>
      <c r="E27" s="141" t="s">
        <v>16</v>
      </c>
      <c r="F27" s="142">
        <f t="shared" si="0"/>
        <v>225.625</v>
      </c>
      <c r="G27" s="142">
        <f>F27</f>
        <v>225.625</v>
      </c>
      <c r="H27" s="142">
        <f t="shared" si="1"/>
        <v>0</v>
      </c>
      <c r="I27" s="279">
        <v>19545736</v>
      </c>
      <c r="J27" s="144" t="s">
        <v>255</v>
      </c>
      <c r="K27" s="48"/>
    </row>
    <row r="28" spans="1:11" s="53" customFormat="1" ht="15.75" x14ac:dyDescent="0.25">
      <c r="A28" s="54">
        <v>25</v>
      </c>
      <c r="B28" s="49">
        <v>3149</v>
      </c>
      <c r="C28" s="273" t="s">
        <v>126</v>
      </c>
      <c r="D28" s="274">
        <v>935.6</v>
      </c>
      <c r="E28" s="271" t="s">
        <v>16</v>
      </c>
      <c r="F28" s="129">
        <f t="shared" si="0"/>
        <v>233.9</v>
      </c>
      <c r="G28" s="129"/>
      <c r="H28" s="129">
        <f t="shared" si="1"/>
        <v>233.9</v>
      </c>
      <c r="I28" s="275">
        <v>4941095</v>
      </c>
      <c r="J28" s="59"/>
      <c r="K28" s="48"/>
    </row>
    <row r="29" spans="1:11" s="91" customFormat="1" ht="15.75" x14ac:dyDescent="0.25">
      <c r="A29" s="62">
        <v>26</v>
      </c>
      <c r="B29" s="63">
        <v>3152</v>
      </c>
      <c r="C29" s="283" t="s">
        <v>130</v>
      </c>
      <c r="D29" s="65">
        <v>2348.8000000000002</v>
      </c>
      <c r="E29" s="66" t="s">
        <v>16</v>
      </c>
      <c r="F29" s="67">
        <f t="shared" si="0"/>
        <v>587.20000000000005</v>
      </c>
      <c r="G29" s="67">
        <f>584.65+2.55</f>
        <v>587.19999999999993</v>
      </c>
      <c r="H29" s="67">
        <f t="shared" si="1"/>
        <v>0</v>
      </c>
      <c r="I29" s="284">
        <v>941993</v>
      </c>
      <c r="J29" s="70" t="s">
        <v>281</v>
      </c>
      <c r="K29" s="90" t="s">
        <v>282</v>
      </c>
    </row>
    <row r="30" spans="1:11" s="53" customFormat="1" ht="15.75" x14ac:dyDescent="0.25">
      <c r="A30" s="54">
        <v>27</v>
      </c>
      <c r="B30" s="49">
        <v>3153</v>
      </c>
      <c r="C30" s="273" t="s">
        <v>15</v>
      </c>
      <c r="D30" s="274">
        <v>2880.7</v>
      </c>
      <c r="E30" s="271" t="s">
        <v>16</v>
      </c>
      <c r="F30" s="129">
        <f t="shared" si="0"/>
        <v>720.17499999999995</v>
      </c>
      <c r="G30" s="129"/>
      <c r="H30" s="129">
        <f t="shared" si="1"/>
        <v>720.17499999999995</v>
      </c>
      <c r="I30" s="275">
        <v>6989479</v>
      </c>
      <c r="J30" s="59"/>
      <c r="K30" s="48"/>
    </row>
    <row r="31" spans="1:11" s="53" customFormat="1" ht="15.75" x14ac:dyDescent="0.25">
      <c r="A31" s="54">
        <v>28</v>
      </c>
      <c r="B31" s="78">
        <v>3155</v>
      </c>
      <c r="C31" s="273" t="s">
        <v>132</v>
      </c>
      <c r="D31" s="274">
        <v>632.1</v>
      </c>
      <c r="E31" s="271" t="s">
        <v>16</v>
      </c>
      <c r="F31" s="129">
        <f t="shared" si="0"/>
        <v>158.02500000000001</v>
      </c>
      <c r="G31" s="129"/>
      <c r="H31" s="129">
        <f t="shared" si="1"/>
        <v>158.02500000000001</v>
      </c>
      <c r="I31" s="275">
        <v>19188794</v>
      </c>
      <c r="J31" s="59"/>
      <c r="K31" s="48"/>
    </row>
    <row r="32" spans="1:11" s="53" customFormat="1" ht="15.75" x14ac:dyDescent="0.25">
      <c r="A32" s="54">
        <v>29</v>
      </c>
      <c r="B32" s="49">
        <v>3158</v>
      </c>
      <c r="C32" s="273" t="s">
        <v>134</v>
      </c>
      <c r="D32" s="274">
        <v>2466.6</v>
      </c>
      <c r="E32" s="271" t="s">
        <v>16</v>
      </c>
      <c r="F32" s="129">
        <f t="shared" si="0"/>
        <v>616.65</v>
      </c>
      <c r="G32" s="129"/>
      <c r="H32" s="129">
        <f t="shared" si="1"/>
        <v>616.65</v>
      </c>
      <c r="I32" s="275" t="s">
        <v>135</v>
      </c>
      <c r="J32" s="59"/>
      <c r="K32" s="48"/>
    </row>
    <row r="33" spans="1:11" s="53" customFormat="1" ht="15.75" x14ac:dyDescent="0.25">
      <c r="A33" s="54">
        <v>30</v>
      </c>
      <c r="B33" s="49">
        <v>3159</v>
      </c>
      <c r="C33" s="273" t="s">
        <v>137</v>
      </c>
      <c r="D33" s="274">
        <v>924.6</v>
      </c>
      <c r="E33" s="271" t="s">
        <v>16</v>
      </c>
      <c r="F33" s="129">
        <f t="shared" si="0"/>
        <v>231.15</v>
      </c>
      <c r="G33" s="129"/>
      <c r="H33" s="129">
        <f t="shared" si="1"/>
        <v>231.15</v>
      </c>
      <c r="I33" s="275">
        <v>1297478</v>
      </c>
      <c r="J33" s="59"/>
      <c r="K33" s="48"/>
    </row>
    <row r="34" spans="1:11" s="53" customFormat="1" ht="15.75" x14ac:dyDescent="0.25">
      <c r="A34" s="54">
        <v>31</v>
      </c>
      <c r="B34" s="49">
        <v>3160</v>
      </c>
      <c r="C34" s="273" t="s">
        <v>139</v>
      </c>
      <c r="D34" s="274">
        <v>1853.6</v>
      </c>
      <c r="E34" s="271" t="s">
        <v>16</v>
      </c>
      <c r="F34" s="129">
        <f t="shared" si="0"/>
        <v>463.4</v>
      </c>
      <c r="G34" s="129"/>
      <c r="H34" s="129">
        <f t="shared" si="1"/>
        <v>463.4</v>
      </c>
      <c r="I34" s="275">
        <v>2837163</v>
      </c>
      <c r="J34" s="59"/>
      <c r="K34" s="48"/>
    </row>
    <row r="35" spans="1:11" s="53" customFormat="1" ht="15.75" x14ac:dyDescent="0.25">
      <c r="A35" s="54">
        <v>32</v>
      </c>
      <c r="B35" s="49">
        <v>3162</v>
      </c>
      <c r="C35" s="273" t="s">
        <v>141</v>
      </c>
      <c r="D35" s="274">
        <v>4567.5</v>
      </c>
      <c r="E35" s="271" t="s">
        <v>16</v>
      </c>
      <c r="F35" s="129">
        <f t="shared" si="0"/>
        <v>1141.875</v>
      </c>
      <c r="G35" s="129"/>
      <c r="H35" s="129">
        <f t="shared" si="1"/>
        <v>1141.875</v>
      </c>
      <c r="I35" s="275">
        <v>7017227</v>
      </c>
      <c r="J35" s="59"/>
      <c r="K35" s="48"/>
    </row>
    <row r="36" spans="1:11" s="53" customFormat="1" ht="15.75" x14ac:dyDescent="0.25">
      <c r="A36" s="54">
        <v>33</v>
      </c>
      <c r="B36" s="49">
        <v>3164</v>
      </c>
      <c r="C36" s="273" t="s">
        <v>143</v>
      </c>
      <c r="D36" s="274">
        <v>2398.8000000000002</v>
      </c>
      <c r="E36" s="271" t="s">
        <v>16</v>
      </c>
      <c r="F36" s="129">
        <f t="shared" si="0"/>
        <v>599.70000000000005</v>
      </c>
      <c r="G36" s="129"/>
      <c r="H36" s="129">
        <f t="shared" si="1"/>
        <v>599.70000000000005</v>
      </c>
      <c r="I36" s="275">
        <v>7466062</v>
      </c>
      <c r="J36" s="59"/>
      <c r="K36" s="48"/>
    </row>
    <row r="37" spans="1:11" s="53" customFormat="1" ht="15.75" x14ac:dyDescent="0.25">
      <c r="A37" s="54">
        <v>34</v>
      </c>
      <c r="B37" s="49">
        <v>3165</v>
      </c>
      <c r="C37" s="273" t="s">
        <v>147</v>
      </c>
      <c r="D37" s="274">
        <v>523</v>
      </c>
      <c r="E37" s="271" t="s">
        <v>16</v>
      </c>
      <c r="F37" s="129">
        <f t="shared" si="0"/>
        <v>130.75</v>
      </c>
      <c r="G37" s="129"/>
      <c r="H37" s="129">
        <f t="shared" si="1"/>
        <v>130.75</v>
      </c>
      <c r="I37" s="275">
        <v>19029628</v>
      </c>
      <c r="J37" s="86"/>
      <c r="K37" s="48"/>
    </row>
    <row r="38" spans="1:11" s="53" customFormat="1" ht="15.75" x14ac:dyDescent="0.25">
      <c r="A38" s="54">
        <v>35</v>
      </c>
      <c r="B38" s="49">
        <v>3169</v>
      </c>
      <c r="C38" s="273" t="s">
        <v>34</v>
      </c>
      <c r="D38" s="274">
        <v>1042.5</v>
      </c>
      <c r="E38" s="271" t="s">
        <v>16</v>
      </c>
      <c r="F38" s="129">
        <f t="shared" si="0"/>
        <v>260.625</v>
      </c>
      <c r="G38" s="129"/>
      <c r="H38" s="129">
        <f t="shared" si="1"/>
        <v>260.625</v>
      </c>
      <c r="I38" s="275">
        <v>3068756</v>
      </c>
      <c r="J38" s="59"/>
      <c r="K38" s="48"/>
    </row>
    <row r="39" spans="1:11" s="53" customFormat="1" ht="15.75" x14ac:dyDescent="0.25">
      <c r="A39" s="54">
        <v>36</v>
      </c>
      <c r="B39" s="49">
        <v>3171</v>
      </c>
      <c r="C39" s="273" t="s">
        <v>149</v>
      </c>
      <c r="D39" s="274">
        <v>1009</v>
      </c>
      <c r="E39" s="271" t="s">
        <v>16</v>
      </c>
      <c r="F39" s="129">
        <f t="shared" si="0"/>
        <v>252.25</v>
      </c>
      <c r="G39" s="129"/>
      <c r="H39" s="129">
        <f t="shared" si="1"/>
        <v>252.25</v>
      </c>
      <c r="I39" s="275">
        <v>7239057</v>
      </c>
      <c r="J39" s="59"/>
      <c r="K39" s="48"/>
    </row>
    <row r="40" spans="1:11" s="53" customFormat="1" ht="15.75" x14ac:dyDescent="0.25">
      <c r="A40" s="54">
        <v>37</v>
      </c>
      <c r="B40" s="49">
        <v>3172</v>
      </c>
      <c r="C40" s="273" t="s">
        <v>151</v>
      </c>
      <c r="D40" s="274">
        <v>1178.5</v>
      </c>
      <c r="E40" s="271" t="s">
        <v>16</v>
      </c>
      <c r="F40" s="129">
        <f>D40*E40</f>
        <v>294.625</v>
      </c>
      <c r="G40" s="129"/>
      <c r="H40" s="129">
        <f t="shared" si="1"/>
        <v>294.625</v>
      </c>
      <c r="I40" s="275">
        <v>5276984</v>
      </c>
      <c r="J40" s="59"/>
      <c r="K40" s="48"/>
    </row>
    <row r="41" spans="1:11" s="53" customFormat="1" ht="15.75" x14ac:dyDescent="0.25">
      <c r="A41" s="54">
        <v>38</v>
      </c>
      <c r="B41" s="49">
        <v>3173</v>
      </c>
      <c r="C41" s="273" t="s">
        <v>153</v>
      </c>
      <c r="D41" s="274">
        <v>2336.6999999999998</v>
      </c>
      <c r="E41" s="271" t="s">
        <v>16</v>
      </c>
      <c r="F41" s="129">
        <f t="shared" si="0"/>
        <v>584.17499999999995</v>
      </c>
      <c r="G41" s="129"/>
      <c r="H41" s="129">
        <f t="shared" si="1"/>
        <v>584.17499999999995</v>
      </c>
      <c r="I41" s="275">
        <v>6825655</v>
      </c>
      <c r="J41" s="59"/>
      <c r="K41" s="48"/>
    </row>
    <row r="42" spans="1:11" s="53" customFormat="1" ht="15.75" x14ac:dyDescent="0.25">
      <c r="A42" s="137">
        <v>39</v>
      </c>
      <c r="B42" s="138">
        <v>3174</v>
      </c>
      <c r="C42" s="278" t="s">
        <v>155</v>
      </c>
      <c r="D42" s="140">
        <v>1746.9</v>
      </c>
      <c r="E42" s="141" t="s">
        <v>16</v>
      </c>
      <c r="F42" s="142">
        <f t="shared" si="0"/>
        <v>436.72500000000002</v>
      </c>
      <c r="G42" s="142">
        <f>F42</f>
        <v>436.72500000000002</v>
      </c>
      <c r="H42" s="142">
        <f t="shared" si="1"/>
        <v>0</v>
      </c>
      <c r="I42" s="279">
        <v>7547492</v>
      </c>
      <c r="J42" s="144" t="s">
        <v>274</v>
      </c>
      <c r="K42" s="48"/>
    </row>
    <row r="43" spans="1:11" s="53" customFormat="1" ht="15.75" x14ac:dyDescent="0.25">
      <c r="A43" s="54">
        <v>40</v>
      </c>
      <c r="B43" s="49">
        <v>3175</v>
      </c>
      <c r="C43" s="273" t="s">
        <v>157</v>
      </c>
      <c r="D43" s="274">
        <v>547.20000000000005</v>
      </c>
      <c r="E43" s="271" t="s">
        <v>16</v>
      </c>
      <c r="F43" s="129">
        <f>D43*E43</f>
        <v>136.80000000000001</v>
      </c>
      <c r="G43" s="129"/>
      <c r="H43" s="129">
        <f t="shared" si="1"/>
        <v>136.80000000000001</v>
      </c>
      <c r="I43" s="275">
        <v>7325076</v>
      </c>
      <c r="J43" s="59"/>
      <c r="K43" s="48"/>
    </row>
    <row r="44" spans="1:11" s="53" customFormat="1" ht="15.75" x14ac:dyDescent="0.25">
      <c r="A44" s="54">
        <v>41</v>
      </c>
      <c r="B44" s="49">
        <v>3176</v>
      </c>
      <c r="C44" s="286" t="s">
        <v>159</v>
      </c>
      <c r="D44" s="274">
        <v>611.1</v>
      </c>
      <c r="E44" s="271" t="s">
        <v>16</v>
      </c>
      <c r="F44" s="129">
        <f t="shared" si="0"/>
        <v>152.77500000000001</v>
      </c>
      <c r="G44" s="129"/>
      <c r="H44" s="129">
        <f t="shared" si="1"/>
        <v>152.77500000000001</v>
      </c>
      <c r="I44" s="287">
        <v>12178145</v>
      </c>
      <c r="J44" s="59"/>
      <c r="K44" s="48"/>
    </row>
    <row r="45" spans="1:11" s="53" customFormat="1" ht="15.75" x14ac:dyDescent="0.25">
      <c r="A45" s="54">
        <v>42</v>
      </c>
      <c r="B45" s="49">
        <v>3179</v>
      </c>
      <c r="C45" s="273" t="s">
        <v>161</v>
      </c>
      <c r="D45" s="274">
        <v>2435.8000000000002</v>
      </c>
      <c r="E45" s="271" t="s">
        <v>16</v>
      </c>
      <c r="F45" s="129">
        <f t="shared" si="0"/>
        <v>608.95000000000005</v>
      </c>
      <c r="G45" s="129"/>
      <c r="H45" s="129">
        <f t="shared" si="1"/>
        <v>608.95000000000005</v>
      </c>
      <c r="I45" s="275">
        <v>1870852</v>
      </c>
      <c r="J45" s="59"/>
      <c r="K45" s="48"/>
    </row>
    <row r="46" spans="1:11" s="53" customFormat="1" ht="15.75" x14ac:dyDescent="0.25">
      <c r="A46" s="54">
        <v>43</v>
      </c>
      <c r="B46" s="49">
        <v>3181</v>
      </c>
      <c r="C46" s="273" t="s">
        <v>163</v>
      </c>
      <c r="D46" s="274">
        <v>1883.4</v>
      </c>
      <c r="E46" s="271" t="s">
        <v>16</v>
      </c>
      <c r="F46" s="129">
        <f t="shared" si="0"/>
        <v>470.85</v>
      </c>
      <c r="G46" s="129"/>
      <c r="H46" s="129">
        <f t="shared" si="1"/>
        <v>470.85</v>
      </c>
      <c r="I46" s="275">
        <v>6116067</v>
      </c>
      <c r="J46" s="59"/>
      <c r="K46" s="48"/>
    </row>
    <row r="47" spans="1:11" s="91" customFormat="1" ht="15.75" x14ac:dyDescent="0.25">
      <c r="A47" s="62">
        <v>44</v>
      </c>
      <c r="B47" s="63">
        <v>3183</v>
      </c>
      <c r="C47" s="240" t="s">
        <v>165</v>
      </c>
      <c r="D47" s="65">
        <v>930.2</v>
      </c>
      <c r="E47" s="66" t="s">
        <v>16</v>
      </c>
      <c r="F47" s="67">
        <f t="shared" si="0"/>
        <v>232.55</v>
      </c>
      <c r="G47" s="67">
        <f>230.075</f>
        <v>230.07499999999999</v>
      </c>
      <c r="H47" s="67">
        <f t="shared" si="1"/>
        <v>2.4750000000000227</v>
      </c>
      <c r="I47" s="284">
        <v>4955092</v>
      </c>
      <c r="J47" s="70" t="s">
        <v>272</v>
      </c>
      <c r="K47" s="90"/>
    </row>
    <row r="48" spans="1:11" s="53" customFormat="1" ht="15.75" x14ac:dyDescent="0.25">
      <c r="A48" s="54">
        <v>45</v>
      </c>
      <c r="B48" s="49">
        <v>3184</v>
      </c>
      <c r="C48" s="273" t="s">
        <v>69</v>
      </c>
      <c r="D48" s="274">
        <v>2560.4</v>
      </c>
      <c r="E48" s="271" t="s">
        <v>16</v>
      </c>
      <c r="F48" s="129">
        <f t="shared" si="0"/>
        <v>640.1</v>
      </c>
      <c r="G48" s="129"/>
      <c r="H48" s="129">
        <f t="shared" si="1"/>
        <v>640.1</v>
      </c>
      <c r="I48" s="275">
        <v>6701602</v>
      </c>
      <c r="J48" s="59"/>
      <c r="K48" s="48"/>
    </row>
    <row r="49" spans="1:11" s="53" customFormat="1" ht="15.75" x14ac:dyDescent="0.25">
      <c r="A49" s="54">
        <v>46</v>
      </c>
      <c r="B49" s="49">
        <v>3185</v>
      </c>
      <c r="C49" s="273" t="s">
        <v>168</v>
      </c>
      <c r="D49" s="274">
        <v>1107.5</v>
      </c>
      <c r="E49" s="271" t="s">
        <v>16</v>
      </c>
      <c r="F49" s="129">
        <f t="shared" si="0"/>
        <v>276.875</v>
      </c>
      <c r="G49" s="129"/>
      <c r="H49" s="129">
        <f t="shared" si="1"/>
        <v>276.875</v>
      </c>
      <c r="I49" s="275">
        <v>15179209</v>
      </c>
      <c r="J49" s="59"/>
      <c r="K49" s="48"/>
    </row>
    <row r="50" spans="1:11" s="53" customFormat="1" ht="15.75" x14ac:dyDescent="0.25">
      <c r="A50" s="54">
        <v>47</v>
      </c>
      <c r="B50" s="49">
        <v>3188</v>
      </c>
      <c r="C50" s="273" t="s">
        <v>170</v>
      </c>
      <c r="D50" s="274">
        <v>1143.4000000000001</v>
      </c>
      <c r="E50" s="271" t="s">
        <v>16</v>
      </c>
      <c r="F50" s="129">
        <f t="shared" si="0"/>
        <v>285.85000000000002</v>
      </c>
      <c r="G50" s="129"/>
      <c r="H50" s="129">
        <f t="shared" si="1"/>
        <v>285.85000000000002</v>
      </c>
      <c r="I50" s="275">
        <v>19290729</v>
      </c>
      <c r="J50" s="59"/>
      <c r="K50" s="48"/>
    </row>
    <row r="51" spans="1:11" s="53" customFormat="1" ht="15.75" x14ac:dyDescent="0.25">
      <c r="A51" s="54">
        <v>48</v>
      </c>
      <c r="B51" s="49">
        <v>3189</v>
      </c>
      <c r="C51" s="273" t="s">
        <v>172</v>
      </c>
      <c r="D51" s="274">
        <v>1628.9</v>
      </c>
      <c r="E51" s="271" t="s">
        <v>16</v>
      </c>
      <c r="F51" s="129">
        <f t="shared" si="0"/>
        <v>407.22500000000002</v>
      </c>
      <c r="G51" s="129"/>
      <c r="H51" s="129">
        <f t="shared" si="1"/>
        <v>407.22500000000002</v>
      </c>
      <c r="I51" s="275">
        <v>2802613</v>
      </c>
      <c r="J51" s="59"/>
      <c r="K51" s="48"/>
    </row>
    <row r="52" spans="1:11" s="53" customFormat="1" ht="15.75" x14ac:dyDescent="0.25">
      <c r="A52" s="54">
        <v>49</v>
      </c>
      <c r="B52" s="85">
        <v>3190</v>
      </c>
      <c r="C52" s="273" t="s">
        <v>174</v>
      </c>
      <c r="D52" s="274">
        <v>1425.1</v>
      </c>
      <c r="E52" s="271" t="s">
        <v>16</v>
      </c>
      <c r="F52" s="129">
        <f t="shared" si="0"/>
        <v>356.27499999999998</v>
      </c>
      <c r="G52" s="129"/>
      <c r="H52" s="129">
        <f t="shared" si="1"/>
        <v>356.27499999999998</v>
      </c>
      <c r="I52" s="275">
        <v>3555896</v>
      </c>
      <c r="J52" s="59"/>
      <c r="K52" s="48"/>
    </row>
    <row r="53" spans="1:11" s="91" customFormat="1" ht="15.75" x14ac:dyDescent="0.25">
      <c r="A53" s="62">
        <v>50</v>
      </c>
      <c r="B53" s="63">
        <v>3192</v>
      </c>
      <c r="C53" s="283" t="s">
        <v>38</v>
      </c>
      <c r="D53" s="65">
        <v>1163.4000000000001</v>
      </c>
      <c r="E53" s="66" t="s">
        <v>16</v>
      </c>
      <c r="F53" s="67">
        <f t="shared" si="0"/>
        <v>290.85000000000002</v>
      </c>
      <c r="G53" s="67">
        <f>286.13</f>
        <v>286.13</v>
      </c>
      <c r="H53" s="67">
        <f t="shared" si="1"/>
        <v>4.7200000000000273</v>
      </c>
      <c r="I53" s="284">
        <v>5271448</v>
      </c>
      <c r="J53" s="70" t="s">
        <v>277</v>
      </c>
      <c r="K53" s="90"/>
    </row>
    <row r="54" spans="1:11" s="92" customFormat="1" ht="15.75" x14ac:dyDescent="0.25">
      <c r="A54" s="54">
        <v>51</v>
      </c>
      <c r="B54" s="49">
        <v>3195</v>
      </c>
      <c r="C54" s="273" t="s">
        <v>176</v>
      </c>
      <c r="D54" s="274">
        <v>648.5</v>
      </c>
      <c r="E54" s="271" t="s">
        <v>16</v>
      </c>
      <c r="F54" s="129">
        <f t="shared" si="0"/>
        <v>162.125</v>
      </c>
      <c r="G54" s="129"/>
      <c r="H54" s="129">
        <f t="shared" si="1"/>
        <v>162.125</v>
      </c>
      <c r="I54" s="275">
        <v>675849</v>
      </c>
      <c r="J54" s="59"/>
      <c r="K54" s="48"/>
    </row>
    <row r="55" spans="1:11" s="92" customFormat="1" ht="15.75" x14ac:dyDescent="0.25">
      <c r="A55" s="54">
        <v>52</v>
      </c>
      <c r="B55" s="49">
        <v>3196</v>
      </c>
      <c r="C55" s="93" t="s">
        <v>178</v>
      </c>
      <c r="D55" s="274">
        <v>629.9</v>
      </c>
      <c r="E55" s="271" t="s">
        <v>16</v>
      </c>
      <c r="F55" s="129">
        <f t="shared" si="0"/>
        <v>157.47499999999999</v>
      </c>
      <c r="G55" s="129"/>
      <c r="H55" s="129">
        <f t="shared" si="1"/>
        <v>157.47499999999999</v>
      </c>
      <c r="I55" s="275">
        <v>21080217</v>
      </c>
      <c r="J55" s="59"/>
      <c r="K55" s="48"/>
    </row>
    <row r="56" spans="1:11" s="92" customFormat="1" ht="15.75" x14ac:dyDescent="0.25">
      <c r="A56" s="54">
        <v>53</v>
      </c>
      <c r="B56" s="49">
        <v>3197</v>
      </c>
      <c r="C56" s="273" t="s">
        <v>180</v>
      </c>
      <c r="D56" s="274">
        <v>1350</v>
      </c>
      <c r="E56" s="271" t="s">
        <v>16</v>
      </c>
      <c r="F56" s="129">
        <f t="shared" si="0"/>
        <v>337.5</v>
      </c>
      <c r="G56" s="129"/>
      <c r="H56" s="129">
        <f t="shared" si="1"/>
        <v>337.5</v>
      </c>
      <c r="I56" s="275">
        <v>6479515</v>
      </c>
      <c r="J56" s="59"/>
      <c r="K56" s="48"/>
    </row>
    <row r="57" spans="1:11" s="92" customFormat="1" ht="15.75" x14ac:dyDescent="0.25">
      <c r="A57" s="54">
        <v>54</v>
      </c>
      <c r="B57" s="49">
        <v>3198</v>
      </c>
      <c r="C57" s="281" t="s">
        <v>44</v>
      </c>
      <c r="D57" s="288">
        <v>622.5</v>
      </c>
      <c r="E57" s="271" t="s">
        <v>16</v>
      </c>
      <c r="F57" s="129">
        <f t="shared" si="0"/>
        <v>155.625</v>
      </c>
      <c r="G57" s="129"/>
      <c r="H57" s="129">
        <f t="shared" si="1"/>
        <v>155.625</v>
      </c>
      <c r="I57" s="282">
        <v>6360793</v>
      </c>
      <c r="J57" s="59"/>
      <c r="K57" s="48"/>
    </row>
    <row r="58" spans="1:11" s="53" customFormat="1" ht="15.75" x14ac:dyDescent="0.25">
      <c r="A58" s="54">
        <v>55</v>
      </c>
      <c r="B58" s="49">
        <v>3310</v>
      </c>
      <c r="C58" s="273" t="s">
        <v>182</v>
      </c>
      <c r="D58" s="274">
        <v>1293.5999999999999</v>
      </c>
      <c r="E58" s="271" t="s">
        <v>16</v>
      </c>
      <c r="F58" s="129">
        <f t="shared" si="0"/>
        <v>323.39999999999998</v>
      </c>
      <c r="G58" s="129"/>
      <c r="H58" s="129">
        <f t="shared" si="1"/>
        <v>323.39999999999998</v>
      </c>
      <c r="I58" s="275">
        <v>1007615</v>
      </c>
      <c r="J58" s="289"/>
      <c r="K58" s="48"/>
    </row>
    <row r="59" spans="1:11" s="53" customFormat="1" ht="15.75" x14ac:dyDescent="0.25">
      <c r="A59" s="54">
        <v>56</v>
      </c>
      <c r="B59" s="49">
        <v>3324</v>
      </c>
      <c r="C59" s="61" t="s">
        <v>184</v>
      </c>
      <c r="D59" s="274">
        <v>1288.8</v>
      </c>
      <c r="E59" s="271" t="s">
        <v>16</v>
      </c>
      <c r="F59" s="129">
        <f t="shared" si="0"/>
        <v>322.2</v>
      </c>
      <c r="G59" s="129"/>
      <c r="H59" s="129">
        <f t="shared" si="1"/>
        <v>322.2</v>
      </c>
      <c r="I59" s="280">
        <v>207402</v>
      </c>
      <c r="J59" s="59"/>
      <c r="K59" s="48"/>
    </row>
    <row r="60" spans="1:11" s="53" customFormat="1" ht="15.75" x14ac:dyDescent="0.25">
      <c r="A60" s="54">
        <v>57</v>
      </c>
      <c r="B60" s="49">
        <v>3330</v>
      </c>
      <c r="C60" s="61" t="s">
        <v>186</v>
      </c>
      <c r="D60" s="274">
        <v>1328.5</v>
      </c>
      <c r="E60" s="271" t="s">
        <v>16</v>
      </c>
      <c r="F60" s="129">
        <f t="shared" si="0"/>
        <v>332.125</v>
      </c>
      <c r="G60" s="129"/>
      <c r="H60" s="129">
        <f t="shared" si="1"/>
        <v>332.125</v>
      </c>
      <c r="I60" s="280">
        <v>6375079</v>
      </c>
      <c r="J60" s="94"/>
      <c r="K60" s="48"/>
    </row>
    <row r="61" spans="1:11" s="53" customFormat="1" ht="15.75" x14ac:dyDescent="0.25">
      <c r="A61" s="54">
        <v>58</v>
      </c>
      <c r="B61" s="49">
        <v>3333</v>
      </c>
      <c r="C61" s="61" t="s">
        <v>189</v>
      </c>
      <c r="D61" s="274">
        <v>1917.4</v>
      </c>
      <c r="E61" s="271" t="s">
        <v>16</v>
      </c>
      <c r="F61" s="129">
        <f t="shared" si="0"/>
        <v>479.35</v>
      </c>
      <c r="G61" s="129"/>
      <c r="H61" s="129">
        <f t="shared" si="1"/>
        <v>479.35</v>
      </c>
      <c r="I61" s="96">
        <v>757601</v>
      </c>
      <c r="J61" s="94"/>
      <c r="K61" s="48"/>
    </row>
    <row r="62" spans="1:11" s="53" customFormat="1" ht="15.75" x14ac:dyDescent="0.25">
      <c r="A62" s="137">
        <v>59</v>
      </c>
      <c r="B62" s="138">
        <v>3339</v>
      </c>
      <c r="C62" s="173" t="s">
        <v>191</v>
      </c>
      <c r="D62" s="140">
        <v>624.29999999999995</v>
      </c>
      <c r="E62" s="141" t="s">
        <v>16</v>
      </c>
      <c r="F62" s="142">
        <f t="shared" si="0"/>
        <v>156.07499999999999</v>
      </c>
      <c r="G62" s="142">
        <f>F62</f>
        <v>156.07499999999999</v>
      </c>
      <c r="H62" s="142">
        <f t="shared" si="1"/>
        <v>0</v>
      </c>
      <c r="I62" s="290">
        <v>12415718</v>
      </c>
      <c r="J62" s="193" t="s">
        <v>275</v>
      </c>
      <c r="K62" s="48"/>
    </row>
    <row r="63" spans="1:11" s="195" customFormat="1" ht="15.75" x14ac:dyDescent="0.25">
      <c r="A63" s="137">
        <v>60</v>
      </c>
      <c r="B63" s="138">
        <v>3500</v>
      </c>
      <c r="C63" s="173" t="s">
        <v>193</v>
      </c>
      <c r="D63" s="140">
        <v>697.1</v>
      </c>
      <c r="E63" s="141" t="s">
        <v>16</v>
      </c>
      <c r="F63" s="142">
        <f t="shared" si="0"/>
        <v>174.27500000000001</v>
      </c>
      <c r="G63" s="142">
        <f>F63</f>
        <v>174.27500000000001</v>
      </c>
      <c r="H63" s="142">
        <f t="shared" si="1"/>
        <v>0</v>
      </c>
      <c r="I63" s="290">
        <v>13525845</v>
      </c>
      <c r="J63" s="149" t="s">
        <v>279</v>
      </c>
      <c r="K63" s="270"/>
    </row>
    <row r="64" spans="1:11" s="53" customFormat="1" ht="15.75" x14ac:dyDescent="0.25">
      <c r="A64" s="54">
        <v>61</v>
      </c>
      <c r="B64" s="49">
        <v>3501</v>
      </c>
      <c r="C64" s="61" t="s">
        <v>195</v>
      </c>
      <c r="D64" s="274">
        <v>1605.3</v>
      </c>
      <c r="E64" s="271" t="s">
        <v>16</v>
      </c>
      <c r="F64" s="129">
        <f t="shared" si="0"/>
        <v>401.32499999999999</v>
      </c>
      <c r="G64" s="129"/>
      <c r="H64" s="129">
        <f t="shared" si="1"/>
        <v>401.32499999999999</v>
      </c>
      <c r="I64" s="280">
        <v>13525794</v>
      </c>
      <c r="J64" s="26"/>
      <c r="K64" s="48"/>
    </row>
    <row r="65" spans="1:11" s="53" customFormat="1" ht="15.75" x14ac:dyDescent="0.25">
      <c r="A65" s="54">
        <v>62</v>
      </c>
      <c r="B65" s="49">
        <v>3502</v>
      </c>
      <c r="C65" s="93" t="s">
        <v>198</v>
      </c>
      <c r="D65" s="274">
        <v>1297.5999999999999</v>
      </c>
      <c r="E65" s="271" t="s">
        <v>16</v>
      </c>
      <c r="F65" s="129">
        <f t="shared" si="0"/>
        <v>324.39999999999998</v>
      </c>
      <c r="G65" s="129"/>
      <c r="H65" s="129">
        <f t="shared" si="1"/>
        <v>324.39999999999998</v>
      </c>
      <c r="I65" s="280">
        <v>22522336</v>
      </c>
      <c r="J65" s="26"/>
      <c r="K65" s="48"/>
    </row>
    <row r="66" spans="1:11" s="53" customFormat="1" ht="15.75" x14ac:dyDescent="0.25">
      <c r="A66" s="54">
        <v>63</v>
      </c>
      <c r="B66" s="49">
        <v>3503</v>
      </c>
      <c r="C66" s="61" t="s">
        <v>200</v>
      </c>
      <c r="D66" s="274">
        <v>675.7</v>
      </c>
      <c r="E66" s="271" t="s">
        <v>16</v>
      </c>
      <c r="F66" s="129">
        <f t="shared" si="0"/>
        <v>168.92500000000001</v>
      </c>
      <c r="G66" s="129"/>
      <c r="H66" s="129">
        <f t="shared" si="1"/>
        <v>168.92500000000001</v>
      </c>
      <c r="I66" s="280">
        <v>9212492</v>
      </c>
      <c r="J66" s="26"/>
      <c r="K66" s="48"/>
    </row>
    <row r="67" spans="1:11" s="53" customFormat="1" ht="15.75" x14ac:dyDescent="0.25">
      <c r="A67" s="54">
        <v>64</v>
      </c>
      <c r="B67" s="49">
        <v>3504</v>
      </c>
      <c r="C67" s="61" t="s">
        <v>202</v>
      </c>
      <c r="D67" s="274">
        <v>1268.8</v>
      </c>
      <c r="E67" s="271" t="s">
        <v>16</v>
      </c>
      <c r="F67" s="129">
        <f t="shared" si="0"/>
        <v>317.2</v>
      </c>
      <c r="G67" s="129"/>
      <c r="H67" s="129">
        <f t="shared" si="1"/>
        <v>317.2</v>
      </c>
      <c r="I67" s="280">
        <v>939641</v>
      </c>
      <c r="J67" s="26"/>
      <c r="K67" s="48"/>
    </row>
    <row r="68" spans="1:11" s="53" customFormat="1" ht="15.75" x14ac:dyDescent="0.25">
      <c r="A68" s="54">
        <v>65</v>
      </c>
      <c r="B68" s="49">
        <v>3506</v>
      </c>
      <c r="C68" s="61" t="s">
        <v>205</v>
      </c>
      <c r="D68" s="274">
        <v>644.6</v>
      </c>
      <c r="E68" s="271" t="s">
        <v>16</v>
      </c>
      <c r="F68" s="129">
        <f t="shared" si="0"/>
        <v>161.15</v>
      </c>
      <c r="G68" s="129"/>
      <c r="H68" s="129">
        <f t="shared" si="1"/>
        <v>161.15</v>
      </c>
      <c r="I68" s="280">
        <v>13307752</v>
      </c>
      <c r="J68" s="26"/>
      <c r="K68" s="48"/>
    </row>
    <row r="69" spans="1:11" s="53" customFormat="1" ht="15.75" x14ac:dyDescent="0.25">
      <c r="A69" s="54">
        <v>66</v>
      </c>
      <c r="B69" s="49">
        <v>3507</v>
      </c>
      <c r="C69" s="61" t="s">
        <v>207</v>
      </c>
      <c r="D69" s="274">
        <v>403.6</v>
      </c>
      <c r="E69" s="271" t="s">
        <v>16</v>
      </c>
      <c r="F69" s="129">
        <f t="shared" ref="F69:F84" si="2">D69*E69</f>
        <v>100.9</v>
      </c>
      <c r="G69" s="129"/>
      <c r="H69" s="129">
        <f t="shared" ref="H69:H84" si="3">F69-G69</f>
        <v>100.9</v>
      </c>
      <c r="I69" s="280">
        <v>1184669</v>
      </c>
      <c r="J69" s="26"/>
      <c r="K69" s="48"/>
    </row>
    <row r="70" spans="1:11" s="53" customFormat="1" ht="15.75" x14ac:dyDescent="0.25">
      <c r="A70" s="54">
        <v>67</v>
      </c>
      <c r="B70" s="49">
        <v>3508</v>
      </c>
      <c r="C70" s="61" t="s">
        <v>49</v>
      </c>
      <c r="D70" s="274">
        <v>629.6</v>
      </c>
      <c r="E70" s="271" t="s">
        <v>16</v>
      </c>
      <c r="F70" s="129">
        <f t="shared" si="2"/>
        <v>157.4</v>
      </c>
      <c r="G70" s="129"/>
      <c r="H70" s="129">
        <f t="shared" si="3"/>
        <v>157.4</v>
      </c>
      <c r="I70" s="280">
        <v>2567166</v>
      </c>
      <c r="J70" s="26"/>
      <c r="K70" s="48"/>
    </row>
    <row r="71" spans="1:11" s="53" customFormat="1" ht="15.75" x14ac:dyDescent="0.25">
      <c r="A71" s="54">
        <v>68</v>
      </c>
      <c r="B71" s="49">
        <v>3509</v>
      </c>
      <c r="C71" s="93" t="s">
        <v>209</v>
      </c>
      <c r="D71" s="274">
        <v>574.6</v>
      </c>
      <c r="E71" s="271" t="s">
        <v>16</v>
      </c>
      <c r="F71" s="129">
        <f t="shared" si="2"/>
        <v>143.65</v>
      </c>
      <c r="G71" s="129"/>
      <c r="H71" s="129">
        <f t="shared" si="3"/>
        <v>143.65</v>
      </c>
      <c r="I71" s="280">
        <v>22760088</v>
      </c>
      <c r="J71" s="26"/>
      <c r="K71" s="48"/>
    </row>
    <row r="72" spans="1:11" s="91" customFormat="1" ht="15.75" x14ac:dyDescent="0.25">
      <c r="A72" s="62">
        <v>69</v>
      </c>
      <c r="B72" s="63">
        <v>3510</v>
      </c>
      <c r="C72" s="272" t="s">
        <v>211</v>
      </c>
      <c r="D72" s="65">
        <v>1276.7</v>
      </c>
      <c r="E72" s="66" t="s">
        <v>16</v>
      </c>
      <c r="F72" s="67">
        <f t="shared" si="2"/>
        <v>319.17500000000001</v>
      </c>
      <c r="G72" s="67">
        <f>318.525</f>
        <v>318.52499999999998</v>
      </c>
      <c r="H72" s="67">
        <f t="shared" si="3"/>
        <v>0.65000000000003411</v>
      </c>
      <c r="I72" s="292">
        <v>6920351</v>
      </c>
      <c r="J72" s="105" t="s">
        <v>278</v>
      </c>
      <c r="K72" s="90"/>
    </row>
    <row r="73" spans="1:11" s="91" customFormat="1" ht="15.75" x14ac:dyDescent="0.25">
      <c r="A73" s="62">
        <v>70</v>
      </c>
      <c r="B73" s="63">
        <v>3511</v>
      </c>
      <c r="C73" s="100" t="s">
        <v>21</v>
      </c>
      <c r="D73" s="65">
        <v>1814.7</v>
      </c>
      <c r="E73" s="66" t="s">
        <v>16</v>
      </c>
      <c r="F73" s="67">
        <f t="shared" si="2"/>
        <v>453.67500000000001</v>
      </c>
      <c r="G73" s="67">
        <f>452.775</f>
        <v>452.77499999999998</v>
      </c>
      <c r="H73" s="67">
        <f t="shared" si="3"/>
        <v>0.90000000000003411</v>
      </c>
      <c r="I73" s="103">
        <v>2640016</v>
      </c>
      <c r="J73" s="117">
        <v>45932</v>
      </c>
      <c r="K73" s="90"/>
    </row>
    <row r="74" spans="1:11" s="53" customFormat="1" ht="15.75" x14ac:dyDescent="0.25">
      <c r="A74" s="54">
        <v>71</v>
      </c>
      <c r="B74" s="85">
        <v>3512</v>
      </c>
      <c r="C74" s="98" t="s">
        <v>213</v>
      </c>
      <c r="D74" s="274"/>
      <c r="E74" s="271" t="s">
        <v>16</v>
      </c>
      <c r="F74" s="129">
        <f t="shared" si="2"/>
        <v>0</v>
      </c>
      <c r="G74" s="129"/>
      <c r="H74" s="129">
        <f t="shared" si="3"/>
        <v>0</v>
      </c>
      <c r="I74" s="96">
        <v>5514631</v>
      </c>
      <c r="J74" s="26"/>
      <c r="K74" s="48"/>
    </row>
    <row r="75" spans="1:11" s="53" customFormat="1" ht="15.75" x14ac:dyDescent="0.25">
      <c r="A75" s="54">
        <v>72</v>
      </c>
      <c r="B75" s="49">
        <v>3513</v>
      </c>
      <c r="C75" s="98" t="s">
        <v>215</v>
      </c>
      <c r="D75" s="274">
        <v>2520.5</v>
      </c>
      <c r="E75" s="271" t="s">
        <v>16</v>
      </c>
      <c r="F75" s="129">
        <f t="shared" si="2"/>
        <v>630.125</v>
      </c>
      <c r="G75" s="129"/>
      <c r="H75" s="129">
        <f t="shared" si="3"/>
        <v>630.125</v>
      </c>
      <c r="I75" s="96">
        <v>7047376</v>
      </c>
      <c r="J75" s="26"/>
      <c r="K75" s="48"/>
    </row>
    <row r="76" spans="1:11" s="53" customFormat="1" ht="18" customHeight="1" x14ac:dyDescent="0.25">
      <c r="A76" s="54">
        <v>73</v>
      </c>
      <c r="B76" s="49">
        <v>3514</v>
      </c>
      <c r="C76" s="98" t="s">
        <v>217</v>
      </c>
      <c r="D76" s="274">
        <v>1303.4000000000001</v>
      </c>
      <c r="E76" s="271" t="s">
        <v>16</v>
      </c>
      <c r="F76" s="129">
        <f t="shared" si="2"/>
        <v>325.85000000000002</v>
      </c>
      <c r="G76" s="129"/>
      <c r="H76" s="129">
        <f t="shared" si="3"/>
        <v>325.85000000000002</v>
      </c>
      <c r="I76" s="96">
        <v>440083</v>
      </c>
      <c r="J76" s="26"/>
      <c r="K76" s="48"/>
    </row>
    <row r="77" spans="1:11" s="53" customFormat="1" ht="15.75" x14ac:dyDescent="0.25">
      <c r="A77" s="54">
        <v>74</v>
      </c>
      <c r="B77" s="49">
        <v>3515</v>
      </c>
      <c r="C77" s="98" t="s">
        <v>51</v>
      </c>
      <c r="D77" s="274">
        <v>1879.2</v>
      </c>
      <c r="E77" s="271" t="s">
        <v>16</v>
      </c>
      <c r="F77" s="129">
        <f t="shared" si="2"/>
        <v>469.8</v>
      </c>
      <c r="G77" s="129"/>
      <c r="H77" s="129">
        <f t="shared" si="3"/>
        <v>469.8</v>
      </c>
      <c r="I77" s="96">
        <v>6645198</v>
      </c>
      <c r="J77" s="26"/>
      <c r="K77" s="48"/>
    </row>
    <row r="78" spans="1:11" s="53" customFormat="1" ht="15.75" x14ac:dyDescent="0.25">
      <c r="A78" s="54">
        <v>75</v>
      </c>
      <c r="B78" s="49">
        <v>3516</v>
      </c>
      <c r="C78" s="98" t="s">
        <v>219</v>
      </c>
      <c r="D78" s="274">
        <v>1860.7</v>
      </c>
      <c r="E78" s="271" t="s">
        <v>16</v>
      </c>
      <c r="F78" s="129">
        <f t="shared" si="2"/>
        <v>465.17500000000001</v>
      </c>
      <c r="G78" s="129"/>
      <c r="H78" s="129">
        <f t="shared" si="3"/>
        <v>465.17500000000001</v>
      </c>
      <c r="I78" s="96">
        <v>1165877</v>
      </c>
      <c r="J78" s="26"/>
      <c r="K78" s="48"/>
    </row>
    <row r="79" spans="1:11" s="53" customFormat="1" ht="15.75" x14ac:dyDescent="0.25">
      <c r="A79" s="54">
        <v>76</v>
      </c>
      <c r="B79" s="49">
        <v>3517</v>
      </c>
      <c r="C79" s="98" t="s">
        <v>221</v>
      </c>
      <c r="D79" s="274">
        <v>1283.9000000000001</v>
      </c>
      <c r="E79" s="271" t="s">
        <v>16</v>
      </c>
      <c r="F79" s="129">
        <f t="shared" si="2"/>
        <v>320.97500000000002</v>
      </c>
      <c r="G79" s="129"/>
      <c r="H79" s="129">
        <f t="shared" si="3"/>
        <v>320.97500000000002</v>
      </c>
      <c r="I79" s="96">
        <v>7047081</v>
      </c>
      <c r="J79" s="26"/>
      <c r="K79" s="48"/>
    </row>
    <row r="80" spans="1:11" s="91" customFormat="1" ht="15.75" x14ac:dyDescent="0.25">
      <c r="A80" s="62">
        <v>77</v>
      </c>
      <c r="B80" s="63">
        <v>3518</v>
      </c>
      <c r="C80" s="100" t="s">
        <v>54</v>
      </c>
      <c r="D80" s="65">
        <v>729.9</v>
      </c>
      <c r="E80" s="66" t="s">
        <v>16</v>
      </c>
      <c r="F80" s="67">
        <f t="shared" si="2"/>
        <v>182.47499999999999</v>
      </c>
      <c r="G80" s="67">
        <f>63.725</f>
        <v>63.725000000000001</v>
      </c>
      <c r="H80" s="67">
        <f t="shared" si="3"/>
        <v>118.75</v>
      </c>
      <c r="I80" s="103">
        <v>20386956</v>
      </c>
      <c r="J80" s="105" t="s">
        <v>272</v>
      </c>
      <c r="K80" s="90"/>
    </row>
    <row r="81" spans="1:11" s="53" customFormat="1" ht="15.75" x14ac:dyDescent="0.25">
      <c r="A81" s="54">
        <v>78</v>
      </c>
      <c r="B81" s="49">
        <v>3519</v>
      </c>
      <c r="C81" s="98" t="s">
        <v>223</v>
      </c>
      <c r="D81" s="274">
        <v>633.70000000000005</v>
      </c>
      <c r="E81" s="271" t="s">
        <v>16</v>
      </c>
      <c r="F81" s="129">
        <f t="shared" si="2"/>
        <v>158.42500000000001</v>
      </c>
      <c r="G81" s="129"/>
      <c r="H81" s="129">
        <f t="shared" si="3"/>
        <v>158.42500000000001</v>
      </c>
      <c r="I81" s="96">
        <v>7047221</v>
      </c>
      <c r="J81" s="26"/>
      <c r="K81" s="48"/>
    </row>
    <row r="82" spans="1:11" s="53" customFormat="1" ht="15.75" x14ac:dyDescent="0.25">
      <c r="A82" s="54">
        <v>79</v>
      </c>
      <c r="B82" s="49">
        <v>3520</v>
      </c>
      <c r="C82" s="98" t="s">
        <v>225</v>
      </c>
      <c r="D82" s="274">
        <v>634.29999999999995</v>
      </c>
      <c r="E82" s="271" t="s">
        <v>16</v>
      </c>
      <c r="F82" s="129">
        <f t="shared" si="2"/>
        <v>158.57499999999999</v>
      </c>
      <c r="G82" s="129"/>
      <c r="H82" s="129">
        <f t="shared" si="3"/>
        <v>158.57499999999999</v>
      </c>
      <c r="I82" s="96">
        <v>5665362</v>
      </c>
      <c r="K82" s="48"/>
    </row>
    <row r="83" spans="1:11" s="53" customFormat="1" ht="15.75" x14ac:dyDescent="0.25">
      <c r="A83" s="54">
        <v>80</v>
      </c>
      <c r="B83" s="49">
        <v>3521</v>
      </c>
      <c r="C83" s="98" t="s">
        <v>227</v>
      </c>
      <c r="D83" s="274">
        <v>3776.2</v>
      </c>
      <c r="E83" s="271" t="s">
        <v>16</v>
      </c>
      <c r="F83" s="129">
        <f t="shared" si="2"/>
        <v>944.05</v>
      </c>
      <c r="G83" s="129"/>
      <c r="H83" s="129">
        <f t="shared" si="3"/>
        <v>944.05</v>
      </c>
      <c r="I83" s="96">
        <v>7064553</v>
      </c>
      <c r="J83" s="26"/>
      <c r="K83" s="48"/>
    </row>
    <row r="84" spans="1:11" s="53" customFormat="1" ht="15.75" x14ac:dyDescent="0.25">
      <c r="A84" s="54">
        <v>81</v>
      </c>
      <c r="B84" s="49">
        <v>3522</v>
      </c>
      <c r="C84" s="98" t="s">
        <v>229</v>
      </c>
      <c r="D84" s="274">
        <v>861.5</v>
      </c>
      <c r="E84" s="271" t="s">
        <v>16</v>
      </c>
      <c r="F84" s="129">
        <f t="shared" si="2"/>
        <v>215.375</v>
      </c>
      <c r="G84" s="129"/>
      <c r="H84" s="129">
        <f t="shared" si="3"/>
        <v>215.375</v>
      </c>
      <c r="I84" s="96">
        <v>11365191</v>
      </c>
      <c r="J84" s="26"/>
      <c r="K84" s="48"/>
    </row>
    <row r="85" spans="1:11" s="53" customFormat="1" ht="19.5" x14ac:dyDescent="0.25">
      <c r="A85" s="106"/>
      <c r="B85" s="106"/>
      <c r="C85" s="106"/>
      <c r="D85" s="107">
        <f>SUM(D4:D84)</f>
        <v>142436.35000000003</v>
      </c>
      <c r="E85" s="106" t="s">
        <v>26</v>
      </c>
      <c r="F85" s="106">
        <f>SUM(F4:F84)</f>
        <v>35609.087500000009</v>
      </c>
      <c r="G85" s="106">
        <f>SUM(G4:G84)</f>
        <v>5406.9799999999987</v>
      </c>
      <c r="H85" s="106">
        <f>SUM(H4:H84)</f>
        <v>30202.107500000002</v>
      </c>
      <c r="I85" s="106"/>
      <c r="J85" s="108"/>
      <c r="K85" s="109"/>
    </row>
    <row r="86" spans="1:11" x14ac:dyDescent="0.25">
      <c r="F86" s="40"/>
      <c r="G86" s="40"/>
      <c r="H86" s="40"/>
    </row>
    <row r="87" spans="1:11" x14ac:dyDescent="0.25">
      <c r="D87" s="45"/>
      <c r="F87" s="45"/>
      <c r="G87" s="45"/>
      <c r="H87" s="45"/>
    </row>
    <row r="88" spans="1:11" x14ac:dyDescent="0.25">
      <c r="F88" s="40"/>
      <c r="G88" s="40"/>
      <c r="H88" s="40"/>
    </row>
    <row r="89" spans="1:11" x14ac:dyDescent="0.25">
      <c r="F89" s="40"/>
      <c r="G89" s="40"/>
      <c r="H89" s="40"/>
    </row>
    <row r="90" spans="1:11" x14ac:dyDescent="0.25">
      <c r="F90" s="40"/>
      <c r="G90" s="40"/>
      <c r="H90" s="40"/>
    </row>
    <row r="91" spans="1:11" x14ac:dyDescent="0.25">
      <c r="F91" s="40"/>
      <c r="G91" s="40"/>
      <c r="H91" s="40"/>
    </row>
    <row r="92" spans="1:11" x14ac:dyDescent="0.25">
      <c r="F92" s="40"/>
      <c r="G92" s="40"/>
      <c r="H92" s="40"/>
    </row>
    <row r="93" spans="1:11" x14ac:dyDescent="0.25">
      <c r="F93" s="40"/>
      <c r="G93" s="40"/>
      <c r="H93" s="40"/>
    </row>
    <row r="94" spans="1:11" s="41" customFormat="1" x14ac:dyDescent="0.25">
      <c r="A94"/>
      <c r="B94"/>
      <c r="C94"/>
      <c r="D94" s="6"/>
      <c r="E94" s="6"/>
      <c r="F94" s="40"/>
      <c r="G94" s="40"/>
      <c r="H94" s="40"/>
      <c r="I94" s="44"/>
      <c r="J94"/>
      <c r="K94" s="43"/>
    </row>
    <row r="95" spans="1:11" s="41" customFormat="1" x14ac:dyDescent="0.25">
      <c r="A95"/>
      <c r="B95"/>
      <c r="C95"/>
      <c r="D95" s="6"/>
      <c r="E95" s="6"/>
      <c r="F95" s="40"/>
      <c r="G95" s="40"/>
      <c r="H95" s="40"/>
      <c r="I95" s="44"/>
      <c r="J95"/>
      <c r="K95" s="43"/>
    </row>
    <row r="96" spans="1:11" s="41" customFormat="1" x14ac:dyDescent="0.25">
      <c r="A96"/>
      <c r="B96"/>
      <c r="C96"/>
      <c r="D96" s="6"/>
      <c r="E96" s="6"/>
      <c r="F96" s="40"/>
      <c r="G96" s="40"/>
      <c r="H96" s="40"/>
      <c r="I96" s="44"/>
      <c r="J96"/>
      <c r="K96" s="43"/>
    </row>
    <row r="97" spans="1:11" s="41" customFormat="1" x14ac:dyDescent="0.25">
      <c r="A97"/>
      <c r="B97"/>
      <c r="C97"/>
      <c r="D97" s="6"/>
      <c r="E97" s="6"/>
      <c r="F97" s="40"/>
      <c r="G97" s="40"/>
      <c r="H97" s="40"/>
      <c r="I97" s="44"/>
      <c r="J97"/>
      <c r="K97" s="43"/>
    </row>
    <row r="98" spans="1:11" s="41" customFormat="1" x14ac:dyDescent="0.25">
      <c r="A98"/>
      <c r="B98"/>
      <c r="C98"/>
      <c r="D98" s="6"/>
      <c r="E98" s="6"/>
      <c r="F98" s="40"/>
      <c r="G98" s="40"/>
      <c r="H98" s="40"/>
      <c r="I98" s="44"/>
      <c r="J98"/>
      <c r="K98" s="43"/>
    </row>
    <row r="99" spans="1:11" s="41" customFormat="1" x14ac:dyDescent="0.25">
      <c r="A99"/>
      <c r="B99"/>
      <c r="C99"/>
      <c r="D99" s="6"/>
      <c r="E99" s="6"/>
      <c r="F99" s="40"/>
      <c r="G99" s="40"/>
      <c r="H99" s="40"/>
      <c r="I99" s="44"/>
      <c r="J99"/>
      <c r="K99" s="43"/>
    </row>
    <row r="100" spans="1:11" s="41" customFormat="1" x14ac:dyDescent="0.25">
      <c r="A100"/>
      <c r="B100"/>
      <c r="C100"/>
      <c r="D100" s="6"/>
      <c r="E100" s="6"/>
      <c r="F100" s="40"/>
      <c r="G100" s="40"/>
      <c r="H100" s="40"/>
      <c r="I100" s="44"/>
      <c r="J100"/>
      <c r="K100" s="43"/>
    </row>
    <row r="101" spans="1:11" s="41" customFormat="1" x14ac:dyDescent="0.25">
      <c r="A101"/>
      <c r="B101"/>
      <c r="C101"/>
      <c r="D101" s="6"/>
      <c r="E101" s="6"/>
      <c r="F101" s="40"/>
      <c r="G101" s="40"/>
      <c r="H101" s="40"/>
      <c r="I101" s="44"/>
      <c r="J101"/>
      <c r="K101" s="43"/>
    </row>
    <row r="102" spans="1:11" s="41" customFormat="1" x14ac:dyDescent="0.25">
      <c r="A102"/>
      <c r="B102"/>
      <c r="C102"/>
      <c r="D102" s="6"/>
      <c r="E102" s="6"/>
      <c r="F102" s="40"/>
      <c r="G102" s="40"/>
      <c r="H102" s="40"/>
      <c r="I102" s="44"/>
      <c r="J102"/>
      <c r="K102" s="43"/>
    </row>
    <row r="103" spans="1:11" s="41" customFormat="1" x14ac:dyDescent="0.25">
      <c r="A103"/>
      <c r="B103"/>
      <c r="C103"/>
      <c r="D103" s="6"/>
      <c r="E103" s="6"/>
      <c r="F103" s="40"/>
      <c r="G103" s="40"/>
      <c r="H103" s="40"/>
      <c r="I103" s="44"/>
      <c r="J103"/>
      <c r="K103" s="43"/>
    </row>
    <row r="104" spans="1:11" s="41" customFormat="1" x14ac:dyDescent="0.25">
      <c r="A104"/>
      <c r="B104"/>
      <c r="C104"/>
      <c r="D104" s="6"/>
      <c r="E104" s="6"/>
      <c r="F104" s="40"/>
      <c r="G104" s="40"/>
      <c r="H104" s="40"/>
      <c r="I104" s="44"/>
      <c r="J104"/>
      <c r="K104" s="43"/>
    </row>
    <row r="105" spans="1:11" s="41" customFormat="1" x14ac:dyDescent="0.25">
      <c r="A105"/>
      <c r="B105"/>
      <c r="C105"/>
      <c r="D105" s="6"/>
      <c r="E105" s="6"/>
      <c r="F105" s="40"/>
      <c r="G105" s="40"/>
      <c r="H105" s="40"/>
      <c r="I105" s="44"/>
      <c r="J105"/>
      <c r="K105" s="43"/>
    </row>
    <row r="106" spans="1:11" s="41" customFormat="1" x14ac:dyDescent="0.25">
      <c r="A106"/>
      <c r="B106"/>
      <c r="C106"/>
      <c r="D106" s="6"/>
      <c r="E106" s="6"/>
      <c r="F106" s="40"/>
      <c r="G106" s="40"/>
      <c r="H106" s="40"/>
      <c r="I106" s="44"/>
      <c r="J106"/>
      <c r="K106" s="43"/>
    </row>
    <row r="107" spans="1:11" s="41" customFormat="1" x14ac:dyDescent="0.25">
      <c r="A107"/>
      <c r="B107"/>
      <c r="C107"/>
      <c r="D107" s="6"/>
      <c r="E107" s="6"/>
      <c r="F107" s="40"/>
      <c r="G107" s="40"/>
      <c r="H107" s="40"/>
      <c r="I107" s="44"/>
      <c r="J107"/>
      <c r="K107" s="43"/>
    </row>
    <row r="108" spans="1:11" s="41" customFormat="1" x14ac:dyDescent="0.25">
      <c r="A108"/>
      <c r="B108"/>
      <c r="C108"/>
      <c r="D108" s="6"/>
      <c r="E108" s="6"/>
      <c r="F108" s="40"/>
      <c r="G108" s="40"/>
      <c r="H108" s="40"/>
      <c r="I108" s="44"/>
      <c r="J108"/>
      <c r="K108" s="43"/>
    </row>
    <row r="109" spans="1:11" s="41" customFormat="1" x14ac:dyDescent="0.25">
      <c r="A109"/>
      <c r="B109"/>
      <c r="C109"/>
      <c r="D109" s="6"/>
      <c r="E109" s="6"/>
      <c r="F109" s="40"/>
      <c r="G109" s="40"/>
      <c r="H109" s="40"/>
      <c r="I109" s="44"/>
      <c r="J109"/>
      <c r="K109" s="43"/>
    </row>
    <row r="110" spans="1:11" s="41" customFormat="1" x14ac:dyDescent="0.25">
      <c r="A110"/>
      <c r="B110"/>
      <c r="C110"/>
      <c r="D110" s="6"/>
      <c r="E110" s="6"/>
      <c r="F110" s="40"/>
      <c r="G110" s="40"/>
      <c r="H110" s="40"/>
      <c r="I110" s="44"/>
      <c r="J110"/>
      <c r="K110" s="43"/>
    </row>
    <row r="111" spans="1:11" s="41" customFormat="1" x14ac:dyDescent="0.25">
      <c r="A111"/>
      <c r="B111"/>
      <c r="C111"/>
      <c r="D111" s="6"/>
      <c r="E111" s="6"/>
      <c r="F111" s="40"/>
      <c r="G111" s="40"/>
      <c r="H111" s="40"/>
      <c r="I111" s="44"/>
      <c r="J111"/>
      <c r="K111" s="43"/>
    </row>
    <row r="112" spans="1:11" s="41" customFormat="1" x14ac:dyDescent="0.25">
      <c r="A112"/>
      <c r="B112"/>
      <c r="C112"/>
      <c r="D112" s="6"/>
      <c r="E112" s="6"/>
      <c r="F112" s="40"/>
      <c r="G112" s="40"/>
      <c r="H112" s="40"/>
      <c r="I112" s="44"/>
      <c r="J112"/>
      <c r="K112" s="43"/>
    </row>
    <row r="113" spans="1:11" s="41" customFormat="1" x14ac:dyDescent="0.25">
      <c r="A113"/>
      <c r="B113"/>
      <c r="C113"/>
      <c r="D113" s="6"/>
      <c r="E113" s="6"/>
      <c r="F113" s="40"/>
      <c r="G113" s="40"/>
      <c r="H113" s="40"/>
      <c r="I113" s="44"/>
      <c r="J113"/>
      <c r="K113" s="43"/>
    </row>
    <row r="114" spans="1:11" s="41" customFormat="1" x14ac:dyDescent="0.25">
      <c r="A114"/>
      <c r="B114"/>
      <c r="C114"/>
      <c r="D114" s="6"/>
      <c r="E114" s="6"/>
      <c r="F114" s="40"/>
      <c r="G114" s="40"/>
      <c r="H114" s="40"/>
      <c r="I114" s="44"/>
      <c r="J114"/>
      <c r="K114" s="43"/>
    </row>
    <row r="115" spans="1:11" s="41" customFormat="1" x14ac:dyDescent="0.25">
      <c r="A115"/>
      <c r="B115"/>
      <c r="C115"/>
      <c r="D115" s="6"/>
      <c r="E115" s="6"/>
      <c r="F115" s="40"/>
      <c r="G115" s="40"/>
      <c r="H115" s="40"/>
      <c r="I115" s="44"/>
      <c r="J115"/>
      <c r="K115" s="43"/>
    </row>
    <row r="116" spans="1:11" s="41" customFormat="1" x14ac:dyDescent="0.25">
      <c r="A116"/>
      <c r="B116"/>
      <c r="C116"/>
      <c r="D116" s="6"/>
      <c r="E116" s="6"/>
      <c r="F116" s="40"/>
      <c r="G116" s="40"/>
      <c r="H116" s="40"/>
      <c r="I116" s="44"/>
      <c r="J116"/>
      <c r="K116" s="43"/>
    </row>
  </sheetData>
  <autoFilter ref="D1:D116" xr:uid="{8CA4111C-B476-428F-82B8-F07CF6C71079}"/>
  <mergeCells count="11">
    <mergeCell ref="J2:J3"/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8" scale="50" orientation="landscape" r:id="rId1"/>
  <rowBreaks count="1" manualBreakCount="1">
    <brk id="65" max="1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D51D-B176-4322-8BC9-067823A807B6}">
  <dimension ref="A1:P117"/>
  <sheetViews>
    <sheetView view="pageBreakPreview" zoomScale="85" zoomScaleNormal="100" zoomScaleSheetLayoutView="85" workbookViewId="0">
      <pane xSplit="3" ySplit="3" topLeftCell="D76" activePane="bottomRight" state="frozen"/>
      <selection pane="topRight" activeCell="D1" sqref="D1"/>
      <selection pane="bottomLeft" activeCell="A6" sqref="A6"/>
      <selection pane="bottomRight" activeCell="B22" sqref="B22"/>
    </sheetView>
  </sheetViews>
  <sheetFormatPr defaultRowHeight="15" x14ac:dyDescent="0.25"/>
  <cols>
    <col min="1" max="1" width="5.7109375" customWidth="1"/>
    <col min="2" max="2" width="9.28515625" customWidth="1"/>
    <col min="3" max="3" width="51.7109375" customWidth="1"/>
    <col min="4" max="4" width="19" style="6" customWidth="1"/>
    <col min="5" max="5" width="12.42578125" style="6" customWidth="1"/>
    <col min="6" max="6" width="16" style="6" bestFit="1" customWidth="1"/>
    <col min="7" max="8" width="16" style="6" customWidth="1"/>
    <col min="9" max="9" width="12.28515625" style="44" customWidth="1"/>
    <col min="10" max="10" width="21.42578125" style="41" customWidth="1"/>
    <col min="11" max="11" width="15.42578125" style="41" customWidth="1"/>
    <col min="12" max="12" width="16.5703125" style="41" customWidth="1"/>
    <col min="13" max="13" width="12" style="41" customWidth="1"/>
    <col min="14" max="14" width="28" customWidth="1"/>
    <col min="15" max="15" width="11" style="43" customWidth="1"/>
  </cols>
  <sheetData>
    <row r="1" spans="1:15" s="8" customFormat="1" ht="30" customHeight="1" x14ac:dyDescent="0.25">
      <c r="A1" s="491" t="s">
        <v>326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7"/>
    </row>
    <row r="2" spans="1:15" s="3" customFormat="1" ht="19.5" customHeight="1" x14ac:dyDescent="0.25">
      <c r="A2" s="486" t="s">
        <v>1</v>
      </c>
      <c r="B2" s="487" t="s">
        <v>2</v>
      </c>
      <c r="C2" s="483" t="s">
        <v>3</v>
      </c>
      <c r="D2" s="486" t="s">
        <v>4</v>
      </c>
      <c r="E2" s="487" t="s">
        <v>5</v>
      </c>
      <c r="F2" s="486" t="s">
        <v>6</v>
      </c>
      <c r="G2" s="486" t="s">
        <v>7</v>
      </c>
      <c r="H2" s="486" t="s">
        <v>8</v>
      </c>
      <c r="I2" s="488" t="s">
        <v>9</v>
      </c>
      <c r="J2" s="482" t="s">
        <v>10</v>
      </c>
      <c r="K2" s="483" t="s">
        <v>11</v>
      </c>
      <c r="L2" s="482" t="s">
        <v>12</v>
      </c>
      <c r="M2" s="483" t="s">
        <v>13</v>
      </c>
      <c r="N2" s="482" t="s">
        <v>14</v>
      </c>
      <c r="O2" s="11"/>
    </row>
    <row r="3" spans="1:15" s="3" customFormat="1" ht="26.25" customHeight="1" x14ac:dyDescent="0.25">
      <c r="A3" s="486"/>
      <c r="B3" s="487"/>
      <c r="C3" s="483"/>
      <c r="D3" s="486"/>
      <c r="E3" s="487"/>
      <c r="F3" s="486"/>
      <c r="G3" s="486"/>
      <c r="H3" s="486"/>
      <c r="I3" s="488"/>
      <c r="J3" s="482"/>
      <c r="K3" s="483"/>
      <c r="L3" s="482"/>
      <c r="M3" s="483"/>
      <c r="N3" s="484"/>
      <c r="O3" s="11"/>
    </row>
    <row r="4" spans="1:15" s="53" customFormat="1" ht="15.75" x14ac:dyDescent="0.25">
      <c r="A4" s="54">
        <v>1</v>
      </c>
      <c r="B4" s="85">
        <v>1007</v>
      </c>
      <c r="C4" s="50" t="s">
        <v>73</v>
      </c>
      <c r="D4" s="56">
        <v>6375</v>
      </c>
      <c r="E4" s="57" t="s">
        <v>16</v>
      </c>
      <c r="F4" s="58">
        <f t="shared" ref="F4:F35" si="0">D4*E4</f>
        <v>1593.75</v>
      </c>
      <c r="G4" s="58">
        <f>F4</f>
        <v>1593.75</v>
      </c>
      <c r="H4" s="398">
        <f t="shared" ref="H4:H26" si="1">F4-G4</f>
        <v>0</v>
      </c>
      <c r="I4" s="399">
        <v>1515504</v>
      </c>
      <c r="J4" s="400" t="s">
        <v>74</v>
      </c>
      <c r="K4" s="399" t="s">
        <v>75</v>
      </c>
      <c r="L4" s="400" t="s">
        <v>76</v>
      </c>
      <c r="M4" s="399">
        <v>91748840</v>
      </c>
      <c r="N4" s="401"/>
      <c r="O4" s="48"/>
    </row>
    <row r="5" spans="1:15" s="53" customFormat="1" ht="15.75" x14ac:dyDescent="0.25">
      <c r="A5" s="54">
        <v>2</v>
      </c>
      <c r="B5" s="85">
        <v>1041</v>
      </c>
      <c r="C5" s="55" t="s">
        <v>77</v>
      </c>
      <c r="D5" s="56">
        <v>3382.3</v>
      </c>
      <c r="E5" s="57" t="s">
        <v>16</v>
      </c>
      <c r="F5" s="58">
        <f t="shared" si="0"/>
        <v>845.57500000000005</v>
      </c>
      <c r="G5" s="58">
        <f>F5</f>
        <v>845.57500000000005</v>
      </c>
      <c r="H5" s="398">
        <f t="shared" si="1"/>
        <v>0</v>
      </c>
      <c r="I5" s="399">
        <v>6827729</v>
      </c>
      <c r="J5" s="400" t="s">
        <v>78</v>
      </c>
      <c r="K5" s="402" t="s">
        <v>40</v>
      </c>
      <c r="L5" s="400" t="s">
        <v>19</v>
      </c>
      <c r="M5" s="399">
        <v>92272935</v>
      </c>
      <c r="N5" s="401"/>
      <c r="O5" s="48"/>
    </row>
    <row r="6" spans="1:15" s="53" customFormat="1" ht="15.75" x14ac:dyDescent="0.25">
      <c r="A6" s="54">
        <v>3</v>
      </c>
      <c r="B6" s="85">
        <v>1125</v>
      </c>
      <c r="C6" s="55" t="s">
        <v>79</v>
      </c>
      <c r="D6" s="56">
        <v>5794.4</v>
      </c>
      <c r="E6" s="57" t="s">
        <v>16</v>
      </c>
      <c r="F6" s="58">
        <f>D6*E6</f>
        <v>1448.6</v>
      </c>
      <c r="G6" s="58">
        <f>F6</f>
        <v>1448.6</v>
      </c>
      <c r="H6" s="142">
        <f t="shared" si="1"/>
        <v>0</v>
      </c>
      <c r="I6" s="143">
        <v>6828774</v>
      </c>
      <c r="J6" s="192" t="s">
        <v>80</v>
      </c>
      <c r="K6" s="343" t="s">
        <v>36</v>
      </c>
      <c r="L6" s="192" t="s">
        <v>37</v>
      </c>
      <c r="M6" s="143">
        <v>91267555</v>
      </c>
      <c r="N6" s="144" t="s">
        <v>556</v>
      </c>
      <c r="O6" s="48"/>
    </row>
    <row r="7" spans="1:15" s="53" customFormat="1" ht="15.75" x14ac:dyDescent="0.25">
      <c r="A7" s="54">
        <v>4</v>
      </c>
      <c r="B7" s="85">
        <v>1222</v>
      </c>
      <c r="C7" s="55" t="s">
        <v>81</v>
      </c>
      <c r="D7" s="56"/>
      <c r="E7" s="57" t="s">
        <v>16</v>
      </c>
      <c r="F7" s="58">
        <f t="shared" si="0"/>
        <v>0</v>
      </c>
      <c r="G7" s="58"/>
      <c r="H7" s="416">
        <f t="shared" si="1"/>
        <v>0</v>
      </c>
      <c r="I7" s="418">
        <v>31221</v>
      </c>
      <c r="J7" s="417" t="s">
        <v>82</v>
      </c>
      <c r="K7" s="418" t="s">
        <v>83</v>
      </c>
      <c r="L7" s="417" t="s">
        <v>84</v>
      </c>
      <c r="M7" s="418"/>
      <c r="N7" s="426"/>
      <c r="O7" s="48"/>
    </row>
    <row r="8" spans="1:15" s="53" customFormat="1" ht="15.75" x14ac:dyDescent="0.25">
      <c r="A8" s="54">
        <v>5</v>
      </c>
      <c r="B8" s="85">
        <v>1286</v>
      </c>
      <c r="C8" s="50" t="s">
        <v>85</v>
      </c>
      <c r="D8" s="56">
        <v>3002.7</v>
      </c>
      <c r="E8" s="57" t="s">
        <v>16</v>
      </c>
      <c r="F8" s="58">
        <f t="shared" si="0"/>
        <v>750.67499999999995</v>
      </c>
      <c r="G8" s="58">
        <f>F8</f>
        <v>750.67499999999995</v>
      </c>
      <c r="H8" s="398">
        <f t="shared" si="1"/>
        <v>0</v>
      </c>
      <c r="I8" s="399">
        <v>368056</v>
      </c>
      <c r="J8" s="400" t="s">
        <v>86</v>
      </c>
      <c r="K8" s="399" t="s">
        <v>40</v>
      </c>
      <c r="L8" s="400" t="s">
        <v>19</v>
      </c>
      <c r="M8" s="399">
        <v>99494264</v>
      </c>
      <c r="N8" s="403"/>
      <c r="O8" s="48"/>
    </row>
    <row r="9" spans="1:15" s="195" customFormat="1" ht="15.75" x14ac:dyDescent="0.25">
      <c r="A9" s="54">
        <v>6</v>
      </c>
      <c r="B9" s="85">
        <v>1344</v>
      </c>
      <c r="C9" s="50" t="s">
        <v>66</v>
      </c>
      <c r="D9" s="56">
        <v>3180.4</v>
      </c>
      <c r="E9" s="57" t="s">
        <v>16</v>
      </c>
      <c r="F9" s="58">
        <f t="shared" si="0"/>
        <v>795.1</v>
      </c>
      <c r="G9" s="58">
        <f>793.925+1.175</f>
        <v>795.09999999999991</v>
      </c>
      <c r="H9" s="142">
        <f t="shared" si="1"/>
        <v>0</v>
      </c>
      <c r="I9" s="143">
        <v>4014519</v>
      </c>
      <c r="J9" s="192" t="s">
        <v>87</v>
      </c>
      <c r="K9" s="143" t="s">
        <v>88</v>
      </c>
      <c r="L9" s="192" t="s">
        <v>89</v>
      </c>
      <c r="M9" s="143"/>
      <c r="N9" s="335">
        <v>45879</v>
      </c>
      <c r="O9" s="270" t="s">
        <v>555</v>
      </c>
    </row>
    <row r="10" spans="1:15" s="195" customFormat="1" ht="15.75" x14ac:dyDescent="0.25">
      <c r="A10" s="54">
        <v>7</v>
      </c>
      <c r="B10" s="85">
        <v>1352</v>
      </c>
      <c r="C10" s="50" t="s">
        <v>90</v>
      </c>
      <c r="D10" s="56">
        <v>1179.3</v>
      </c>
      <c r="E10" s="57" t="s">
        <v>16</v>
      </c>
      <c r="F10" s="58">
        <f t="shared" si="0"/>
        <v>294.82499999999999</v>
      </c>
      <c r="G10" s="58">
        <f>291.55+3.275</f>
        <v>294.82499999999999</v>
      </c>
      <c r="H10" s="142">
        <f t="shared" si="1"/>
        <v>0</v>
      </c>
      <c r="I10" s="143">
        <v>1627344</v>
      </c>
      <c r="J10" s="192" t="s">
        <v>91</v>
      </c>
      <c r="K10" s="143" t="s">
        <v>40</v>
      </c>
      <c r="L10" s="192" t="s">
        <v>19</v>
      </c>
      <c r="M10" s="143"/>
      <c r="N10" s="144" t="s">
        <v>335</v>
      </c>
      <c r="O10" s="270" t="s">
        <v>555</v>
      </c>
    </row>
    <row r="11" spans="1:15" s="53" customFormat="1" ht="15.75" x14ac:dyDescent="0.25">
      <c r="A11" s="54">
        <v>8</v>
      </c>
      <c r="B11" s="85">
        <v>1354</v>
      </c>
      <c r="C11" s="55" t="s">
        <v>92</v>
      </c>
      <c r="D11" s="56">
        <v>2377.5</v>
      </c>
      <c r="E11" s="57" t="s">
        <v>16</v>
      </c>
      <c r="F11" s="58">
        <f t="shared" si="0"/>
        <v>594.375</v>
      </c>
      <c r="G11" s="58">
        <f>F11</f>
        <v>594.375</v>
      </c>
      <c r="H11" s="398">
        <f t="shared" si="1"/>
        <v>0</v>
      </c>
      <c r="I11" s="399">
        <v>925709</v>
      </c>
      <c r="J11" s="400" t="s">
        <v>93</v>
      </c>
      <c r="K11" s="399" t="s">
        <v>40</v>
      </c>
      <c r="L11" s="400" t="s">
        <v>19</v>
      </c>
      <c r="M11" s="399">
        <v>95187860</v>
      </c>
      <c r="N11" s="404"/>
      <c r="O11" s="48"/>
    </row>
    <row r="12" spans="1:15" s="53" customFormat="1" ht="15.75" x14ac:dyDescent="0.25">
      <c r="A12" s="54">
        <v>9</v>
      </c>
      <c r="B12" s="85">
        <v>1357</v>
      </c>
      <c r="C12" s="55" t="s">
        <v>94</v>
      </c>
      <c r="D12" s="56">
        <v>5065.8</v>
      </c>
      <c r="E12" s="57" t="s">
        <v>16</v>
      </c>
      <c r="F12" s="58">
        <f t="shared" si="0"/>
        <v>1266.45</v>
      </c>
      <c r="G12" s="58">
        <f>F12</f>
        <v>1266.45</v>
      </c>
      <c r="H12" s="398">
        <f t="shared" si="1"/>
        <v>0</v>
      </c>
      <c r="I12" s="399">
        <v>1052276</v>
      </c>
      <c r="J12" s="400" t="s">
        <v>95</v>
      </c>
      <c r="K12" s="402" t="s">
        <v>36</v>
      </c>
      <c r="L12" s="400" t="s">
        <v>37</v>
      </c>
      <c r="M12" s="399">
        <v>95301260</v>
      </c>
      <c r="N12" s="404"/>
      <c r="O12" s="48"/>
    </row>
    <row r="13" spans="1:15" s="195" customFormat="1" ht="15.75" x14ac:dyDescent="0.25">
      <c r="A13" s="54">
        <v>10</v>
      </c>
      <c r="B13" s="85">
        <v>1359</v>
      </c>
      <c r="C13" s="55" t="s">
        <v>96</v>
      </c>
      <c r="D13" s="56">
        <v>3841</v>
      </c>
      <c r="E13" s="57" t="s">
        <v>16</v>
      </c>
      <c r="F13" s="58">
        <f t="shared" si="0"/>
        <v>960.25</v>
      </c>
      <c r="G13" s="58">
        <f>959.05+1.2</f>
        <v>960.25</v>
      </c>
      <c r="H13" s="142">
        <f t="shared" si="1"/>
        <v>0</v>
      </c>
      <c r="I13" s="143">
        <v>4812026</v>
      </c>
      <c r="J13" s="192" t="s">
        <v>97</v>
      </c>
      <c r="K13" s="143" t="s">
        <v>83</v>
      </c>
      <c r="L13" s="192" t="s">
        <v>84</v>
      </c>
      <c r="M13" s="143">
        <v>96616558</v>
      </c>
      <c r="N13" s="291" t="s">
        <v>330</v>
      </c>
      <c r="O13" s="291" t="s">
        <v>555</v>
      </c>
    </row>
    <row r="14" spans="1:15" s="195" customFormat="1" ht="15.75" x14ac:dyDescent="0.25">
      <c r="A14" s="54">
        <v>11</v>
      </c>
      <c r="B14" s="85">
        <v>1367</v>
      </c>
      <c r="C14" s="50" t="s">
        <v>98</v>
      </c>
      <c r="D14" s="56">
        <v>1290.4000000000001</v>
      </c>
      <c r="E14" s="57" t="s">
        <v>16</v>
      </c>
      <c r="F14" s="58">
        <f t="shared" si="0"/>
        <v>322.60000000000002</v>
      </c>
      <c r="G14" s="58">
        <f>F14</f>
        <v>322.60000000000002</v>
      </c>
      <c r="H14" s="142">
        <f t="shared" si="1"/>
        <v>0</v>
      </c>
      <c r="I14" s="143">
        <v>6663593</v>
      </c>
      <c r="J14" s="192" t="s">
        <v>99</v>
      </c>
      <c r="K14" s="143" t="s">
        <v>40</v>
      </c>
      <c r="L14" s="192" t="s">
        <v>19</v>
      </c>
      <c r="M14" s="143">
        <v>92817702</v>
      </c>
      <c r="N14" s="291" t="s">
        <v>340</v>
      </c>
      <c r="O14" s="270"/>
    </row>
    <row r="15" spans="1:15" s="53" customFormat="1" ht="15.75" x14ac:dyDescent="0.25">
      <c r="A15" s="54">
        <v>12</v>
      </c>
      <c r="B15" s="85">
        <v>1368</v>
      </c>
      <c r="C15" s="14" t="s">
        <v>100</v>
      </c>
      <c r="D15" s="56">
        <v>2271.9</v>
      </c>
      <c r="E15" s="57" t="s">
        <v>16</v>
      </c>
      <c r="F15" s="58">
        <f t="shared" si="0"/>
        <v>567.97500000000002</v>
      </c>
      <c r="G15" s="58">
        <f>F15</f>
        <v>567.97500000000002</v>
      </c>
      <c r="H15" s="398">
        <f t="shared" si="1"/>
        <v>0</v>
      </c>
      <c r="I15" s="400">
        <v>561902</v>
      </c>
      <c r="J15" s="400" t="s">
        <v>101</v>
      </c>
      <c r="K15" s="402" t="s">
        <v>36</v>
      </c>
      <c r="L15" s="400" t="s">
        <v>37</v>
      </c>
      <c r="M15" s="400">
        <v>99499622</v>
      </c>
      <c r="N15" s="404"/>
      <c r="O15" s="48"/>
    </row>
    <row r="16" spans="1:15" s="195" customFormat="1" ht="15.75" x14ac:dyDescent="0.25">
      <c r="A16" s="54">
        <v>13</v>
      </c>
      <c r="B16" s="85">
        <v>2098</v>
      </c>
      <c r="C16" s="14" t="s">
        <v>324</v>
      </c>
      <c r="D16" s="56">
        <v>785.1</v>
      </c>
      <c r="E16" s="57" t="s">
        <v>16</v>
      </c>
      <c r="F16" s="58">
        <f t="shared" si="0"/>
        <v>196.27500000000001</v>
      </c>
      <c r="G16" s="58">
        <f>F16</f>
        <v>196.27500000000001</v>
      </c>
      <c r="H16" s="142">
        <f t="shared" si="1"/>
        <v>0</v>
      </c>
      <c r="I16" s="192">
        <v>1065899</v>
      </c>
      <c r="J16" s="192" t="s">
        <v>323</v>
      </c>
      <c r="K16" s="143" t="s">
        <v>40</v>
      </c>
      <c r="L16" s="192" t="s">
        <v>19</v>
      </c>
      <c r="M16" s="192"/>
      <c r="N16" s="291" t="s">
        <v>555</v>
      </c>
      <c r="O16" s="270"/>
    </row>
    <row r="17" spans="1:16" s="195" customFormat="1" ht="15.75" x14ac:dyDescent="0.25">
      <c r="A17" s="54">
        <v>14</v>
      </c>
      <c r="B17" s="85">
        <v>3002</v>
      </c>
      <c r="C17" s="50" t="s">
        <v>102</v>
      </c>
      <c r="D17" s="56">
        <v>1094.5</v>
      </c>
      <c r="E17" s="57" t="s">
        <v>16</v>
      </c>
      <c r="F17" s="58">
        <f t="shared" si="0"/>
        <v>273.625</v>
      </c>
      <c r="G17" s="58">
        <f>0.2+271.8+1.625</f>
        <v>273.625</v>
      </c>
      <c r="H17" s="142">
        <f t="shared" si="1"/>
        <v>0</v>
      </c>
      <c r="I17" s="143">
        <v>21220177</v>
      </c>
      <c r="J17" s="192" t="s">
        <v>103</v>
      </c>
      <c r="K17" s="143" t="s">
        <v>40</v>
      </c>
      <c r="L17" s="192" t="s">
        <v>19</v>
      </c>
      <c r="M17" s="143">
        <v>99280644</v>
      </c>
      <c r="N17" s="335">
        <v>45666</v>
      </c>
      <c r="O17" s="270" t="s">
        <v>330</v>
      </c>
      <c r="P17" s="291" t="s">
        <v>555</v>
      </c>
    </row>
    <row r="18" spans="1:16" s="53" customFormat="1" ht="15.75" x14ac:dyDescent="0.25">
      <c r="A18" s="54">
        <v>15</v>
      </c>
      <c r="B18" s="85">
        <v>3035</v>
      </c>
      <c r="C18" s="74" t="s">
        <v>104</v>
      </c>
      <c r="D18" s="56"/>
      <c r="E18" s="57" t="s">
        <v>16</v>
      </c>
      <c r="F18" s="58">
        <f t="shared" si="0"/>
        <v>0</v>
      </c>
      <c r="G18" s="58"/>
      <c r="H18" s="416">
        <f t="shared" si="1"/>
        <v>0</v>
      </c>
      <c r="I18" s="423">
        <v>6725058</v>
      </c>
      <c r="J18" s="417" t="s">
        <v>105</v>
      </c>
      <c r="K18" s="418" t="s">
        <v>36</v>
      </c>
      <c r="L18" s="424" t="s">
        <v>37</v>
      </c>
      <c r="M18" s="423">
        <v>99198121</v>
      </c>
      <c r="N18" s="425"/>
      <c r="O18" s="48"/>
    </row>
    <row r="19" spans="1:16" s="243" customFormat="1" ht="15.75" x14ac:dyDescent="0.25">
      <c r="A19" s="54">
        <v>16</v>
      </c>
      <c r="B19" s="85">
        <v>3057</v>
      </c>
      <c r="C19" s="50" t="s">
        <v>67</v>
      </c>
      <c r="D19" s="56">
        <v>2905.8</v>
      </c>
      <c r="E19" s="57" t="s">
        <v>16</v>
      </c>
      <c r="F19" s="58">
        <f t="shared" si="0"/>
        <v>726.45</v>
      </c>
      <c r="G19" s="58">
        <f>F19</f>
        <v>726.45</v>
      </c>
      <c r="H19" s="125">
        <f t="shared" si="1"/>
        <v>0</v>
      </c>
      <c r="I19" s="126">
        <v>626819</v>
      </c>
      <c r="J19" s="127" t="s">
        <v>106</v>
      </c>
      <c r="K19" s="126" t="s">
        <v>40</v>
      </c>
      <c r="L19" s="127" t="s">
        <v>19</v>
      </c>
      <c r="M19" s="126">
        <v>99298522</v>
      </c>
      <c r="N19" s="241" t="s">
        <v>636</v>
      </c>
      <c r="O19" s="245"/>
    </row>
    <row r="20" spans="1:16" s="53" customFormat="1" ht="15.75" x14ac:dyDescent="0.25">
      <c r="A20" s="54">
        <v>17</v>
      </c>
      <c r="B20" s="85">
        <v>3062</v>
      </c>
      <c r="C20" s="50" t="s">
        <v>107</v>
      </c>
      <c r="D20" s="56">
        <v>2176.1</v>
      </c>
      <c r="E20" s="57" t="s">
        <v>16</v>
      </c>
      <c r="F20" s="58">
        <f t="shared" si="0"/>
        <v>544.02499999999998</v>
      </c>
      <c r="G20" s="58">
        <f>F20</f>
        <v>544.02499999999998</v>
      </c>
      <c r="H20" s="398">
        <f t="shared" si="1"/>
        <v>0</v>
      </c>
      <c r="I20" s="399">
        <v>300741</v>
      </c>
      <c r="J20" s="400" t="s">
        <v>108</v>
      </c>
      <c r="K20" s="399" t="s">
        <v>40</v>
      </c>
      <c r="L20" s="400" t="s">
        <v>19</v>
      </c>
      <c r="M20" s="399">
        <v>99008320</v>
      </c>
      <c r="N20" s="401"/>
      <c r="O20" s="48"/>
    </row>
    <row r="21" spans="1:16" s="243" customFormat="1" ht="15.75" x14ac:dyDescent="0.25">
      <c r="A21" s="54">
        <v>18</v>
      </c>
      <c r="B21" s="85">
        <v>3080</v>
      </c>
      <c r="C21" s="50" t="s">
        <v>109</v>
      </c>
      <c r="D21" s="56">
        <v>1290.7</v>
      </c>
      <c r="E21" s="57" t="s">
        <v>16</v>
      </c>
      <c r="F21" s="58">
        <f t="shared" si="0"/>
        <v>322.67500000000001</v>
      </c>
      <c r="G21" s="58">
        <f>F21</f>
        <v>322.67500000000001</v>
      </c>
      <c r="H21" s="125">
        <f t="shared" si="1"/>
        <v>0</v>
      </c>
      <c r="I21" s="126">
        <v>14301608</v>
      </c>
      <c r="J21" s="127" t="s">
        <v>110</v>
      </c>
      <c r="K21" s="126" t="s">
        <v>40</v>
      </c>
      <c r="L21" s="127" t="s">
        <v>19</v>
      </c>
      <c r="M21" s="126">
        <v>98122611</v>
      </c>
      <c r="N21" s="241" t="s">
        <v>636</v>
      </c>
      <c r="O21" s="245"/>
    </row>
    <row r="22" spans="1:16" s="195" customFormat="1" ht="15.75" x14ac:dyDescent="0.25">
      <c r="A22" s="54">
        <v>19</v>
      </c>
      <c r="B22" s="54">
        <v>3086</v>
      </c>
      <c r="C22" s="50" t="s">
        <v>111</v>
      </c>
      <c r="D22" s="56">
        <v>39.5</v>
      </c>
      <c r="E22" s="57" t="s">
        <v>16</v>
      </c>
      <c r="F22" s="58">
        <f t="shared" si="0"/>
        <v>9.875</v>
      </c>
      <c r="G22" s="58">
        <f>6.3+3.575</f>
        <v>9.875</v>
      </c>
      <c r="H22" s="142">
        <f t="shared" si="1"/>
        <v>0</v>
      </c>
      <c r="I22" s="143">
        <v>300033</v>
      </c>
      <c r="J22" s="192" t="s">
        <v>112</v>
      </c>
      <c r="K22" s="143" t="s">
        <v>40</v>
      </c>
      <c r="L22" s="192" t="s">
        <v>19</v>
      </c>
      <c r="M22" s="143"/>
      <c r="N22" s="336" t="s">
        <v>336</v>
      </c>
      <c r="O22" s="336" t="s">
        <v>561</v>
      </c>
    </row>
    <row r="23" spans="1:16" s="53" customFormat="1" ht="15.75" x14ac:dyDescent="0.25">
      <c r="A23" s="54">
        <v>20</v>
      </c>
      <c r="B23" s="85">
        <v>3132</v>
      </c>
      <c r="C23" s="50" t="s">
        <v>113</v>
      </c>
      <c r="D23" s="56">
        <v>1266.8</v>
      </c>
      <c r="E23" s="57" t="s">
        <v>16</v>
      </c>
      <c r="F23" s="58">
        <f t="shared" si="0"/>
        <v>316.7</v>
      </c>
      <c r="G23" s="58">
        <f>F23</f>
        <v>316.7</v>
      </c>
      <c r="H23" s="398">
        <f t="shared" si="1"/>
        <v>0</v>
      </c>
      <c r="I23" s="399">
        <v>14606296</v>
      </c>
      <c r="J23" s="400" t="s">
        <v>334</v>
      </c>
      <c r="K23" s="399" t="s">
        <v>36</v>
      </c>
      <c r="L23" s="400" t="s">
        <v>37</v>
      </c>
      <c r="M23" s="399">
        <v>91493522</v>
      </c>
      <c r="N23" s="401"/>
      <c r="O23" s="48" t="s">
        <v>333</v>
      </c>
    </row>
    <row r="24" spans="1:16" s="243" customFormat="1" ht="15.75" x14ac:dyDescent="0.25">
      <c r="A24" s="54">
        <v>21</v>
      </c>
      <c r="B24" s="85">
        <v>3134</v>
      </c>
      <c r="C24" s="50" t="s">
        <v>115</v>
      </c>
      <c r="D24" s="56">
        <v>1344.5</v>
      </c>
      <c r="E24" s="57" t="s">
        <v>16</v>
      </c>
      <c r="F24" s="58">
        <f t="shared" si="0"/>
        <v>336.125</v>
      </c>
      <c r="G24" s="58">
        <f>F24</f>
        <v>336.125</v>
      </c>
      <c r="H24" s="125">
        <f t="shared" si="1"/>
        <v>0</v>
      </c>
      <c r="I24" s="126">
        <v>2154413</v>
      </c>
      <c r="J24" s="127" t="s">
        <v>116</v>
      </c>
      <c r="K24" s="126" t="s">
        <v>36</v>
      </c>
      <c r="L24" s="127" t="s">
        <v>37</v>
      </c>
      <c r="M24" s="126">
        <v>99493731</v>
      </c>
      <c r="N24" s="241" t="s">
        <v>337</v>
      </c>
      <c r="O24" s="245"/>
    </row>
    <row r="25" spans="1:16" s="195" customFormat="1" ht="15.75" x14ac:dyDescent="0.25">
      <c r="A25" s="54">
        <v>22</v>
      </c>
      <c r="B25" s="85">
        <v>3142</v>
      </c>
      <c r="C25" s="50" t="s">
        <v>117</v>
      </c>
      <c r="D25" s="56">
        <v>4692.5</v>
      </c>
      <c r="E25" s="57" t="s">
        <v>16</v>
      </c>
      <c r="F25" s="58">
        <f t="shared" si="0"/>
        <v>1173.125</v>
      </c>
      <c r="G25" s="58">
        <f>0.3+584.25+584.25+4.325</f>
        <v>1173.125</v>
      </c>
      <c r="H25" s="142">
        <f t="shared" si="1"/>
        <v>0</v>
      </c>
      <c r="I25" s="143">
        <v>165497</v>
      </c>
      <c r="J25" s="192" t="s">
        <v>118</v>
      </c>
      <c r="K25" s="143" t="s">
        <v>88</v>
      </c>
      <c r="L25" s="192" t="s">
        <v>89</v>
      </c>
      <c r="M25" s="143">
        <v>99499872</v>
      </c>
      <c r="N25" s="335">
        <v>45666</v>
      </c>
      <c r="O25" s="291" t="s">
        <v>555</v>
      </c>
    </row>
    <row r="26" spans="1:16" s="195" customFormat="1" ht="15.75" x14ac:dyDescent="0.25">
      <c r="A26" s="54">
        <v>23</v>
      </c>
      <c r="B26" s="85">
        <v>3145</v>
      </c>
      <c r="C26" s="50" t="s">
        <v>119</v>
      </c>
      <c r="D26" s="56">
        <v>2718.3</v>
      </c>
      <c r="E26" s="57" t="s">
        <v>16</v>
      </c>
      <c r="F26" s="58">
        <f t="shared" si="0"/>
        <v>679.57500000000005</v>
      </c>
      <c r="G26" s="58">
        <f>677.525+2.05</f>
        <v>679.57499999999993</v>
      </c>
      <c r="H26" s="142">
        <f t="shared" si="1"/>
        <v>0</v>
      </c>
      <c r="I26" s="143">
        <v>1915745</v>
      </c>
      <c r="J26" s="192" t="s">
        <v>120</v>
      </c>
      <c r="K26" s="143" t="s">
        <v>40</v>
      </c>
      <c r="L26" s="192" t="s">
        <v>19</v>
      </c>
      <c r="M26" s="143">
        <v>99489050</v>
      </c>
      <c r="N26" s="144" t="s">
        <v>339</v>
      </c>
      <c r="O26" s="270" t="s">
        <v>556</v>
      </c>
    </row>
    <row r="27" spans="1:16" s="195" customFormat="1" ht="15.75" x14ac:dyDescent="0.25">
      <c r="A27" s="54">
        <v>24</v>
      </c>
      <c r="B27" s="85">
        <v>3147</v>
      </c>
      <c r="C27" s="50" t="s">
        <v>122</v>
      </c>
      <c r="D27" s="56">
        <v>1124.8</v>
      </c>
      <c r="E27" s="57" t="s">
        <v>16</v>
      </c>
      <c r="F27" s="58">
        <f t="shared" si="0"/>
        <v>281.2</v>
      </c>
      <c r="G27" s="58">
        <f>0.6+280.25+0.35</f>
        <v>281.20000000000005</v>
      </c>
      <c r="H27" s="142">
        <f>F27-G27</f>
        <v>0</v>
      </c>
      <c r="I27" s="143">
        <v>1662414</v>
      </c>
      <c r="J27" s="192" t="s">
        <v>123</v>
      </c>
      <c r="K27" s="143" t="s">
        <v>88</v>
      </c>
      <c r="L27" s="192" t="s">
        <v>89</v>
      </c>
      <c r="M27" s="143">
        <v>99282006</v>
      </c>
      <c r="N27" s="144" t="s">
        <v>331</v>
      </c>
      <c r="O27" s="270">
        <v>45818</v>
      </c>
      <c r="P27" s="195" t="s">
        <v>561</v>
      </c>
    </row>
    <row r="28" spans="1:16" s="195" customFormat="1" ht="15.75" x14ac:dyDescent="0.25">
      <c r="A28" s="54">
        <v>25</v>
      </c>
      <c r="B28" s="85">
        <v>3148</v>
      </c>
      <c r="C28" s="50" t="s">
        <v>124</v>
      </c>
      <c r="D28" s="56">
        <v>1299.3</v>
      </c>
      <c r="E28" s="57" t="s">
        <v>16</v>
      </c>
      <c r="F28" s="58">
        <f t="shared" si="0"/>
        <v>324.82499999999999</v>
      </c>
      <c r="G28" s="58">
        <f>324.725+0.1</f>
        <v>324.82500000000005</v>
      </c>
      <c r="H28" s="142">
        <f t="shared" ref="H28:H85" si="2">F28-G28</f>
        <v>0</v>
      </c>
      <c r="I28" s="143">
        <v>19545736</v>
      </c>
      <c r="J28" s="192" t="s">
        <v>125</v>
      </c>
      <c r="K28" s="143" t="s">
        <v>36</v>
      </c>
      <c r="L28" s="192" t="s">
        <v>37</v>
      </c>
      <c r="M28" s="143"/>
      <c r="N28" s="335">
        <v>45667</v>
      </c>
      <c r="O28" s="365" t="s">
        <v>557</v>
      </c>
    </row>
    <row r="29" spans="1:16" s="195" customFormat="1" ht="15.75" x14ac:dyDescent="0.25">
      <c r="A29" s="54">
        <v>26</v>
      </c>
      <c r="B29" s="85">
        <v>3149</v>
      </c>
      <c r="C29" s="50" t="s">
        <v>126</v>
      </c>
      <c r="D29" s="56">
        <v>1576.7</v>
      </c>
      <c r="E29" s="57" t="s">
        <v>16</v>
      </c>
      <c r="F29" s="58">
        <f t="shared" si="0"/>
        <v>394.17500000000001</v>
      </c>
      <c r="G29" s="58">
        <f>391.625+2.55</f>
        <v>394.17500000000001</v>
      </c>
      <c r="H29" s="142">
        <f t="shared" si="2"/>
        <v>0</v>
      </c>
      <c r="I29" s="143">
        <v>4941095</v>
      </c>
      <c r="J29" s="192" t="s">
        <v>127</v>
      </c>
      <c r="K29" s="143" t="s">
        <v>128</v>
      </c>
      <c r="L29" s="192" t="s">
        <v>129</v>
      </c>
      <c r="M29" s="143">
        <v>93500864</v>
      </c>
      <c r="N29" s="144" t="s">
        <v>556</v>
      </c>
      <c r="O29" s="270"/>
    </row>
    <row r="30" spans="1:16" s="195" customFormat="1" ht="15.75" x14ac:dyDescent="0.25">
      <c r="A30" s="54">
        <v>27</v>
      </c>
      <c r="B30" s="85">
        <v>3152</v>
      </c>
      <c r="C30" s="50" t="s">
        <v>130</v>
      </c>
      <c r="D30" s="56">
        <v>3099.8</v>
      </c>
      <c r="E30" s="57" t="s">
        <v>16</v>
      </c>
      <c r="F30" s="58">
        <f t="shared" si="0"/>
        <v>774.95</v>
      </c>
      <c r="G30" s="58">
        <f>772.2+2.75</f>
        <v>774.95</v>
      </c>
      <c r="H30" s="142">
        <f t="shared" si="2"/>
        <v>0</v>
      </c>
      <c r="I30" s="143">
        <v>941993</v>
      </c>
      <c r="J30" s="192" t="s">
        <v>131</v>
      </c>
      <c r="K30" s="143" t="s">
        <v>36</v>
      </c>
      <c r="L30" s="192" t="s">
        <v>37</v>
      </c>
      <c r="M30" s="143">
        <v>99086500</v>
      </c>
      <c r="N30" s="335">
        <v>45878</v>
      </c>
      <c r="O30" s="270"/>
    </row>
    <row r="31" spans="1:16" s="53" customFormat="1" ht="15.75" x14ac:dyDescent="0.25">
      <c r="A31" s="54">
        <v>28</v>
      </c>
      <c r="B31" s="85">
        <v>3153</v>
      </c>
      <c r="C31" s="50" t="s">
        <v>15</v>
      </c>
      <c r="D31" s="56">
        <v>2859.2</v>
      </c>
      <c r="E31" s="57" t="s">
        <v>16</v>
      </c>
      <c r="F31" s="58">
        <f t="shared" si="0"/>
        <v>714.8</v>
      </c>
      <c r="G31" s="398">
        <f>F31</f>
        <v>714.8</v>
      </c>
      <c r="H31" s="398">
        <f t="shared" si="2"/>
        <v>0</v>
      </c>
      <c r="I31" s="399">
        <v>6989479</v>
      </c>
      <c r="J31" s="400" t="s">
        <v>17</v>
      </c>
      <c r="K31" s="399" t="s">
        <v>18</v>
      </c>
      <c r="L31" s="400" t="s">
        <v>19</v>
      </c>
      <c r="M31" s="399">
        <v>99699500</v>
      </c>
      <c r="N31" s="401"/>
      <c r="O31" s="48"/>
    </row>
    <row r="32" spans="1:16" s="53" customFormat="1" ht="15.75" x14ac:dyDescent="0.25">
      <c r="A32" s="54">
        <v>29</v>
      </c>
      <c r="B32" s="54">
        <v>3155</v>
      </c>
      <c r="C32" s="50" t="s">
        <v>132</v>
      </c>
      <c r="D32" s="56">
        <v>631.9</v>
      </c>
      <c r="E32" s="57" t="s">
        <v>16</v>
      </c>
      <c r="F32" s="58">
        <f t="shared" si="0"/>
        <v>157.97499999999999</v>
      </c>
      <c r="G32" s="398">
        <f t="shared" ref="G32:G35" si="3">F32</f>
        <v>157.97499999999999</v>
      </c>
      <c r="H32" s="398">
        <f t="shared" si="2"/>
        <v>0</v>
      </c>
      <c r="I32" s="399">
        <v>19188794</v>
      </c>
      <c r="J32" s="400" t="s">
        <v>133</v>
      </c>
      <c r="K32" s="399" t="s">
        <v>40</v>
      </c>
      <c r="L32" s="400" t="s">
        <v>19</v>
      </c>
      <c r="M32" s="399">
        <v>93215515</v>
      </c>
      <c r="N32" s="401"/>
      <c r="O32" s="48"/>
    </row>
    <row r="33" spans="1:15" s="53" customFormat="1" ht="15.75" x14ac:dyDescent="0.25">
      <c r="A33" s="54">
        <v>30</v>
      </c>
      <c r="B33" s="85">
        <v>3158</v>
      </c>
      <c r="C33" s="50" t="s">
        <v>134</v>
      </c>
      <c r="D33" s="56">
        <v>2875.5</v>
      </c>
      <c r="E33" s="57" t="s">
        <v>16</v>
      </c>
      <c r="F33" s="58">
        <f t="shared" si="0"/>
        <v>718.875</v>
      </c>
      <c r="G33" s="398">
        <f t="shared" si="3"/>
        <v>718.875</v>
      </c>
      <c r="H33" s="398">
        <f t="shared" si="2"/>
        <v>0</v>
      </c>
      <c r="I33" s="399" t="s">
        <v>135</v>
      </c>
      <c r="J33" s="400" t="s">
        <v>136</v>
      </c>
      <c r="K33" s="399" t="s">
        <v>40</v>
      </c>
      <c r="L33" s="400" t="s">
        <v>19</v>
      </c>
      <c r="M33" s="399">
        <v>99694218</v>
      </c>
      <c r="N33" s="401"/>
      <c r="O33" s="48"/>
    </row>
    <row r="34" spans="1:15" s="53" customFormat="1" ht="15.75" x14ac:dyDescent="0.25">
      <c r="A34" s="54">
        <v>31</v>
      </c>
      <c r="B34" s="85">
        <v>3159</v>
      </c>
      <c r="C34" s="50" t="s">
        <v>137</v>
      </c>
      <c r="D34" s="56">
        <v>1022.6</v>
      </c>
      <c r="E34" s="57" t="s">
        <v>16</v>
      </c>
      <c r="F34" s="58">
        <f t="shared" si="0"/>
        <v>255.65</v>
      </c>
      <c r="G34" s="398">
        <f t="shared" si="3"/>
        <v>255.65</v>
      </c>
      <c r="H34" s="398">
        <f t="shared" si="2"/>
        <v>0</v>
      </c>
      <c r="I34" s="399">
        <v>1297478</v>
      </c>
      <c r="J34" s="400" t="s">
        <v>138</v>
      </c>
      <c r="K34" s="399" t="s">
        <v>40</v>
      </c>
      <c r="L34" s="400" t="s">
        <v>19</v>
      </c>
      <c r="M34" s="399">
        <v>99497177</v>
      </c>
      <c r="N34" s="401"/>
      <c r="O34" s="48"/>
    </row>
    <row r="35" spans="1:15" s="53" customFormat="1" ht="15.75" x14ac:dyDescent="0.25">
      <c r="A35" s="54">
        <v>32</v>
      </c>
      <c r="B35" s="85">
        <v>3160</v>
      </c>
      <c r="C35" s="50" t="s">
        <v>139</v>
      </c>
      <c r="D35" s="56">
        <v>1834.9</v>
      </c>
      <c r="E35" s="57" t="s">
        <v>16</v>
      </c>
      <c r="F35" s="58">
        <f t="shared" si="0"/>
        <v>458.72500000000002</v>
      </c>
      <c r="G35" s="398">
        <f t="shared" si="3"/>
        <v>458.72500000000002</v>
      </c>
      <c r="H35" s="398">
        <f t="shared" si="2"/>
        <v>0</v>
      </c>
      <c r="I35" s="399">
        <v>2837163</v>
      </c>
      <c r="J35" s="400" t="s">
        <v>140</v>
      </c>
      <c r="K35" s="399" t="s">
        <v>46</v>
      </c>
      <c r="L35" s="400" t="s">
        <v>47</v>
      </c>
      <c r="M35" s="399">
        <v>99497455</v>
      </c>
      <c r="N35" s="401"/>
      <c r="O35" s="48"/>
    </row>
    <row r="36" spans="1:15" s="243" customFormat="1" ht="15.75" x14ac:dyDescent="0.25">
      <c r="A36" s="54">
        <v>33</v>
      </c>
      <c r="B36" s="85">
        <v>3162</v>
      </c>
      <c r="C36" s="50" t="s">
        <v>141</v>
      </c>
      <c r="D36" s="56">
        <v>5679.5</v>
      </c>
      <c r="E36" s="57" t="s">
        <v>16</v>
      </c>
      <c r="F36" s="58">
        <f t="shared" ref="F36:F67" si="4">D36*E36</f>
        <v>1419.875</v>
      </c>
      <c r="G36" s="58">
        <f>F36</f>
        <v>1419.875</v>
      </c>
      <c r="H36" s="125">
        <f t="shared" si="2"/>
        <v>0</v>
      </c>
      <c r="I36" s="126">
        <v>7017227</v>
      </c>
      <c r="J36" s="127" t="s">
        <v>564</v>
      </c>
      <c r="K36" s="126" t="s">
        <v>188</v>
      </c>
      <c r="L36" s="127" t="s">
        <v>19</v>
      </c>
      <c r="M36" s="126">
        <v>99523400</v>
      </c>
      <c r="N36" s="241" t="s">
        <v>562</v>
      </c>
      <c r="O36" s="245" t="s">
        <v>563</v>
      </c>
    </row>
    <row r="37" spans="1:15" s="195" customFormat="1" ht="15.75" x14ac:dyDescent="0.25">
      <c r="A37" s="54">
        <v>34</v>
      </c>
      <c r="B37" s="85">
        <v>3164</v>
      </c>
      <c r="C37" s="50" t="s">
        <v>143</v>
      </c>
      <c r="D37" s="56">
        <v>2366.3000000000002</v>
      </c>
      <c r="E37" s="57" t="s">
        <v>16</v>
      </c>
      <c r="F37" s="58">
        <f t="shared" si="4"/>
        <v>591.57500000000005</v>
      </c>
      <c r="G37" s="58">
        <f>589.55+2.025</f>
        <v>591.57499999999993</v>
      </c>
      <c r="H37" s="142">
        <f t="shared" si="2"/>
        <v>0</v>
      </c>
      <c r="I37" s="143">
        <v>7466062</v>
      </c>
      <c r="J37" s="192" t="s">
        <v>144</v>
      </c>
      <c r="K37" s="343" t="s">
        <v>145</v>
      </c>
      <c r="L37" s="192" t="s">
        <v>146</v>
      </c>
      <c r="M37" s="143">
        <v>91135005</v>
      </c>
      <c r="N37" s="144" t="s">
        <v>339</v>
      </c>
      <c r="O37" s="144" t="s">
        <v>566</v>
      </c>
    </row>
    <row r="38" spans="1:15" s="53" customFormat="1" ht="15.75" x14ac:dyDescent="0.25">
      <c r="A38" s="54">
        <v>35</v>
      </c>
      <c r="B38" s="85">
        <v>3165</v>
      </c>
      <c r="C38" s="50" t="s">
        <v>147</v>
      </c>
      <c r="D38" s="56">
        <v>345.2</v>
      </c>
      <c r="E38" s="57" t="s">
        <v>16</v>
      </c>
      <c r="F38" s="58">
        <f t="shared" si="4"/>
        <v>86.3</v>
      </c>
      <c r="G38" s="58">
        <f>F38</f>
        <v>86.3</v>
      </c>
      <c r="H38" s="398">
        <f t="shared" si="2"/>
        <v>0</v>
      </c>
      <c r="I38" s="399">
        <v>19029628</v>
      </c>
      <c r="J38" s="400" t="s">
        <v>148</v>
      </c>
      <c r="K38" s="399" t="s">
        <v>36</v>
      </c>
      <c r="L38" s="400" t="s">
        <v>37</v>
      </c>
      <c r="M38" s="399">
        <v>96055446</v>
      </c>
      <c r="N38" s="405"/>
      <c r="O38" s="48"/>
    </row>
    <row r="39" spans="1:15" s="195" customFormat="1" ht="15.75" x14ac:dyDescent="0.25">
      <c r="A39" s="54">
        <v>36</v>
      </c>
      <c r="B39" s="85">
        <v>3169</v>
      </c>
      <c r="C39" s="50" t="s">
        <v>34</v>
      </c>
      <c r="D39" s="56">
        <v>1835.3</v>
      </c>
      <c r="E39" s="57" t="s">
        <v>16</v>
      </c>
      <c r="F39" s="58">
        <f t="shared" si="4"/>
        <v>458.82499999999999</v>
      </c>
      <c r="G39" s="58">
        <f>3.15+455.675</f>
        <v>458.82499999999999</v>
      </c>
      <c r="H39" s="142">
        <f t="shared" si="2"/>
        <v>0</v>
      </c>
      <c r="I39" s="143">
        <v>3068756</v>
      </c>
      <c r="J39" s="192" t="s">
        <v>35</v>
      </c>
      <c r="K39" s="143" t="s">
        <v>36</v>
      </c>
      <c r="L39" s="192" t="s">
        <v>37</v>
      </c>
      <c r="M39" s="143">
        <v>99691806</v>
      </c>
      <c r="N39" s="144" t="s">
        <v>566</v>
      </c>
      <c r="O39" s="269">
        <v>45727</v>
      </c>
    </row>
    <row r="40" spans="1:15" s="195" customFormat="1" ht="15.75" x14ac:dyDescent="0.25">
      <c r="A40" s="54">
        <v>37</v>
      </c>
      <c r="B40" s="85">
        <v>3171</v>
      </c>
      <c r="C40" s="50" t="s">
        <v>149</v>
      </c>
      <c r="D40" s="56">
        <v>1077.5999999999999</v>
      </c>
      <c r="E40" s="57" t="s">
        <v>16</v>
      </c>
      <c r="F40" s="58">
        <f t="shared" si="4"/>
        <v>269.39999999999998</v>
      </c>
      <c r="G40" s="58">
        <f>266.425+2.975</f>
        <v>269.40000000000003</v>
      </c>
      <c r="H40" s="142">
        <f t="shared" si="2"/>
        <v>0</v>
      </c>
      <c r="I40" s="143">
        <v>7239057</v>
      </c>
      <c r="J40" s="192" t="s">
        <v>150</v>
      </c>
      <c r="K40" s="143" t="s">
        <v>88</v>
      </c>
      <c r="L40" s="192" t="s">
        <v>89</v>
      </c>
      <c r="M40" s="143">
        <v>95880860</v>
      </c>
      <c r="N40" s="144" t="s">
        <v>330</v>
      </c>
      <c r="O40" s="270" t="s">
        <v>555</v>
      </c>
    </row>
    <row r="41" spans="1:15" s="53" customFormat="1" ht="15.75" x14ac:dyDescent="0.25">
      <c r="A41" s="54">
        <v>38</v>
      </c>
      <c r="B41" s="85">
        <v>3172</v>
      </c>
      <c r="C41" s="50" t="s">
        <v>151</v>
      </c>
      <c r="D41" s="56">
        <v>1274.3</v>
      </c>
      <c r="E41" s="57" t="s">
        <v>16</v>
      </c>
      <c r="F41" s="58">
        <f t="shared" si="4"/>
        <v>318.57499999999999</v>
      </c>
      <c r="G41" s="58">
        <f>F41</f>
        <v>318.57499999999999</v>
      </c>
      <c r="H41" s="398">
        <f t="shared" si="2"/>
        <v>0</v>
      </c>
      <c r="I41" s="399">
        <v>5276984</v>
      </c>
      <c r="J41" s="400" t="s">
        <v>152</v>
      </c>
      <c r="K41" s="399" t="s">
        <v>40</v>
      </c>
      <c r="L41" s="400" t="s">
        <v>19</v>
      </c>
      <c r="M41" s="399">
        <v>99188860</v>
      </c>
      <c r="N41" s="401"/>
      <c r="O41" s="48"/>
    </row>
    <row r="42" spans="1:15" s="195" customFormat="1" ht="15.75" x14ac:dyDescent="0.25">
      <c r="A42" s="54">
        <v>39</v>
      </c>
      <c r="B42" s="85">
        <v>3173</v>
      </c>
      <c r="C42" s="50" t="s">
        <v>153</v>
      </c>
      <c r="D42" s="56">
        <v>506.6</v>
      </c>
      <c r="E42" s="57" t="s">
        <v>16</v>
      </c>
      <c r="F42" s="58">
        <f t="shared" si="4"/>
        <v>126.65</v>
      </c>
      <c r="G42" s="58">
        <f>123.75+2.9</f>
        <v>126.65</v>
      </c>
      <c r="H42" s="142">
        <f t="shared" si="2"/>
        <v>0</v>
      </c>
      <c r="I42" s="143">
        <v>6825655</v>
      </c>
      <c r="J42" s="192" t="s">
        <v>154</v>
      </c>
      <c r="K42" s="143" t="s">
        <v>40</v>
      </c>
      <c r="L42" s="192" t="s">
        <v>19</v>
      </c>
      <c r="M42" s="143">
        <v>98957747</v>
      </c>
      <c r="N42" s="144" t="s">
        <v>336</v>
      </c>
      <c r="O42" s="149" t="s">
        <v>555</v>
      </c>
    </row>
    <row r="43" spans="1:15" s="195" customFormat="1" ht="15.75" x14ac:dyDescent="0.25">
      <c r="A43" s="54">
        <v>40</v>
      </c>
      <c r="B43" s="85">
        <v>3174</v>
      </c>
      <c r="C43" s="50" t="s">
        <v>155</v>
      </c>
      <c r="D43" s="56">
        <v>649.79999999999995</v>
      </c>
      <c r="E43" s="57" t="s">
        <v>16</v>
      </c>
      <c r="F43" s="58">
        <f t="shared" si="4"/>
        <v>162.44999999999999</v>
      </c>
      <c r="G43" s="58">
        <f>2.975+159.4752</f>
        <v>162.4502</v>
      </c>
      <c r="H43" s="142">
        <f t="shared" si="2"/>
        <v>-2.0000000000663931E-4</v>
      </c>
      <c r="I43" s="143">
        <v>7547492</v>
      </c>
      <c r="J43" s="192" t="s">
        <v>156</v>
      </c>
      <c r="K43" s="143" t="s">
        <v>40</v>
      </c>
      <c r="L43" s="192" t="s">
        <v>19</v>
      </c>
      <c r="M43" s="143">
        <v>91790502</v>
      </c>
      <c r="N43" s="172">
        <v>45728</v>
      </c>
      <c r="O43" s="270"/>
    </row>
    <row r="44" spans="1:15" s="195" customFormat="1" ht="15.75" x14ac:dyDescent="0.25">
      <c r="A44" s="54">
        <v>41</v>
      </c>
      <c r="B44" s="85">
        <v>3175</v>
      </c>
      <c r="C44" s="50" t="s">
        <v>157</v>
      </c>
      <c r="D44" s="56">
        <v>653.29999999999995</v>
      </c>
      <c r="E44" s="57" t="s">
        <v>16</v>
      </c>
      <c r="F44" s="58">
        <f t="shared" si="4"/>
        <v>163.32499999999999</v>
      </c>
      <c r="G44" s="58">
        <f>161.875+1.45</f>
        <v>163.32499999999999</v>
      </c>
      <c r="H44" s="142">
        <f t="shared" si="2"/>
        <v>0</v>
      </c>
      <c r="I44" s="143">
        <v>7325076</v>
      </c>
      <c r="J44" s="192" t="s">
        <v>158</v>
      </c>
      <c r="K44" s="143" t="s">
        <v>83</v>
      </c>
      <c r="L44" s="192" t="s">
        <v>84</v>
      </c>
      <c r="M44" s="143">
        <v>92890700</v>
      </c>
      <c r="N44" s="144" t="s">
        <v>330</v>
      </c>
      <c r="O44" s="336" t="s">
        <v>561</v>
      </c>
    </row>
    <row r="45" spans="1:15" s="53" customFormat="1" ht="15.75" x14ac:dyDescent="0.25">
      <c r="A45" s="54">
        <v>42</v>
      </c>
      <c r="B45" s="85">
        <v>3176</v>
      </c>
      <c r="C45" s="50" t="s">
        <v>159</v>
      </c>
      <c r="D45" s="56">
        <v>593.70000000000005</v>
      </c>
      <c r="E45" s="57" t="s">
        <v>16</v>
      </c>
      <c r="F45" s="58">
        <f t="shared" si="4"/>
        <v>148.42500000000001</v>
      </c>
      <c r="G45" s="58">
        <f>1.67500000000001+146.75</f>
        <v>148.42500000000001</v>
      </c>
      <c r="H45" s="398">
        <f t="shared" si="2"/>
        <v>0</v>
      </c>
      <c r="I45" s="399">
        <v>12178145</v>
      </c>
      <c r="J45" s="400" t="s">
        <v>160</v>
      </c>
      <c r="K45" s="399" t="s">
        <v>40</v>
      </c>
      <c r="L45" s="400" t="s">
        <v>19</v>
      </c>
      <c r="M45" s="399">
        <v>93348565</v>
      </c>
      <c r="N45" s="406"/>
      <c r="O45" s="48"/>
    </row>
    <row r="46" spans="1:15" s="53" customFormat="1" ht="15.75" x14ac:dyDescent="0.25">
      <c r="A46" s="54">
        <v>43</v>
      </c>
      <c r="B46" s="85">
        <v>3179</v>
      </c>
      <c r="C46" s="50" t="s">
        <v>161</v>
      </c>
      <c r="D46" s="56">
        <v>4019.3</v>
      </c>
      <c r="E46" s="57" t="s">
        <v>16</v>
      </c>
      <c r="F46" s="58">
        <f t="shared" si="4"/>
        <v>1004.825</v>
      </c>
      <c r="G46" s="58">
        <f>F46</f>
        <v>1004.825</v>
      </c>
      <c r="H46" s="398">
        <f t="shared" si="2"/>
        <v>0</v>
      </c>
      <c r="I46" s="399">
        <v>1870852</v>
      </c>
      <c r="J46" s="400" t="s">
        <v>162</v>
      </c>
      <c r="K46" s="399" t="s">
        <v>88</v>
      </c>
      <c r="L46" s="400" t="s">
        <v>89</v>
      </c>
      <c r="M46" s="399">
        <v>99050691</v>
      </c>
      <c r="N46" s="401"/>
      <c r="O46" s="48"/>
    </row>
    <row r="47" spans="1:15" s="53" customFormat="1" ht="15.75" x14ac:dyDescent="0.25">
      <c r="A47" s="54">
        <v>44</v>
      </c>
      <c r="B47" s="85">
        <v>3181</v>
      </c>
      <c r="C47" s="50" t="s">
        <v>163</v>
      </c>
      <c r="D47" s="56">
        <v>1726.1</v>
      </c>
      <c r="E47" s="57" t="s">
        <v>16</v>
      </c>
      <c r="F47" s="58">
        <f t="shared" si="4"/>
        <v>431.52499999999998</v>
      </c>
      <c r="G47" s="58">
        <f>F47</f>
        <v>431.52499999999998</v>
      </c>
      <c r="H47" s="398">
        <f t="shared" si="2"/>
        <v>0</v>
      </c>
      <c r="I47" s="399">
        <v>6116067</v>
      </c>
      <c r="J47" s="400" t="s">
        <v>164</v>
      </c>
      <c r="K47" s="399" t="s">
        <v>88</v>
      </c>
      <c r="L47" s="400" t="s">
        <v>89</v>
      </c>
      <c r="M47" s="399">
        <v>99191102</v>
      </c>
      <c r="N47" s="401"/>
      <c r="O47" s="48"/>
    </row>
    <row r="48" spans="1:15" s="195" customFormat="1" ht="15.75" x14ac:dyDescent="0.25">
      <c r="A48" s="54">
        <v>45</v>
      </c>
      <c r="B48" s="85">
        <v>3183</v>
      </c>
      <c r="C48" s="55" t="s">
        <v>165</v>
      </c>
      <c r="D48" s="56">
        <v>1256.2</v>
      </c>
      <c r="E48" s="57" t="s">
        <v>16</v>
      </c>
      <c r="F48" s="58">
        <f t="shared" si="4"/>
        <v>314.05</v>
      </c>
      <c r="G48" s="58">
        <f>311+3.05</f>
        <v>314.05</v>
      </c>
      <c r="H48" s="142">
        <f t="shared" si="2"/>
        <v>0</v>
      </c>
      <c r="I48" s="143">
        <v>4955092</v>
      </c>
      <c r="J48" s="192" t="s">
        <v>166</v>
      </c>
      <c r="K48" s="343" t="s">
        <v>40</v>
      </c>
      <c r="L48" s="192" t="s">
        <v>19</v>
      </c>
      <c r="M48" s="143">
        <v>98152775</v>
      </c>
      <c r="N48" s="144" t="s">
        <v>330</v>
      </c>
      <c r="O48" s="291" t="s">
        <v>555</v>
      </c>
    </row>
    <row r="49" spans="1:15" s="53" customFormat="1" ht="15.75" x14ac:dyDescent="0.25">
      <c r="A49" s="54">
        <v>46</v>
      </c>
      <c r="B49" s="85">
        <v>3184</v>
      </c>
      <c r="C49" s="50" t="s">
        <v>69</v>
      </c>
      <c r="D49" s="56">
        <v>2500.1999999999998</v>
      </c>
      <c r="E49" s="57" t="s">
        <v>16</v>
      </c>
      <c r="F49" s="58">
        <f t="shared" si="4"/>
        <v>625.04999999999995</v>
      </c>
      <c r="G49" s="58">
        <f>F49</f>
        <v>625.04999999999995</v>
      </c>
      <c r="H49" s="398">
        <f t="shared" si="2"/>
        <v>0</v>
      </c>
      <c r="I49" s="399">
        <v>6701602</v>
      </c>
      <c r="J49" s="400" t="s">
        <v>167</v>
      </c>
      <c r="K49" s="399" t="s">
        <v>36</v>
      </c>
      <c r="L49" s="400" t="s">
        <v>37</v>
      </c>
      <c r="M49" s="399">
        <v>99496161</v>
      </c>
      <c r="N49" s="401"/>
      <c r="O49" s="48"/>
    </row>
    <row r="50" spans="1:15" s="195" customFormat="1" ht="15.75" x14ac:dyDescent="0.25">
      <c r="A50" s="54">
        <v>47</v>
      </c>
      <c r="B50" s="85">
        <v>3185</v>
      </c>
      <c r="C50" s="50" t="s">
        <v>168</v>
      </c>
      <c r="D50" s="56">
        <v>1125.5999999999999</v>
      </c>
      <c r="E50" s="57" t="s">
        <v>16</v>
      </c>
      <c r="F50" s="58">
        <f t="shared" si="4"/>
        <v>281.39999999999998</v>
      </c>
      <c r="G50" s="58">
        <f>177.35+104.05</f>
        <v>281.39999999999998</v>
      </c>
      <c r="H50" s="142">
        <f t="shared" si="2"/>
        <v>0</v>
      </c>
      <c r="I50" s="143">
        <v>15179209</v>
      </c>
      <c r="J50" s="192" t="s">
        <v>169</v>
      </c>
      <c r="K50" s="143" t="s">
        <v>40</v>
      </c>
      <c r="L50" s="192" t="s">
        <v>19</v>
      </c>
      <c r="M50" s="143">
        <v>94919974</v>
      </c>
      <c r="N50" s="144" t="s">
        <v>336</v>
      </c>
      <c r="O50" s="291" t="s">
        <v>340</v>
      </c>
    </row>
    <row r="51" spans="1:15" s="195" customFormat="1" ht="15.75" x14ac:dyDescent="0.25">
      <c r="A51" s="54">
        <v>48</v>
      </c>
      <c r="B51" s="85">
        <v>3188</v>
      </c>
      <c r="C51" s="50" t="s">
        <v>170</v>
      </c>
      <c r="D51" s="56">
        <v>888.8</v>
      </c>
      <c r="E51" s="57" t="s">
        <v>16</v>
      </c>
      <c r="F51" s="58">
        <f t="shared" si="4"/>
        <v>222.2</v>
      </c>
      <c r="G51" s="58">
        <f>221.525+0.675</f>
        <v>222.20000000000002</v>
      </c>
      <c r="H51" s="142">
        <f t="shared" si="2"/>
        <v>0</v>
      </c>
      <c r="I51" s="143">
        <v>19290729</v>
      </c>
      <c r="J51" s="192" t="s">
        <v>171</v>
      </c>
      <c r="K51" s="192" t="s">
        <v>36</v>
      </c>
      <c r="L51" s="192" t="s">
        <v>37</v>
      </c>
      <c r="M51" s="143">
        <v>95606029</v>
      </c>
      <c r="N51" s="144" t="s">
        <v>339</v>
      </c>
      <c r="O51" s="336" t="s">
        <v>561</v>
      </c>
    </row>
    <row r="52" spans="1:15" s="195" customFormat="1" ht="15.75" x14ac:dyDescent="0.25">
      <c r="A52" s="54">
        <v>49</v>
      </c>
      <c r="B52" s="85">
        <v>3189</v>
      </c>
      <c r="C52" s="50" t="s">
        <v>172</v>
      </c>
      <c r="D52" s="56">
        <v>1394.6</v>
      </c>
      <c r="E52" s="57" t="s">
        <v>16</v>
      </c>
      <c r="F52" s="58">
        <f t="shared" si="4"/>
        <v>348.65</v>
      </c>
      <c r="G52" s="58">
        <f>346.875+1.775</f>
        <v>348.65</v>
      </c>
      <c r="H52" s="142">
        <f t="shared" si="2"/>
        <v>0</v>
      </c>
      <c r="I52" s="143">
        <v>2802613</v>
      </c>
      <c r="J52" s="192" t="s">
        <v>173</v>
      </c>
      <c r="K52" s="143" t="s">
        <v>40</v>
      </c>
      <c r="L52" s="192" t="s">
        <v>19</v>
      </c>
      <c r="M52" s="143">
        <v>99480848</v>
      </c>
      <c r="N52" s="144" t="s">
        <v>330</v>
      </c>
      <c r="O52" s="270" t="s">
        <v>567</v>
      </c>
    </row>
    <row r="53" spans="1:15" s="53" customFormat="1" ht="15.75" x14ac:dyDescent="0.25">
      <c r="A53" s="54">
        <v>50</v>
      </c>
      <c r="B53" s="85">
        <v>3190</v>
      </c>
      <c r="C53" s="50" t="s">
        <v>174</v>
      </c>
      <c r="D53" s="56">
        <v>594.1</v>
      </c>
      <c r="E53" s="57" t="s">
        <v>16</v>
      </c>
      <c r="F53" s="58">
        <f t="shared" si="4"/>
        <v>148.52500000000001</v>
      </c>
      <c r="G53" s="58">
        <f>F53</f>
        <v>148.52500000000001</v>
      </c>
      <c r="H53" s="398">
        <f t="shared" si="2"/>
        <v>0</v>
      </c>
      <c r="I53" s="399">
        <v>3555896</v>
      </c>
      <c r="J53" s="407" t="s">
        <v>175</v>
      </c>
      <c r="K53" s="399" t="s">
        <v>40</v>
      </c>
      <c r="L53" s="400" t="s">
        <v>19</v>
      </c>
      <c r="M53" s="399">
        <v>92881155</v>
      </c>
      <c r="N53" s="401"/>
      <c r="O53" s="48"/>
    </row>
    <row r="54" spans="1:15" s="195" customFormat="1" ht="15.75" x14ac:dyDescent="0.25">
      <c r="A54" s="54">
        <v>51</v>
      </c>
      <c r="B54" s="85">
        <v>3192</v>
      </c>
      <c r="C54" s="50" t="s">
        <v>38</v>
      </c>
      <c r="D54" s="56">
        <v>1299.2</v>
      </c>
      <c r="E54" s="57" t="s">
        <v>16</v>
      </c>
      <c r="F54" s="58">
        <f t="shared" si="4"/>
        <v>324.8</v>
      </c>
      <c r="G54" s="58">
        <f>323.35+1.45</f>
        <v>324.8</v>
      </c>
      <c r="H54" s="142">
        <f t="shared" si="2"/>
        <v>0</v>
      </c>
      <c r="I54" s="143">
        <v>5271448</v>
      </c>
      <c r="J54" s="192" t="s">
        <v>39</v>
      </c>
      <c r="K54" s="143" t="s">
        <v>40</v>
      </c>
      <c r="L54" s="192" t="s">
        <v>19</v>
      </c>
      <c r="M54" s="143">
        <v>99489918</v>
      </c>
      <c r="N54" s="144" t="s">
        <v>335</v>
      </c>
      <c r="O54" s="336" t="s">
        <v>561</v>
      </c>
    </row>
    <row r="55" spans="1:15" s="92" customFormat="1" ht="15.75" x14ac:dyDescent="0.25">
      <c r="A55" s="54">
        <v>52</v>
      </c>
      <c r="B55" s="85">
        <v>3195</v>
      </c>
      <c r="C55" s="50" t="s">
        <v>176</v>
      </c>
      <c r="D55" s="56">
        <v>609.29999999999995</v>
      </c>
      <c r="E55" s="57" t="s">
        <v>16</v>
      </c>
      <c r="F55" s="58">
        <f t="shared" si="4"/>
        <v>152.32499999999999</v>
      </c>
      <c r="G55" s="58">
        <f>F55</f>
        <v>152.32499999999999</v>
      </c>
      <c r="H55" s="398">
        <f t="shared" si="2"/>
        <v>0</v>
      </c>
      <c r="I55" s="399">
        <v>675849</v>
      </c>
      <c r="J55" s="400" t="s">
        <v>177</v>
      </c>
      <c r="K55" s="399" t="s">
        <v>36</v>
      </c>
      <c r="L55" s="400" t="s">
        <v>37</v>
      </c>
      <c r="M55" s="399">
        <v>99483811</v>
      </c>
      <c r="N55" s="401"/>
      <c r="O55" s="48"/>
    </row>
    <row r="56" spans="1:15" s="92" customFormat="1" ht="15.75" x14ac:dyDescent="0.25">
      <c r="A56" s="54">
        <v>53</v>
      </c>
      <c r="B56" s="85">
        <v>3196</v>
      </c>
      <c r="C56" s="93" t="s">
        <v>178</v>
      </c>
      <c r="D56" s="56">
        <v>638.5</v>
      </c>
      <c r="E56" s="57" t="s">
        <v>16</v>
      </c>
      <c r="F56" s="58">
        <f t="shared" si="4"/>
        <v>159.625</v>
      </c>
      <c r="G56" s="58">
        <f t="shared" ref="G56:G59" si="5">F56</f>
        <v>159.625</v>
      </c>
      <c r="H56" s="398">
        <f t="shared" si="2"/>
        <v>0</v>
      </c>
      <c r="I56" s="399">
        <v>21080217</v>
      </c>
      <c r="J56" s="400" t="s">
        <v>179</v>
      </c>
      <c r="K56" s="399" t="s">
        <v>40</v>
      </c>
      <c r="L56" s="400" t="s">
        <v>19</v>
      </c>
      <c r="M56" s="399">
        <v>95490778</v>
      </c>
      <c r="N56" s="401"/>
      <c r="O56" s="48"/>
    </row>
    <row r="57" spans="1:15" s="92" customFormat="1" ht="15.75" x14ac:dyDescent="0.25">
      <c r="A57" s="54">
        <v>54</v>
      </c>
      <c r="B57" s="85">
        <v>3197</v>
      </c>
      <c r="C57" s="50" t="s">
        <v>180</v>
      </c>
      <c r="D57" s="56">
        <v>1862.8</v>
      </c>
      <c r="E57" s="57" t="s">
        <v>16</v>
      </c>
      <c r="F57" s="58">
        <f t="shared" si="4"/>
        <v>465.7</v>
      </c>
      <c r="G57" s="58">
        <f t="shared" si="5"/>
        <v>465.7</v>
      </c>
      <c r="H57" s="398">
        <f t="shared" si="2"/>
        <v>0</v>
      </c>
      <c r="I57" s="399">
        <v>6479515</v>
      </c>
      <c r="J57" s="400" t="s">
        <v>181</v>
      </c>
      <c r="K57" s="399" t="s">
        <v>40</v>
      </c>
      <c r="L57" s="400" t="s">
        <v>19</v>
      </c>
      <c r="M57" s="399">
        <v>92349032</v>
      </c>
      <c r="N57" s="401"/>
      <c r="O57" s="48"/>
    </row>
    <row r="58" spans="1:15" s="92" customFormat="1" ht="15.75" x14ac:dyDescent="0.25">
      <c r="A58" s="54">
        <v>55</v>
      </c>
      <c r="B58" s="85">
        <v>3198</v>
      </c>
      <c r="C58" s="74" t="s">
        <v>44</v>
      </c>
      <c r="D58" s="338">
        <v>629.6</v>
      </c>
      <c r="E58" s="57" t="s">
        <v>16</v>
      </c>
      <c r="F58" s="58">
        <f t="shared" si="4"/>
        <v>157.4</v>
      </c>
      <c r="G58" s="58">
        <f t="shared" si="5"/>
        <v>157.4</v>
      </c>
      <c r="H58" s="398">
        <f t="shared" si="2"/>
        <v>0</v>
      </c>
      <c r="I58" s="408">
        <v>6360793</v>
      </c>
      <c r="J58" s="400" t="s">
        <v>45</v>
      </c>
      <c r="K58" s="408" t="s">
        <v>46</v>
      </c>
      <c r="L58" s="409" t="s">
        <v>47</v>
      </c>
      <c r="M58" s="399">
        <v>99336200</v>
      </c>
      <c r="N58" s="401"/>
      <c r="O58" s="48"/>
    </row>
    <row r="59" spans="1:15" s="53" customFormat="1" ht="15.75" x14ac:dyDescent="0.25">
      <c r="A59" s="54">
        <v>56</v>
      </c>
      <c r="B59" s="85">
        <v>3310</v>
      </c>
      <c r="C59" s="50" t="s">
        <v>182</v>
      </c>
      <c r="D59" s="56">
        <v>1263</v>
      </c>
      <c r="E59" s="57" t="s">
        <v>16</v>
      </c>
      <c r="F59" s="58">
        <f t="shared" si="4"/>
        <v>315.75</v>
      </c>
      <c r="G59" s="58">
        <f t="shared" si="5"/>
        <v>315.75</v>
      </c>
      <c r="H59" s="398">
        <f t="shared" si="2"/>
        <v>0</v>
      </c>
      <c r="I59" s="399">
        <v>1007615</v>
      </c>
      <c r="J59" s="400" t="s">
        <v>183</v>
      </c>
      <c r="K59" s="399" t="s">
        <v>40</v>
      </c>
      <c r="L59" s="400" t="s">
        <v>19</v>
      </c>
      <c r="M59" s="399">
        <v>99056614</v>
      </c>
      <c r="N59" s="410"/>
      <c r="O59" s="48"/>
    </row>
    <row r="60" spans="1:15" s="243" customFormat="1" ht="15.75" x14ac:dyDescent="0.25">
      <c r="A60" s="54">
        <v>57</v>
      </c>
      <c r="B60" s="85">
        <v>3324</v>
      </c>
      <c r="C60" s="51" t="s">
        <v>184</v>
      </c>
      <c r="D60" s="56">
        <v>1294.4000000000001</v>
      </c>
      <c r="E60" s="57" t="s">
        <v>16</v>
      </c>
      <c r="F60" s="58">
        <f t="shared" si="4"/>
        <v>323.60000000000002</v>
      </c>
      <c r="G60" s="58">
        <f>F60</f>
        <v>323.60000000000002</v>
      </c>
      <c r="H60" s="125">
        <f t="shared" si="2"/>
        <v>0</v>
      </c>
      <c r="I60" s="127">
        <v>207402</v>
      </c>
      <c r="J60" s="127" t="s">
        <v>185</v>
      </c>
      <c r="K60" s="127" t="s">
        <v>40</v>
      </c>
      <c r="L60" s="127" t="s">
        <v>19</v>
      </c>
      <c r="M60" s="126">
        <v>99487533</v>
      </c>
      <c r="N60" s="241" t="s">
        <v>636</v>
      </c>
      <c r="O60" s="245"/>
    </row>
    <row r="61" spans="1:15" s="53" customFormat="1" ht="15.75" x14ac:dyDescent="0.25">
      <c r="A61" s="54">
        <v>58</v>
      </c>
      <c r="B61" s="85">
        <v>3330</v>
      </c>
      <c r="C61" s="51" t="s">
        <v>186</v>
      </c>
      <c r="D61" s="56">
        <v>1818.7</v>
      </c>
      <c r="E61" s="57" t="s">
        <v>16</v>
      </c>
      <c r="F61" s="58">
        <f t="shared" si="4"/>
        <v>454.67500000000001</v>
      </c>
      <c r="G61" s="58">
        <f>F61</f>
        <v>454.67500000000001</v>
      </c>
      <c r="H61" s="398">
        <f t="shared" si="2"/>
        <v>0</v>
      </c>
      <c r="I61" s="400">
        <v>6375079</v>
      </c>
      <c r="J61" s="400" t="s">
        <v>187</v>
      </c>
      <c r="K61" s="400" t="s">
        <v>188</v>
      </c>
      <c r="L61" s="400" t="s">
        <v>19</v>
      </c>
      <c r="M61" s="399"/>
      <c r="N61" s="411"/>
      <c r="O61" s="48"/>
    </row>
    <row r="62" spans="1:15" s="53" customFormat="1" ht="15.75" x14ac:dyDescent="0.25">
      <c r="A62" s="54">
        <v>59</v>
      </c>
      <c r="B62" s="85">
        <v>3333</v>
      </c>
      <c r="C62" s="51" t="s">
        <v>189</v>
      </c>
      <c r="D62" s="56">
        <v>1246.8</v>
      </c>
      <c r="E62" s="57" t="s">
        <v>16</v>
      </c>
      <c r="F62" s="58">
        <f t="shared" si="4"/>
        <v>311.7</v>
      </c>
      <c r="G62" s="58">
        <f>F62</f>
        <v>311.7</v>
      </c>
      <c r="H62" s="398">
        <f t="shared" si="2"/>
        <v>0</v>
      </c>
      <c r="I62" s="412">
        <v>757601</v>
      </c>
      <c r="J62" s="412" t="s">
        <v>190</v>
      </c>
      <c r="K62" s="412" t="s">
        <v>83</v>
      </c>
      <c r="L62" s="412" t="s">
        <v>84</v>
      </c>
      <c r="M62" s="413"/>
      <c r="N62" s="411"/>
      <c r="O62" s="48"/>
    </row>
    <row r="63" spans="1:15" s="195" customFormat="1" ht="15.75" x14ac:dyDescent="0.25">
      <c r="A63" s="54">
        <v>60</v>
      </c>
      <c r="B63" s="85">
        <v>3339</v>
      </c>
      <c r="C63" s="51" t="s">
        <v>191</v>
      </c>
      <c r="D63" s="56">
        <v>476.8</v>
      </c>
      <c r="E63" s="57" t="s">
        <v>16</v>
      </c>
      <c r="F63" s="58">
        <f t="shared" si="4"/>
        <v>119.2</v>
      </c>
      <c r="G63" s="58">
        <f>116.85+2.35</f>
        <v>119.19999999999999</v>
      </c>
      <c r="H63" s="142">
        <f t="shared" si="2"/>
        <v>0</v>
      </c>
      <c r="I63" s="192">
        <v>12415718</v>
      </c>
      <c r="J63" s="192" t="s">
        <v>192</v>
      </c>
      <c r="K63" s="143" t="s">
        <v>40</v>
      </c>
      <c r="L63" s="192" t="s">
        <v>19</v>
      </c>
      <c r="M63" s="143"/>
      <c r="N63" s="193" t="s">
        <v>335</v>
      </c>
      <c r="O63" s="149" t="s">
        <v>555</v>
      </c>
    </row>
    <row r="64" spans="1:15" s="53" customFormat="1" ht="15.75" x14ac:dyDescent="0.25">
      <c r="A64" s="54">
        <v>61</v>
      </c>
      <c r="B64" s="85">
        <v>3500</v>
      </c>
      <c r="C64" s="51" t="s">
        <v>193</v>
      </c>
      <c r="D64" s="56">
        <v>312.2</v>
      </c>
      <c r="E64" s="57" t="s">
        <v>16</v>
      </c>
      <c r="F64" s="58">
        <f t="shared" si="4"/>
        <v>78.05</v>
      </c>
      <c r="G64" s="58">
        <f>F64</f>
        <v>78.05</v>
      </c>
      <c r="H64" s="398">
        <f t="shared" si="2"/>
        <v>0</v>
      </c>
      <c r="I64" s="400">
        <v>13525845</v>
      </c>
      <c r="J64" s="400" t="s">
        <v>194</v>
      </c>
      <c r="K64" s="399" t="s">
        <v>83</v>
      </c>
      <c r="L64" s="400" t="s">
        <v>84</v>
      </c>
      <c r="M64" s="399">
        <v>93985671</v>
      </c>
      <c r="N64" s="414"/>
      <c r="O64" s="48"/>
    </row>
    <row r="65" spans="1:15" s="53" customFormat="1" ht="15.75" x14ac:dyDescent="0.25">
      <c r="A65" s="54">
        <v>62</v>
      </c>
      <c r="B65" s="85">
        <v>3501</v>
      </c>
      <c r="C65" s="51" t="s">
        <v>195</v>
      </c>
      <c r="D65" s="56">
        <v>2126.9</v>
      </c>
      <c r="E65" s="57" t="s">
        <v>16</v>
      </c>
      <c r="F65" s="58">
        <f t="shared" si="4"/>
        <v>531.72500000000002</v>
      </c>
      <c r="G65" s="58">
        <f t="shared" ref="G65:G67" si="6">F65</f>
        <v>531.72500000000002</v>
      </c>
      <c r="H65" s="398">
        <f t="shared" si="2"/>
        <v>0</v>
      </c>
      <c r="I65" s="400">
        <v>13525794</v>
      </c>
      <c r="J65" s="400" t="s">
        <v>196</v>
      </c>
      <c r="K65" s="399" t="s">
        <v>40</v>
      </c>
      <c r="L65" s="400" t="s">
        <v>19</v>
      </c>
      <c r="M65" s="399">
        <v>92868004</v>
      </c>
      <c r="N65" s="414"/>
      <c r="O65" s="48"/>
    </row>
    <row r="66" spans="1:15" s="53" customFormat="1" ht="15.75" x14ac:dyDescent="0.25">
      <c r="A66" s="54">
        <v>63</v>
      </c>
      <c r="B66" s="85">
        <v>3502</v>
      </c>
      <c r="C66" s="93" t="s">
        <v>198</v>
      </c>
      <c r="D66" s="56">
        <v>1261.0999999999999</v>
      </c>
      <c r="E66" s="57" t="s">
        <v>16</v>
      </c>
      <c r="F66" s="58">
        <f t="shared" si="4"/>
        <v>315.27499999999998</v>
      </c>
      <c r="G66" s="58">
        <f t="shared" si="6"/>
        <v>315.27499999999998</v>
      </c>
      <c r="H66" s="398">
        <f t="shared" si="2"/>
        <v>0</v>
      </c>
      <c r="I66" s="400">
        <v>22522336</v>
      </c>
      <c r="J66" s="400" t="s">
        <v>199</v>
      </c>
      <c r="K66" s="399" t="s">
        <v>36</v>
      </c>
      <c r="L66" s="400" t="s">
        <v>37</v>
      </c>
      <c r="M66" s="399"/>
      <c r="N66" s="414"/>
      <c r="O66" s="48"/>
    </row>
    <row r="67" spans="1:15" s="53" customFormat="1" ht="15.75" x14ac:dyDescent="0.25">
      <c r="A67" s="54">
        <v>64</v>
      </c>
      <c r="B67" s="85">
        <v>3503</v>
      </c>
      <c r="C67" s="51" t="s">
        <v>200</v>
      </c>
      <c r="D67" s="56">
        <v>574</v>
      </c>
      <c r="E67" s="57" t="s">
        <v>16</v>
      </c>
      <c r="F67" s="58">
        <f t="shared" si="4"/>
        <v>143.5</v>
      </c>
      <c r="G67" s="58">
        <f t="shared" si="6"/>
        <v>143.5</v>
      </c>
      <c r="H67" s="398">
        <f t="shared" si="2"/>
        <v>0</v>
      </c>
      <c r="I67" s="400">
        <v>9212492</v>
      </c>
      <c r="J67" s="400" t="s">
        <v>201</v>
      </c>
      <c r="K67" s="399" t="s">
        <v>40</v>
      </c>
      <c r="L67" s="400" t="s">
        <v>19</v>
      </c>
      <c r="M67" s="399">
        <v>98080144</v>
      </c>
      <c r="N67" s="414"/>
      <c r="O67" s="48"/>
    </row>
    <row r="68" spans="1:15" s="53" customFormat="1" ht="15.75" x14ac:dyDescent="0.25">
      <c r="A68" s="54">
        <v>65</v>
      </c>
      <c r="B68" s="85">
        <v>3504</v>
      </c>
      <c r="C68" s="51" t="s">
        <v>202</v>
      </c>
      <c r="D68" s="56"/>
      <c r="E68" s="57" t="s">
        <v>16</v>
      </c>
      <c r="F68" s="58">
        <f t="shared" ref="F68:F85" si="7">D68*E68</f>
        <v>0</v>
      </c>
      <c r="G68" s="58"/>
      <c r="H68" s="416">
        <f t="shared" si="2"/>
        <v>0</v>
      </c>
      <c r="I68" s="417">
        <v>939641</v>
      </c>
      <c r="J68" s="417" t="s">
        <v>203</v>
      </c>
      <c r="K68" s="418" t="s">
        <v>40</v>
      </c>
      <c r="L68" s="417" t="s">
        <v>19</v>
      </c>
      <c r="M68" s="418">
        <v>99588609</v>
      </c>
      <c r="N68" s="419"/>
      <c r="O68" s="48"/>
    </row>
    <row r="69" spans="1:15" s="53" customFormat="1" ht="15.75" x14ac:dyDescent="0.25">
      <c r="A69" s="54">
        <v>66</v>
      </c>
      <c r="B69" s="85">
        <v>3506</v>
      </c>
      <c r="C69" s="51" t="s">
        <v>205</v>
      </c>
      <c r="D69" s="56">
        <v>615.6</v>
      </c>
      <c r="E69" s="57" t="s">
        <v>16</v>
      </c>
      <c r="F69" s="58">
        <f t="shared" si="7"/>
        <v>153.9</v>
      </c>
      <c r="G69" s="58">
        <f>F69</f>
        <v>153.9</v>
      </c>
      <c r="H69" s="142">
        <f t="shared" si="2"/>
        <v>0</v>
      </c>
      <c r="I69" s="192">
        <v>13307752</v>
      </c>
      <c r="J69" s="192" t="s">
        <v>206</v>
      </c>
      <c r="K69" s="143" t="s">
        <v>40</v>
      </c>
      <c r="L69" s="192" t="s">
        <v>19</v>
      </c>
      <c r="M69" s="143">
        <v>99294425</v>
      </c>
      <c r="N69" s="199">
        <v>45941</v>
      </c>
      <c r="O69" s="48"/>
    </row>
    <row r="70" spans="1:15" s="243" customFormat="1" ht="15.75" x14ac:dyDescent="0.25">
      <c r="A70" s="54">
        <v>67</v>
      </c>
      <c r="B70" s="85">
        <v>3507</v>
      </c>
      <c r="C70" s="51" t="s">
        <v>207</v>
      </c>
      <c r="D70" s="56">
        <v>689.5</v>
      </c>
      <c r="E70" s="57" t="s">
        <v>16</v>
      </c>
      <c r="F70" s="58">
        <f t="shared" si="7"/>
        <v>172.375</v>
      </c>
      <c r="G70" s="58">
        <f>F70</f>
        <v>172.375</v>
      </c>
      <c r="H70" s="125">
        <f t="shared" si="2"/>
        <v>0</v>
      </c>
      <c r="I70" s="127">
        <v>1184669</v>
      </c>
      <c r="J70" s="127" t="s">
        <v>208</v>
      </c>
      <c r="K70" s="126" t="s">
        <v>36</v>
      </c>
      <c r="L70" s="127" t="s">
        <v>37</v>
      </c>
      <c r="M70" s="126">
        <v>99291928</v>
      </c>
      <c r="N70" s="347" t="s">
        <v>559</v>
      </c>
      <c r="O70" s="245"/>
    </row>
    <row r="71" spans="1:15" s="53" customFormat="1" ht="15.75" x14ac:dyDescent="0.25">
      <c r="A71" s="54">
        <v>68</v>
      </c>
      <c r="B71" s="85">
        <v>3508</v>
      </c>
      <c r="C71" s="51" t="s">
        <v>49</v>
      </c>
      <c r="D71" s="56">
        <v>668.6</v>
      </c>
      <c r="E71" s="57" t="s">
        <v>16</v>
      </c>
      <c r="F71" s="58">
        <f t="shared" si="7"/>
        <v>167.15</v>
      </c>
      <c r="G71" s="58">
        <f>F71</f>
        <v>167.15</v>
      </c>
      <c r="H71" s="398">
        <f t="shared" si="2"/>
        <v>0</v>
      </c>
      <c r="I71" s="400">
        <v>2567166</v>
      </c>
      <c r="J71" s="400" t="s">
        <v>50</v>
      </c>
      <c r="K71" s="399" t="s">
        <v>40</v>
      </c>
      <c r="L71" s="400" t="s">
        <v>19</v>
      </c>
      <c r="M71" s="399">
        <v>92570156</v>
      </c>
      <c r="N71" s="414"/>
      <c r="O71" s="48"/>
    </row>
    <row r="72" spans="1:15" s="53" customFormat="1" ht="15.75" x14ac:dyDescent="0.25">
      <c r="A72" s="54">
        <v>69</v>
      </c>
      <c r="B72" s="85">
        <v>3509</v>
      </c>
      <c r="C72" s="93" t="s">
        <v>209</v>
      </c>
      <c r="D72" s="56">
        <v>566.20000000000005</v>
      </c>
      <c r="E72" s="57" t="s">
        <v>16</v>
      </c>
      <c r="F72" s="58">
        <f t="shared" si="7"/>
        <v>141.55000000000001</v>
      </c>
      <c r="G72" s="58">
        <f t="shared" ref="G72:G73" si="8">F72</f>
        <v>141.55000000000001</v>
      </c>
      <c r="H72" s="398">
        <f t="shared" si="2"/>
        <v>0</v>
      </c>
      <c r="I72" s="400">
        <v>22760088</v>
      </c>
      <c r="J72" s="400" t="s">
        <v>210</v>
      </c>
      <c r="K72" s="399" t="s">
        <v>88</v>
      </c>
      <c r="L72" s="400" t="s">
        <v>89</v>
      </c>
      <c r="M72" s="399">
        <v>91476443</v>
      </c>
      <c r="N72" s="414"/>
      <c r="O72" s="48"/>
    </row>
    <row r="73" spans="1:15" s="53" customFormat="1" ht="15.75" x14ac:dyDescent="0.25">
      <c r="A73" s="54">
        <v>70</v>
      </c>
      <c r="B73" s="85">
        <v>3510</v>
      </c>
      <c r="C73" s="93" t="s">
        <v>211</v>
      </c>
      <c r="D73" s="56">
        <v>1205.4000000000001</v>
      </c>
      <c r="E73" s="57" t="s">
        <v>16</v>
      </c>
      <c r="F73" s="58">
        <f t="shared" si="7"/>
        <v>301.35000000000002</v>
      </c>
      <c r="G73" s="58">
        <f t="shared" si="8"/>
        <v>301.35000000000002</v>
      </c>
      <c r="H73" s="398">
        <f t="shared" si="2"/>
        <v>0</v>
      </c>
      <c r="I73" s="400">
        <v>6920351</v>
      </c>
      <c r="J73" s="400" t="s">
        <v>212</v>
      </c>
      <c r="K73" s="399" t="s">
        <v>40</v>
      </c>
      <c r="L73" s="400" t="s">
        <v>19</v>
      </c>
      <c r="M73" s="399">
        <v>98933077</v>
      </c>
      <c r="N73" s="414"/>
      <c r="O73" s="48"/>
    </row>
    <row r="74" spans="1:15" s="53" customFormat="1" ht="15.75" x14ac:dyDescent="0.25">
      <c r="A74" s="54">
        <v>71</v>
      </c>
      <c r="B74" s="85">
        <v>3511</v>
      </c>
      <c r="C74" s="98" t="s">
        <v>21</v>
      </c>
      <c r="D74" s="99">
        <v>181.6</v>
      </c>
      <c r="E74" s="57" t="s">
        <v>16</v>
      </c>
      <c r="F74" s="58">
        <f t="shared" si="7"/>
        <v>45.4</v>
      </c>
      <c r="G74" s="95">
        <f>F74</f>
        <v>45.4</v>
      </c>
      <c r="H74" s="142">
        <f t="shared" si="2"/>
        <v>0</v>
      </c>
      <c r="I74" s="148">
        <v>2640016</v>
      </c>
      <c r="J74" s="148" t="s">
        <v>22</v>
      </c>
      <c r="K74" s="145" t="s">
        <v>23</v>
      </c>
      <c r="L74" s="148" t="s">
        <v>24</v>
      </c>
      <c r="M74" s="191">
        <v>92953388</v>
      </c>
      <c r="N74" s="149" t="s">
        <v>555</v>
      </c>
      <c r="O74" s="48"/>
    </row>
    <row r="75" spans="1:15" s="53" customFormat="1" ht="15.75" x14ac:dyDescent="0.25">
      <c r="A75" s="54">
        <v>72</v>
      </c>
      <c r="B75" s="85">
        <v>3512</v>
      </c>
      <c r="C75" s="98" t="s">
        <v>213</v>
      </c>
      <c r="D75" s="99"/>
      <c r="E75" s="57" t="s">
        <v>16</v>
      </c>
      <c r="F75" s="58">
        <f t="shared" si="7"/>
        <v>0</v>
      </c>
      <c r="G75" s="95"/>
      <c r="H75" s="416">
        <f t="shared" si="2"/>
        <v>0</v>
      </c>
      <c r="I75" s="420">
        <v>5514631</v>
      </c>
      <c r="J75" s="420" t="s">
        <v>214</v>
      </c>
      <c r="K75" s="421" t="s">
        <v>36</v>
      </c>
      <c r="L75" s="421" t="s">
        <v>37</v>
      </c>
      <c r="M75" s="422"/>
      <c r="N75" s="419"/>
      <c r="O75" s="48"/>
    </row>
    <row r="76" spans="1:15" s="243" customFormat="1" ht="15.75" x14ac:dyDescent="0.25">
      <c r="A76" s="54">
        <v>73</v>
      </c>
      <c r="B76" s="85">
        <v>3513</v>
      </c>
      <c r="C76" s="98" t="s">
        <v>215</v>
      </c>
      <c r="D76" s="99">
        <v>2585.1</v>
      </c>
      <c r="E76" s="57" t="s">
        <v>16</v>
      </c>
      <c r="F76" s="58">
        <f t="shared" si="7"/>
        <v>646.27499999999998</v>
      </c>
      <c r="G76" s="95">
        <f>F76</f>
        <v>646.27499999999998</v>
      </c>
      <c r="H76" s="125">
        <f t="shared" si="2"/>
        <v>0</v>
      </c>
      <c r="I76" s="340">
        <v>7047376</v>
      </c>
      <c r="J76" s="340" t="s">
        <v>216</v>
      </c>
      <c r="K76" s="339" t="s">
        <v>36</v>
      </c>
      <c r="L76" s="340" t="s">
        <v>37</v>
      </c>
      <c r="M76" s="341">
        <v>90106022</v>
      </c>
      <c r="N76" s="177" t="s">
        <v>565</v>
      </c>
      <c r="O76" s="245"/>
    </row>
    <row r="77" spans="1:15" s="53" customFormat="1" ht="18" customHeight="1" x14ac:dyDescent="0.25">
      <c r="A77" s="54">
        <v>74</v>
      </c>
      <c r="B77" s="85">
        <v>3514</v>
      </c>
      <c r="C77" s="98" t="s">
        <v>217</v>
      </c>
      <c r="D77" s="99">
        <v>1278.9000000000001</v>
      </c>
      <c r="E77" s="57" t="s">
        <v>16</v>
      </c>
      <c r="F77" s="58">
        <f t="shared" si="7"/>
        <v>319.72500000000002</v>
      </c>
      <c r="G77" s="95">
        <f>4.12500000000002+315.6</f>
        <v>319.72500000000002</v>
      </c>
      <c r="H77" s="142">
        <f t="shared" si="2"/>
        <v>0</v>
      </c>
      <c r="I77" s="148">
        <v>440083</v>
      </c>
      <c r="J77" s="192" t="s">
        <v>218</v>
      </c>
      <c r="K77" s="143" t="s">
        <v>188</v>
      </c>
      <c r="L77" s="192" t="s">
        <v>19</v>
      </c>
      <c r="M77" s="191">
        <v>92363355</v>
      </c>
      <c r="N77" s="149" t="s">
        <v>560</v>
      </c>
      <c r="O77" s="48" t="s">
        <v>635</v>
      </c>
    </row>
    <row r="78" spans="1:15" s="195" customFormat="1" ht="15.75" x14ac:dyDescent="0.25">
      <c r="A78" s="54">
        <v>75</v>
      </c>
      <c r="B78" s="85">
        <v>3515</v>
      </c>
      <c r="C78" s="98" t="s">
        <v>51</v>
      </c>
      <c r="D78" s="99">
        <v>1808.9</v>
      </c>
      <c r="E78" s="57" t="s">
        <v>16</v>
      </c>
      <c r="F78" s="58">
        <f t="shared" si="7"/>
        <v>452.22500000000002</v>
      </c>
      <c r="G78" s="95">
        <f>448.675+3.55</f>
        <v>452.22500000000002</v>
      </c>
      <c r="H78" s="142">
        <f t="shared" si="2"/>
        <v>0</v>
      </c>
      <c r="I78" s="148">
        <v>6645198</v>
      </c>
      <c r="J78" s="148" t="s">
        <v>52</v>
      </c>
      <c r="K78" s="143" t="s">
        <v>36</v>
      </c>
      <c r="L78" s="192" t="s">
        <v>37</v>
      </c>
      <c r="M78" s="191">
        <v>94411217</v>
      </c>
      <c r="N78" s="149" t="s">
        <v>335</v>
      </c>
      <c r="O78" s="149" t="s">
        <v>555</v>
      </c>
    </row>
    <row r="79" spans="1:15" s="195" customFormat="1" ht="15.75" x14ac:dyDescent="0.25">
      <c r="A79" s="54">
        <v>76</v>
      </c>
      <c r="B79" s="85">
        <v>3516</v>
      </c>
      <c r="C79" s="98" t="s">
        <v>219</v>
      </c>
      <c r="D79" s="99">
        <v>1899.4</v>
      </c>
      <c r="E79" s="57" t="s">
        <v>16</v>
      </c>
      <c r="F79" s="58">
        <f t="shared" si="7"/>
        <v>474.85</v>
      </c>
      <c r="G79" s="95">
        <f>3.325+471.525</f>
        <v>474.84999999999997</v>
      </c>
      <c r="H79" s="142">
        <f t="shared" si="2"/>
        <v>0</v>
      </c>
      <c r="I79" s="148">
        <v>1165877</v>
      </c>
      <c r="J79" s="148" t="s">
        <v>220</v>
      </c>
      <c r="K79" s="145" t="s">
        <v>36</v>
      </c>
      <c r="L79" s="192" t="s">
        <v>37</v>
      </c>
      <c r="M79" s="191"/>
      <c r="N79" s="149" t="s">
        <v>332</v>
      </c>
      <c r="O79" s="348" t="s">
        <v>634</v>
      </c>
    </row>
    <row r="80" spans="1:15" s="195" customFormat="1" ht="15.75" x14ac:dyDescent="0.25">
      <c r="A80" s="54">
        <v>77</v>
      </c>
      <c r="B80" s="85">
        <v>3517</v>
      </c>
      <c r="C80" s="98" t="s">
        <v>221</v>
      </c>
      <c r="D80" s="99">
        <v>1221</v>
      </c>
      <c r="E80" s="57" t="s">
        <v>16</v>
      </c>
      <c r="F80" s="58">
        <f t="shared" si="7"/>
        <v>305.25</v>
      </c>
      <c r="G80" s="95">
        <f>0.775+304.475</f>
        <v>305.25</v>
      </c>
      <c r="H80" s="142">
        <f t="shared" si="2"/>
        <v>0</v>
      </c>
      <c r="I80" s="148">
        <v>7047081</v>
      </c>
      <c r="J80" s="148" t="s">
        <v>222</v>
      </c>
      <c r="K80" s="145" t="s">
        <v>36</v>
      </c>
      <c r="L80" s="192" t="s">
        <v>37</v>
      </c>
      <c r="M80" s="191"/>
      <c r="N80" s="149" t="s">
        <v>330</v>
      </c>
      <c r="O80" s="291" t="s">
        <v>340</v>
      </c>
    </row>
    <row r="81" spans="1:15" s="195" customFormat="1" ht="15.75" x14ac:dyDescent="0.25">
      <c r="A81" s="54">
        <v>78</v>
      </c>
      <c r="B81" s="85">
        <v>3518</v>
      </c>
      <c r="C81" s="98" t="s">
        <v>54</v>
      </c>
      <c r="D81" s="99">
        <v>1232.9000000000001</v>
      </c>
      <c r="E81" s="57" t="s">
        <v>16</v>
      </c>
      <c r="F81" s="58">
        <f t="shared" si="7"/>
        <v>308.22500000000002</v>
      </c>
      <c r="G81" s="95">
        <f>304.075+4.15</f>
        <v>308.22499999999997</v>
      </c>
      <c r="H81" s="142">
        <f t="shared" si="2"/>
        <v>0</v>
      </c>
      <c r="I81" s="148">
        <v>20386956</v>
      </c>
      <c r="J81" s="148" t="s">
        <v>55</v>
      </c>
      <c r="K81" s="143" t="s">
        <v>40</v>
      </c>
      <c r="L81" s="192" t="s">
        <v>19</v>
      </c>
      <c r="M81" s="191"/>
      <c r="N81" s="199">
        <v>45667</v>
      </c>
      <c r="O81" s="149" t="s">
        <v>556</v>
      </c>
    </row>
    <row r="82" spans="1:15" s="195" customFormat="1" ht="15.75" x14ac:dyDescent="0.25">
      <c r="A82" s="54">
        <v>79</v>
      </c>
      <c r="B82" s="85">
        <v>3519</v>
      </c>
      <c r="C82" s="98" t="s">
        <v>223</v>
      </c>
      <c r="D82" s="99">
        <v>611.79999999999995</v>
      </c>
      <c r="E82" s="57" t="s">
        <v>16</v>
      </c>
      <c r="F82" s="58">
        <f t="shared" si="7"/>
        <v>152.94999999999999</v>
      </c>
      <c r="G82" s="95">
        <f>0.7+152.25</f>
        <v>152.94999999999999</v>
      </c>
      <c r="H82" s="142">
        <f t="shared" si="2"/>
        <v>0</v>
      </c>
      <c r="I82" s="148">
        <v>7047221</v>
      </c>
      <c r="J82" s="148" t="s">
        <v>224</v>
      </c>
      <c r="K82" s="145" t="s">
        <v>36</v>
      </c>
      <c r="L82" s="192" t="s">
        <v>37</v>
      </c>
      <c r="M82" s="191"/>
      <c r="N82" s="149" t="s">
        <v>330</v>
      </c>
      <c r="O82" s="291" t="s">
        <v>340</v>
      </c>
    </row>
    <row r="83" spans="1:15" s="53" customFormat="1" ht="15.75" x14ac:dyDescent="0.25">
      <c r="A83" s="54">
        <v>80</v>
      </c>
      <c r="B83" s="85">
        <v>3520</v>
      </c>
      <c r="C83" s="98" t="s">
        <v>225</v>
      </c>
      <c r="D83" s="99">
        <v>923.1</v>
      </c>
      <c r="E83" s="57" t="s">
        <v>16</v>
      </c>
      <c r="F83" s="58">
        <f t="shared" si="7"/>
        <v>230.77500000000001</v>
      </c>
      <c r="G83" s="95">
        <f>F83</f>
        <v>230.77500000000001</v>
      </c>
      <c r="H83" s="398">
        <f t="shared" si="2"/>
        <v>0</v>
      </c>
      <c r="I83" s="412">
        <v>5665362</v>
      </c>
      <c r="J83" s="412" t="s">
        <v>226</v>
      </c>
      <c r="K83" s="415" t="s">
        <v>36</v>
      </c>
      <c r="L83" s="400" t="s">
        <v>37</v>
      </c>
      <c r="M83" s="413"/>
      <c r="N83" s="406"/>
      <c r="O83" s="48"/>
    </row>
    <row r="84" spans="1:15" s="53" customFormat="1" ht="15.75" x14ac:dyDescent="0.25">
      <c r="A84" s="54">
        <v>81</v>
      </c>
      <c r="B84" s="85">
        <v>3521</v>
      </c>
      <c r="C84" s="98" t="s">
        <v>227</v>
      </c>
      <c r="D84" s="99">
        <v>3466.8</v>
      </c>
      <c r="E84" s="57" t="s">
        <v>16</v>
      </c>
      <c r="F84" s="58">
        <f t="shared" si="7"/>
        <v>866.7</v>
      </c>
      <c r="G84" s="95">
        <f t="shared" ref="G84:G85" si="9">F84</f>
        <v>866.7</v>
      </c>
      <c r="H84" s="398">
        <f t="shared" si="2"/>
        <v>0</v>
      </c>
      <c r="I84" s="412">
        <v>7064553</v>
      </c>
      <c r="J84" s="412" t="s">
        <v>228</v>
      </c>
      <c r="K84" s="399" t="s">
        <v>40</v>
      </c>
      <c r="L84" s="400" t="s">
        <v>19</v>
      </c>
      <c r="M84" s="413"/>
      <c r="N84" s="414"/>
      <c r="O84" s="48"/>
    </row>
    <row r="85" spans="1:15" s="53" customFormat="1" ht="15.75" x14ac:dyDescent="0.25">
      <c r="A85" s="54">
        <v>82</v>
      </c>
      <c r="B85" s="85">
        <v>3522</v>
      </c>
      <c r="C85" s="98" t="s">
        <v>229</v>
      </c>
      <c r="D85" s="99">
        <v>346.09</v>
      </c>
      <c r="E85" s="57" t="s">
        <v>16</v>
      </c>
      <c r="F85" s="58">
        <f t="shared" si="7"/>
        <v>86.522499999999994</v>
      </c>
      <c r="G85" s="95">
        <f t="shared" si="9"/>
        <v>86.522499999999994</v>
      </c>
      <c r="H85" s="398">
        <f t="shared" si="2"/>
        <v>0</v>
      </c>
      <c r="I85" s="412">
        <v>11365191</v>
      </c>
      <c r="J85" s="412" t="s">
        <v>230</v>
      </c>
      <c r="K85" s="415" t="s">
        <v>36</v>
      </c>
      <c r="L85" s="400" t="s">
        <v>37</v>
      </c>
      <c r="M85" s="413"/>
      <c r="N85" s="414"/>
      <c r="O85" s="48"/>
    </row>
    <row r="86" spans="1:15" s="53" customFormat="1" ht="19.5" x14ac:dyDescent="0.25">
      <c r="A86" s="106"/>
      <c r="B86" s="106"/>
      <c r="C86" s="106"/>
      <c r="D86" s="107">
        <f>SUM(D4:D85)</f>
        <v>135599.89000000001</v>
      </c>
      <c r="E86" s="106" t="s">
        <v>26</v>
      </c>
      <c r="F86" s="106">
        <f>SUM(F4:F85)</f>
        <v>33899.972500000003</v>
      </c>
      <c r="G86" s="106">
        <f>SUM(G4:G85)</f>
        <v>33899.972700000006</v>
      </c>
      <c r="H86" s="106">
        <f>SUM(H4:H85)</f>
        <v>-2.0000000000663931E-4</v>
      </c>
      <c r="I86" s="106"/>
      <c r="J86" s="106"/>
      <c r="K86" s="106"/>
      <c r="L86" s="106"/>
      <c r="M86" s="106"/>
      <c r="N86" s="108"/>
      <c r="O86" s="109"/>
    </row>
    <row r="87" spans="1:15" x14ac:dyDescent="0.25">
      <c r="A87">
        <f>A85-128</f>
        <v>-46</v>
      </c>
      <c r="F87" s="40">
        <f>F86-46046.28</f>
        <v>-12146.307499999995</v>
      </c>
      <c r="G87" s="40"/>
      <c r="H87" s="40"/>
    </row>
    <row r="88" spans="1:15" x14ac:dyDescent="0.25">
      <c r="D88" s="45">
        <f>D79/30</f>
        <v>63.31333333333334</v>
      </c>
      <c r="F88" s="45"/>
      <c r="G88" s="45"/>
      <c r="H88" s="45"/>
    </row>
    <row r="89" spans="1:15" x14ac:dyDescent="0.25">
      <c r="F89" s="40"/>
      <c r="G89" s="40"/>
      <c r="H89" s="40"/>
    </row>
    <row r="90" spans="1:15" x14ac:dyDescent="0.25">
      <c r="F90" s="40"/>
      <c r="G90" s="40"/>
      <c r="H90" s="40"/>
    </row>
    <row r="91" spans="1:15" x14ac:dyDescent="0.25">
      <c r="F91" s="40"/>
      <c r="G91" s="40"/>
      <c r="H91" s="40"/>
    </row>
    <row r="92" spans="1:15" x14ac:dyDescent="0.25">
      <c r="F92" s="40"/>
      <c r="G92" s="40"/>
      <c r="H92" s="40"/>
    </row>
    <row r="93" spans="1:15" x14ac:dyDescent="0.25">
      <c r="F93" s="40"/>
      <c r="G93" s="40"/>
      <c r="H93" s="40"/>
    </row>
    <row r="94" spans="1:15" x14ac:dyDescent="0.25">
      <c r="F94" s="40"/>
      <c r="G94" s="40"/>
      <c r="H94" s="40"/>
    </row>
    <row r="95" spans="1:15" s="41" customFormat="1" x14ac:dyDescent="0.25">
      <c r="A95"/>
      <c r="B95"/>
      <c r="C95"/>
      <c r="D95" s="6"/>
      <c r="E95" s="6"/>
      <c r="F95" s="40"/>
      <c r="G95" s="40"/>
      <c r="H95" s="40"/>
      <c r="I95" s="44"/>
      <c r="N95"/>
      <c r="O95" s="43"/>
    </row>
    <row r="96" spans="1:15" s="41" customFormat="1" x14ac:dyDescent="0.25">
      <c r="A96"/>
      <c r="B96"/>
      <c r="C96"/>
      <c r="D96" s="6"/>
      <c r="E96" s="6"/>
      <c r="F96" s="40"/>
      <c r="G96" s="40"/>
      <c r="H96" s="40"/>
      <c r="I96" s="44"/>
      <c r="N96"/>
      <c r="O96" s="43"/>
    </row>
    <row r="97" spans="1:15" s="41" customFormat="1" x14ac:dyDescent="0.25">
      <c r="A97"/>
      <c r="B97"/>
      <c r="C97"/>
      <c r="D97" s="6"/>
      <c r="E97" s="6"/>
      <c r="F97" s="40"/>
      <c r="G97" s="40"/>
      <c r="H97" s="40"/>
      <c r="I97" s="44"/>
      <c r="N97"/>
      <c r="O97" s="43"/>
    </row>
    <row r="98" spans="1:15" s="41" customFormat="1" x14ac:dyDescent="0.25">
      <c r="A98"/>
      <c r="B98"/>
      <c r="C98"/>
      <c r="D98" s="6"/>
      <c r="E98" s="6"/>
      <c r="F98" s="40"/>
      <c r="G98" s="40"/>
      <c r="H98" s="40"/>
      <c r="I98" s="44"/>
      <c r="N98"/>
      <c r="O98" s="43"/>
    </row>
    <row r="99" spans="1:15" s="41" customFormat="1" x14ac:dyDescent="0.25">
      <c r="A99"/>
      <c r="B99"/>
      <c r="C99"/>
      <c r="D99" s="6"/>
      <c r="E99" s="6"/>
      <c r="F99" s="40"/>
      <c r="G99" s="40"/>
      <c r="H99" s="40"/>
      <c r="I99" s="44"/>
      <c r="N99"/>
      <c r="O99" s="43"/>
    </row>
    <row r="100" spans="1:15" s="41" customFormat="1" x14ac:dyDescent="0.25">
      <c r="A100"/>
      <c r="B100"/>
      <c r="C100"/>
      <c r="D100" s="6"/>
      <c r="E100" s="6"/>
      <c r="F100" s="40"/>
      <c r="G100" s="40"/>
      <c r="H100" s="40"/>
      <c r="I100" s="44"/>
      <c r="N100"/>
      <c r="O100" s="43"/>
    </row>
    <row r="101" spans="1:15" s="41" customFormat="1" x14ac:dyDescent="0.25">
      <c r="A101"/>
      <c r="B101"/>
      <c r="C101"/>
      <c r="D101" s="6"/>
      <c r="E101" s="6"/>
      <c r="F101" s="40"/>
      <c r="G101" s="40"/>
      <c r="H101" s="40"/>
      <c r="I101" s="44"/>
      <c r="N101"/>
      <c r="O101" s="43"/>
    </row>
    <row r="102" spans="1:15" s="41" customFormat="1" x14ac:dyDescent="0.25">
      <c r="A102"/>
      <c r="B102"/>
      <c r="C102"/>
      <c r="D102" s="6"/>
      <c r="E102" s="6"/>
      <c r="F102" s="40"/>
      <c r="G102" s="40"/>
      <c r="H102" s="40"/>
      <c r="I102" s="44"/>
      <c r="N102"/>
      <c r="O102" s="43"/>
    </row>
    <row r="103" spans="1:15" s="41" customFormat="1" x14ac:dyDescent="0.25">
      <c r="A103"/>
      <c r="B103"/>
      <c r="C103"/>
      <c r="D103" s="6"/>
      <c r="E103" s="6"/>
      <c r="F103" s="40"/>
      <c r="G103" s="40"/>
      <c r="H103" s="40"/>
      <c r="I103" s="44"/>
      <c r="N103"/>
      <c r="O103" s="43"/>
    </row>
    <row r="104" spans="1:15" s="41" customFormat="1" x14ac:dyDescent="0.25">
      <c r="A104"/>
      <c r="B104"/>
      <c r="C104"/>
      <c r="D104" s="6"/>
      <c r="E104" s="6"/>
      <c r="F104" s="40"/>
      <c r="G104" s="40"/>
      <c r="H104" s="40"/>
      <c r="I104" s="44"/>
      <c r="N104"/>
      <c r="O104" s="43"/>
    </row>
    <row r="105" spans="1:15" s="41" customFormat="1" x14ac:dyDescent="0.25">
      <c r="A105"/>
      <c r="B105"/>
      <c r="C105"/>
      <c r="D105" s="6"/>
      <c r="E105" s="6"/>
      <c r="F105" s="40"/>
      <c r="G105" s="40"/>
      <c r="H105" s="40"/>
      <c r="I105" s="44"/>
      <c r="N105"/>
      <c r="O105" s="43"/>
    </row>
    <row r="106" spans="1:15" s="41" customFormat="1" x14ac:dyDescent="0.25">
      <c r="A106"/>
      <c r="B106"/>
      <c r="C106"/>
      <c r="D106" s="6"/>
      <c r="E106" s="6"/>
      <c r="F106" s="40"/>
      <c r="G106" s="40"/>
      <c r="H106" s="40"/>
      <c r="I106" s="44"/>
      <c r="N106"/>
      <c r="O106" s="43"/>
    </row>
    <row r="107" spans="1:15" s="41" customFormat="1" x14ac:dyDescent="0.25">
      <c r="A107"/>
      <c r="B107"/>
      <c r="C107"/>
      <c r="D107" s="6"/>
      <c r="E107" s="6"/>
      <c r="F107" s="40"/>
      <c r="G107" s="40"/>
      <c r="H107" s="40"/>
      <c r="I107" s="44"/>
      <c r="N107"/>
      <c r="O107" s="43"/>
    </row>
    <row r="108" spans="1:15" s="41" customFormat="1" x14ac:dyDescent="0.25">
      <c r="A108"/>
      <c r="B108"/>
      <c r="C108"/>
      <c r="D108" s="6"/>
      <c r="E108" s="6"/>
      <c r="F108" s="40"/>
      <c r="G108" s="40"/>
      <c r="H108" s="40"/>
      <c r="I108" s="44"/>
      <c r="N108"/>
      <c r="O108" s="43"/>
    </row>
    <row r="109" spans="1:15" s="41" customFormat="1" x14ac:dyDescent="0.25">
      <c r="A109"/>
      <c r="B109"/>
      <c r="C109"/>
      <c r="D109" s="6"/>
      <c r="E109" s="6"/>
      <c r="F109" s="40"/>
      <c r="G109" s="40"/>
      <c r="H109" s="40"/>
      <c r="I109" s="44"/>
      <c r="N109"/>
      <c r="O109" s="43"/>
    </row>
    <row r="110" spans="1:15" s="41" customFormat="1" x14ac:dyDescent="0.25">
      <c r="A110"/>
      <c r="B110"/>
      <c r="C110"/>
      <c r="D110" s="6"/>
      <c r="E110" s="6"/>
      <c r="F110" s="40"/>
      <c r="G110" s="40"/>
      <c r="H110" s="40"/>
      <c r="I110" s="44"/>
      <c r="N110"/>
      <c r="O110" s="43"/>
    </row>
    <row r="111" spans="1:15" s="41" customFormat="1" x14ac:dyDescent="0.25">
      <c r="A111"/>
      <c r="B111"/>
      <c r="C111"/>
      <c r="D111" s="6"/>
      <c r="E111" s="6"/>
      <c r="F111" s="40"/>
      <c r="G111" s="40"/>
      <c r="H111" s="40"/>
      <c r="I111" s="44"/>
      <c r="N111"/>
      <c r="O111" s="43"/>
    </row>
    <row r="112" spans="1:15" s="41" customFormat="1" x14ac:dyDescent="0.25">
      <c r="A112"/>
      <c r="B112"/>
      <c r="C112"/>
      <c r="D112" s="6"/>
      <c r="E112" s="6"/>
      <c r="F112" s="40"/>
      <c r="G112" s="40"/>
      <c r="H112" s="40"/>
      <c r="I112" s="44"/>
      <c r="N112"/>
      <c r="O112" s="43"/>
    </row>
    <row r="113" spans="1:15" s="41" customFormat="1" x14ac:dyDescent="0.25">
      <c r="A113"/>
      <c r="B113"/>
      <c r="C113"/>
      <c r="D113" s="6"/>
      <c r="E113" s="6"/>
      <c r="F113" s="40"/>
      <c r="G113" s="40"/>
      <c r="H113" s="40"/>
      <c r="I113" s="44"/>
      <c r="N113"/>
      <c r="O113" s="43"/>
    </row>
    <row r="114" spans="1:15" s="41" customFormat="1" x14ac:dyDescent="0.25">
      <c r="A114"/>
      <c r="B114"/>
      <c r="C114"/>
      <c r="D114" s="6"/>
      <c r="E114" s="6"/>
      <c r="F114" s="40"/>
      <c r="G114" s="40"/>
      <c r="H114" s="40"/>
      <c r="I114" s="44"/>
      <c r="N114"/>
      <c r="O114" s="43"/>
    </row>
    <row r="115" spans="1:15" s="41" customFormat="1" x14ac:dyDescent="0.25">
      <c r="A115"/>
      <c r="B115"/>
      <c r="C115"/>
      <c r="D115" s="6"/>
      <c r="E115" s="6"/>
      <c r="F115" s="40"/>
      <c r="G115" s="40"/>
      <c r="H115" s="40"/>
      <c r="I115" s="44"/>
      <c r="N115"/>
      <c r="O115" s="43"/>
    </row>
    <row r="116" spans="1:15" s="41" customFormat="1" x14ac:dyDescent="0.25">
      <c r="A116"/>
      <c r="B116"/>
      <c r="C116"/>
      <c r="D116" s="6"/>
      <c r="E116" s="6"/>
      <c r="F116" s="40"/>
      <c r="G116" s="40"/>
      <c r="H116" s="40"/>
      <c r="I116" s="44"/>
      <c r="N116"/>
      <c r="O116" s="43"/>
    </row>
    <row r="117" spans="1:15" s="41" customFormat="1" x14ac:dyDescent="0.25">
      <c r="A117"/>
      <c r="B117"/>
      <c r="C117"/>
      <c r="D117" s="6"/>
      <c r="E117" s="6"/>
      <c r="F117" s="40"/>
      <c r="G117" s="40"/>
      <c r="H117" s="40"/>
      <c r="I117" s="44"/>
      <c r="N117"/>
      <c r="O117" s="43"/>
    </row>
  </sheetData>
  <autoFilter ref="D1:D117" xr:uid="{A2DF8385-0C40-4FD2-8CEE-68BA03DD18B8}"/>
  <mergeCells count="15">
    <mergeCell ref="N2:N3"/>
    <mergeCell ref="A1:N1"/>
    <mergeCell ref="A2:A3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M3"/>
    <mergeCell ref="G2:G3"/>
    <mergeCell ref="H2:H3"/>
  </mergeCells>
  <phoneticPr fontId="16" type="noConversion"/>
  <pageMargins left="0.7" right="0.7" top="0.75" bottom="0.75" header="0.3" footer="0.3"/>
  <pageSetup paperSize="8" scale="50" orientation="landscape" r:id="rId1"/>
  <rowBreaks count="1" manualBreakCount="1">
    <brk id="66" max="1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6AFF8-1F70-4EC2-88BA-562F7CED39C7}">
  <dimension ref="A1:N119"/>
  <sheetViews>
    <sheetView tabSelected="1" view="pageBreakPreview" zoomScale="96" zoomScaleNormal="100" zoomScaleSheetLayoutView="96" workbookViewId="0">
      <pane xSplit="2" ySplit="3" topLeftCell="F59" activePane="bottomRight" state="frozen"/>
      <selection pane="topRight" activeCell="D1" sqref="D1"/>
      <selection pane="bottomLeft" activeCell="A6" sqref="A6"/>
      <selection pane="bottomRight" activeCell="I74" sqref="I74"/>
    </sheetView>
  </sheetViews>
  <sheetFormatPr defaultColWidth="9.28515625" defaultRowHeight="15" x14ac:dyDescent="0.25"/>
  <cols>
    <col min="1" max="1" width="71.7109375" bestFit="1" customWidth="1"/>
    <col min="2" max="2" width="51.7109375" customWidth="1"/>
    <col min="3" max="3" width="19" style="6" customWidth="1"/>
    <col min="4" max="4" width="12.42578125" style="6" customWidth="1"/>
    <col min="5" max="5" width="16" style="6" bestFit="1" customWidth="1"/>
    <col min="6" max="7" width="16" style="6" customWidth="1"/>
    <col min="8" max="8" width="12.28515625" style="44" customWidth="1"/>
    <col min="9" max="9" width="21.42578125" style="41" customWidth="1"/>
    <col min="10" max="10" width="15.42578125" style="41" customWidth="1"/>
    <col min="11" max="11" width="16.5703125" style="41" customWidth="1"/>
    <col min="12" max="12" width="12" style="41" customWidth="1"/>
    <col min="13" max="13" width="28" customWidth="1"/>
    <col min="14" max="14" width="12" style="390" customWidth="1"/>
    <col min="247" max="247" width="5.7109375" customWidth="1"/>
    <col min="248" max="248" width="9.28515625" customWidth="1"/>
    <col min="249" max="249" width="51.7109375" customWidth="1"/>
    <col min="250" max="250" width="19" customWidth="1"/>
    <col min="251" max="251" width="12.42578125" customWidth="1"/>
    <col min="252" max="252" width="16" bestFit="1" customWidth="1"/>
    <col min="253" max="253" width="12.28515625" customWidth="1"/>
    <col min="254" max="254" width="21.42578125" bestFit="1" customWidth="1"/>
    <col min="255" max="255" width="15.42578125" bestFit="1" customWidth="1"/>
    <col min="256" max="256" width="16.5703125" bestFit="1" customWidth="1"/>
    <col min="257" max="257" width="12" bestFit="1" customWidth="1"/>
    <col min="258" max="258" width="28" customWidth="1"/>
    <col min="259" max="259" width="11" customWidth="1"/>
    <col min="260" max="261" width="9.28515625" customWidth="1"/>
    <col min="262" max="262" width="51.7109375" customWidth="1"/>
    <col min="263" max="265" width="12.28515625" customWidth="1"/>
    <col min="266" max="266" width="21.42578125" bestFit="1" customWidth="1"/>
    <col min="267" max="267" width="18.28515625" bestFit="1" customWidth="1"/>
    <col min="268" max="268" width="17.5703125" bestFit="1" customWidth="1"/>
    <col min="503" max="503" width="5.7109375" customWidth="1"/>
    <col min="504" max="504" width="9.28515625" customWidth="1"/>
    <col min="505" max="505" width="51.7109375" customWidth="1"/>
    <col min="506" max="506" width="19" customWidth="1"/>
    <col min="507" max="507" width="12.42578125" customWidth="1"/>
    <col min="508" max="508" width="16" bestFit="1" customWidth="1"/>
    <col min="509" max="509" width="12.28515625" customWidth="1"/>
    <col min="510" max="510" width="21.42578125" bestFit="1" customWidth="1"/>
    <col min="511" max="511" width="15.42578125" bestFit="1" customWidth="1"/>
    <col min="512" max="512" width="16.5703125" bestFit="1" customWidth="1"/>
    <col min="513" max="513" width="12" bestFit="1" customWidth="1"/>
    <col min="514" max="514" width="28" customWidth="1"/>
    <col min="515" max="515" width="11" customWidth="1"/>
    <col min="516" max="517" width="9.28515625" customWidth="1"/>
    <col min="518" max="518" width="51.7109375" customWidth="1"/>
    <col min="519" max="521" width="12.28515625" customWidth="1"/>
    <col min="522" max="522" width="21.42578125" bestFit="1" customWidth="1"/>
    <col min="523" max="523" width="18.28515625" bestFit="1" customWidth="1"/>
    <col min="524" max="524" width="17.5703125" bestFit="1" customWidth="1"/>
    <col min="759" max="759" width="5.7109375" customWidth="1"/>
    <col min="760" max="760" width="9.28515625" customWidth="1"/>
    <col min="761" max="761" width="51.7109375" customWidth="1"/>
    <col min="762" max="762" width="19" customWidth="1"/>
    <col min="763" max="763" width="12.42578125" customWidth="1"/>
    <col min="764" max="764" width="16" bestFit="1" customWidth="1"/>
    <col min="765" max="765" width="12.28515625" customWidth="1"/>
    <col min="766" max="766" width="21.42578125" bestFit="1" customWidth="1"/>
    <col min="767" max="767" width="15.42578125" bestFit="1" customWidth="1"/>
    <col min="768" max="768" width="16.5703125" bestFit="1" customWidth="1"/>
    <col min="769" max="769" width="12" bestFit="1" customWidth="1"/>
    <col min="770" max="770" width="28" customWidth="1"/>
    <col min="771" max="771" width="11" customWidth="1"/>
    <col min="772" max="773" width="9.28515625" customWidth="1"/>
    <col min="774" max="774" width="51.7109375" customWidth="1"/>
    <col min="775" max="777" width="12.28515625" customWidth="1"/>
    <col min="778" max="778" width="21.42578125" bestFit="1" customWidth="1"/>
    <col min="779" max="779" width="18.28515625" bestFit="1" customWidth="1"/>
    <col min="780" max="780" width="17.5703125" bestFit="1" customWidth="1"/>
    <col min="1015" max="1015" width="5.7109375" customWidth="1"/>
    <col min="1016" max="1016" width="9.28515625" customWidth="1"/>
    <col min="1017" max="1017" width="51.7109375" customWidth="1"/>
    <col min="1018" max="1018" width="19" customWidth="1"/>
    <col min="1019" max="1019" width="12.42578125" customWidth="1"/>
    <col min="1020" max="1020" width="16" bestFit="1" customWidth="1"/>
    <col min="1021" max="1021" width="12.28515625" customWidth="1"/>
    <col min="1022" max="1022" width="21.42578125" bestFit="1" customWidth="1"/>
    <col min="1023" max="1023" width="15.42578125" bestFit="1" customWidth="1"/>
    <col min="1024" max="1024" width="16.5703125" bestFit="1" customWidth="1"/>
    <col min="1025" max="1025" width="12" bestFit="1" customWidth="1"/>
    <col min="1026" max="1026" width="28" customWidth="1"/>
    <col min="1027" max="1027" width="11" customWidth="1"/>
    <col min="1028" max="1029" width="9.28515625" customWidth="1"/>
    <col min="1030" max="1030" width="51.7109375" customWidth="1"/>
    <col min="1031" max="1033" width="12.28515625" customWidth="1"/>
    <col min="1034" max="1034" width="21.42578125" bestFit="1" customWidth="1"/>
    <col min="1035" max="1035" width="18.28515625" bestFit="1" customWidth="1"/>
    <col min="1036" max="1036" width="17.5703125" bestFit="1" customWidth="1"/>
    <col min="1271" max="1271" width="5.7109375" customWidth="1"/>
    <col min="1272" max="1272" width="9.28515625" customWidth="1"/>
    <col min="1273" max="1273" width="51.7109375" customWidth="1"/>
    <col min="1274" max="1274" width="19" customWidth="1"/>
    <col min="1275" max="1275" width="12.42578125" customWidth="1"/>
    <col min="1276" max="1276" width="16" bestFit="1" customWidth="1"/>
    <col min="1277" max="1277" width="12.28515625" customWidth="1"/>
    <col min="1278" max="1278" width="21.42578125" bestFit="1" customWidth="1"/>
    <col min="1279" max="1279" width="15.42578125" bestFit="1" customWidth="1"/>
    <col min="1280" max="1280" width="16.5703125" bestFit="1" customWidth="1"/>
    <col min="1281" max="1281" width="12" bestFit="1" customWidth="1"/>
    <col min="1282" max="1282" width="28" customWidth="1"/>
    <col min="1283" max="1283" width="11" customWidth="1"/>
    <col min="1284" max="1285" width="9.28515625" customWidth="1"/>
    <col min="1286" max="1286" width="51.7109375" customWidth="1"/>
    <col min="1287" max="1289" width="12.28515625" customWidth="1"/>
    <col min="1290" max="1290" width="21.42578125" bestFit="1" customWidth="1"/>
    <col min="1291" max="1291" width="18.28515625" bestFit="1" customWidth="1"/>
    <col min="1292" max="1292" width="17.5703125" bestFit="1" customWidth="1"/>
    <col min="1527" max="1527" width="5.7109375" customWidth="1"/>
    <col min="1528" max="1528" width="9.28515625" customWidth="1"/>
    <col min="1529" max="1529" width="51.7109375" customWidth="1"/>
    <col min="1530" max="1530" width="19" customWidth="1"/>
    <col min="1531" max="1531" width="12.42578125" customWidth="1"/>
    <col min="1532" max="1532" width="16" bestFit="1" customWidth="1"/>
    <col min="1533" max="1533" width="12.28515625" customWidth="1"/>
    <col min="1534" max="1534" width="21.42578125" bestFit="1" customWidth="1"/>
    <col min="1535" max="1535" width="15.42578125" bestFit="1" customWidth="1"/>
    <col min="1536" max="1536" width="16.5703125" bestFit="1" customWidth="1"/>
    <col min="1537" max="1537" width="12" bestFit="1" customWidth="1"/>
    <col min="1538" max="1538" width="28" customWidth="1"/>
    <col min="1539" max="1539" width="11" customWidth="1"/>
    <col min="1540" max="1541" width="9.28515625" customWidth="1"/>
    <col min="1542" max="1542" width="51.7109375" customWidth="1"/>
    <col min="1543" max="1545" width="12.28515625" customWidth="1"/>
    <col min="1546" max="1546" width="21.42578125" bestFit="1" customWidth="1"/>
    <col min="1547" max="1547" width="18.28515625" bestFit="1" customWidth="1"/>
    <col min="1548" max="1548" width="17.5703125" bestFit="1" customWidth="1"/>
    <col min="1783" max="1783" width="5.7109375" customWidth="1"/>
    <col min="1784" max="1784" width="9.28515625" customWidth="1"/>
    <col min="1785" max="1785" width="51.7109375" customWidth="1"/>
    <col min="1786" max="1786" width="19" customWidth="1"/>
    <col min="1787" max="1787" width="12.42578125" customWidth="1"/>
    <col min="1788" max="1788" width="16" bestFit="1" customWidth="1"/>
    <col min="1789" max="1789" width="12.28515625" customWidth="1"/>
    <col min="1790" max="1790" width="21.42578125" bestFit="1" customWidth="1"/>
    <col min="1791" max="1791" width="15.42578125" bestFit="1" customWidth="1"/>
    <col min="1792" max="1792" width="16.5703125" bestFit="1" customWidth="1"/>
    <col min="1793" max="1793" width="12" bestFit="1" customWidth="1"/>
    <col min="1794" max="1794" width="28" customWidth="1"/>
    <col min="1795" max="1795" width="11" customWidth="1"/>
    <col min="1796" max="1797" width="9.28515625" customWidth="1"/>
    <col min="1798" max="1798" width="51.7109375" customWidth="1"/>
    <col min="1799" max="1801" width="12.28515625" customWidth="1"/>
    <col min="1802" max="1802" width="21.42578125" bestFit="1" customWidth="1"/>
    <col min="1803" max="1803" width="18.28515625" bestFit="1" customWidth="1"/>
    <col min="1804" max="1804" width="17.5703125" bestFit="1" customWidth="1"/>
    <col min="2039" max="2039" width="5.7109375" customWidth="1"/>
    <col min="2040" max="2040" width="9.28515625" customWidth="1"/>
    <col min="2041" max="2041" width="51.7109375" customWidth="1"/>
    <col min="2042" max="2042" width="19" customWidth="1"/>
    <col min="2043" max="2043" width="12.42578125" customWidth="1"/>
    <col min="2044" max="2044" width="16" bestFit="1" customWidth="1"/>
    <col min="2045" max="2045" width="12.28515625" customWidth="1"/>
    <col min="2046" max="2046" width="21.42578125" bestFit="1" customWidth="1"/>
    <col min="2047" max="2047" width="15.42578125" bestFit="1" customWidth="1"/>
    <col min="2048" max="2048" width="16.5703125" bestFit="1" customWidth="1"/>
    <col min="2049" max="2049" width="12" bestFit="1" customWidth="1"/>
    <col min="2050" max="2050" width="28" customWidth="1"/>
    <col min="2051" max="2051" width="11" customWidth="1"/>
    <col min="2052" max="2053" width="9.28515625" customWidth="1"/>
    <col min="2054" max="2054" width="51.7109375" customWidth="1"/>
    <col min="2055" max="2057" width="12.28515625" customWidth="1"/>
    <col min="2058" max="2058" width="21.42578125" bestFit="1" customWidth="1"/>
    <col min="2059" max="2059" width="18.28515625" bestFit="1" customWidth="1"/>
    <col min="2060" max="2060" width="17.5703125" bestFit="1" customWidth="1"/>
    <col min="2295" max="2295" width="5.7109375" customWidth="1"/>
    <col min="2296" max="2296" width="9.28515625" customWidth="1"/>
    <col min="2297" max="2297" width="51.7109375" customWidth="1"/>
    <col min="2298" max="2298" width="19" customWidth="1"/>
    <col min="2299" max="2299" width="12.42578125" customWidth="1"/>
    <col min="2300" max="2300" width="16" bestFit="1" customWidth="1"/>
    <col min="2301" max="2301" width="12.28515625" customWidth="1"/>
    <col min="2302" max="2302" width="21.42578125" bestFit="1" customWidth="1"/>
    <col min="2303" max="2303" width="15.42578125" bestFit="1" customWidth="1"/>
    <col min="2304" max="2304" width="16.5703125" bestFit="1" customWidth="1"/>
    <col min="2305" max="2305" width="12" bestFit="1" customWidth="1"/>
    <col min="2306" max="2306" width="28" customWidth="1"/>
    <col min="2307" max="2307" width="11" customWidth="1"/>
    <col min="2308" max="2309" width="9.28515625" customWidth="1"/>
    <col min="2310" max="2310" width="51.7109375" customWidth="1"/>
    <col min="2311" max="2313" width="12.28515625" customWidth="1"/>
    <col min="2314" max="2314" width="21.42578125" bestFit="1" customWidth="1"/>
    <col min="2315" max="2315" width="18.28515625" bestFit="1" customWidth="1"/>
    <col min="2316" max="2316" width="17.5703125" bestFit="1" customWidth="1"/>
    <col min="2551" max="2551" width="5.7109375" customWidth="1"/>
    <col min="2552" max="2552" width="9.28515625" customWidth="1"/>
    <col min="2553" max="2553" width="51.7109375" customWidth="1"/>
    <col min="2554" max="2554" width="19" customWidth="1"/>
    <col min="2555" max="2555" width="12.42578125" customWidth="1"/>
    <col min="2556" max="2556" width="16" bestFit="1" customWidth="1"/>
    <col min="2557" max="2557" width="12.28515625" customWidth="1"/>
    <col min="2558" max="2558" width="21.42578125" bestFit="1" customWidth="1"/>
    <col min="2559" max="2559" width="15.42578125" bestFit="1" customWidth="1"/>
    <col min="2560" max="2560" width="16.5703125" bestFit="1" customWidth="1"/>
    <col min="2561" max="2561" width="12" bestFit="1" customWidth="1"/>
    <col min="2562" max="2562" width="28" customWidth="1"/>
    <col min="2563" max="2563" width="11" customWidth="1"/>
    <col min="2564" max="2565" width="9.28515625" customWidth="1"/>
    <col min="2566" max="2566" width="51.7109375" customWidth="1"/>
    <col min="2567" max="2569" width="12.28515625" customWidth="1"/>
    <col min="2570" max="2570" width="21.42578125" bestFit="1" customWidth="1"/>
    <col min="2571" max="2571" width="18.28515625" bestFit="1" customWidth="1"/>
    <col min="2572" max="2572" width="17.5703125" bestFit="1" customWidth="1"/>
    <col min="2807" max="2807" width="5.7109375" customWidth="1"/>
    <col min="2808" max="2808" width="9.28515625" customWidth="1"/>
    <col min="2809" max="2809" width="51.7109375" customWidth="1"/>
    <col min="2810" max="2810" width="19" customWidth="1"/>
    <col min="2811" max="2811" width="12.42578125" customWidth="1"/>
    <col min="2812" max="2812" width="16" bestFit="1" customWidth="1"/>
    <col min="2813" max="2813" width="12.28515625" customWidth="1"/>
    <col min="2814" max="2814" width="21.42578125" bestFit="1" customWidth="1"/>
    <col min="2815" max="2815" width="15.42578125" bestFit="1" customWidth="1"/>
    <col min="2816" max="2816" width="16.5703125" bestFit="1" customWidth="1"/>
    <col min="2817" max="2817" width="12" bestFit="1" customWidth="1"/>
    <col min="2818" max="2818" width="28" customWidth="1"/>
    <col min="2819" max="2819" width="11" customWidth="1"/>
    <col min="2820" max="2821" width="9.28515625" customWidth="1"/>
    <col min="2822" max="2822" width="51.7109375" customWidth="1"/>
    <col min="2823" max="2825" width="12.28515625" customWidth="1"/>
    <col min="2826" max="2826" width="21.42578125" bestFit="1" customWidth="1"/>
    <col min="2827" max="2827" width="18.28515625" bestFit="1" customWidth="1"/>
    <col min="2828" max="2828" width="17.5703125" bestFit="1" customWidth="1"/>
    <col min="3063" max="3063" width="5.7109375" customWidth="1"/>
    <col min="3064" max="3064" width="9.28515625" customWidth="1"/>
    <col min="3065" max="3065" width="51.7109375" customWidth="1"/>
    <col min="3066" max="3066" width="19" customWidth="1"/>
    <col min="3067" max="3067" width="12.42578125" customWidth="1"/>
    <col min="3068" max="3068" width="16" bestFit="1" customWidth="1"/>
    <col min="3069" max="3069" width="12.28515625" customWidth="1"/>
    <col min="3070" max="3070" width="21.42578125" bestFit="1" customWidth="1"/>
    <col min="3071" max="3071" width="15.42578125" bestFit="1" customWidth="1"/>
    <col min="3072" max="3072" width="16.5703125" bestFit="1" customWidth="1"/>
    <col min="3073" max="3073" width="12" bestFit="1" customWidth="1"/>
    <col min="3074" max="3074" width="28" customWidth="1"/>
    <col min="3075" max="3075" width="11" customWidth="1"/>
    <col min="3076" max="3077" width="9.28515625" customWidth="1"/>
    <col min="3078" max="3078" width="51.7109375" customWidth="1"/>
    <col min="3079" max="3081" width="12.28515625" customWidth="1"/>
    <col min="3082" max="3082" width="21.42578125" bestFit="1" customWidth="1"/>
    <col min="3083" max="3083" width="18.28515625" bestFit="1" customWidth="1"/>
    <col min="3084" max="3084" width="17.5703125" bestFit="1" customWidth="1"/>
    <col min="3319" max="3319" width="5.7109375" customWidth="1"/>
    <col min="3320" max="3320" width="9.28515625" customWidth="1"/>
    <col min="3321" max="3321" width="51.7109375" customWidth="1"/>
    <col min="3322" max="3322" width="19" customWidth="1"/>
    <col min="3323" max="3323" width="12.42578125" customWidth="1"/>
    <col min="3324" max="3324" width="16" bestFit="1" customWidth="1"/>
    <col min="3325" max="3325" width="12.28515625" customWidth="1"/>
    <col min="3326" max="3326" width="21.42578125" bestFit="1" customWidth="1"/>
    <col min="3327" max="3327" width="15.42578125" bestFit="1" customWidth="1"/>
    <col min="3328" max="3328" width="16.5703125" bestFit="1" customWidth="1"/>
    <col min="3329" max="3329" width="12" bestFit="1" customWidth="1"/>
    <col min="3330" max="3330" width="28" customWidth="1"/>
    <col min="3331" max="3331" width="11" customWidth="1"/>
    <col min="3332" max="3333" width="9.28515625" customWidth="1"/>
    <col min="3334" max="3334" width="51.7109375" customWidth="1"/>
    <col min="3335" max="3337" width="12.28515625" customWidth="1"/>
    <col min="3338" max="3338" width="21.42578125" bestFit="1" customWidth="1"/>
    <col min="3339" max="3339" width="18.28515625" bestFit="1" customWidth="1"/>
    <col min="3340" max="3340" width="17.5703125" bestFit="1" customWidth="1"/>
    <col min="3575" max="3575" width="5.7109375" customWidth="1"/>
    <col min="3576" max="3576" width="9.28515625" customWidth="1"/>
    <col min="3577" max="3577" width="51.7109375" customWidth="1"/>
    <col min="3578" max="3578" width="19" customWidth="1"/>
    <col min="3579" max="3579" width="12.42578125" customWidth="1"/>
    <col min="3580" max="3580" width="16" bestFit="1" customWidth="1"/>
    <col min="3581" max="3581" width="12.28515625" customWidth="1"/>
    <col min="3582" max="3582" width="21.42578125" bestFit="1" customWidth="1"/>
    <col min="3583" max="3583" width="15.42578125" bestFit="1" customWidth="1"/>
    <col min="3584" max="3584" width="16.5703125" bestFit="1" customWidth="1"/>
    <col min="3585" max="3585" width="12" bestFit="1" customWidth="1"/>
    <col min="3586" max="3586" width="28" customWidth="1"/>
    <col min="3587" max="3587" width="11" customWidth="1"/>
    <col min="3588" max="3589" width="9.28515625" customWidth="1"/>
    <col min="3590" max="3590" width="51.7109375" customWidth="1"/>
    <col min="3591" max="3593" width="12.28515625" customWidth="1"/>
    <col min="3594" max="3594" width="21.42578125" bestFit="1" customWidth="1"/>
    <col min="3595" max="3595" width="18.28515625" bestFit="1" customWidth="1"/>
    <col min="3596" max="3596" width="17.5703125" bestFit="1" customWidth="1"/>
    <col min="3831" max="3831" width="5.7109375" customWidth="1"/>
    <col min="3832" max="3832" width="9.28515625" customWidth="1"/>
    <col min="3833" max="3833" width="51.7109375" customWidth="1"/>
    <col min="3834" max="3834" width="19" customWidth="1"/>
    <col min="3835" max="3835" width="12.42578125" customWidth="1"/>
    <col min="3836" max="3836" width="16" bestFit="1" customWidth="1"/>
    <col min="3837" max="3837" width="12.28515625" customWidth="1"/>
    <col min="3838" max="3838" width="21.42578125" bestFit="1" customWidth="1"/>
    <col min="3839" max="3839" width="15.42578125" bestFit="1" customWidth="1"/>
    <col min="3840" max="3840" width="16.5703125" bestFit="1" customWidth="1"/>
    <col min="3841" max="3841" width="12" bestFit="1" customWidth="1"/>
    <col min="3842" max="3842" width="28" customWidth="1"/>
    <col min="3843" max="3843" width="11" customWidth="1"/>
    <col min="3844" max="3845" width="9.28515625" customWidth="1"/>
    <col min="3846" max="3846" width="51.7109375" customWidth="1"/>
    <col min="3847" max="3849" width="12.28515625" customWidth="1"/>
    <col min="3850" max="3850" width="21.42578125" bestFit="1" customWidth="1"/>
    <col min="3851" max="3851" width="18.28515625" bestFit="1" customWidth="1"/>
    <col min="3852" max="3852" width="17.5703125" bestFit="1" customWidth="1"/>
    <col min="4087" max="4087" width="5.7109375" customWidth="1"/>
    <col min="4088" max="4088" width="9.28515625" customWidth="1"/>
    <col min="4089" max="4089" width="51.7109375" customWidth="1"/>
    <col min="4090" max="4090" width="19" customWidth="1"/>
    <col min="4091" max="4091" width="12.42578125" customWidth="1"/>
    <col min="4092" max="4092" width="16" bestFit="1" customWidth="1"/>
    <col min="4093" max="4093" width="12.28515625" customWidth="1"/>
    <col min="4094" max="4094" width="21.42578125" bestFit="1" customWidth="1"/>
    <col min="4095" max="4095" width="15.42578125" bestFit="1" customWidth="1"/>
    <col min="4096" max="4096" width="16.5703125" bestFit="1" customWidth="1"/>
    <col min="4097" max="4097" width="12" bestFit="1" customWidth="1"/>
    <col min="4098" max="4098" width="28" customWidth="1"/>
    <col min="4099" max="4099" width="11" customWidth="1"/>
    <col min="4100" max="4101" width="9.28515625" customWidth="1"/>
    <col min="4102" max="4102" width="51.7109375" customWidth="1"/>
    <col min="4103" max="4105" width="12.28515625" customWidth="1"/>
    <col min="4106" max="4106" width="21.42578125" bestFit="1" customWidth="1"/>
    <col min="4107" max="4107" width="18.28515625" bestFit="1" customWidth="1"/>
    <col min="4108" max="4108" width="17.5703125" bestFit="1" customWidth="1"/>
    <col min="4343" max="4343" width="5.7109375" customWidth="1"/>
    <col min="4344" max="4344" width="9.28515625" customWidth="1"/>
    <col min="4345" max="4345" width="51.7109375" customWidth="1"/>
    <col min="4346" max="4346" width="19" customWidth="1"/>
    <col min="4347" max="4347" width="12.42578125" customWidth="1"/>
    <col min="4348" max="4348" width="16" bestFit="1" customWidth="1"/>
    <col min="4349" max="4349" width="12.28515625" customWidth="1"/>
    <col min="4350" max="4350" width="21.42578125" bestFit="1" customWidth="1"/>
    <col min="4351" max="4351" width="15.42578125" bestFit="1" customWidth="1"/>
    <col min="4352" max="4352" width="16.5703125" bestFit="1" customWidth="1"/>
    <col min="4353" max="4353" width="12" bestFit="1" customWidth="1"/>
    <col min="4354" max="4354" width="28" customWidth="1"/>
    <col min="4355" max="4355" width="11" customWidth="1"/>
    <col min="4356" max="4357" width="9.28515625" customWidth="1"/>
    <col min="4358" max="4358" width="51.7109375" customWidth="1"/>
    <col min="4359" max="4361" width="12.28515625" customWidth="1"/>
    <col min="4362" max="4362" width="21.42578125" bestFit="1" customWidth="1"/>
    <col min="4363" max="4363" width="18.28515625" bestFit="1" customWidth="1"/>
    <col min="4364" max="4364" width="17.5703125" bestFit="1" customWidth="1"/>
    <col min="4599" max="4599" width="5.7109375" customWidth="1"/>
    <col min="4600" max="4600" width="9.28515625" customWidth="1"/>
    <col min="4601" max="4601" width="51.7109375" customWidth="1"/>
    <col min="4602" max="4602" width="19" customWidth="1"/>
    <col min="4603" max="4603" width="12.42578125" customWidth="1"/>
    <col min="4604" max="4604" width="16" bestFit="1" customWidth="1"/>
    <col min="4605" max="4605" width="12.28515625" customWidth="1"/>
    <col min="4606" max="4606" width="21.42578125" bestFit="1" customWidth="1"/>
    <col min="4607" max="4607" width="15.42578125" bestFit="1" customWidth="1"/>
    <col min="4608" max="4608" width="16.5703125" bestFit="1" customWidth="1"/>
    <col min="4609" max="4609" width="12" bestFit="1" customWidth="1"/>
    <col min="4610" max="4610" width="28" customWidth="1"/>
    <col min="4611" max="4611" width="11" customWidth="1"/>
    <col min="4612" max="4613" width="9.28515625" customWidth="1"/>
    <col min="4614" max="4614" width="51.7109375" customWidth="1"/>
    <col min="4615" max="4617" width="12.28515625" customWidth="1"/>
    <col min="4618" max="4618" width="21.42578125" bestFit="1" customWidth="1"/>
    <col min="4619" max="4619" width="18.28515625" bestFit="1" customWidth="1"/>
    <col min="4620" max="4620" width="17.5703125" bestFit="1" customWidth="1"/>
    <col min="4855" max="4855" width="5.7109375" customWidth="1"/>
    <col min="4856" max="4856" width="9.28515625" customWidth="1"/>
    <col min="4857" max="4857" width="51.7109375" customWidth="1"/>
    <col min="4858" max="4858" width="19" customWidth="1"/>
    <col min="4859" max="4859" width="12.42578125" customWidth="1"/>
    <col min="4860" max="4860" width="16" bestFit="1" customWidth="1"/>
    <col min="4861" max="4861" width="12.28515625" customWidth="1"/>
    <col min="4862" max="4862" width="21.42578125" bestFit="1" customWidth="1"/>
    <col min="4863" max="4863" width="15.42578125" bestFit="1" customWidth="1"/>
    <col min="4864" max="4864" width="16.5703125" bestFit="1" customWidth="1"/>
    <col min="4865" max="4865" width="12" bestFit="1" customWidth="1"/>
    <col min="4866" max="4866" width="28" customWidth="1"/>
    <col min="4867" max="4867" width="11" customWidth="1"/>
    <col min="4868" max="4869" width="9.28515625" customWidth="1"/>
    <col min="4870" max="4870" width="51.7109375" customWidth="1"/>
    <col min="4871" max="4873" width="12.28515625" customWidth="1"/>
    <col min="4874" max="4874" width="21.42578125" bestFit="1" customWidth="1"/>
    <col min="4875" max="4875" width="18.28515625" bestFit="1" customWidth="1"/>
    <col min="4876" max="4876" width="17.5703125" bestFit="1" customWidth="1"/>
    <col min="5111" max="5111" width="5.7109375" customWidth="1"/>
    <col min="5112" max="5112" width="9.28515625" customWidth="1"/>
    <col min="5113" max="5113" width="51.7109375" customWidth="1"/>
    <col min="5114" max="5114" width="19" customWidth="1"/>
    <col min="5115" max="5115" width="12.42578125" customWidth="1"/>
    <col min="5116" max="5116" width="16" bestFit="1" customWidth="1"/>
    <col min="5117" max="5117" width="12.28515625" customWidth="1"/>
    <col min="5118" max="5118" width="21.42578125" bestFit="1" customWidth="1"/>
    <col min="5119" max="5119" width="15.42578125" bestFit="1" customWidth="1"/>
    <col min="5120" max="5120" width="16.5703125" bestFit="1" customWidth="1"/>
    <col min="5121" max="5121" width="12" bestFit="1" customWidth="1"/>
    <col min="5122" max="5122" width="28" customWidth="1"/>
    <col min="5123" max="5123" width="11" customWidth="1"/>
    <col min="5124" max="5125" width="9.28515625" customWidth="1"/>
    <col min="5126" max="5126" width="51.7109375" customWidth="1"/>
    <col min="5127" max="5129" width="12.28515625" customWidth="1"/>
    <col min="5130" max="5130" width="21.42578125" bestFit="1" customWidth="1"/>
    <col min="5131" max="5131" width="18.28515625" bestFit="1" customWidth="1"/>
    <col min="5132" max="5132" width="17.5703125" bestFit="1" customWidth="1"/>
    <col min="5367" max="5367" width="5.7109375" customWidth="1"/>
    <col min="5368" max="5368" width="9.28515625" customWidth="1"/>
    <col min="5369" max="5369" width="51.7109375" customWidth="1"/>
    <col min="5370" max="5370" width="19" customWidth="1"/>
    <col min="5371" max="5371" width="12.42578125" customWidth="1"/>
    <col min="5372" max="5372" width="16" bestFit="1" customWidth="1"/>
    <col min="5373" max="5373" width="12.28515625" customWidth="1"/>
    <col min="5374" max="5374" width="21.42578125" bestFit="1" customWidth="1"/>
    <col min="5375" max="5375" width="15.42578125" bestFit="1" customWidth="1"/>
    <col min="5376" max="5376" width="16.5703125" bestFit="1" customWidth="1"/>
    <col min="5377" max="5377" width="12" bestFit="1" customWidth="1"/>
    <col min="5378" max="5378" width="28" customWidth="1"/>
    <col min="5379" max="5379" width="11" customWidth="1"/>
    <col min="5380" max="5381" width="9.28515625" customWidth="1"/>
    <col min="5382" max="5382" width="51.7109375" customWidth="1"/>
    <col min="5383" max="5385" width="12.28515625" customWidth="1"/>
    <col min="5386" max="5386" width="21.42578125" bestFit="1" customWidth="1"/>
    <col min="5387" max="5387" width="18.28515625" bestFit="1" customWidth="1"/>
    <col min="5388" max="5388" width="17.5703125" bestFit="1" customWidth="1"/>
    <col min="5623" max="5623" width="5.7109375" customWidth="1"/>
    <col min="5624" max="5624" width="9.28515625" customWidth="1"/>
    <col min="5625" max="5625" width="51.7109375" customWidth="1"/>
    <col min="5626" max="5626" width="19" customWidth="1"/>
    <col min="5627" max="5627" width="12.42578125" customWidth="1"/>
    <col min="5628" max="5628" width="16" bestFit="1" customWidth="1"/>
    <col min="5629" max="5629" width="12.28515625" customWidth="1"/>
    <col min="5630" max="5630" width="21.42578125" bestFit="1" customWidth="1"/>
    <col min="5631" max="5631" width="15.42578125" bestFit="1" customWidth="1"/>
    <col min="5632" max="5632" width="16.5703125" bestFit="1" customWidth="1"/>
    <col min="5633" max="5633" width="12" bestFit="1" customWidth="1"/>
    <col min="5634" max="5634" width="28" customWidth="1"/>
    <col min="5635" max="5635" width="11" customWidth="1"/>
    <col min="5636" max="5637" width="9.28515625" customWidth="1"/>
    <col min="5638" max="5638" width="51.7109375" customWidth="1"/>
    <col min="5639" max="5641" width="12.28515625" customWidth="1"/>
    <col min="5642" max="5642" width="21.42578125" bestFit="1" customWidth="1"/>
    <col min="5643" max="5643" width="18.28515625" bestFit="1" customWidth="1"/>
    <col min="5644" max="5644" width="17.5703125" bestFit="1" customWidth="1"/>
    <col min="5879" max="5879" width="5.7109375" customWidth="1"/>
    <col min="5880" max="5880" width="9.28515625" customWidth="1"/>
    <col min="5881" max="5881" width="51.7109375" customWidth="1"/>
    <col min="5882" max="5882" width="19" customWidth="1"/>
    <col min="5883" max="5883" width="12.42578125" customWidth="1"/>
    <col min="5884" max="5884" width="16" bestFit="1" customWidth="1"/>
    <col min="5885" max="5885" width="12.28515625" customWidth="1"/>
    <col min="5886" max="5886" width="21.42578125" bestFit="1" customWidth="1"/>
    <col min="5887" max="5887" width="15.42578125" bestFit="1" customWidth="1"/>
    <col min="5888" max="5888" width="16.5703125" bestFit="1" customWidth="1"/>
    <col min="5889" max="5889" width="12" bestFit="1" customWidth="1"/>
    <col min="5890" max="5890" width="28" customWidth="1"/>
    <col min="5891" max="5891" width="11" customWidth="1"/>
    <col min="5892" max="5893" width="9.28515625" customWidth="1"/>
    <col min="5894" max="5894" width="51.7109375" customWidth="1"/>
    <col min="5895" max="5897" width="12.28515625" customWidth="1"/>
    <col min="5898" max="5898" width="21.42578125" bestFit="1" customWidth="1"/>
    <col min="5899" max="5899" width="18.28515625" bestFit="1" customWidth="1"/>
    <col min="5900" max="5900" width="17.5703125" bestFit="1" customWidth="1"/>
    <col min="6135" max="6135" width="5.7109375" customWidth="1"/>
    <col min="6136" max="6136" width="9.28515625" customWidth="1"/>
    <col min="6137" max="6137" width="51.7109375" customWidth="1"/>
    <col min="6138" max="6138" width="19" customWidth="1"/>
    <col min="6139" max="6139" width="12.42578125" customWidth="1"/>
    <col min="6140" max="6140" width="16" bestFit="1" customWidth="1"/>
    <col min="6141" max="6141" width="12.28515625" customWidth="1"/>
    <col min="6142" max="6142" width="21.42578125" bestFit="1" customWidth="1"/>
    <col min="6143" max="6143" width="15.42578125" bestFit="1" customWidth="1"/>
    <col min="6144" max="6144" width="16.5703125" bestFit="1" customWidth="1"/>
    <col min="6145" max="6145" width="12" bestFit="1" customWidth="1"/>
    <col min="6146" max="6146" width="28" customWidth="1"/>
    <col min="6147" max="6147" width="11" customWidth="1"/>
    <col min="6148" max="6149" width="9.28515625" customWidth="1"/>
    <col min="6150" max="6150" width="51.7109375" customWidth="1"/>
    <col min="6151" max="6153" width="12.28515625" customWidth="1"/>
    <col min="6154" max="6154" width="21.42578125" bestFit="1" customWidth="1"/>
    <col min="6155" max="6155" width="18.28515625" bestFit="1" customWidth="1"/>
    <col min="6156" max="6156" width="17.5703125" bestFit="1" customWidth="1"/>
    <col min="6391" max="6391" width="5.7109375" customWidth="1"/>
    <col min="6392" max="6392" width="9.28515625" customWidth="1"/>
    <col min="6393" max="6393" width="51.7109375" customWidth="1"/>
    <col min="6394" max="6394" width="19" customWidth="1"/>
    <col min="6395" max="6395" width="12.42578125" customWidth="1"/>
    <col min="6396" max="6396" width="16" bestFit="1" customWidth="1"/>
    <col min="6397" max="6397" width="12.28515625" customWidth="1"/>
    <col min="6398" max="6398" width="21.42578125" bestFit="1" customWidth="1"/>
    <col min="6399" max="6399" width="15.42578125" bestFit="1" customWidth="1"/>
    <col min="6400" max="6400" width="16.5703125" bestFit="1" customWidth="1"/>
    <col min="6401" max="6401" width="12" bestFit="1" customWidth="1"/>
    <col min="6402" max="6402" width="28" customWidth="1"/>
    <col min="6403" max="6403" width="11" customWidth="1"/>
    <col min="6404" max="6405" width="9.28515625" customWidth="1"/>
    <col min="6406" max="6406" width="51.7109375" customWidth="1"/>
    <col min="6407" max="6409" width="12.28515625" customWidth="1"/>
    <col min="6410" max="6410" width="21.42578125" bestFit="1" customWidth="1"/>
    <col min="6411" max="6411" width="18.28515625" bestFit="1" customWidth="1"/>
    <col min="6412" max="6412" width="17.5703125" bestFit="1" customWidth="1"/>
    <col min="6647" max="6647" width="5.7109375" customWidth="1"/>
    <col min="6648" max="6648" width="9.28515625" customWidth="1"/>
    <col min="6649" max="6649" width="51.7109375" customWidth="1"/>
    <col min="6650" max="6650" width="19" customWidth="1"/>
    <col min="6651" max="6651" width="12.42578125" customWidth="1"/>
    <col min="6652" max="6652" width="16" bestFit="1" customWidth="1"/>
    <col min="6653" max="6653" width="12.28515625" customWidth="1"/>
    <col min="6654" max="6654" width="21.42578125" bestFit="1" customWidth="1"/>
    <col min="6655" max="6655" width="15.42578125" bestFit="1" customWidth="1"/>
    <col min="6656" max="6656" width="16.5703125" bestFit="1" customWidth="1"/>
    <col min="6657" max="6657" width="12" bestFit="1" customWidth="1"/>
    <col min="6658" max="6658" width="28" customWidth="1"/>
    <col min="6659" max="6659" width="11" customWidth="1"/>
    <col min="6660" max="6661" width="9.28515625" customWidth="1"/>
    <col min="6662" max="6662" width="51.7109375" customWidth="1"/>
    <col min="6663" max="6665" width="12.28515625" customWidth="1"/>
    <col min="6666" max="6666" width="21.42578125" bestFit="1" customWidth="1"/>
    <col min="6667" max="6667" width="18.28515625" bestFit="1" customWidth="1"/>
    <col min="6668" max="6668" width="17.5703125" bestFit="1" customWidth="1"/>
    <col min="6903" max="6903" width="5.7109375" customWidth="1"/>
    <col min="6904" max="6904" width="9.28515625" customWidth="1"/>
    <col min="6905" max="6905" width="51.7109375" customWidth="1"/>
    <col min="6906" max="6906" width="19" customWidth="1"/>
    <col min="6907" max="6907" width="12.42578125" customWidth="1"/>
    <col min="6908" max="6908" width="16" bestFit="1" customWidth="1"/>
    <col min="6909" max="6909" width="12.28515625" customWidth="1"/>
    <col min="6910" max="6910" width="21.42578125" bestFit="1" customWidth="1"/>
    <col min="6911" max="6911" width="15.42578125" bestFit="1" customWidth="1"/>
    <col min="6912" max="6912" width="16.5703125" bestFit="1" customWidth="1"/>
    <col min="6913" max="6913" width="12" bestFit="1" customWidth="1"/>
    <col min="6914" max="6914" width="28" customWidth="1"/>
    <col min="6915" max="6915" width="11" customWidth="1"/>
    <col min="6916" max="6917" width="9.28515625" customWidth="1"/>
    <col min="6918" max="6918" width="51.7109375" customWidth="1"/>
    <col min="6919" max="6921" width="12.28515625" customWidth="1"/>
    <col min="6922" max="6922" width="21.42578125" bestFit="1" customWidth="1"/>
    <col min="6923" max="6923" width="18.28515625" bestFit="1" customWidth="1"/>
    <col min="6924" max="6924" width="17.5703125" bestFit="1" customWidth="1"/>
    <col min="7159" max="7159" width="5.7109375" customWidth="1"/>
    <col min="7160" max="7160" width="9.28515625" customWidth="1"/>
    <col min="7161" max="7161" width="51.7109375" customWidth="1"/>
    <col min="7162" max="7162" width="19" customWidth="1"/>
    <col min="7163" max="7163" width="12.42578125" customWidth="1"/>
    <col min="7164" max="7164" width="16" bestFit="1" customWidth="1"/>
    <col min="7165" max="7165" width="12.28515625" customWidth="1"/>
    <col min="7166" max="7166" width="21.42578125" bestFit="1" customWidth="1"/>
    <col min="7167" max="7167" width="15.42578125" bestFit="1" customWidth="1"/>
    <col min="7168" max="7168" width="16.5703125" bestFit="1" customWidth="1"/>
    <col min="7169" max="7169" width="12" bestFit="1" customWidth="1"/>
    <col min="7170" max="7170" width="28" customWidth="1"/>
    <col min="7171" max="7171" width="11" customWidth="1"/>
    <col min="7172" max="7173" width="9.28515625" customWidth="1"/>
    <col min="7174" max="7174" width="51.7109375" customWidth="1"/>
    <col min="7175" max="7177" width="12.28515625" customWidth="1"/>
    <col min="7178" max="7178" width="21.42578125" bestFit="1" customWidth="1"/>
    <col min="7179" max="7179" width="18.28515625" bestFit="1" customWidth="1"/>
    <col min="7180" max="7180" width="17.5703125" bestFit="1" customWidth="1"/>
    <col min="7415" max="7415" width="5.7109375" customWidth="1"/>
    <col min="7416" max="7416" width="9.28515625" customWidth="1"/>
    <col min="7417" max="7417" width="51.7109375" customWidth="1"/>
    <col min="7418" max="7418" width="19" customWidth="1"/>
    <col min="7419" max="7419" width="12.42578125" customWidth="1"/>
    <col min="7420" max="7420" width="16" bestFit="1" customWidth="1"/>
    <col min="7421" max="7421" width="12.28515625" customWidth="1"/>
    <col min="7422" max="7422" width="21.42578125" bestFit="1" customWidth="1"/>
    <col min="7423" max="7423" width="15.42578125" bestFit="1" customWidth="1"/>
    <col min="7424" max="7424" width="16.5703125" bestFit="1" customWidth="1"/>
    <col min="7425" max="7425" width="12" bestFit="1" customWidth="1"/>
    <col min="7426" max="7426" width="28" customWidth="1"/>
    <col min="7427" max="7427" width="11" customWidth="1"/>
    <col min="7428" max="7429" width="9.28515625" customWidth="1"/>
    <col min="7430" max="7430" width="51.7109375" customWidth="1"/>
    <col min="7431" max="7433" width="12.28515625" customWidth="1"/>
    <col min="7434" max="7434" width="21.42578125" bestFit="1" customWidth="1"/>
    <col min="7435" max="7435" width="18.28515625" bestFit="1" customWidth="1"/>
    <col min="7436" max="7436" width="17.5703125" bestFit="1" customWidth="1"/>
    <col min="7671" max="7671" width="5.7109375" customWidth="1"/>
    <col min="7672" max="7672" width="9.28515625" customWidth="1"/>
    <col min="7673" max="7673" width="51.7109375" customWidth="1"/>
    <col min="7674" max="7674" width="19" customWidth="1"/>
    <col min="7675" max="7675" width="12.42578125" customWidth="1"/>
    <col min="7676" max="7676" width="16" bestFit="1" customWidth="1"/>
    <col min="7677" max="7677" width="12.28515625" customWidth="1"/>
    <col min="7678" max="7678" width="21.42578125" bestFit="1" customWidth="1"/>
    <col min="7679" max="7679" width="15.42578125" bestFit="1" customWidth="1"/>
    <col min="7680" max="7680" width="16.5703125" bestFit="1" customWidth="1"/>
    <col min="7681" max="7681" width="12" bestFit="1" customWidth="1"/>
    <col min="7682" max="7682" width="28" customWidth="1"/>
    <col min="7683" max="7683" width="11" customWidth="1"/>
    <col min="7684" max="7685" width="9.28515625" customWidth="1"/>
    <col min="7686" max="7686" width="51.7109375" customWidth="1"/>
    <col min="7687" max="7689" width="12.28515625" customWidth="1"/>
    <col min="7690" max="7690" width="21.42578125" bestFit="1" customWidth="1"/>
    <col min="7691" max="7691" width="18.28515625" bestFit="1" customWidth="1"/>
    <col min="7692" max="7692" width="17.5703125" bestFit="1" customWidth="1"/>
    <col min="7927" max="7927" width="5.7109375" customWidth="1"/>
    <col min="7928" max="7928" width="9.28515625" customWidth="1"/>
    <col min="7929" max="7929" width="51.7109375" customWidth="1"/>
    <col min="7930" max="7930" width="19" customWidth="1"/>
    <col min="7931" max="7931" width="12.42578125" customWidth="1"/>
    <col min="7932" max="7932" width="16" bestFit="1" customWidth="1"/>
    <col min="7933" max="7933" width="12.28515625" customWidth="1"/>
    <col min="7934" max="7934" width="21.42578125" bestFit="1" customWidth="1"/>
    <col min="7935" max="7935" width="15.42578125" bestFit="1" customWidth="1"/>
    <col min="7936" max="7936" width="16.5703125" bestFit="1" customWidth="1"/>
    <col min="7937" max="7937" width="12" bestFit="1" customWidth="1"/>
    <col min="7938" max="7938" width="28" customWidth="1"/>
    <col min="7939" max="7939" width="11" customWidth="1"/>
    <col min="7940" max="7941" width="9.28515625" customWidth="1"/>
    <col min="7942" max="7942" width="51.7109375" customWidth="1"/>
    <col min="7943" max="7945" width="12.28515625" customWidth="1"/>
    <col min="7946" max="7946" width="21.42578125" bestFit="1" customWidth="1"/>
    <col min="7947" max="7947" width="18.28515625" bestFit="1" customWidth="1"/>
    <col min="7948" max="7948" width="17.5703125" bestFit="1" customWidth="1"/>
    <col min="8183" max="8183" width="5.7109375" customWidth="1"/>
    <col min="8184" max="8184" width="9.28515625" customWidth="1"/>
    <col min="8185" max="8185" width="51.7109375" customWidth="1"/>
    <col min="8186" max="8186" width="19" customWidth="1"/>
    <col min="8187" max="8187" width="12.42578125" customWidth="1"/>
    <col min="8188" max="8188" width="16" bestFit="1" customWidth="1"/>
    <col min="8189" max="8189" width="12.28515625" customWidth="1"/>
    <col min="8190" max="8190" width="21.42578125" bestFit="1" customWidth="1"/>
    <col min="8191" max="8191" width="15.42578125" bestFit="1" customWidth="1"/>
    <col min="8192" max="8192" width="16.5703125" bestFit="1" customWidth="1"/>
    <col min="8193" max="8193" width="12" bestFit="1" customWidth="1"/>
    <col min="8194" max="8194" width="28" customWidth="1"/>
    <col min="8195" max="8195" width="11" customWidth="1"/>
    <col min="8196" max="8197" width="9.28515625" customWidth="1"/>
    <col min="8198" max="8198" width="51.7109375" customWidth="1"/>
    <col min="8199" max="8201" width="12.28515625" customWidth="1"/>
    <col min="8202" max="8202" width="21.42578125" bestFit="1" customWidth="1"/>
    <col min="8203" max="8203" width="18.28515625" bestFit="1" customWidth="1"/>
    <col min="8204" max="8204" width="17.5703125" bestFit="1" customWidth="1"/>
    <col min="8439" max="8439" width="5.7109375" customWidth="1"/>
    <col min="8440" max="8440" width="9.28515625" customWidth="1"/>
    <col min="8441" max="8441" width="51.7109375" customWidth="1"/>
    <col min="8442" max="8442" width="19" customWidth="1"/>
    <col min="8443" max="8443" width="12.42578125" customWidth="1"/>
    <col min="8444" max="8444" width="16" bestFit="1" customWidth="1"/>
    <col min="8445" max="8445" width="12.28515625" customWidth="1"/>
    <col min="8446" max="8446" width="21.42578125" bestFit="1" customWidth="1"/>
    <col min="8447" max="8447" width="15.42578125" bestFit="1" customWidth="1"/>
    <col min="8448" max="8448" width="16.5703125" bestFit="1" customWidth="1"/>
    <col min="8449" max="8449" width="12" bestFit="1" customWidth="1"/>
    <col min="8450" max="8450" width="28" customWidth="1"/>
    <col min="8451" max="8451" width="11" customWidth="1"/>
    <col min="8452" max="8453" width="9.28515625" customWidth="1"/>
    <col min="8454" max="8454" width="51.7109375" customWidth="1"/>
    <col min="8455" max="8457" width="12.28515625" customWidth="1"/>
    <col min="8458" max="8458" width="21.42578125" bestFit="1" customWidth="1"/>
    <col min="8459" max="8459" width="18.28515625" bestFit="1" customWidth="1"/>
    <col min="8460" max="8460" width="17.5703125" bestFit="1" customWidth="1"/>
    <col min="8695" max="8695" width="5.7109375" customWidth="1"/>
    <col min="8696" max="8696" width="9.28515625" customWidth="1"/>
    <col min="8697" max="8697" width="51.7109375" customWidth="1"/>
    <col min="8698" max="8698" width="19" customWidth="1"/>
    <col min="8699" max="8699" width="12.42578125" customWidth="1"/>
    <col min="8700" max="8700" width="16" bestFit="1" customWidth="1"/>
    <col min="8701" max="8701" width="12.28515625" customWidth="1"/>
    <col min="8702" max="8702" width="21.42578125" bestFit="1" customWidth="1"/>
    <col min="8703" max="8703" width="15.42578125" bestFit="1" customWidth="1"/>
    <col min="8704" max="8704" width="16.5703125" bestFit="1" customWidth="1"/>
    <col min="8705" max="8705" width="12" bestFit="1" customWidth="1"/>
    <col min="8706" max="8706" width="28" customWidth="1"/>
    <col min="8707" max="8707" width="11" customWidth="1"/>
    <col min="8708" max="8709" width="9.28515625" customWidth="1"/>
    <col min="8710" max="8710" width="51.7109375" customWidth="1"/>
    <col min="8711" max="8713" width="12.28515625" customWidth="1"/>
    <col min="8714" max="8714" width="21.42578125" bestFit="1" customWidth="1"/>
    <col min="8715" max="8715" width="18.28515625" bestFit="1" customWidth="1"/>
    <col min="8716" max="8716" width="17.5703125" bestFit="1" customWidth="1"/>
    <col min="8951" max="8951" width="5.7109375" customWidth="1"/>
    <col min="8952" max="8952" width="9.28515625" customWidth="1"/>
    <col min="8953" max="8953" width="51.7109375" customWidth="1"/>
    <col min="8954" max="8954" width="19" customWidth="1"/>
    <col min="8955" max="8955" width="12.42578125" customWidth="1"/>
    <col min="8956" max="8956" width="16" bestFit="1" customWidth="1"/>
    <col min="8957" max="8957" width="12.28515625" customWidth="1"/>
    <col min="8958" max="8958" width="21.42578125" bestFit="1" customWidth="1"/>
    <col min="8959" max="8959" width="15.42578125" bestFit="1" customWidth="1"/>
    <col min="8960" max="8960" width="16.5703125" bestFit="1" customWidth="1"/>
    <col min="8961" max="8961" width="12" bestFit="1" customWidth="1"/>
    <col min="8962" max="8962" width="28" customWidth="1"/>
    <col min="8963" max="8963" width="11" customWidth="1"/>
    <col min="8964" max="8965" width="9.28515625" customWidth="1"/>
    <col min="8966" max="8966" width="51.7109375" customWidth="1"/>
    <col min="8967" max="8969" width="12.28515625" customWidth="1"/>
    <col min="8970" max="8970" width="21.42578125" bestFit="1" customWidth="1"/>
    <col min="8971" max="8971" width="18.28515625" bestFit="1" customWidth="1"/>
    <col min="8972" max="8972" width="17.5703125" bestFit="1" customWidth="1"/>
    <col min="9207" max="9207" width="5.7109375" customWidth="1"/>
    <col min="9208" max="9208" width="9.28515625" customWidth="1"/>
    <col min="9209" max="9209" width="51.7109375" customWidth="1"/>
    <col min="9210" max="9210" width="19" customWidth="1"/>
    <col min="9211" max="9211" width="12.42578125" customWidth="1"/>
    <col min="9212" max="9212" width="16" bestFit="1" customWidth="1"/>
    <col min="9213" max="9213" width="12.28515625" customWidth="1"/>
    <col min="9214" max="9214" width="21.42578125" bestFit="1" customWidth="1"/>
    <col min="9215" max="9215" width="15.42578125" bestFit="1" customWidth="1"/>
    <col min="9216" max="9216" width="16.5703125" bestFit="1" customWidth="1"/>
    <col min="9217" max="9217" width="12" bestFit="1" customWidth="1"/>
    <col min="9218" max="9218" width="28" customWidth="1"/>
    <col min="9219" max="9219" width="11" customWidth="1"/>
    <col min="9220" max="9221" width="9.28515625" customWidth="1"/>
    <col min="9222" max="9222" width="51.7109375" customWidth="1"/>
    <col min="9223" max="9225" width="12.28515625" customWidth="1"/>
    <col min="9226" max="9226" width="21.42578125" bestFit="1" customWidth="1"/>
    <col min="9227" max="9227" width="18.28515625" bestFit="1" customWidth="1"/>
    <col min="9228" max="9228" width="17.5703125" bestFit="1" customWidth="1"/>
    <col min="9463" max="9463" width="5.7109375" customWidth="1"/>
    <col min="9464" max="9464" width="9.28515625" customWidth="1"/>
    <col min="9465" max="9465" width="51.7109375" customWidth="1"/>
    <col min="9466" max="9466" width="19" customWidth="1"/>
    <col min="9467" max="9467" width="12.42578125" customWidth="1"/>
    <col min="9468" max="9468" width="16" bestFit="1" customWidth="1"/>
    <col min="9469" max="9469" width="12.28515625" customWidth="1"/>
    <col min="9470" max="9470" width="21.42578125" bestFit="1" customWidth="1"/>
    <col min="9471" max="9471" width="15.42578125" bestFit="1" customWidth="1"/>
    <col min="9472" max="9472" width="16.5703125" bestFit="1" customWidth="1"/>
    <col min="9473" max="9473" width="12" bestFit="1" customWidth="1"/>
    <col min="9474" max="9474" width="28" customWidth="1"/>
    <col min="9475" max="9475" width="11" customWidth="1"/>
    <col min="9476" max="9477" width="9.28515625" customWidth="1"/>
    <col min="9478" max="9478" width="51.7109375" customWidth="1"/>
    <col min="9479" max="9481" width="12.28515625" customWidth="1"/>
    <col min="9482" max="9482" width="21.42578125" bestFit="1" customWidth="1"/>
    <col min="9483" max="9483" width="18.28515625" bestFit="1" customWidth="1"/>
    <col min="9484" max="9484" width="17.5703125" bestFit="1" customWidth="1"/>
    <col min="9719" max="9719" width="5.7109375" customWidth="1"/>
    <col min="9720" max="9720" width="9.28515625" customWidth="1"/>
    <col min="9721" max="9721" width="51.7109375" customWidth="1"/>
    <col min="9722" max="9722" width="19" customWidth="1"/>
    <col min="9723" max="9723" width="12.42578125" customWidth="1"/>
    <col min="9724" max="9724" width="16" bestFit="1" customWidth="1"/>
    <col min="9725" max="9725" width="12.28515625" customWidth="1"/>
    <col min="9726" max="9726" width="21.42578125" bestFit="1" customWidth="1"/>
    <col min="9727" max="9727" width="15.42578125" bestFit="1" customWidth="1"/>
    <col min="9728" max="9728" width="16.5703125" bestFit="1" customWidth="1"/>
    <col min="9729" max="9729" width="12" bestFit="1" customWidth="1"/>
    <col min="9730" max="9730" width="28" customWidth="1"/>
    <col min="9731" max="9731" width="11" customWidth="1"/>
    <col min="9732" max="9733" width="9.28515625" customWidth="1"/>
    <col min="9734" max="9734" width="51.7109375" customWidth="1"/>
    <col min="9735" max="9737" width="12.28515625" customWidth="1"/>
    <col min="9738" max="9738" width="21.42578125" bestFit="1" customWidth="1"/>
    <col min="9739" max="9739" width="18.28515625" bestFit="1" customWidth="1"/>
    <col min="9740" max="9740" width="17.5703125" bestFit="1" customWidth="1"/>
    <col min="9975" max="9975" width="5.7109375" customWidth="1"/>
    <col min="9976" max="9976" width="9.28515625" customWidth="1"/>
    <col min="9977" max="9977" width="51.7109375" customWidth="1"/>
    <col min="9978" max="9978" width="19" customWidth="1"/>
    <col min="9979" max="9979" width="12.42578125" customWidth="1"/>
    <col min="9980" max="9980" width="16" bestFit="1" customWidth="1"/>
    <col min="9981" max="9981" width="12.28515625" customWidth="1"/>
    <col min="9982" max="9982" width="21.42578125" bestFit="1" customWidth="1"/>
    <col min="9983" max="9983" width="15.42578125" bestFit="1" customWidth="1"/>
    <col min="9984" max="9984" width="16.5703125" bestFit="1" customWidth="1"/>
    <col min="9985" max="9985" width="12" bestFit="1" customWidth="1"/>
    <col min="9986" max="9986" width="28" customWidth="1"/>
    <col min="9987" max="9987" width="11" customWidth="1"/>
    <col min="9988" max="9989" width="9.28515625" customWidth="1"/>
    <col min="9990" max="9990" width="51.7109375" customWidth="1"/>
    <col min="9991" max="9993" width="12.28515625" customWidth="1"/>
    <col min="9994" max="9994" width="21.42578125" bestFit="1" customWidth="1"/>
    <col min="9995" max="9995" width="18.28515625" bestFit="1" customWidth="1"/>
    <col min="9996" max="9996" width="17.5703125" bestFit="1" customWidth="1"/>
    <col min="10231" max="10231" width="5.7109375" customWidth="1"/>
    <col min="10232" max="10232" width="9.28515625" customWidth="1"/>
    <col min="10233" max="10233" width="51.7109375" customWidth="1"/>
    <col min="10234" max="10234" width="19" customWidth="1"/>
    <col min="10235" max="10235" width="12.42578125" customWidth="1"/>
    <col min="10236" max="10236" width="16" bestFit="1" customWidth="1"/>
    <col min="10237" max="10237" width="12.28515625" customWidth="1"/>
    <col min="10238" max="10238" width="21.42578125" bestFit="1" customWidth="1"/>
    <col min="10239" max="10239" width="15.42578125" bestFit="1" customWidth="1"/>
    <col min="10240" max="10240" width="16.5703125" bestFit="1" customWidth="1"/>
    <col min="10241" max="10241" width="12" bestFit="1" customWidth="1"/>
    <col min="10242" max="10242" width="28" customWidth="1"/>
    <col min="10243" max="10243" width="11" customWidth="1"/>
    <col min="10244" max="10245" width="9.28515625" customWidth="1"/>
    <col min="10246" max="10246" width="51.7109375" customWidth="1"/>
    <col min="10247" max="10249" width="12.28515625" customWidth="1"/>
    <col min="10250" max="10250" width="21.42578125" bestFit="1" customWidth="1"/>
    <col min="10251" max="10251" width="18.28515625" bestFit="1" customWidth="1"/>
    <col min="10252" max="10252" width="17.5703125" bestFit="1" customWidth="1"/>
    <col min="10487" max="10487" width="5.7109375" customWidth="1"/>
    <col min="10488" max="10488" width="9.28515625" customWidth="1"/>
    <col min="10489" max="10489" width="51.7109375" customWidth="1"/>
    <col min="10490" max="10490" width="19" customWidth="1"/>
    <col min="10491" max="10491" width="12.42578125" customWidth="1"/>
    <col min="10492" max="10492" width="16" bestFit="1" customWidth="1"/>
    <col min="10493" max="10493" width="12.28515625" customWidth="1"/>
    <col min="10494" max="10494" width="21.42578125" bestFit="1" customWidth="1"/>
    <col min="10495" max="10495" width="15.42578125" bestFit="1" customWidth="1"/>
    <col min="10496" max="10496" width="16.5703125" bestFit="1" customWidth="1"/>
    <col min="10497" max="10497" width="12" bestFit="1" customWidth="1"/>
    <col min="10498" max="10498" width="28" customWidth="1"/>
    <col min="10499" max="10499" width="11" customWidth="1"/>
    <col min="10500" max="10501" width="9.28515625" customWidth="1"/>
    <col min="10502" max="10502" width="51.7109375" customWidth="1"/>
    <col min="10503" max="10505" width="12.28515625" customWidth="1"/>
    <col min="10506" max="10506" width="21.42578125" bestFit="1" customWidth="1"/>
    <col min="10507" max="10507" width="18.28515625" bestFit="1" customWidth="1"/>
    <col min="10508" max="10508" width="17.5703125" bestFit="1" customWidth="1"/>
    <col min="10743" max="10743" width="5.7109375" customWidth="1"/>
    <col min="10744" max="10744" width="9.28515625" customWidth="1"/>
    <col min="10745" max="10745" width="51.7109375" customWidth="1"/>
    <col min="10746" max="10746" width="19" customWidth="1"/>
    <col min="10747" max="10747" width="12.42578125" customWidth="1"/>
    <col min="10748" max="10748" width="16" bestFit="1" customWidth="1"/>
    <col min="10749" max="10749" width="12.28515625" customWidth="1"/>
    <col min="10750" max="10750" width="21.42578125" bestFit="1" customWidth="1"/>
    <col min="10751" max="10751" width="15.42578125" bestFit="1" customWidth="1"/>
    <col min="10752" max="10752" width="16.5703125" bestFit="1" customWidth="1"/>
    <col min="10753" max="10753" width="12" bestFit="1" customWidth="1"/>
    <col min="10754" max="10754" width="28" customWidth="1"/>
    <col min="10755" max="10755" width="11" customWidth="1"/>
    <col min="10756" max="10757" width="9.28515625" customWidth="1"/>
    <col min="10758" max="10758" width="51.7109375" customWidth="1"/>
    <col min="10759" max="10761" width="12.28515625" customWidth="1"/>
    <col min="10762" max="10762" width="21.42578125" bestFit="1" customWidth="1"/>
    <col min="10763" max="10763" width="18.28515625" bestFit="1" customWidth="1"/>
    <col min="10764" max="10764" width="17.5703125" bestFit="1" customWidth="1"/>
    <col min="10999" max="10999" width="5.7109375" customWidth="1"/>
    <col min="11000" max="11000" width="9.28515625" customWidth="1"/>
    <col min="11001" max="11001" width="51.7109375" customWidth="1"/>
    <col min="11002" max="11002" width="19" customWidth="1"/>
    <col min="11003" max="11003" width="12.42578125" customWidth="1"/>
    <col min="11004" max="11004" width="16" bestFit="1" customWidth="1"/>
    <col min="11005" max="11005" width="12.28515625" customWidth="1"/>
    <col min="11006" max="11006" width="21.42578125" bestFit="1" customWidth="1"/>
    <col min="11007" max="11007" width="15.42578125" bestFit="1" customWidth="1"/>
    <col min="11008" max="11008" width="16.5703125" bestFit="1" customWidth="1"/>
    <col min="11009" max="11009" width="12" bestFit="1" customWidth="1"/>
    <col min="11010" max="11010" width="28" customWidth="1"/>
    <col min="11011" max="11011" width="11" customWidth="1"/>
    <col min="11012" max="11013" width="9.28515625" customWidth="1"/>
    <col min="11014" max="11014" width="51.7109375" customWidth="1"/>
    <col min="11015" max="11017" width="12.28515625" customWidth="1"/>
    <col min="11018" max="11018" width="21.42578125" bestFit="1" customWidth="1"/>
    <col min="11019" max="11019" width="18.28515625" bestFit="1" customWidth="1"/>
    <col min="11020" max="11020" width="17.5703125" bestFit="1" customWidth="1"/>
    <col min="11255" max="11255" width="5.7109375" customWidth="1"/>
    <col min="11256" max="11256" width="9.28515625" customWidth="1"/>
    <col min="11257" max="11257" width="51.7109375" customWidth="1"/>
    <col min="11258" max="11258" width="19" customWidth="1"/>
    <col min="11259" max="11259" width="12.42578125" customWidth="1"/>
    <col min="11260" max="11260" width="16" bestFit="1" customWidth="1"/>
    <col min="11261" max="11261" width="12.28515625" customWidth="1"/>
    <col min="11262" max="11262" width="21.42578125" bestFit="1" customWidth="1"/>
    <col min="11263" max="11263" width="15.42578125" bestFit="1" customWidth="1"/>
    <col min="11264" max="11264" width="16.5703125" bestFit="1" customWidth="1"/>
    <col min="11265" max="11265" width="12" bestFit="1" customWidth="1"/>
    <col min="11266" max="11266" width="28" customWidth="1"/>
    <col min="11267" max="11267" width="11" customWidth="1"/>
    <col min="11268" max="11269" width="9.28515625" customWidth="1"/>
    <col min="11270" max="11270" width="51.7109375" customWidth="1"/>
    <col min="11271" max="11273" width="12.28515625" customWidth="1"/>
    <col min="11274" max="11274" width="21.42578125" bestFit="1" customWidth="1"/>
    <col min="11275" max="11275" width="18.28515625" bestFit="1" customWidth="1"/>
    <col min="11276" max="11276" width="17.5703125" bestFit="1" customWidth="1"/>
    <col min="11511" max="11511" width="5.7109375" customWidth="1"/>
    <col min="11512" max="11512" width="9.28515625" customWidth="1"/>
    <col min="11513" max="11513" width="51.7109375" customWidth="1"/>
    <col min="11514" max="11514" width="19" customWidth="1"/>
    <col min="11515" max="11515" width="12.42578125" customWidth="1"/>
    <col min="11516" max="11516" width="16" bestFit="1" customWidth="1"/>
    <col min="11517" max="11517" width="12.28515625" customWidth="1"/>
    <col min="11518" max="11518" width="21.42578125" bestFit="1" customWidth="1"/>
    <col min="11519" max="11519" width="15.42578125" bestFit="1" customWidth="1"/>
    <col min="11520" max="11520" width="16.5703125" bestFit="1" customWidth="1"/>
    <col min="11521" max="11521" width="12" bestFit="1" customWidth="1"/>
    <col min="11522" max="11522" width="28" customWidth="1"/>
    <col min="11523" max="11523" width="11" customWidth="1"/>
    <col min="11524" max="11525" width="9.28515625" customWidth="1"/>
    <col min="11526" max="11526" width="51.7109375" customWidth="1"/>
    <col min="11527" max="11529" width="12.28515625" customWidth="1"/>
    <col min="11530" max="11530" width="21.42578125" bestFit="1" customWidth="1"/>
    <col min="11531" max="11531" width="18.28515625" bestFit="1" customWidth="1"/>
    <col min="11532" max="11532" width="17.5703125" bestFit="1" customWidth="1"/>
    <col min="11767" max="11767" width="5.7109375" customWidth="1"/>
    <col min="11768" max="11768" width="9.28515625" customWidth="1"/>
    <col min="11769" max="11769" width="51.7109375" customWidth="1"/>
    <col min="11770" max="11770" width="19" customWidth="1"/>
    <col min="11771" max="11771" width="12.42578125" customWidth="1"/>
    <col min="11772" max="11772" width="16" bestFit="1" customWidth="1"/>
    <col min="11773" max="11773" width="12.28515625" customWidth="1"/>
    <col min="11774" max="11774" width="21.42578125" bestFit="1" customWidth="1"/>
    <col min="11775" max="11775" width="15.42578125" bestFit="1" customWidth="1"/>
    <col min="11776" max="11776" width="16.5703125" bestFit="1" customWidth="1"/>
    <col min="11777" max="11777" width="12" bestFit="1" customWidth="1"/>
    <col min="11778" max="11778" width="28" customWidth="1"/>
    <col min="11779" max="11779" width="11" customWidth="1"/>
    <col min="11780" max="11781" width="9.28515625" customWidth="1"/>
    <col min="11782" max="11782" width="51.7109375" customWidth="1"/>
    <col min="11783" max="11785" width="12.28515625" customWidth="1"/>
    <col min="11786" max="11786" width="21.42578125" bestFit="1" customWidth="1"/>
    <col min="11787" max="11787" width="18.28515625" bestFit="1" customWidth="1"/>
    <col min="11788" max="11788" width="17.5703125" bestFit="1" customWidth="1"/>
    <col min="12023" max="12023" width="5.7109375" customWidth="1"/>
    <col min="12024" max="12024" width="9.28515625" customWidth="1"/>
    <col min="12025" max="12025" width="51.7109375" customWidth="1"/>
    <col min="12026" max="12026" width="19" customWidth="1"/>
    <col min="12027" max="12027" width="12.42578125" customWidth="1"/>
    <col min="12028" max="12028" width="16" bestFit="1" customWidth="1"/>
    <col min="12029" max="12029" width="12.28515625" customWidth="1"/>
    <col min="12030" max="12030" width="21.42578125" bestFit="1" customWidth="1"/>
    <col min="12031" max="12031" width="15.42578125" bestFit="1" customWidth="1"/>
    <col min="12032" max="12032" width="16.5703125" bestFit="1" customWidth="1"/>
    <col min="12033" max="12033" width="12" bestFit="1" customWidth="1"/>
    <col min="12034" max="12034" width="28" customWidth="1"/>
    <col min="12035" max="12035" width="11" customWidth="1"/>
    <col min="12036" max="12037" width="9.28515625" customWidth="1"/>
    <col min="12038" max="12038" width="51.7109375" customWidth="1"/>
    <col min="12039" max="12041" width="12.28515625" customWidth="1"/>
    <col min="12042" max="12042" width="21.42578125" bestFit="1" customWidth="1"/>
    <col min="12043" max="12043" width="18.28515625" bestFit="1" customWidth="1"/>
    <col min="12044" max="12044" width="17.5703125" bestFit="1" customWidth="1"/>
    <col min="12279" max="12279" width="5.7109375" customWidth="1"/>
    <col min="12280" max="12280" width="9.28515625" customWidth="1"/>
    <col min="12281" max="12281" width="51.7109375" customWidth="1"/>
    <col min="12282" max="12282" width="19" customWidth="1"/>
    <col min="12283" max="12283" width="12.42578125" customWidth="1"/>
    <col min="12284" max="12284" width="16" bestFit="1" customWidth="1"/>
    <col min="12285" max="12285" width="12.28515625" customWidth="1"/>
    <col min="12286" max="12286" width="21.42578125" bestFit="1" customWidth="1"/>
    <col min="12287" max="12287" width="15.42578125" bestFit="1" customWidth="1"/>
    <col min="12288" max="12288" width="16.5703125" bestFit="1" customWidth="1"/>
    <col min="12289" max="12289" width="12" bestFit="1" customWidth="1"/>
    <col min="12290" max="12290" width="28" customWidth="1"/>
    <col min="12291" max="12291" width="11" customWidth="1"/>
    <col min="12292" max="12293" width="9.28515625" customWidth="1"/>
    <col min="12294" max="12294" width="51.7109375" customWidth="1"/>
    <col min="12295" max="12297" width="12.28515625" customWidth="1"/>
    <col min="12298" max="12298" width="21.42578125" bestFit="1" customWidth="1"/>
    <col min="12299" max="12299" width="18.28515625" bestFit="1" customWidth="1"/>
    <col min="12300" max="12300" width="17.5703125" bestFit="1" customWidth="1"/>
    <col min="12535" max="12535" width="5.7109375" customWidth="1"/>
    <col min="12536" max="12536" width="9.28515625" customWidth="1"/>
    <col min="12537" max="12537" width="51.7109375" customWidth="1"/>
    <col min="12538" max="12538" width="19" customWidth="1"/>
    <col min="12539" max="12539" width="12.42578125" customWidth="1"/>
    <col min="12540" max="12540" width="16" bestFit="1" customWidth="1"/>
    <col min="12541" max="12541" width="12.28515625" customWidth="1"/>
    <col min="12542" max="12542" width="21.42578125" bestFit="1" customWidth="1"/>
    <col min="12543" max="12543" width="15.42578125" bestFit="1" customWidth="1"/>
    <col min="12544" max="12544" width="16.5703125" bestFit="1" customWidth="1"/>
    <col min="12545" max="12545" width="12" bestFit="1" customWidth="1"/>
    <col min="12546" max="12546" width="28" customWidth="1"/>
    <col min="12547" max="12547" width="11" customWidth="1"/>
    <col min="12548" max="12549" width="9.28515625" customWidth="1"/>
    <col min="12550" max="12550" width="51.7109375" customWidth="1"/>
    <col min="12551" max="12553" width="12.28515625" customWidth="1"/>
    <col min="12554" max="12554" width="21.42578125" bestFit="1" customWidth="1"/>
    <col min="12555" max="12555" width="18.28515625" bestFit="1" customWidth="1"/>
    <col min="12556" max="12556" width="17.5703125" bestFit="1" customWidth="1"/>
    <col min="12791" max="12791" width="5.7109375" customWidth="1"/>
    <col min="12792" max="12792" width="9.28515625" customWidth="1"/>
    <col min="12793" max="12793" width="51.7109375" customWidth="1"/>
    <col min="12794" max="12794" width="19" customWidth="1"/>
    <col min="12795" max="12795" width="12.42578125" customWidth="1"/>
    <col min="12796" max="12796" width="16" bestFit="1" customWidth="1"/>
    <col min="12797" max="12797" width="12.28515625" customWidth="1"/>
    <col min="12798" max="12798" width="21.42578125" bestFit="1" customWidth="1"/>
    <col min="12799" max="12799" width="15.42578125" bestFit="1" customWidth="1"/>
    <col min="12800" max="12800" width="16.5703125" bestFit="1" customWidth="1"/>
    <col min="12801" max="12801" width="12" bestFit="1" customWidth="1"/>
    <col min="12802" max="12802" width="28" customWidth="1"/>
    <col min="12803" max="12803" width="11" customWidth="1"/>
    <col min="12804" max="12805" width="9.28515625" customWidth="1"/>
    <col min="12806" max="12806" width="51.7109375" customWidth="1"/>
    <col min="12807" max="12809" width="12.28515625" customWidth="1"/>
    <col min="12810" max="12810" width="21.42578125" bestFit="1" customWidth="1"/>
    <col min="12811" max="12811" width="18.28515625" bestFit="1" customWidth="1"/>
    <col min="12812" max="12812" width="17.5703125" bestFit="1" customWidth="1"/>
    <col min="13047" max="13047" width="5.7109375" customWidth="1"/>
    <col min="13048" max="13048" width="9.28515625" customWidth="1"/>
    <col min="13049" max="13049" width="51.7109375" customWidth="1"/>
    <col min="13050" max="13050" width="19" customWidth="1"/>
    <col min="13051" max="13051" width="12.42578125" customWidth="1"/>
    <col min="13052" max="13052" width="16" bestFit="1" customWidth="1"/>
    <col min="13053" max="13053" width="12.28515625" customWidth="1"/>
    <col min="13054" max="13054" width="21.42578125" bestFit="1" customWidth="1"/>
    <col min="13055" max="13055" width="15.42578125" bestFit="1" customWidth="1"/>
    <col min="13056" max="13056" width="16.5703125" bestFit="1" customWidth="1"/>
    <col min="13057" max="13057" width="12" bestFit="1" customWidth="1"/>
    <col min="13058" max="13058" width="28" customWidth="1"/>
    <col min="13059" max="13059" width="11" customWidth="1"/>
    <col min="13060" max="13061" width="9.28515625" customWidth="1"/>
    <col min="13062" max="13062" width="51.7109375" customWidth="1"/>
    <col min="13063" max="13065" width="12.28515625" customWidth="1"/>
    <col min="13066" max="13066" width="21.42578125" bestFit="1" customWidth="1"/>
    <col min="13067" max="13067" width="18.28515625" bestFit="1" customWidth="1"/>
    <col min="13068" max="13068" width="17.5703125" bestFit="1" customWidth="1"/>
    <col min="13303" max="13303" width="5.7109375" customWidth="1"/>
    <col min="13304" max="13304" width="9.28515625" customWidth="1"/>
    <col min="13305" max="13305" width="51.7109375" customWidth="1"/>
    <col min="13306" max="13306" width="19" customWidth="1"/>
    <col min="13307" max="13307" width="12.42578125" customWidth="1"/>
    <col min="13308" max="13308" width="16" bestFit="1" customWidth="1"/>
    <col min="13309" max="13309" width="12.28515625" customWidth="1"/>
    <col min="13310" max="13310" width="21.42578125" bestFit="1" customWidth="1"/>
    <col min="13311" max="13311" width="15.42578125" bestFit="1" customWidth="1"/>
    <col min="13312" max="13312" width="16.5703125" bestFit="1" customWidth="1"/>
    <col min="13313" max="13313" width="12" bestFit="1" customWidth="1"/>
    <col min="13314" max="13314" width="28" customWidth="1"/>
    <col min="13315" max="13315" width="11" customWidth="1"/>
    <col min="13316" max="13317" width="9.28515625" customWidth="1"/>
    <col min="13318" max="13318" width="51.7109375" customWidth="1"/>
    <col min="13319" max="13321" width="12.28515625" customWidth="1"/>
    <col min="13322" max="13322" width="21.42578125" bestFit="1" customWidth="1"/>
    <col min="13323" max="13323" width="18.28515625" bestFit="1" customWidth="1"/>
    <col min="13324" max="13324" width="17.5703125" bestFit="1" customWidth="1"/>
    <col min="13559" max="13559" width="5.7109375" customWidth="1"/>
    <col min="13560" max="13560" width="9.28515625" customWidth="1"/>
    <col min="13561" max="13561" width="51.7109375" customWidth="1"/>
    <col min="13562" max="13562" width="19" customWidth="1"/>
    <col min="13563" max="13563" width="12.42578125" customWidth="1"/>
    <col min="13564" max="13564" width="16" bestFit="1" customWidth="1"/>
    <col min="13565" max="13565" width="12.28515625" customWidth="1"/>
    <col min="13566" max="13566" width="21.42578125" bestFit="1" customWidth="1"/>
    <col min="13567" max="13567" width="15.42578125" bestFit="1" customWidth="1"/>
    <col min="13568" max="13568" width="16.5703125" bestFit="1" customWidth="1"/>
    <col min="13569" max="13569" width="12" bestFit="1" customWidth="1"/>
    <col min="13570" max="13570" width="28" customWidth="1"/>
    <col min="13571" max="13571" width="11" customWidth="1"/>
    <col min="13572" max="13573" width="9.28515625" customWidth="1"/>
    <col min="13574" max="13574" width="51.7109375" customWidth="1"/>
    <col min="13575" max="13577" width="12.28515625" customWidth="1"/>
    <col min="13578" max="13578" width="21.42578125" bestFit="1" customWidth="1"/>
    <col min="13579" max="13579" width="18.28515625" bestFit="1" customWidth="1"/>
    <col min="13580" max="13580" width="17.5703125" bestFit="1" customWidth="1"/>
    <col min="13815" max="13815" width="5.7109375" customWidth="1"/>
    <col min="13816" max="13816" width="9.28515625" customWidth="1"/>
    <col min="13817" max="13817" width="51.7109375" customWidth="1"/>
    <col min="13818" max="13818" width="19" customWidth="1"/>
    <col min="13819" max="13819" width="12.42578125" customWidth="1"/>
    <col min="13820" max="13820" width="16" bestFit="1" customWidth="1"/>
    <col min="13821" max="13821" width="12.28515625" customWidth="1"/>
    <col min="13822" max="13822" width="21.42578125" bestFit="1" customWidth="1"/>
    <col min="13823" max="13823" width="15.42578125" bestFit="1" customWidth="1"/>
    <col min="13824" max="13824" width="16.5703125" bestFit="1" customWidth="1"/>
    <col min="13825" max="13825" width="12" bestFit="1" customWidth="1"/>
    <col min="13826" max="13826" width="28" customWidth="1"/>
    <col min="13827" max="13827" width="11" customWidth="1"/>
    <col min="13828" max="13829" width="9.28515625" customWidth="1"/>
    <col min="13830" max="13830" width="51.7109375" customWidth="1"/>
    <col min="13831" max="13833" width="12.28515625" customWidth="1"/>
    <col min="13834" max="13834" width="21.42578125" bestFit="1" customWidth="1"/>
    <col min="13835" max="13835" width="18.28515625" bestFit="1" customWidth="1"/>
    <col min="13836" max="13836" width="17.5703125" bestFit="1" customWidth="1"/>
    <col min="14071" max="14071" width="5.7109375" customWidth="1"/>
    <col min="14072" max="14072" width="9.28515625" customWidth="1"/>
    <col min="14073" max="14073" width="51.7109375" customWidth="1"/>
    <col min="14074" max="14074" width="19" customWidth="1"/>
    <col min="14075" max="14075" width="12.42578125" customWidth="1"/>
    <col min="14076" max="14076" width="16" bestFit="1" customWidth="1"/>
    <col min="14077" max="14077" width="12.28515625" customWidth="1"/>
    <col min="14078" max="14078" width="21.42578125" bestFit="1" customWidth="1"/>
    <col min="14079" max="14079" width="15.42578125" bestFit="1" customWidth="1"/>
    <col min="14080" max="14080" width="16.5703125" bestFit="1" customWidth="1"/>
    <col min="14081" max="14081" width="12" bestFit="1" customWidth="1"/>
    <col min="14082" max="14082" width="28" customWidth="1"/>
    <col min="14083" max="14083" width="11" customWidth="1"/>
    <col min="14084" max="14085" width="9.28515625" customWidth="1"/>
    <col min="14086" max="14086" width="51.7109375" customWidth="1"/>
    <col min="14087" max="14089" width="12.28515625" customWidth="1"/>
    <col min="14090" max="14090" width="21.42578125" bestFit="1" customWidth="1"/>
    <col min="14091" max="14091" width="18.28515625" bestFit="1" customWidth="1"/>
    <col min="14092" max="14092" width="17.5703125" bestFit="1" customWidth="1"/>
    <col min="14327" max="14327" width="5.7109375" customWidth="1"/>
    <col min="14328" max="14328" width="9.28515625" customWidth="1"/>
    <col min="14329" max="14329" width="51.7109375" customWidth="1"/>
    <col min="14330" max="14330" width="19" customWidth="1"/>
    <col min="14331" max="14331" width="12.42578125" customWidth="1"/>
    <col min="14332" max="14332" width="16" bestFit="1" customWidth="1"/>
    <col min="14333" max="14333" width="12.28515625" customWidth="1"/>
    <col min="14334" max="14334" width="21.42578125" bestFit="1" customWidth="1"/>
    <col min="14335" max="14335" width="15.42578125" bestFit="1" customWidth="1"/>
    <col min="14336" max="14336" width="16.5703125" bestFit="1" customWidth="1"/>
    <col min="14337" max="14337" width="12" bestFit="1" customWidth="1"/>
    <col min="14338" max="14338" width="28" customWidth="1"/>
    <col min="14339" max="14339" width="11" customWidth="1"/>
    <col min="14340" max="14341" width="9.28515625" customWidth="1"/>
    <col min="14342" max="14342" width="51.7109375" customWidth="1"/>
    <col min="14343" max="14345" width="12.28515625" customWidth="1"/>
    <col min="14346" max="14346" width="21.42578125" bestFit="1" customWidth="1"/>
    <col min="14347" max="14347" width="18.28515625" bestFit="1" customWidth="1"/>
    <col min="14348" max="14348" width="17.5703125" bestFit="1" customWidth="1"/>
    <col min="14583" max="14583" width="5.7109375" customWidth="1"/>
    <col min="14584" max="14584" width="9.28515625" customWidth="1"/>
    <col min="14585" max="14585" width="51.7109375" customWidth="1"/>
    <col min="14586" max="14586" width="19" customWidth="1"/>
    <col min="14587" max="14587" width="12.42578125" customWidth="1"/>
    <col min="14588" max="14588" width="16" bestFit="1" customWidth="1"/>
    <col min="14589" max="14589" width="12.28515625" customWidth="1"/>
    <col min="14590" max="14590" width="21.42578125" bestFit="1" customWidth="1"/>
    <col min="14591" max="14591" width="15.42578125" bestFit="1" customWidth="1"/>
    <col min="14592" max="14592" width="16.5703125" bestFit="1" customWidth="1"/>
    <col min="14593" max="14593" width="12" bestFit="1" customWidth="1"/>
    <col min="14594" max="14594" width="28" customWidth="1"/>
    <col min="14595" max="14595" width="11" customWidth="1"/>
    <col min="14596" max="14597" width="9.28515625" customWidth="1"/>
    <col min="14598" max="14598" width="51.7109375" customWidth="1"/>
    <col min="14599" max="14601" width="12.28515625" customWidth="1"/>
    <col min="14602" max="14602" width="21.42578125" bestFit="1" customWidth="1"/>
    <col min="14603" max="14603" width="18.28515625" bestFit="1" customWidth="1"/>
    <col min="14604" max="14604" width="17.5703125" bestFit="1" customWidth="1"/>
    <col min="14839" max="14839" width="5.7109375" customWidth="1"/>
    <col min="14840" max="14840" width="9.28515625" customWidth="1"/>
    <col min="14841" max="14841" width="51.7109375" customWidth="1"/>
    <col min="14842" max="14842" width="19" customWidth="1"/>
    <col min="14843" max="14843" width="12.42578125" customWidth="1"/>
    <col min="14844" max="14844" width="16" bestFit="1" customWidth="1"/>
    <col min="14845" max="14845" width="12.28515625" customWidth="1"/>
    <col min="14846" max="14846" width="21.42578125" bestFit="1" customWidth="1"/>
    <col min="14847" max="14847" width="15.42578125" bestFit="1" customWidth="1"/>
    <col min="14848" max="14848" width="16.5703125" bestFit="1" customWidth="1"/>
    <col min="14849" max="14849" width="12" bestFit="1" customWidth="1"/>
    <col min="14850" max="14850" width="28" customWidth="1"/>
    <col min="14851" max="14851" width="11" customWidth="1"/>
    <col min="14852" max="14853" width="9.28515625" customWidth="1"/>
    <col min="14854" max="14854" width="51.7109375" customWidth="1"/>
    <col min="14855" max="14857" width="12.28515625" customWidth="1"/>
    <col min="14858" max="14858" width="21.42578125" bestFit="1" customWidth="1"/>
    <col min="14859" max="14859" width="18.28515625" bestFit="1" customWidth="1"/>
    <col min="14860" max="14860" width="17.5703125" bestFit="1" customWidth="1"/>
    <col min="15095" max="15095" width="5.7109375" customWidth="1"/>
    <col min="15096" max="15096" width="9.28515625" customWidth="1"/>
    <col min="15097" max="15097" width="51.7109375" customWidth="1"/>
    <col min="15098" max="15098" width="19" customWidth="1"/>
    <col min="15099" max="15099" width="12.42578125" customWidth="1"/>
    <col min="15100" max="15100" width="16" bestFit="1" customWidth="1"/>
    <col min="15101" max="15101" width="12.28515625" customWidth="1"/>
    <col min="15102" max="15102" width="21.42578125" bestFit="1" customWidth="1"/>
    <col min="15103" max="15103" width="15.42578125" bestFit="1" customWidth="1"/>
    <col min="15104" max="15104" width="16.5703125" bestFit="1" customWidth="1"/>
    <col min="15105" max="15105" width="12" bestFit="1" customWidth="1"/>
    <col min="15106" max="15106" width="28" customWidth="1"/>
    <col min="15107" max="15107" width="11" customWidth="1"/>
    <col min="15108" max="15109" width="9.28515625" customWidth="1"/>
    <col min="15110" max="15110" width="51.7109375" customWidth="1"/>
    <col min="15111" max="15113" width="12.28515625" customWidth="1"/>
    <col min="15114" max="15114" width="21.42578125" bestFit="1" customWidth="1"/>
    <col min="15115" max="15115" width="18.28515625" bestFit="1" customWidth="1"/>
    <col min="15116" max="15116" width="17.5703125" bestFit="1" customWidth="1"/>
    <col min="15351" max="15351" width="5.7109375" customWidth="1"/>
    <col min="15352" max="15352" width="9.28515625" customWidth="1"/>
    <col min="15353" max="15353" width="51.7109375" customWidth="1"/>
    <col min="15354" max="15354" width="19" customWidth="1"/>
    <col min="15355" max="15355" width="12.42578125" customWidth="1"/>
    <col min="15356" max="15356" width="16" bestFit="1" customWidth="1"/>
    <col min="15357" max="15357" width="12.28515625" customWidth="1"/>
    <col min="15358" max="15358" width="21.42578125" bestFit="1" customWidth="1"/>
    <col min="15359" max="15359" width="15.42578125" bestFit="1" customWidth="1"/>
    <col min="15360" max="15360" width="16.5703125" bestFit="1" customWidth="1"/>
    <col min="15361" max="15361" width="12" bestFit="1" customWidth="1"/>
    <col min="15362" max="15362" width="28" customWidth="1"/>
    <col min="15363" max="15363" width="11" customWidth="1"/>
    <col min="15364" max="15365" width="9.28515625" customWidth="1"/>
    <col min="15366" max="15366" width="51.7109375" customWidth="1"/>
    <col min="15367" max="15369" width="12.28515625" customWidth="1"/>
    <col min="15370" max="15370" width="21.42578125" bestFit="1" customWidth="1"/>
    <col min="15371" max="15371" width="18.28515625" bestFit="1" customWidth="1"/>
    <col min="15372" max="15372" width="17.5703125" bestFit="1" customWidth="1"/>
    <col min="15607" max="15607" width="5.7109375" customWidth="1"/>
    <col min="15608" max="15608" width="9.28515625" customWidth="1"/>
    <col min="15609" max="15609" width="51.7109375" customWidth="1"/>
    <col min="15610" max="15610" width="19" customWidth="1"/>
    <col min="15611" max="15611" width="12.42578125" customWidth="1"/>
    <col min="15612" max="15612" width="16" bestFit="1" customWidth="1"/>
    <col min="15613" max="15613" width="12.28515625" customWidth="1"/>
    <col min="15614" max="15614" width="21.42578125" bestFit="1" customWidth="1"/>
    <col min="15615" max="15615" width="15.42578125" bestFit="1" customWidth="1"/>
    <col min="15616" max="15616" width="16.5703125" bestFit="1" customWidth="1"/>
    <col min="15617" max="15617" width="12" bestFit="1" customWidth="1"/>
    <col min="15618" max="15618" width="28" customWidth="1"/>
    <col min="15619" max="15619" width="11" customWidth="1"/>
    <col min="15620" max="15621" width="9.28515625" customWidth="1"/>
    <col min="15622" max="15622" width="51.7109375" customWidth="1"/>
    <col min="15623" max="15625" width="12.28515625" customWidth="1"/>
    <col min="15626" max="15626" width="21.42578125" bestFit="1" customWidth="1"/>
    <col min="15627" max="15627" width="18.28515625" bestFit="1" customWidth="1"/>
    <col min="15628" max="15628" width="17.5703125" bestFit="1" customWidth="1"/>
    <col min="15863" max="15863" width="5.7109375" customWidth="1"/>
    <col min="15864" max="15864" width="9.28515625" customWidth="1"/>
    <col min="15865" max="15865" width="51.7109375" customWidth="1"/>
    <col min="15866" max="15866" width="19" customWidth="1"/>
    <col min="15867" max="15867" width="12.42578125" customWidth="1"/>
    <col min="15868" max="15868" width="16" bestFit="1" customWidth="1"/>
    <col min="15869" max="15869" width="12.28515625" customWidth="1"/>
    <col min="15870" max="15870" width="21.42578125" bestFit="1" customWidth="1"/>
    <col min="15871" max="15871" width="15.42578125" bestFit="1" customWidth="1"/>
    <col min="15872" max="15872" width="16.5703125" bestFit="1" customWidth="1"/>
    <col min="15873" max="15873" width="12" bestFit="1" customWidth="1"/>
    <col min="15874" max="15874" width="28" customWidth="1"/>
    <col min="15875" max="15875" width="11" customWidth="1"/>
    <col min="15876" max="15877" width="9.28515625" customWidth="1"/>
    <col min="15878" max="15878" width="51.7109375" customWidth="1"/>
    <col min="15879" max="15881" width="12.28515625" customWidth="1"/>
    <col min="15882" max="15882" width="21.42578125" bestFit="1" customWidth="1"/>
    <col min="15883" max="15883" width="18.28515625" bestFit="1" customWidth="1"/>
    <col min="15884" max="15884" width="17.5703125" bestFit="1" customWidth="1"/>
    <col min="16119" max="16119" width="5.7109375" customWidth="1"/>
    <col min="16120" max="16120" width="9.28515625" customWidth="1"/>
    <col min="16121" max="16121" width="51.7109375" customWidth="1"/>
    <col min="16122" max="16122" width="19" customWidth="1"/>
    <col min="16123" max="16123" width="12.42578125" customWidth="1"/>
    <col min="16124" max="16124" width="16" bestFit="1" customWidth="1"/>
    <col min="16125" max="16125" width="12.28515625" customWidth="1"/>
    <col min="16126" max="16126" width="21.42578125" bestFit="1" customWidth="1"/>
    <col min="16127" max="16127" width="15.42578125" bestFit="1" customWidth="1"/>
    <col min="16128" max="16128" width="16.5703125" bestFit="1" customWidth="1"/>
    <col min="16129" max="16129" width="12" bestFit="1" customWidth="1"/>
    <col min="16130" max="16130" width="28" customWidth="1"/>
    <col min="16131" max="16131" width="11" customWidth="1"/>
    <col min="16132" max="16133" width="9.28515625" customWidth="1"/>
    <col min="16134" max="16134" width="51.7109375" customWidth="1"/>
    <col min="16135" max="16137" width="12.28515625" customWidth="1"/>
    <col min="16138" max="16138" width="21.42578125" bestFit="1" customWidth="1"/>
    <col min="16139" max="16139" width="18.28515625" bestFit="1" customWidth="1"/>
    <col min="16140" max="16140" width="17.5703125" bestFit="1" customWidth="1"/>
  </cols>
  <sheetData>
    <row r="1" spans="1:14" s="8" customFormat="1" ht="30" customHeight="1" x14ac:dyDescent="0.25">
      <c r="A1" s="479" t="s">
        <v>327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384"/>
    </row>
    <row r="2" spans="1:14" s="3" customFormat="1" ht="19.5" customHeight="1" x14ac:dyDescent="0.25">
      <c r="A2" s="487" t="s">
        <v>2</v>
      </c>
      <c r="B2" s="483" t="s">
        <v>3</v>
      </c>
      <c r="C2" s="486" t="s">
        <v>4</v>
      </c>
      <c r="D2" s="487" t="s">
        <v>5</v>
      </c>
      <c r="E2" s="486" t="s">
        <v>6</v>
      </c>
      <c r="F2" s="486" t="s">
        <v>7</v>
      </c>
      <c r="G2" s="486" t="s">
        <v>8</v>
      </c>
      <c r="H2" s="488" t="s">
        <v>9</v>
      </c>
      <c r="I2" s="482" t="s">
        <v>10</v>
      </c>
      <c r="J2" s="483" t="s">
        <v>11</v>
      </c>
      <c r="K2" s="482" t="s">
        <v>12</v>
      </c>
      <c r="L2" s="483" t="s">
        <v>13</v>
      </c>
      <c r="M2" s="482" t="s">
        <v>14</v>
      </c>
      <c r="N2" s="385"/>
    </row>
    <row r="3" spans="1:14" s="3" customFormat="1" ht="26.25" customHeight="1" x14ac:dyDescent="0.25">
      <c r="A3" s="487"/>
      <c r="B3" s="483"/>
      <c r="C3" s="486"/>
      <c r="D3" s="487"/>
      <c r="E3" s="486"/>
      <c r="F3" s="486"/>
      <c r="G3" s="486"/>
      <c r="H3" s="488"/>
      <c r="I3" s="482"/>
      <c r="J3" s="483"/>
      <c r="K3" s="482"/>
      <c r="L3" s="483"/>
      <c r="M3" s="484"/>
      <c r="N3" s="385"/>
    </row>
    <row r="4" spans="1:14" s="53" customFormat="1" ht="15.75" x14ac:dyDescent="0.25">
      <c r="A4" s="49">
        <v>1007</v>
      </c>
      <c r="B4" s="50" t="s">
        <v>73</v>
      </c>
      <c r="C4" s="56">
        <v>6339.5</v>
      </c>
      <c r="D4" s="57" t="s">
        <v>16</v>
      </c>
      <c r="E4" s="58">
        <f>C4*D4</f>
        <v>1584.875</v>
      </c>
      <c r="F4" s="58"/>
      <c r="G4" s="58">
        <f>E4-F4</f>
        <v>1584.875</v>
      </c>
      <c r="H4" s="51">
        <v>1515504</v>
      </c>
      <c r="I4" s="52" t="s">
        <v>74</v>
      </c>
      <c r="J4" s="51" t="s">
        <v>75</v>
      </c>
      <c r="K4" s="52" t="s">
        <v>76</v>
      </c>
      <c r="L4" s="51">
        <v>91748840</v>
      </c>
      <c r="M4" s="59"/>
      <c r="N4" s="386"/>
    </row>
    <row r="5" spans="1:14" s="53" customFormat="1" ht="15.75" x14ac:dyDescent="0.25">
      <c r="A5" s="49">
        <v>1041</v>
      </c>
      <c r="B5" s="55" t="s">
        <v>77</v>
      </c>
      <c r="C5" s="56">
        <v>2628</v>
      </c>
      <c r="D5" s="57" t="s">
        <v>16</v>
      </c>
      <c r="E5" s="58">
        <f t="shared" ref="E5:E68" si="0">C5*D5</f>
        <v>657</v>
      </c>
      <c r="F5" s="353"/>
      <c r="G5" s="58">
        <f t="shared" ref="G5:G68" si="1">E5-F5</f>
        <v>657</v>
      </c>
      <c r="H5" s="275">
        <v>6827729</v>
      </c>
      <c r="I5" s="52" t="s">
        <v>78</v>
      </c>
      <c r="J5" s="17" t="s">
        <v>40</v>
      </c>
      <c r="K5" s="52" t="s">
        <v>19</v>
      </c>
      <c r="L5" s="51">
        <v>92272935</v>
      </c>
      <c r="M5" s="59"/>
      <c r="N5" s="386"/>
    </row>
    <row r="6" spans="1:14" s="195" customFormat="1" ht="15.75" x14ac:dyDescent="0.25">
      <c r="A6" s="138">
        <v>1125</v>
      </c>
      <c r="B6" s="342" t="s">
        <v>79</v>
      </c>
      <c r="C6" s="140">
        <v>5184.2</v>
      </c>
      <c r="D6" s="141" t="s">
        <v>16</v>
      </c>
      <c r="E6" s="142">
        <f t="shared" si="0"/>
        <v>1296.05</v>
      </c>
      <c r="F6" s="354">
        <f>2.82499999999993+1293.225</f>
        <v>1296.0499999999997</v>
      </c>
      <c r="G6" s="142">
        <f t="shared" si="1"/>
        <v>0</v>
      </c>
      <c r="H6" s="279">
        <v>6828774</v>
      </c>
      <c r="I6" s="192" t="s">
        <v>80</v>
      </c>
      <c r="J6" s="343" t="s">
        <v>36</v>
      </c>
      <c r="K6" s="192" t="s">
        <v>37</v>
      </c>
      <c r="L6" s="143">
        <v>91267555</v>
      </c>
      <c r="M6" s="144" t="s">
        <v>556</v>
      </c>
      <c r="N6" s="387" t="s">
        <v>561</v>
      </c>
    </row>
    <row r="7" spans="1:14" s="53" customFormat="1" ht="15.75" x14ac:dyDescent="0.25">
      <c r="A7" s="85">
        <v>1222</v>
      </c>
      <c r="B7" s="55" t="s">
        <v>81</v>
      </c>
      <c r="C7" s="65"/>
      <c r="D7" s="57" t="s">
        <v>16</v>
      </c>
      <c r="E7" s="58">
        <f>C7*D7</f>
        <v>0</v>
      </c>
      <c r="F7" s="353"/>
      <c r="G7" s="58">
        <f t="shared" si="1"/>
        <v>0</v>
      </c>
      <c r="H7" s="275">
        <v>31221</v>
      </c>
      <c r="I7" s="52" t="s">
        <v>82</v>
      </c>
      <c r="J7" s="51" t="s">
        <v>83</v>
      </c>
      <c r="K7" s="52" t="s">
        <v>84</v>
      </c>
      <c r="L7" s="51"/>
      <c r="M7" s="60"/>
      <c r="N7" s="386"/>
    </row>
    <row r="8" spans="1:14" s="53" customFormat="1" ht="15.75" x14ac:dyDescent="0.25">
      <c r="A8" s="49">
        <v>1286</v>
      </c>
      <c r="B8" s="50" t="s">
        <v>85</v>
      </c>
      <c r="C8" s="56">
        <v>2947.9</v>
      </c>
      <c r="D8" s="57" t="s">
        <v>16</v>
      </c>
      <c r="E8" s="58">
        <f t="shared" si="0"/>
        <v>736.97500000000002</v>
      </c>
      <c r="F8" s="353"/>
      <c r="G8" s="58">
        <f t="shared" si="1"/>
        <v>736.97500000000002</v>
      </c>
      <c r="H8" s="275">
        <v>368056</v>
      </c>
      <c r="I8" s="52" t="s">
        <v>86</v>
      </c>
      <c r="J8" s="51" t="s">
        <v>40</v>
      </c>
      <c r="K8" s="52" t="s">
        <v>19</v>
      </c>
      <c r="L8" s="51">
        <v>99494264</v>
      </c>
      <c r="M8" s="61"/>
      <c r="N8" s="386"/>
    </row>
    <row r="9" spans="1:14" s="195" customFormat="1" ht="15.75" x14ac:dyDescent="0.25">
      <c r="A9" s="138">
        <v>1344</v>
      </c>
      <c r="B9" s="139" t="s">
        <v>66</v>
      </c>
      <c r="C9" s="140">
        <v>3115.4</v>
      </c>
      <c r="D9" s="141" t="s">
        <v>16</v>
      </c>
      <c r="E9" s="142">
        <f t="shared" si="0"/>
        <v>778.85</v>
      </c>
      <c r="F9" s="354">
        <f>777.825+1.025</f>
        <v>778.85</v>
      </c>
      <c r="G9" s="142">
        <f t="shared" si="1"/>
        <v>0</v>
      </c>
      <c r="H9" s="279">
        <v>4014519</v>
      </c>
      <c r="I9" s="192" t="s">
        <v>87</v>
      </c>
      <c r="J9" s="143" t="s">
        <v>88</v>
      </c>
      <c r="K9" s="192" t="s">
        <v>89</v>
      </c>
      <c r="L9" s="143"/>
      <c r="M9" s="270" t="s">
        <v>555</v>
      </c>
      <c r="N9" s="269">
        <v>45727</v>
      </c>
    </row>
    <row r="10" spans="1:14" s="195" customFormat="1" ht="15.75" x14ac:dyDescent="0.25">
      <c r="A10" s="138">
        <v>1352</v>
      </c>
      <c r="B10" s="139" t="s">
        <v>90</v>
      </c>
      <c r="C10" s="140">
        <v>1131.7</v>
      </c>
      <c r="D10" s="141" t="s">
        <v>16</v>
      </c>
      <c r="E10" s="142">
        <f t="shared" si="0"/>
        <v>282.92500000000001</v>
      </c>
      <c r="F10" s="354">
        <f>276.975+5.95</f>
        <v>282.92500000000001</v>
      </c>
      <c r="G10" s="142">
        <f t="shared" si="1"/>
        <v>0</v>
      </c>
      <c r="H10" s="279">
        <v>1627344</v>
      </c>
      <c r="I10" s="192" t="s">
        <v>91</v>
      </c>
      <c r="J10" s="143" t="s">
        <v>40</v>
      </c>
      <c r="K10" s="192" t="s">
        <v>19</v>
      </c>
      <c r="L10" s="143"/>
      <c r="M10" s="270" t="s">
        <v>555</v>
      </c>
      <c r="N10" s="269">
        <v>45788</v>
      </c>
    </row>
    <row r="11" spans="1:14" s="53" customFormat="1" ht="15.75" x14ac:dyDescent="0.25">
      <c r="A11" s="49">
        <v>1354</v>
      </c>
      <c r="B11" s="55" t="s">
        <v>92</v>
      </c>
      <c r="C11" s="56">
        <v>2065</v>
      </c>
      <c r="D11" s="57" t="s">
        <v>16</v>
      </c>
      <c r="E11" s="58">
        <f t="shared" si="0"/>
        <v>516.25</v>
      </c>
      <c r="F11" s="353"/>
      <c r="G11" s="58">
        <f t="shared" si="1"/>
        <v>516.25</v>
      </c>
      <c r="H11" s="275">
        <v>925709</v>
      </c>
      <c r="I11" s="52" t="s">
        <v>93</v>
      </c>
      <c r="J11" s="51" t="s">
        <v>40</v>
      </c>
      <c r="K11" s="52" t="s">
        <v>19</v>
      </c>
      <c r="L11" s="51">
        <v>95187860</v>
      </c>
      <c r="M11" s="71"/>
      <c r="N11" s="386"/>
    </row>
    <row r="12" spans="1:14" s="53" customFormat="1" ht="15.75" x14ac:dyDescent="0.25">
      <c r="A12" s="49">
        <v>1357</v>
      </c>
      <c r="B12" s="55" t="s">
        <v>94</v>
      </c>
      <c r="C12" s="56">
        <v>4830.8</v>
      </c>
      <c r="D12" s="57" t="s">
        <v>16</v>
      </c>
      <c r="E12" s="58">
        <f t="shared" si="0"/>
        <v>1207.7</v>
      </c>
      <c r="F12" s="353"/>
      <c r="G12" s="58">
        <f t="shared" si="1"/>
        <v>1207.7</v>
      </c>
      <c r="H12" s="275">
        <v>1052276</v>
      </c>
      <c r="I12" s="52" t="s">
        <v>95</v>
      </c>
      <c r="J12" s="17" t="s">
        <v>36</v>
      </c>
      <c r="K12" s="52" t="s">
        <v>37</v>
      </c>
      <c r="L12" s="51">
        <v>95301260</v>
      </c>
      <c r="M12" s="71"/>
      <c r="N12" s="386"/>
    </row>
    <row r="13" spans="1:14" s="195" customFormat="1" ht="15.75" x14ac:dyDescent="0.25">
      <c r="A13" s="138">
        <v>1359</v>
      </c>
      <c r="B13" s="342" t="s">
        <v>96</v>
      </c>
      <c r="C13" s="140">
        <v>3200</v>
      </c>
      <c r="D13" s="141" t="s">
        <v>16</v>
      </c>
      <c r="E13" s="142">
        <f t="shared" si="0"/>
        <v>800</v>
      </c>
      <c r="F13" s="354">
        <f>796.8+3.2</f>
        <v>800</v>
      </c>
      <c r="G13" s="142">
        <f t="shared" si="1"/>
        <v>0</v>
      </c>
      <c r="H13" s="279">
        <v>4812026</v>
      </c>
      <c r="I13" s="192" t="s">
        <v>97</v>
      </c>
      <c r="J13" s="143" t="s">
        <v>83</v>
      </c>
      <c r="K13" s="192" t="s">
        <v>84</v>
      </c>
      <c r="L13" s="143">
        <v>96616558</v>
      </c>
      <c r="M13" s="291" t="s">
        <v>555</v>
      </c>
      <c r="N13" s="335">
        <v>45728</v>
      </c>
    </row>
    <row r="14" spans="1:14" s="195" customFormat="1" ht="15.75" x14ac:dyDescent="0.25">
      <c r="A14" s="138">
        <v>1367</v>
      </c>
      <c r="B14" s="139" t="s">
        <v>98</v>
      </c>
      <c r="C14" s="140">
        <v>1286</v>
      </c>
      <c r="D14" s="141" t="s">
        <v>16</v>
      </c>
      <c r="E14" s="142">
        <f t="shared" si="0"/>
        <v>321.5</v>
      </c>
      <c r="F14" s="354">
        <v>319.875</v>
      </c>
      <c r="G14" s="142">
        <f t="shared" si="1"/>
        <v>1.625</v>
      </c>
      <c r="H14" s="279">
        <v>6663593</v>
      </c>
      <c r="I14" s="192" t="s">
        <v>99</v>
      </c>
      <c r="J14" s="143" t="s">
        <v>40</v>
      </c>
      <c r="K14" s="192" t="s">
        <v>19</v>
      </c>
      <c r="L14" s="143">
        <v>92817702</v>
      </c>
      <c r="M14" s="291" t="s">
        <v>340</v>
      </c>
      <c r="N14" s="388"/>
    </row>
    <row r="15" spans="1:14" s="53" customFormat="1" ht="15.75" x14ac:dyDescent="0.25">
      <c r="A15" s="49">
        <v>1368</v>
      </c>
      <c r="B15" s="337" t="s">
        <v>100</v>
      </c>
      <c r="C15" s="56">
        <v>2402.6</v>
      </c>
      <c r="D15" s="57" t="s">
        <v>16</v>
      </c>
      <c r="E15" s="58">
        <f t="shared" si="0"/>
        <v>600.65</v>
      </c>
      <c r="F15" s="353"/>
      <c r="G15" s="58">
        <f t="shared" si="1"/>
        <v>600.65</v>
      </c>
      <c r="H15" s="280">
        <v>561902</v>
      </c>
      <c r="I15" s="52" t="s">
        <v>101</v>
      </c>
      <c r="J15" s="17" t="s">
        <v>36</v>
      </c>
      <c r="K15" s="52" t="s">
        <v>37</v>
      </c>
      <c r="L15" s="52">
        <v>99499622</v>
      </c>
      <c r="M15" s="71"/>
      <c r="N15" s="386"/>
    </row>
    <row r="16" spans="1:14" s="195" customFormat="1" ht="15.75" x14ac:dyDescent="0.25">
      <c r="A16" s="138">
        <v>2098</v>
      </c>
      <c r="B16" s="351" t="s">
        <v>324</v>
      </c>
      <c r="C16" s="140">
        <v>674.6</v>
      </c>
      <c r="D16" s="141" t="s">
        <v>16</v>
      </c>
      <c r="E16" s="142">
        <f>C16*D16</f>
        <v>168.65</v>
      </c>
      <c r="F16" s="354">
        <f>166.075+2.575</f>
        <v>168.64999999999998</v>
      </c>
      <c r="G16" s="142">
        <f t="shared" si="1"/>
        <v>0</v>
      </c>
      <c r="H16" s="290">
        <v>1065899</v>
      </c>
      <c r="I16" s="192" t="s">
        <v>323</v>
      </c>
      <c r="J16" s="143" t="s">
        <v>40</v>
      </c>
      <c r="K16" s="192" t="s">
        <v>19</v>
      </c>
      <c r="L16" s="192"/>
      <c r="M16" s="291" t="s">
        <v>555</v>
      </c>
      <c r="N16" s="396" t="s">
        <v>665</v>
      </c>
    </row>
    <row r="17" spans="1:14" s="195" customFormat="1" ht="15.75" x14ac:dyDescent="0.25">
      <c r="A17" s="138">
        <v>3002</v>
      </c>
      <c r="B17" s="139" t="s">
        <v>102</v>
      </c>
      <c r="C17" s="140">
        <v>1045.0999999999999</v>
      </c>
      <c r="D17" s="141" t="s">
        <v>16</v>
      </c>
      <c r="E17" s="142">
        <f t="shared" si="0"/>
        <v>261.27499999999998</v>
      </c>
      <c r="F17" s="354">
        <f>259.375+1.9</f>
        <v>261.27499999999998</v>
      </c>
      <c r="G17" s="142">
        <f t="shared" si="1"/>
        <v>0</v>
      </c>
      <c r="H17" s="279">
        <v>21220177</v>
      </c>
      <c r="I17" s="192" t="s">
        <v>103</v>
      </c>
      <c r="J17" s="143" t="s">
        <v>40</v>
      </c>
      <c r="K17" s="192" t="s">
        <v>19</v>
      </c>
      <c r="L17" s="143">
        <v>99280644</v>
      </c>
      <c r="M17" s="291" t="s">
        <v>555</v>
      </c>
      <c r="N17" s="173" t="s">
        <v>566</v>
      </c>
    </row>
    <row r="18" spans="1:14" s="53" customFormat="1" ht="15.75" x14ac:dyDescent="0.25">
      <c r="A18" s="85">
        <v>3035</v>
      </c>
      <c r="B18" s="74" t="s">
        <v>104</v>
      </c>
      <c r="C18" s="65"/>
      <c r="D18" s="57" t="s">
        <v>16</v>
      </c>
      <c r="E18" s="58">
        <f t="shared" si="0"/>
        <v>0</v>
      </c>
      <c r="F18" s="353"/>
      <c r="G18" s="58">
        <f t="shared" si="1"/>
        <v>0</v>
      </c>
      <c r="H18" s="282">
        <v>6725058</v>
      </c>
      <c r="I18" s="52" t="s">
        <v>105</v>
      </c>
      <c r="J18" s="51" t="s">
        <v>36</v>
      </c>
      <c r="K18" s="76" t="s">
        <v>37</v>
      </c>
      <c r="L18" s="75">
        <v>99198121</v>
      </c>
      <c r="M18" s="59"/>
      <c r="N18" s="386"/>
    </row>
    <row r="19" spans="1:14" s="243" customFormat="1" ht="15.75" x14ac:dyDescent="0.25">
      <c r="A19" s="121">
        <v>3057</v>
      </c>
      <c r="B19" s="122" t="s">
        <v>67</v>
      </c>
      <c r="C19" s="123">
        <v>3132.7</v>
      </c>
      <c r="D19" s="124" t="s">
        <v>16</v>
      </c>
      <c r="E19" s="125">
        <f t="shared" si="0"/>
        <v>783.17499999999995</v>
      </c>
      <c r="F19" s="355">
        <f>E19</f>
        <v>783.17499999999995</v>
      </c>
      <c r="G19" s="125">
        <f t="shared" si="1"/>
        <v>0</v>
      </c>
      <c r="H19" s="356">
        <v>626819</v>
      </c>
      <c r="I19" s="127" t="s">
        <v>106</v>
      </c>
      <c r="J19" s="126" t="s">
        <v>40</v>
      </c>
      <c r="K19" s="127" t="s">
        <v>19</v>
      </c>
      <c r="L19" s="126">
        <v>99298522</v>
      </c>
      <c r="M19" s="241" t="s">
        <v>636</v>
      </c>
      <c r="N19" s="389"/>
    </row>
    <row r="20" spans="1:14" s="53" customFormat="1" ht="15.75" x14ac:dyDescent="0.25">
      <c r="A20" s="49">
        <v>3062</v>
      </c>
      <c r="B20" s="50" t="s">
        <v>107</v>
      </c>
      <c r="C20" s="56">
        <v>1887.4</v>
      </c>
      <c r="D20" s="57" t="s">
        <v>16</v>
      </c>
      <c r="E20" s="58">
        <f t="shared" si="0"/>
        <v>471.85</v>
      </c>
      <c r="F20" s="353"/>
      <c r="G20" s="58">
        <f t="shared" si="1"/>
        <v>471.85</v>
      </c>
      <c r="H20" s="275">
        <v>300741</v>
      </c>
      <c r="I20" s="52" t="s">
        <v>108</v>
      </c>
      <c r="J20" s="51" t="s">
        <v>40</v>
      </c>
      <c r="K20" s="52" t="s">
        <v>19</v>
      </c>
      <c r="L20" s="51">
        <v>99008320</v>
      </c>
      <c r="M20" s="59"/>
      <c r="N20" s="386"/>
    </row>
    <row r="21" spans="1:14" s="243" customFormat="1" ht="15.75" x14ac:dyDescent="0.25">
      <c r="A21" s="121">
        <v>3080</v>
      </c>
      <c r="B21" s="122" t="s">
        <v>109</v>
      </c>
      <c r="C21" s="123">
        <v>1286</v>
      </c>
      <c r="D21" s="124" t="s">
        <v>16</v>
      </c>
      <c r="E21" s="125">
        <f t="shared" si="0"/>
        <v>321.5</v>
      </c>
      <c r="F21" s="355">
        <f>E21</f>
        <v>321.5</v>
      </c>
      <c r="G21" s="125">
        <f t="shared" si="1"/>
        <v>0</v>
      </c>
      <c r="H21" s="356">
        <v>14301608</v>
      </c>
      <c r="I21" s="127" t="s">
        <v>110</v>
      </c>
      <c r="J21" s="126" t="s">
        <v>40</v>
      </c>
      <c r="K21" s="127" t="s">
        <v>19</v>
      </c>
      <c r="L21" s="126">
        <v>98122611</v>
      </c>
      <c r="M21" s="241" t="s">
        <v>636</v>
      </c>
      <c r="N21" s="389"/>
    </row>
    <row r="22" spans="1:14" s="53" customFormat="1" ht="15.75" x14ac:dyDescent="0.25">
      <c r="A22" s="54">
        <v>3086</v>
      </c>
      <c r="B22" s="50" t="s">
        <v>111</v>
      </c>
      <c r="C22" s="65"/>
      <c r="D22" s="57" t="s">
        <v>16</v>
      </c>
      <c r="E22" s="58">
        <f t="shared" si="0"/>
        <v>0</v>
      </c>
      <c r="F22" s="353"/>
      <c r="G22" s="58">
        <f t="shared" si="1"/>
        <v>0</v>
      </c>
      <c r="H22" s="275">
        <v>300033</v>
      </c>
      <c r="I22" s="52" t="s">
        <v>112</v>
      </c>
      <c r="J22" s="51" t="s">
        <v>40</v>
      </c>
      <c r="K22" s="52" t="s">
        <v>19</v>
      </c>
      <c r="L22" s="51"/>
      <c r="M22" s="285"/>
      <c r="N22" s="386"/>
    </row>
    <row r="23" spans="1:14" s="53" customFormat="1" ht="15.75" x14ac:dyDescent="0.25">
      <c r="A23" s="49">
        <v>3132</v>
      </c>
      <c r="B23" s="50" t="s">
        <v>113</v>
      </c>
      <c r="C23" s="56">
        <v>1286.0999999999999</v>
      </c>
      <c r="D23" s="57" t="s">
        <v>16</v>
      </c>
      <c r="E23" s="58">
        <f t="shared" si="0"/>
        <v>321.52499999999998</v>
      </c>
      <c r="F23" s="353"/>
      <c r="G23" s="58">
        <f t="shared" si="1"/>
        <v>321.52499999999998</v>
      </c>
      <c r="H23" s="275">
        <v>14606296</v>
      </c>
      <c r="I23" s="52" t="s">
        <v>334</v>
      </c>
      <c r="J23" s="51" t="s">
        <v>36</v>
      </c>
      <c r="K23" s="52" t="s">
        <v>37</v>
      </c>
      <c r="L23" s="51">
        <v>91493522</v>
      </c>
      <c r="M23" s="48" t="s">
        <v>333</v>
      </c>
      <c r="N23" s="174"/>
    </row>
    <row r="24" spans="1:14" s="243" customFormat="1" ht="15.75" x14ac:dyDescent="0.25">
      <c r="A24" s="121">
        <v>3134</v>
      </c>
      <c r="B24" s="122" t="s">
        <v>115</v>
      </c>
      <c r="C24" s="123">
        <v>1746.4</v>
      </c>
      <c r="D24" s="124" t="s">
        <v>16</v>
      </c>
      <c r="E24" s="125">
        <f t="shared" si="0"/>
        <v>436.6</v>
      </c>
      <c r="F24" s="355">
        <f>E24</f>
        <v>436.6</v>
      </c>
      <c r="G24" s="125">
        <f t="shared" si="1"/>
        <v>0</v>
      </c>
      <c r="H24" s="356">
        <v>2154413</v>
      </c>
      <c r="I24" s="127" t="s">
        <v>116</v>
      </c>
      <c r="J24" s="126" t="s">
        <v>36</v>
      </c>
      <c r="K24" s="127" t="s">
        <v>37</v>
      </c>
      <c r="L24" s="126">
        <v>99493731</v>
      </c>
      <c r="M24" s="241" t="s">
        <v>338</v>
      </c>
      <c r="N24" s="389"/>
    </row>
    <row r="25" spans="1:14" s="195" customFormat="1" ht="15.75" x14ac:dyDescent="0.25">
      <c r="A25" s="138">
        <v>3142</v>
      </c>
      <c r="B25" s="139" t="s">
        <v>117</v>
      </c>
      <c r="C25" s="140">
        <v>4635.3999999999996</v>
      </c>
      <c r="D25" s="141" t="s">
        <v>16</v>
      </c>
      <c r="E25" s="142">
        <f t="shared" si="0"/>
        <v>1158.8499999999999</v>
      </c>
      <c r="F25" s="354">
        <f>1154.675+4.175</f>
        <v>1158.8499999999999</v>
      </c>
      <c r="G25" s="142">
        <f t="shared" si="1"/>
        <v>0</v>
      </c>
      <c r="H25" s="279">
        <v>165497</v>
      </c>
      <c r="I25" s="192" t="s">
        <v>118</v>
      </c>
      <c r="J25" s="143" t="s">
        <v>88</v>
      </c>
      <c r="K25" s="192" t="s">
        <v>89</v>
      </c>
      <c r="L25" s="143">
        <v>99499872</v>
      </c>
      <c r="M25" s="291" t="s">
        <v>555</v>
      </c>
      <c r="N25" s="278" t="s">
        <v>635</v>
      </c>
    </row>
    <row r="26" spans="1:14" s="195" customFormat="1" ht="15.75" x14ac:dyDescent="0.25">
      <c r="A26" s="138">
        <v>3145</v>
      </c>
      <c r="B26" s="139" t="s">
        <v>119</v>
      </c>
      <c r="C26" s="140">
        <v>3240.5</v>
      </c>
      <c r="D26" s="141" t="s">
        <v>16</v>
      </c>
      <c r="E26" s="142">
        <f t="shared" si="0"/>
        <v>810.125</v>
      </c>
      <c r="F26" s="354">
        <f>E26</f>
        <v>810.125</v>
      </c>
      <c r="G26" s="142">
        <f t="shared" si="1"/>
        <v>0</v>
      </c>
      <c r="H26" s="279">
        <v>1915745</v>
      </c>
      <c r="I26" s="192" t="s">
        <v>120</v>
      </c>
      <c r="J26" s="143" t="s">
        <v>40</v>
      </c>
      <c r="K26" s="192" t="s">
        <v>19</v>
      </c>
      <c r="L26" s="143">
        <v>99489050</v>
      </c>
      <c r="M26" s="144" t="s">
        <v>556</v>
      </c>
      <c r="N26" s="388"/>
    </row>
    <row r="27" spans="1:14" s="195" customFormat="1" ht="15.75" x14ac:dyDescent="0.25">
      <c r="A27" s="138">
        <v>3147</v>
      </c>
      <c r="B27" s="139" t="s">
        <v>122</v>
      </c>
      <c r="C27" s="140">
        <v>1026.9000000000001</v>
      </c>
      <c r="D27" s="141" t="s">
        <v>16</v>
      </c>
      <c r="E27" s="142">
        <f t="shared" si="0"/>
        <v>256.72500000000002</v>
      </c>
      <c r="F27" s="354">
        <f>256.15+0.575</f>
        <v>256.72499999999997</v>
      </c>
      <c r="G27" s="142">
        <f t="shared" si="1"/>
        <v>0</v>
      </c>
      <c r="H27" s="279">
        <v>1662414</v>
      </c>
      <c r="I27" s="192" t="s">
        <v>123</v>
      </c>
      <c r="J27" s="143" t="s">
        <v>88</v>
      </c>
      <c r="K27" s="192" t="s">
        <v>89</v>
      </c>
      <c r="L27" s="143">
        <v>99282006</v>
      </c>
      <c r="M27" s="195" t="s">
        <v>561</v>
      </c>
      <c r="N27" s="172">
        <v>45941</v>
      </c>
    </row>
    <row r="28" spans="1:14" s="195" customFormat="1" ht="15.75" x14ac:dyDescent="0.25">
      <c r="A28" s="138">
        <v>3148</v>
      </c>
      <c r="B28" s="139" t="s">
        <v>124</v>
      </c>
      <c r="C28" s="140">
        <v>1253.0999999999999</v>
      </c>
      <c r="D28" s="141" t="s">
        <v>16</v>
      </c>
      <c r="E28" s="142">
        <f t="shared" si="0"/>
        <v>313.27499999999998</v>
      </c>
      <c r="F28" s="354">
        <f>E28</f>
        <v>313.27499999999998</v>
      </c>
      <c r="G28" s="142">
        <f t="shared" si="1"/>
        <v>0</v>
      </c>
      <c r="H28" s="279">
        <v>19545736</v>
      </c>
      <c r="I28" s="192" t="s">
        <v>125</v>
      </c>
      <c r="J28" s="143" t="s">
        <v>36</v>
      </c>
      <c r="K28" s="192" t="s">
        <v>37</v>
      </c>
      <c r="L28" s="143"/>
      <c r="M28" s="365" t="s">
        <v>557</v>
      </c>
      <c r="N28" s="388"/>
    </row>
    <row r="29" spans="1:14" s="195" customFormat="1" ht="15.75" x14ac:dyDescent="0.25">
      <c r="A29" s="138">
        <v>3149</v>
      </c>
      <c r="B29" s="139" t="s">
        <v>126</v>
      </c>
      <c r="C29" s="140">
        <v>1819</v>
      </c>
      <c r="D29" s="141" t="s">
        <v>16</v>
      </c>
      <c r="E29" s="142">
        <f t="shared" si="0"/>
        <v>454.75</v>
      </c>
      <c r="F29" s="354">
        <f>E29</f>
        <v>454.75</v>
      </c>
      <c r="G29" s="142">
        <f t="shared" si="1"/>
        <v>0</v>
      </c>
      <c r="H29" s="279">
        <v>4941095</v>
      </c>
      <c r="I29" s="192" t="s">
        <v>127</v>
      </c>
      <c r="J29" s="143" t="s">
        <v>128</v>
      </c>
      <c r="K29" s="192" t="s">
        <v>129</v>
      </c>
      <c r="L29" s="143">
        <v>93500864</v>
      </c>
      <c r="M29" s="144" t="s">
        <v>556</v>
      </c>
      <c r="N29" s="388"/>
    </row>
    <row r="30" spans="1:14" s="195" customFormat="1" ht="15.75" x14ac:dyDescent="0.25">
      <c r="A30" s="138">
        <v>3152</v>
      </c>
      <c r="B30" s="139" t="s">
        <v>130</v>
      </c>
      <c r="C30" s="140">
        <v>3040.4</v>
      </c>
      <c r="D30" s="141" t="s">
        <v>16</v>
      </c>
      <c r="E30" s="142">
        <f t="shared" si="0"/>
        <v>760.1</v>
      </c>
      <c r="F30" s="354">
        <f>759.55+0.55</f>
        <v>760.09999999999991</v>
      </c>
      <c r="G30" s="142">
        <f t="shared" si="1"/>
        <v>0</v>
      </c>
      <c r="H30" s="279">
        <v>941993</v>
      </c>
      <c r="I30" s="192" t="s">
        <v>131</v>
      </c>
      <c r="J30" s="143" t="s">
        <v>36</v>
      </c>
      <c r="K30" s="192" t="s">
        <v>37</v>
      </c>
      <c r="L30" s="143">
        <v>99086500</v>
      </c>
      <c r="M30" s="144" t="s">
        <v>336</v>
      </c>
      <c r="N30" s="173" t="s">
        <v>555</v>
      </c>
    </row>
    <row r="31" spans="1:14" s="53" customFormat="1" ht="15.75" x14ac:dyDescent="0.25">
      <c r="A31" s="49">
        <v>3153</v>
      </c>
      <c r="B31" s="50" t="s">
        <v>15</v>
      </c>
      <c r="C31" s="56">
        <v>2825.2</v>
      </c>
      <c r="D31" s="57" t="s">
        <v>16</v>
      </c>
      <c r="E31" s="58">
        <f t="shared" si="0"/>
        <v>706.3</v>
      </c>
      <c r="F31" s="353"/>
      <c r="G31" s="58">
        <f t="shared" si="1"/>
        <v>706.3</v>
      </c>
      <c r="H31" s="275">
        <v>6989479</v>
      </c>
      <c r="I31" s="52" t="s">
        <v>17</v>
      </c>
      <c r="J31" s="51" t="s">
        <v>18</v>
      </c>
      <c r="K31" s="52" t="s">
        <v>19</v>
      </c>
      <c r="L31" s="51">
        <v>99699500</v>
      </c>
      <c r="M31" s="59"/>
      <c r="N31" s="386"/>
    </row>
    <row r="32" spans="1:14" s="53" customFormat="1" ht="15.75" x14ac:dyDescent="0.25">
      <c r="A32" s="78">
        <v>3155</v>
      </c>
      <c r="B32" s="50" t="s">
        <v>132</v>
      </c>
      <c r="C32" s="56">
        <v>636</v>
      </c>
      <c r="D32" s="57" t="s">
        <v>16</v>
      </c>
      <c r="E32" s="58">
        <f t="shared" si="0"/>
        <v>159</v>
      </c>
      <c r="F32" s="353"/>
      <c r="G32" s="58">
        <f t="shared" si="1"/>
        <v>159</v>
      </c>
      <c r="H32" s="275">
        <v>19188794</v>
      </c>
      <c r="I32" s="52" t="s">
        <v>133</v>
      </c>
      <c r="J32" s="51" t="s">
        <v>40</v>
      </c>
      <c r="K32" s="52" t="s">
        <v>19</v>
      </c>
      <c r="L32" s="51">
        <v>93215515</v>
      </c>
      <c r="M32" s="59"/>
      <c r="N32" s="386"/>
    </row>
    <row r="33" spans="1:14" s="53" customFormat="1" ht="15.75" x14ac:dyDescent="0.25">
      <c r="A33" s="49">
        <v>3158</v>
      </c>
      <c r="B33" s="50" t="s">
        <v>134</v>
      </c>
      <c r="C33" s="56">
        <v>3163.1</v>
      </c>
      <c r="D33" s="57" t="s">
        <v>16</v>
      </c>
      <c r="E33" s="58">
        <f t="shared" si="0"/>
        <v>790.77499999999998</v>
      </c>
      <c r="F33" s="353"/>
      <c r="G33" s="58">
        <f t="shared" si="1"/>
        <v>790.77499999999998</v>
      </c>
      <c r="H33" s="275" t="s">
        <v>135</v>
      </c>
      <c r="I33" s="52" t="s">
        <v>136</v>
      </c>
      <c r="J33" s="51" t="s">
        <v>40</v>
      </c>
      <c r="K33" s="52" t="s">
        <v>19</v>
      </c>
      <c r="L33" s="51">
        <v>99694218</v>
      </c>
      <c r="M33" s="59"/>
      <c r="N33" s="386"/>
    </row>
    <row r="34" spans="1:14" s="53" customFormat="1" ht="15.75" x14ac:dyDescent="0.25">
      <c r="A34" s="49">
        <v>3159</v>
      </c>
      <c r="B34" s="50" t="s">
        <v>137</v>
      </c>
      <c r="C34" s="56">
        <v>863.7</v>
      </c>
      <c r="D34" s="57" t="s">
        <v>16</v>
      </c>
      <c r="E34" s="58">
        <f t="shared" si="0"/>
        <v>215.92500000000001</v>
      </c>
      <c r="F34" s="353"/>
      <c r="G34" s="58">
        <f t="shared" si="1"/>
        <v>215.92500000000001</v>
      </c>
      <c r="H34" s="275">
        <v>1297478</v>
      </c>
      <c r="I34" s="52" t="s">
        <v>138</v>
      </c>
      <c r="J34" s="51" t="s">
        <v>40</v>
      </c>
      <c r="K34" s="52" t="s">
        <v>19</v>
      </c>
      <c r="L34" s="51">
        <v>99497177</v>
      </c>
      <c r="M34" s="59"/>
      <c r="N34" s="386"/>
    </row>
    <row r="35" spans="1:14" s="53" customFormat="1" ht="15.75" x14ac:dyDescent="0.25">
      <c r="A35" s="49">
        <v>3160</v>
      </c>
      <c r="B35" s="50" t="s">
        <v>139</v>
      </c>
      <c r="C35" s="56">
        <v>1850.3</v>
      </c>
      <c r="D35" s="57" t="s">
        <v>16</v>
      </c>
      <c r="E35" s="58">
        <f t="shared" si="0"/>
        <v>462.57499999999999</v>
      </c>
      <c r="F35" s="353"/>
      <c r="G35" s="58">
        <f t="shared" si="1"/>
        <v>462.57499999999999</v>
      </c>
      <c r="H35" s="275">
        <v>2837163</v>
      </c>
      <c r="I35" s="52" t="s">
        <v>140</v>
      </c>
      <c r="J35" s="51" t="s">
        <v>46</v>
      </c>
      <c r="K35" s="52" t="s">
        <v>47</v>
      </c>
      <c r="L35" s="51">
        <v>99497455</v>
      </c>
      <c r="M35" s="59"/>
      <c r="N35" s="386"/>
    </row>
    <row r="36" spans="1:14" s="188" customFormat="1" ht="15.75" x14ac:dyDescent="0.25">
      <c r="A36" s="179">
        <v>3162</v>
      </c>
      <c r="B36" s="187" t="s">
        <v>141</v>
      </c>
      <c r="C36" s="181">
        <v>5826.9</v>
      </c>
      <c r="D36" s="182" t="s">
        <v>16</v>
      </c>
      <c r="E36" s="183">
        <f t="shared" si="0"/>
        <v>1456.7249999999999</v>
      </c>
      <c r="F36" s="441">
        <f>E36</f>
        <v>1456.7249999999999</v>
      </c>
      <c r="G36" s="183">
        <f t="shared" si="1"/>
        <v>0</v>
      </c>
      <c r="H36" s="442">
        <v>7017227</v>
      </c>
      <c r="I36" s="184" t="s">
        <v>142</v>
      </c>
      <c r="J36" s="180" t="s">
        <v>36</v>
      </c>
      <c r="K36" s="184" t="s">
        <v>37</v>
      </c>
      <c r="L36" s="180">
        <v>99523400</v>
      </c>
      <c r="M36" s="448">
        <v>46002</v>
      </c>
      <c r="N36" s="443"/>
    </row>
    <row r="37" spans="1:14" s="195" customFormat="1" ht="15.75" x14ac:dyDescent="0.25">
      <c r="A37" s="138">
        <v>3164</v>
      </c>
      <c r="B37" s="139" t="s">
        <v>143</v>
      </c>
      <c r="C37" s="140">
        <v>2415.9</v>
      </c>
      <c r="D37" s="141" t="s">
        <v>16</v>
      </c>
      <c r="E37" s="142">
        <f t="shared" si="0"/>
        <v>603.97500000000002</v>
      </c>
      <c r="F37" s="354">
        <f>E37</f>
        <v>603.97500000000002</v>
      </c>
      <c r="G37" s="142">
        <f t="shared" si="1"/>
        <v>0</v>
      </c>
      <c r="H37" s="279">
        <v>7466062</v>
      </c>
      <c r="I37" s="192" t="s">
        <v>144</v>
      </c>
      <c r="J37" s="343" t="s">
        <v>145</v>
      </c>
      <c r="K37" s="192" t="s">
        <v>146</v>
      </c>
      <c r="L37" s="143">
        <v>91135005</v>
      </c>
      <c r="M37" s="144" t="s">
        <v>566</v>
      </c>
      <c r="N37" s="173" t="s">
        <v>566</v>
      </c>
    </row>
    <row r="38" spans="1:14" s="53" customFormat="1" ht="15.75" x14ac:dyDescent="0.25">
      <c r="A38" s="49">
        <v>3165</v>
      </c>
      <c r="B38" s="50" t="s">
        <v>147</v>
      </c>
      <c r="C38" s="56">
        <v>367.7</v>
      </c>
      <c r="D38" s="57" t="s">
        <v>16</v>
      </c>
      <c r="E38" s="58">
        <f t="shared" si="0"/>
        <v>91.924999999999997</v>
      </c>
      <c r="F38" s="353"/>
      <c r="G38" s="58">
        <f t="shared" si="1"/>
        <v>91.924999999999997</v>
      </c>
      <c r="H38" s="275">
        <v>19029628</v>
      </c>
      <c r="I38" s="52" t="s">
        <v>148</v>
      </c>
      <c r="J38" s="51" t="s">
        <v>36</v>
      </c>
      <c r="K38" s="52" t="s">
        <v>37</v>
      </c>
      <c r="L38" s="51">
        <v>96055446</v>
      </c>
      <c r="M38" s="86"/>
      <c r="N38" s="386"/>
    </row>
    <row r="39" spans="1:14" s="195" customFormat="1" ht="15.75" x14ac:dyDescent="0.25">
      <c r="A39" s="138">
        <v>3169</v>
      </c>
      <c r="B39" s="139" t="s">
        <v>34</v>
      </c>
      <c r="C39" s="140">
        <v>1910.5</v>
      </c>
      <c r="D39" s="141" t="s">
        <v>16</v>
      </c>
      <c r="E39" s="142">
        <f t="shared" si="0"/>
        <v>477.625</v>
      </c>
      <c r="F39" s="354">
        <v>4.6749999999999927</v>
      </c>
      <c r="G39" s="142">
        <f t="shared" si="1"/>
        <v>472.95</v>
      </c>
      <c r="H39" s="279">
        <v>3068756</v>
      </c>
      <c r="I39" s="192" t="s">
        <v>35</v>
      </c>
      <c r="J39" s="143" t="s">
        <v>36</v>
      </c>
      <c r="K39" s="192" t="s">
        <v>37</v>
      </c>
      <c r="L39" s="143">
        <v>99691806</v>
      </c>
      <c r="M39" s="269">
        <v>45727</v>
      </c>
      <c r="N39" s="388"/>
    </row>
    <row r="40" spans="1:14" s="195" customFormat="1" ht="15.75" x14ac:dyDescent="0.25">
      <c r="A40" s="138">
        <v>3171</v>
      </c>
      <c r="B40" s="139" t="s">
        <v>149</v>
      </c>
      <c r="C40" s="140">
        <v>1055.2</v>
      </c>
      <c r="D40" s="141" t="s">
        <v>16</v>
      </c>
      <c r="E40" s="142">
        <f t="shared" si="0"/>
        <v>263.8</v>
      </c>
      <c r="F40" s="354">
        <f>259.375+4.425</f>
        <v>263.8</v>
      </c>
      <c r="G40" s="142">
        <f t="shared" si="1"/>
        <v>0</v>
      </c>
      <c r="H40" s="279">
        <v>7239057</v>
      </c>
      <c r="I40" s="192" t="s">
        <v>150</v>
      </c>
      <c r="J40" s="143" t="s">
        <v>88</v>
      </c>
      <c r="K40" s="192" t="s">
        <v>89</v>
      </c>
      <c r="L40" s="143">
        <v>95880860</v>
      </c>
      <c r="M40" s="270" t="s">
        <v>555</v>
      </c>
      <c r="N40" s="144" t="s">
        <v>632</v>
      </c>
    </row>
    <row r="41" spans="1:14" s="53" customFormat="1" ht="15.75" x14ac:dyDescent="0.25">
      <c r="A41" s="49">
        <v>3172</v>
      </c>
      <c r="B41" s="50" t="s">
        <v>151</v>
      </c>
      <c r="C41" s="56">
        <v>1062.4000000000001</v>
      </c>
      <c r="D41" s="57" t="s">
        <v>16</v>
      </c>
      <c r="E41" s="58">
        <f>C41*D41</f>
        <v>265.60000000000002</v>
      </c>
      <c r="F41" s="353"/>
      <c r="G41" s="58">
        <f t="shared" si="1"/>
        <v>265.60000000000002</v>
      </c>
      <c r="H41" s="275">
        <v>5276984</v>
      </c>
      <c r="I41" s="52" t="s">
        <v>152</v>
      </c>
      <c r="J41" s="51" t="s">
        <v>40</v>
      </c>
      <c r="K41" s="52" t="s">
        <v>19</v>
      </c>
      <c r="L41" s="51">
        <v>99188860</v>
      </c>
      <c r="M41" s="59"/>
      <c r="N41" s="386"/>
    </row>
    <row r="42" spans="1:14" s="195" customFormat="1" ht="15.75" x14ac:dyDescent="0.25">
      <c r="A42" s="138">
        <v>3173</v>
      </c>
      <c r="B42" s="139" t="s">
        <v>153</v>
      </c>
      <c r="C42" s="140">
        <v>842</v>
      </c>
      <c r="D42" s="141" t="s">
        <v>16</v>
      </c>
      <c r="E42" s="142">
        <f t="shared" si="0"/>
        <v>210.5</v>
      </c>
      <c r="F42" s="354">
        <f>209.95+0.55</f>
        <v>210.5</v>
      </c>
      <c r="G42" s="142">
        <f t="shared" si="1"/>
        <v>0</v>
      </c>
      <c r="H42" s="279">
        <v>6825655</v>
      </c>
      <c r="I42" s="192" t="s">
        <v>154</v>
      </c>
      <c r="J42" s="143" t="s">
        <v>40</v>
      </c>
      <c r="K42" s="192" t="s">
        <v>19</v>
      </c>
      <c r="L42" s="143">
        <v>98957747</v>
      </c>
      <c r="M42" s="149" t="s">
        <v>555</v>
      </c>
      <c r="N42" s="388" t="s">
        <v>633</v>
      </c>
    </row>
    <row r="43" spans="1:14" s="195" customFormat="1" ht="15.75" x14ac:dyDescent="0.25">
      <c r="A43" s="138">
        <v>3174</v>
      </c>
      <c r="B43" s="139" t="s">
        <v>155</v>
      </c>
      <c r="C43" s="140">
        <v>624.6</v>
      </c>
      <c r="D43" s="141" t="s">
        <v>16</v>
      </c>
      <c r="E43" s="142">
        <f t="shared" si="0"/>
        <v>156.15</v>
      </c>
      <c r="F43" s="354">
        <f>E43</f>
        <v>156.15</v>
      </c>
      <c r="G43" s="142">
        <f t="shared" si="1"/>
        <v>0</v>
      </c>
      <c r="H43" s="279">
        <v>7547492</v>
      </c>
      <c r="I43" s="192" t="s">
        <v>156</v>
      </c>
      <c r="J43" s="143" t="s">
        <v>40</v>
      </c>
      <c r="K43" s="192" t="s">
        <v>19</v>
      </c>
      <c r="L43" s="143">
        <v>91790502</v>
      </c>
      <c r="M43" s="335">
        <v>45728</v>
      </c>
      <c r="N43" s="388"/>
    </row>
    <row r="44" spans="1:14" s="195" customFormat="1" ht="15.75" x14ac:dyDescent="0.25">
      <c r="A44" s="138">
        <v>3175</v>
      </c>
      <c r="B44" s="139" t="s">
        <v>157</v>
      </c>
      <c r="C44" s="140">
        <v>626.20000000000005</v>
      </c>
      <c r="D44" s="141" t="s">
        <v>16</v>
      </c>
      <c r="E44" s="142">
        <f>C44*D44</f>
        <v>156.55000000000001</v>
      </c>
      <c r="F44" s="354">
        <f>E44</f>
        <v>156.55000000000001</v>
      </c>
      <c r="G44" s="142">
        <f t="shared" si="1"/>
        <v>0</v>
      </c>
      <c r="H44" s="279">
        <v>7325076</v>
      </c>
      <c r="I44" s="192" t="s">
        <v>158</v>
      </c>
      <c r="J44" s="143" t="s">
        <v>83</v>
      </c>
      <c r="K44" s="192" t="s">
        <v>84</v>
      </c>
      <c r="L44" s="143">
        <v>92890700</v>
      </c>
      <c r="M44" s="336" t="s">
        <v>561</v>
      </c>
      <c r="N44" s="388"/>
    </row>
    <row r="45" spans="1:14" s="195" customFormat="1" ht="15.75" x14ac:dyDescent="0.25">
      <c r="A45" s="138">
        <v>3176</v>
      </c>
      <c r="B45" s="139" t="s">
        <v>159</v>
      </c>
      <c r="C45" s="140">
        <v>437.3</v>
      </c>
      <c r="D45" s="141" t="s">
        <v>16</v>
      </c>
      <c r="E45" s="142">
        <f t="shared" si="0"/>
        <v>109.325</v>
      </c>
      <c r="F45" s="354">
        <f>109.25</f>
        <v>109.25</v>
      </c>
      <c r="G45" s="142">
        <f t="shared" si="1"/>
        <v>7.5000000000002842E-2</v>
      </c>
      <c r="H45" s="279">
        <v>12178145</v>
      </c>
      <c r="I45" s="192" t="s">
        <v>160</v>
      </c>
      <c r="J45" s="143" t="s">
        <v>40</v>
      </c>
      <c r="K45" s="192" t="s">
        <v>19</v>
      </c>
      <c r="L45" s="143">
        <v>93348565</v>
      </c>
      <c r="M45" s="335">
        <v>46008</v>
      </c>
      <c r="N45" s="388"/>
    </row>
    <row r="46" spans="1:14" s="53" customFormat="1" ht="15.75" x14ac:dyDescent="0.25">
      <c r="A46" s="49">
        <v>3179</v>
      </c>
      <c r="B46" s="50" t="s">
        <v>161</v>
      </c>
      <c r="C46" s="56">
        <v>3734</v>
      </c>
      <c r="D46" s="57" t="s">
        <v>16</v>
      </c>
      <c r="E46" s="58">
        <f t="shared" si="0"/>
        <v>933.5</v>
      </c>
      <c r="F46" s="353"/>
      <c r="G46" s="58">
        <f t="shared" si="1"/>
        <v>933.5</v>
      </c>
      <c r="H46" s="275">
        <v>1870852</v>
      </c>
      <c r="I46" s="52" t="s">
        <v>162</v>
      </c>
      <c r="J46" s="51" t="s">
        <v>88</v>
      </c>
      <c r="K46" s="52" t="s">
        <v>89</v>
      </c>
      <c r="L46" s="51">
        <v>99050691</v>
      </c>
      <c r="M46" s="59"/>
      <c r="N46" s="386"/>
    </row>
    <row r="47" spans="1:14" s="53" customFormat="1" ht="15.75" x14ac:dyDescent="0.25">
      <c r="A47" s="49">
        <v>3181</v>
      </c>
      <c r="B47" s="50" t="s">
        <v>163</v>
      </c>
      <c r="C47" s="56">
        <v>1772.7</v>
      </c>
      <c r="D47" s="57" t="s">
        <v>16</v>
      </c>
      <c r="E47" s="58">
        <f t="shared" si="0"/>
        <v>443.17500000000001</v>
      </c>
      <c r="F47" s="353"/>
      <c r="G47" s="58">
        <f t="shared" si="1"/>
        <v>443.17500000000001</v>
      </c>
      <c r="H47" s="275">
        <v>6116067</v>
      </c>
      <c r="I47" s="52" t="s">
        <v>164</v>
      </c>
      <c r="J47" s="51" t="s">
        <v>88</v>
      </c>
      <c r="K47" s="52" t="s">
        <v>89</v>
      </c>
      <c r="L47" s="51">
        <v>99191102</v>
      </c>
      <c r="M47" s="59"/>
      <c r="N47" s="386"/>
    </row>
    <row r="48" spans="1:14" s="195" customFormat="1" ht="15.75" x14ac:dyDescent="0.25">
      <c r="A48" s="138">
        <v>3183</v>
      </c>
      <c r="B48" s="342" t="s">
        <v>165</v>
      </c>
      <c r="C48" s="140">
        <v>1121.3</v>
      </c>
      <c r="D48" s="141" t="s">
        <v>16</v>
      </c>
      <c r="E48" s="142">
        <f t="shared" si="0"/>
        <v>280.32499999999999</v>
      </c>
      <c r="F48" s="354">
        <f>277.2+3.125</f>
        <v>280.32499999999999</v>
      </c>
      <c r="G48" s="142">
        <f t="shared" si="1"/>
        <v>0</v>
      </c>
      <c r="H48" s="279">
        <v>4955092</v>
      </c>
      <c r="I48" s="192" t="s">
        <v>166</v>
      </c>
      <c r="J48" s="343" t="s">
        <v>40</v>
      </c>
      <c r="K48" s="192" t="s">
        <v>19</v>
      </c>
      <c r="L48" s="143">
        <v>98152775</v>
      </c>
      <c r="M48" s="270" t="s">
        <v>555</v>
      </c>
      <c r="N48" s="269">
        <v>45727</v>
      </c>
    </row>
    <row r="49" spans="1:14" s="53" customFormat="1" ht="15.75" x14ac:dyDescent="0.25">
      <c r="A49" s="49">
        <v>3184</v>
      </c>
      <c r="B49" s="50" t="s">
        <v>69</v>
      </c>
      <c r="C49" s="56">
        <v>2566.8000000000002</v>
      </c>
      <c r="D49" s="57" t="s">
        <v>16</v>
      </c>
      <c r="E49" s="58">
        <f t="shared" si="0"/>
        <v>641.70000000000005</v>
      </c>
      <c r="F49" s="353"/>
      <c r="G49" s="58">
        <f t="shared" si="1"/>
        <v>641.70000000000005</v>
      </c>
      <c r="H49" s="275">
        <v>6701602</v>
      </c>
      <c r="I49" s="52" t="s">
        <v>167</v>
      </c>
      <c r="J49" s="51" t="s">
        <v>36</v>
      </c>
      <c r="K49" s="52" t="s">
        <v>37</v>
      </c>
      <c r="L49" s="51">
        <v>99496161</v>
      </c>
      <c r="M49" s="59"/>
      <c r="N49" s="386"/>
    </row>
    <row r="50" spans="1:14" s="195" customFormat="1" ht="15.75" x14ac:dyDescent="0.25">
      <c r="A50" s="138">
        <v>3185</v>
      </c>
      <c r="B50" s="139" t="s">
        <v>168</v>
      </c>
      <c r="C50" s="140">
        <v>959.1</v>
      </c>
      <c r="D50" s="141" t="s">
        <v>16</v>
      </c>
      <c r="E50" s="142">
        <f t="shared" si="0"/>
        <v>239.77500000000001</v>
      </c>
      <c r="F50" s="354">
        <f>237.95+1.825</f>
        <v>239.77499999999998</v>
      </c>
      <c r="G50" s="142">
        <f t="shared" si="1"/>
        <v>0</v>
      </c>
      <c r="H50" s="279">
        <v>15179209</v>
      </c>
      <c r="I50" s="192" t="s">
        <v>169</v>
      </c>
      <c r="J50" s="143" t="s">
        <v>40</v>
      </c>
      <c r="K50" s="192" t="s">
        <v>19</v>
      </c>
      <c r="L50" s="143">
        <v>94919974</v>
      </c>
      <c r="M50" s="291" t="s">
        <v>340</v>
      </c>
      <c r="N50" s="335">
        <v>45941</v>
      </c>
    </row>
    <row r="51" spans="1:14" s="195" customFormat="1" ht="15.75" x14ac:dyDescent="0.25">
      <c r="A51" s="138">
        <v>3188</v>
      </c>
      <c r="B51" s="139" t="s">
        <v>170</v>
      </c>
      <c r="C51" s="140">
        <v>701.9</v>
      </c>
      <c r="D51" s="141" t="s">
        <v>16</v>
      </c>
      <c r="E51" s="142">
        <f t="shared" si="0"/>
        <v>175.47499999999999</v>
      </c>
      <c r="F51" s="354">
        <f>E51</f>
        <v>175.47499999999999</v>
      </c>
      <c r="G51" s="142">
        <f t="shared" si="1"/>
        <v>0</v>
      </c>
      <c r="H51" s="279">
        <v>19290729</v>
      </c>
      <c r="I51" s="192" t="s">
        <v>171</v>
      </c>
      <c r="J51" s="192" t="s">
        <v>36</v>
      </c>
      <c r="K51" s="192" t="s">
        <v>37</v>
      </c>
      <c r="L51" s="143">
        <v>95606029</v>
      </c>
      <c r="M51" s="336" t="s">
        <v>561</v>
      </c>
      <c r="N51" s="388"/>
    </row>
    <row r="52" spans="1:14" s="243" customFormat="1" ht="15.75" x14ac:dyDescent="0.25">
      <c r="A52" s="121">
        <v>3189</v>
      </c>
      <c r="B52" s="122" t="s">
        <v>172</v>
      </c>
      <c r="C52" s="123">
        <v>1143.3</v>
      </c>
      <c r="D52" s="124" t="s">
        <v>16</v>
      </c>
      <c r="E52" s="125">
        <f t="shared" si="0"/>
        <v>285.82499999999999</v>
      </c>
      <c r="F52" s="355">
        <f>E52</f>
        <v>285.82499999999999</v>
      </c>
      <c r="G52" s="125">
        <f t="shared" si="1"/>
        <v>0</v>
      </c>
      <c r="H52" s="356">
        <v>2802613</v>
      </c>
      <c r="I52" s="127" t="s">
        <v>173</v>
      </c>
      <c r="J52" s="126" t="s">
        <v>40</v>
      </c>
      <c r="K52" s="127" t="s">
        <v>19</v>
      </c>
      <c r="L52" s="126">
        <v>99480848</v>
      </c>
      <c r="M52" s="346">
        <v>45960</v>
      </c>
      <c r="N52" s="389"/>
    </row>
    <row r="53" spans="1:14" s="53" customFormat="1" ht="15.75" x14ac:dyDescent="0.25">
      <c r="A53" s="85">
        <v>3190</v>
      </c>
      <c r="B53" s="50" t="s">
        <v>174</v>
      </c>
      <c r="C53" s="56">
        <v>478.9</v>
      </c>
      <c r="D53" s="57" t="s">
        <v>16</v>
      </c>
      <c r="E53" s="58">
        <f t="shared" si="0"/>
        <v>119.72499999999999</v>
      </c>
      <c r="F53" s="353"/>
      <c r="G53" s="58">
        <f t="shared" si="1"/>
        <v>119.72499999999999</v>
      </c>
      <c r="H53" s="275">
        <v>3555896</v>
      </c>
      <c r="I53" s="194" t="s">
        <v>175</v>
      </c>
      <c r="J53" s="51" t="s">
        <v>40</v>
      </c>
      <c r="K53" s="52" t="s">
        <v>19</v>
      </c>
      <c r="L53" s="51">
        <v>92881155</v>
      </c>
      <c r="M53" s="59"/>
      <c r="N53" s="386"/>
    </row>
    <row r="54" spans="1:14" s="195" customFormat="1" ht="15.75" x14ac:dyDescent="0.25">
      <c r="A54" s="138">
        <v>3192</v>
      </c>
      <c r="B54" s="139" t="s">
        <v>38</v>
      </c>
      <c r="C54" s="140">
        <v>994.6</v>
      </c>
      <c r="D54" s="141" t="s">
        <v>16</v>
      </c>
      <c r="E54" s="142">
        <f t="shared" si="0"/>
        <v>248.65</v>
      </c>
      <c r="F54" s="354">
        <f>E54</f>
        <v>248.65</v>
      </c>
      <c r="G54" s="142">
        <f t="shared" si="1"/>
        <v>0</v>
      </c>
      <c r="H54" s="279">
        <v>5271448</v>
      </c>
      <c r="I54" s="192" t="s">
        <v>39</v>
      </c>
      <c r="J54" s="143" t="s">
        <v>40</v>
      </c>
      <c r="K54" s="192" t="s">
        <v>19</v>
      </c>
      <c r="L54" s="143">
        <v>99489918</v>
      </c>
      <c r="M54" s="336" t="s">
        <v>561</v>
      </c>
      <c r="N54" s="388"/>
    </row>
    <row r="55" spans="1:14" s="92" customFormat="1" ht="15.75" x14ac:dyDescent="0.25">
      <c r="A55" s="49">
        <v>3195</v>
      </c>
      <c r="B55" s="50" t="s">
        <v>176</v>
      </c>
      <c r="C55" s="56">
        <v>646.1</v>
      </c>
      <c r="D55" s="57" t="s">
        <v>16</v>
      </c>
      <c r="E55" s="58">
        <f t="shared" si="0"/>
        <v>161.52500000000001</v>
      </c>
      <c r="F55" s="353"/>
      <c r="G55" s="58">
        <f t="shared" si="1"/>
        <v>161.52500000000001</v>
      </c>
      <c r="H55" s="275">
        <v>675849</v>
      </c>
      <c r="I55" s="52" t="s">
        <v>177</v>
      </c>
      <c r="J55" s="51" t="s">
        <v>36</v>
      </c>
      <c r="K55" s="52" t="s">
        <v>37</v>
      </c>
      <c r="L55" s="51">
        <v>99483811</v>
      </c>
      <c r="M55" s="59"/>
      <c r="N55" s="386"/>
    </row>
    <row r="56" spans="1:14" s="92" customFormat="1" ht="15.75" x14ac:dyDescent="0.25">
      <c r="A56" s="49">
        <v>3196</v>
      </c>
      <c r="B56" s="93" t="s">
        <v>178</v>
      </c>
      <c r="C56" s="56">
        <v>620.5</v>
      </c>
      <c r="D56" s="57" t="s">
        <v>16</v>
      </c>
      <c r="E56" s="58">
        <f t="shared" si="0"/>
        <v>155.125</v>
      </c>
      <c r="F56" s="353"/>
      <c r="G56" s="58">
        <f t="shared" si="1"/>
        <v>155.125</v>
      </c>
      <c r="H56" s="275">
        <v>21080217</v>
      </c>
      <c r="I56" s="52" t="s">
        <v>179</v>
      </c>
      <c r="J56" s="51" t="s">
        <v>40</v>
      </c>
      <c r="K56" s="52" t="s">
        <v>19</v>
      </c>
      <c r="L56" s="51">
        <v>95490778</v>
      </c>
      <c r="M56" s="59"/>
      <c r="N56" s="386"/>
    </row>
    <row r="57" spans="1:14" s="92" customFormat="1" ht="15.75" x14ac:dyDescent="0.25">
      <c r="A57" s="49">
        <v>3197</v>
      </c>
      <c r="B57" s="50" t="s">
        <v>180</v>
      </c>
      <c r="C57" s="56">
        <v>1859.1</v>
      </c>
      <c r="D57" s="57" t="s">
        <v>16</v>
      </c>
      <c r="E57" s="58">
        <f t="shared" si="0"/>
        <v>464.77499999999998</v>
      </c>
      <c r="F57" s="353"/>
      <c r="G57" s="58">
        <f t="shared" si="1"/>
        <v>464.77499999999998</v>
      </c>
      <c r="H57" s="275">
        <v>6479515</v>
      </c>
      <c r="I57" s="52" t="s">
        <v>181</v>
      </c>
      <c r="J57" s="51" t="s">
        <v>40</v>
      </c>
      <c r="K57" s="52" t="s">
        <v>19</v>
      </c>
      <c r="L57" s="51">
        <v>92349032</v>
      </c>
      <c r="M57" s="59"/>
      <c r="N57" s="386"/>
    </row>
    <row r="58" spans="1:14" s="92" customFormat="1" ht="15.75" x14ac:dyDescent="0.25">
      <c r="A58" s="49">
        <v>3198</v>
      </c>
      <c r="B58" s="74" t="s">
        <v>44</v>
      </c>
      <c r="C58" s="338">
        <v>621.1</v>
      </c>
      <c r="D58" s="57" t="s">
        <v>16</v>
      </c>
      <c r="E58" s="58">
        <f t="shared" si="0"/>
        <v>155.27500000000001</v>
      </c>
      <c r="F58" s="353"/>
      <c r="G58" s="58">
        <f t="shared" si="1"/>
        <v>155.27500000000001</v>
      </c>
      <c r="H58" s="282">
        <v>6360793</v>
      </c>
      <c r="I58" s="52" t="s">
        <v>45</v>
      </c>
      <c r="J58" s="75" t="s">
        <v>46</v>
      </c>
      <c r="K58" s="76" t="s">
        <v>47</v>
      </c>
      <c r="L58" s="51">
        <v>99336200</v>
      </c>
      <c r="M58" s="59"/>
      <c r="N58" s="386"/>
    </row>
    <row r="59" spans="1:14" s="243" customFormat="1" ht="15.75" x14ac:dyDescent="0.25">
      <c r="A59" s="121">
        <v>3310</v>
      </c>
      <c r="B59" s="122" t="s">
        <v>182</v>
      </c>
      <c r="C59" s="123">
        <v>1286.5</v>
      </c>
      <c r="D59" s="124" t="s">
        <v>16</v>
      </c>
      <c r="E59" s="125">
        <f t="shared" si="0"/>
        <v>321.625</v>
      </c>
      <c r="F59" s="355">
        <f>E59</f>
        <v>321.625</v>
      </c>
      <c r="G59" s="125">
        <f t="shared" si="1"/>
        <v>0</v>
      </c>
      <c r="H59" s="356">
        <v>1007615</v>
      </c>
      <c r="I59" s="127" t="s">
        <v>183</v>
      </c>
      <c r="J59" s="126" t="s">
        <v>40</v>
      </c>
      <c r="K59" s="127" t="s">
        <v>19</v>
      </c>
      <c r="L59" s="126">
        <v>99056614</v>
      </c>
      <c r="M59" s="128" t="s">
        <v>658</v>
      </c>
      <c r="N59" s="389"/>
    </row>
    <row r="60" spans="1:14" s="243" customFormat="1" ht="15.75" x14ac:dyDescent="0.25">
      <c r="A60" s="121">
        <v>3324</v>
      </c>
      <c r="B60" s="126" t="s">
        <v>184</v>
      </c>
      <c r="C60" s="123">
        <v>1279.3</v>
      </c>
      <c r="D60" s="124" t="s">
        <v>16</v>
      </c>
      <c r="E60" s="125">
        <f t="shared" si="0"/>
        <v>319.82499999999999</v>
      </c>
      <c r="F60" s="355">
        <f>E60</f>
        <v>319.82499999999999</v>
      </c>
      <c r="G60" s="125">
        <f t="shared" si="1"/>
        <v>0</v>
      </c>
      <c r="H60" s="370">
        <v>207402</v>
      </c>
      <c r="I60" s="127" t="s">
        <v>185</v>
      </c>
      <c r="J60" s="127" t="s">
        <v>40</v>
      </c>
      <c r="K60" s="127" t="s">
        <v>19</v>
      </c>
      <c r="L60" s="126">
        <v>99487533</v>
      </c>
      <c r="M60" s="241" t="s">
        <v>636</v>
      </c>
      <c r="N60" s="389"/>
    </row>
    <row r="61" spans="1:14" s="53" customFormat="1" ht="15.75" x14ac:dyDescent="0.25">
      <c r="A61" s="49">
        <v>3330</v>
      </c>
      <c r="B61" s="51" t="s">
        <v>186</v>
      </c>
      <c r="C61" s="56">
        <v>1978.3</v>
      </c>
      <c r="D61" s="57" t="s">
        <v>16</v>
      </c>
      <c r="E61" s="58">
        <f t="shared" si="0"/>
        <v>494.57499999999999</v>
      </c>
      <c r="F61" s="353"/>
      <c r="G61" s="58">
        <f t="shared" si="1"/>
        <v>494.57499999999999</v>
      </c>
      <c r="H61" s="280">
        <v>6375079</v>
      </c>
      <c r="I61" s="52" t="s">
        <v>187</v>
      </c>
      <c r="J61" s="52" t="s">
        <v>188</v>
      </c>
      <c r="K61" s="52" t="s">
        <v>19</v>
      </c>
      <c r="L61" s="51"/>
      <c r="M61" s="94"/>
      <c r="N61" s="386"/>
    </row>
    <row r="62" spans="1:14" s="53" customFormat="1" ht="15.75" x14ac:dyDescent="0.25">
      <c r="A62" s="49">
        <v>3333</v>
      </c>
      <c r="B62" s="51" t="s">
        <v>189</v>
      </c>
      <c r="C62" s="56">
        <v>1198.5</v>
      </c>
      <c r="D62" s="57" t="s">
        <v>16</v>
      </c>
      <c r="E62" s="58">
        <f t="shared" si="0"/>
        <v>299.625</v>
      </c>
      <c r="F62" s="353"/>
      <c r="G62" s="58">
        <f t="shared" si="1"/>
        <v>299.625</v>
      </c>
      <c r="H62" s="96">
        <v>757601</v>
      </c>
      <c r="I62" s="96" t="s">
        <v>190</v>
      </c>
      <c r="J62" s="96" t="s">
        <v>83</v>
      </c>
      <c r="K62" s="96" t="s">
        <v>84</v>
      </c>
      <c r="L62" s="97"/>
      <c r="M62" s="94"/>
      <c r="N62" s="386"/>
    </row>
    <row r="63" spans="1:14" s="195" customFormat="1" ht="15.75" x14ac:dyDescent="0.25">
      <c r="A63" s="138">
        <v>3339</v>
      </c>
      <c r="B63" s="143" t="s">
        <v>191</v>
      </c>
      <c r="C63" s="140">
        <v>474.1</v>
      </c>
      <c r="D63" s="141" t="s">
        <v>16</v>
      </c>
      <c r="E63" s="142">
        <f t="shared" si="0"/>
        <v>118.52500000000001</v>
      </c>
      <c r="F63" s="354">
        <f>116.4+2.125</f>
        <v>118.52500000000001</v>
      </c>
      <c r="G63" s="142">
        <f t="shared" si="1"/>
        <v>0</v>
      </c>
      <c r="H63" s="290">
        <v>12415718</v>
      </c>
      <c r="I63" s="192" t="s">
        <v>192</v>
      </c>
      <c r="J63" s="143" t="s">
        <v>40</v>
      </c>
      <c r="K63" s="192" t="s">
        <v>19</v>
      </c>
      <c r="L63" s="143"/>
      <c r="M63" s="149" t="s">
        <v>555</v>
      </c>
      <c r="N63" s="173" t="s">
        <v>566</v>
      </c>
    </row>
    <row r="64" spans="1:14" s="243" customFormat="1" ht="15.75" x14ac:dyDescent="0.25">
      <c r="A64" s="121">
        <v>3341</v>
      </c>
      <c r="B64" s="126" t="s">
        <v>328</v>
      </c>
      <c r="C64" s="123">
        <v>560.5</v>
      </c>
      <c r="D64" s="124" t="s">
        <v>16</v>
      </c>
      <c r="E64" s="125">
        <f>C64*D64</f>
        <v>140.125</v>
      </c>
      <c r="F64" s="355">
        <f>E64</f>
        <v>140.125</v>
      </c>
      <c r="G64" s="125">
        <f t="shared" si="1"/>
        <v>0</v>
      </c>
      <c r="H64" s="370">
        <v>702161</v>
      </c>
      <c r="I64" s="127" t="s">
        <v>329</v>
      </c>
      <c r="J64" s="126" t="s">
        <v>88</v>
      </c>
      <c r="K64" s="127" t="s">
        <v>89</v>
      </c>
      <c r="L64" s="126">
        <v>99290644</v>
      </c>
      <c r="M64" s="347" t="s">
        <v>559</v>
      </c>
      <c r="N64" s="389"/>
    </row>
    <row r="65" spans="1:14" s="53" customFormat="1" ht="15.75" x14ac:dyDescent="0.25">
      <c r="A65" s="85">
        <v>3500</v>
      </c>
      <c r="B65" s="51" t="s">
        <v>193</v>
      </c>
      <c r="C65" s="65"/>
      <c r="D65" s="57" t="s">
        <v>16</v>
      </c>
      <c r="E65" s="58">
        <f>C65*D65</f>
        <v>0</v>
      </c>
      <c r="F65" s="353"/>
      <c r="G65" s="58">
        <f t="shared" si="1"/>
        <v>0</v>
      </c>
      <c r="H65" s="280">
        <v>13525845</v>
      </c>
      <c r="I65" s="52" t="s">
        <v>194</v>
      </c>
      <c r="J65" s="51" t="s">
        <v>83</v>
      </c>
      <c r="K65" s="52" t="s">
        <v>84</v>
      </c>
      <c r="L65" s="51">
        <v>93985671</v>
      </c>
      <c r="M65" s="26"/>
      <c r="N65" s="386"/>
    </row>
    <row r="66" spans="1:14" s="53" customFormat="1" ht="15.75" x14ac:dyDescent="0.25">
      <c r="A66" s="49">
        <v>3501</v>
      </c>
      <c r="B66" s="51" t="s">
        <v>195</v>
      </c>
      <c r="C66" s="56">
        <v>1935.2</v>
      </c>
      <c r="D66" s="57" t="s">
        <v>16</v>
      </c>
      <c r="E66" s="58">
        <f t="shared" si="0"/>
        <v>483.8</v>
      </c>
      <c r="F66" s="353"/>
      <c r="G66" s="58">
        <f t="shared" si="1"/>
        <v>483.8</v>
      </c>
      <c r="H66" s="280">
        <v>13525794</v>
      </c>
      <c r="I66" s="52" t="s">
        <v>196</v>
      </c>
      <c r="J66" s="51" t="s">
        <v>40</v>
      </c>
      <c r="K66" s="52" t="s">
        <v>19</v>
      </c>
      <c r="L66" s="51">
        <v>92868004</v>
      </c>
      <c r="M66" s="26"/>
      <c r="N66" s="386"/>
    </row>
    <row r="67" spans="1:14" s="53" customFormat="1" ht="15.75" x14ac:dyDescent="0.25">
      <c r="A67" s="49">
        <v>3502</v>
      </c>
      <c r="B67" s="93" t="s">
        <v>198</v>
      </c>
      <c r="C67" s="56">
        <v>1329.6</v>
      </c>
      <c r="D67" s="57" t="s">
        <v>16</v>
      </c>
      <c r="E67" s="58">
        <f t="shared" si="0"/>
        <v>332.4</v>
      </c>
      <c r="F67" s="353"/>
      <c r="G67" s="58">
        <f t="shared" si="1"/>
        <v>332.4</v>
      </c>
      <c r="H67" s="280">
        <v>22522336</v>
      </c>
      <c r="I67" s="52" t="s">
        <v>199</v>
      </c>
      <c r="J67" s="51" t="s">
        <v>36</v>
      </c>
      <c r="K67" s="52" t="s">
        <v>37</v>
      </c>
      <c r="L67" s="51"/>
      <c r="M67" s="26"/>
      <c r="N67" s="386"/>
    </row>
    <row r="68" spans="1:14" s="53" customFormat="1" ht="15.75" x14ac:dyDescent="0.25">
      <c r="A68" s="49">
        <v>3503</v>
      </c>
      <c r="B68" s="51" t="s">
        <v>200</v>
      </c>
      <c r="C68" s="56">
        <v>647.1</v>
      </c>
      <c r="D68" s="57" t="s">
        <v>16</v>
      </c>
      <c r="E68" s="58">
        <f t="shared" si="0"/>
        <v>161.77500000000001</v>
      </c>
      <c r="F68" s="353"/>
      <c r="G68" s="58">
        <f t="shared" si="1"/>
        <v>161.77500000000001</v>
      </c>
      <c r="H68" s="280">
        <v>9212492</v>
      </c>
      <c r="I68" s="52" t="s">
        <v>201</v>
      </c>
      <c r="J68" s="51" t="s">
        <v>40</v>
      </c>
      <c r="K68" s="52" t="s">
        <v>19</v>
      </c>
      <c r="L68" s="51">
        <v>98080144</v>
      </c>
      <c r="M68" s="26"/>
      <c r="N68" s="386"/>
    </row>
    <row r="69" spans="1:14" s="53" customFormat="1" ht="15.75" x14ac:dyDescent="0.25">
      <c r="A69" s="85">
        <v>3504</v>
      </c>
      <c r="B69" s="51" t="s">
        <v>202</v>
      </c>
      <c r="C69" s="65"/>
      <c r="D69" s="57" t="s">
        <v>16</v>
      </c>
      <c r="E69" s="58">
        <f t="shared" ref="E69:E86" si="2">C69*D69</f>
        <v>0</v>
      </c>
      <c r="F69" s="353"/>
      <c r="G69" s="58">
        <f t="shared" ref="G69:G87" si="3">E69-F69</f>
        <v>0</v>
      </c>
      <c r="H69" s="280">
        <v>939641</v>
      </c>
      <c r="I69" s="52" t="s">
        <v>203</v>
      </c>
      <c r="J69" s="51" t="s">
        <v>40</v>
      </c>
      <c r="K69" s="52" t="s">
        <v>19</v>
      </c>
      <c r="L69" s="51">
        <v>99588609</v>
      </c>
      <c r="M69" s="26"/>
      <c r="N69" s="386"/>
    </row>
    <row r="70" spans="1:14" s="195" customFormat="1" ht="15.75" x14ac:dyDescent="0.25">
      <c r="A70" s="138">
        <v>3506</v>
      </c>
      <c r="B70" s="143" t="s">
        <v>205</v>
      </c>
      <c r="C70" s="140">
        <v>474.6</v>
      </c>
      <c r="D70" s="141" t="s">
        <v>16</v>
      </c>
      <c r="E70" s="142">
        <f t="shared" si="2"/>
        <v>118.65</v>
      </c>
      <c r="F70" s="354">
        <f>E70</f>
        <v>118.65</v>
      </c>
      <c r="G70" s="142">
        <f t="shared" si="3"/>
        <v>0</v>
      </c>
      <c r="H70" s="290">
        <v>13307752</v>
      </c>
      <c r="I70" s="192" t="s">
        <v>206</v>
      </c>
      <c r="J70" s="143" t="s">
        <v>40</v>
      </c>
      <c r="K70" s="192" t="s">
        <v>19</v>
      </c>
      <c r="L70" s="143">
        <v>99294425</v>
      </c>
      <c r="M70" s="199">
        <v>45941</v>
      </c>
      <c r="N70" s="388"/>
    </row>
    <row r="71" spans="1:14" s="53" customFormat="1" ht="15.75" x14ac:dyDescent="0.25">
      <c r="A71" s="49">
        <v>3507</v>
      </c>
      <c r="B71" s="51" t="s">
        <v>207</v>
      </c>
      <c r="C71" s="56">
        <v>1286.9000000000001</v>
      </c>
      <c r="D71" s="57" t="s">
        <v>16</v>
      </c>
      <c r="E71" s="58">
        <f t="shared" si="2"/>
        <v>321.72500000000002</v>
      </c>
      <c r="F71" s="353"/>
      <c r="G71" s="58">
        <f t="shared" si="3"/>
        <v>321.72500000000002</v>
      </c>
      <c r="H71" s="280">
        <v>1184669</v>
      </c>
      <c r="I71" s="52" t="s">
        <v>208</v>
      </c>
      <c r="J71" s="51" t="s">
        <v>36</v>
      </c>
      <c r="K71" s="52" t="s">
        <v>37</v>
      </c>
      <c r="L71" s="51">
        <v>99291928</v>
      </c>
      <c r="M71" s="26"/>
      <c r="N71" s="386"/>
    </row>
    <row r="72" spans="1:14" s="53" customFormat="1" ht="15.75" x14ac:dyDescent="0.25">
      <c r="A72" s="49">
        <v>3508</v>
      </c>
      <c r="B72" s="51" t="s">
        <v>49</v>
      </c>
      <c r="C72" s="56">
        <v>646.70000000000005</v>
      </c>
      <c r="D72" s="57" t="s">
        <v>16</v>
      </c>
      <c r="E72" s="58">
        <f t="shared" si="2"/>
        <v>161.67500000000001</v>
      </c>
      <c r="F72" s="353"/>
      <c r="G72" s="58">
        <f t="shared" si="3"/>
        <v>161.67500000000001</v>
      </c>
      <c r="H72" s="280">
        <v>2567166</v>
      </c>
      <c r="I72" s="52" t="s">
        <v>50</v>
      </c>
      <c r="J72" s="51" t="s">
        <v>40</v>
      </c>
      <c r="K72" s="52" t="s">
        <v>19</v>
      </c>
      <c r="L72" s="51">
        <v>92570156</v>
      </c>
      <c r="M72" s="26"/>
      <c r="N72" s="386"/>
    </row>
    <row r="73" spans="1:14" s="53" customFormat="1" ht="15.75" x14ac:dyDescent="0.25">
      <c r="A73" s="49">
        <v>3509</v>
      </c>
      <c r="B73" s="93" t="s">
        <v>209</v>
      </c>
      <c r="C73" s="56">
        <v>569.79999999999995</v>
      </c>
      <c r="D73" s="57" t="s">
        <v>16</v>
      </c>
      <c r="E73" s="58">
        <f t="shared" si="2"/>
        <v>142.44999999999999</v>
      </c>
      <c r="F73" s="353"/>
      <c r="G73" s="58">
        <f t="shared" si="3"/>
        <v>142.44999999999999</v>
      </c>
      <c r="H73" s="280">
        <v>22760088</v>
      </c>
      <c r="I73" s="52" t="s">
        <v>210</v>
      </c>
      <c r="J73" s="51" t="s">
        <v>88</v>
      </c>
      <c r="K73" s="52" t="s">
        <v>89</v>
      </c>
      <c r="L73" s="51">
        <v>91476443</v>
      </c>
      <c r="M73" s="26"/>
      <c r="N73" s="386"/>
    </row>
    <row r="74" spans="1:14" s="53" customFormat="1" ht="15.75" x14ac:dyDescent="0.25">
      <c r="A74" s="49">
        <v>3510</v>
      </c>
      <c r="B74" s="93" t="s">
        <v>211</v>
      </c>
      <c r="C74" s="56">
        <v>1253.7</v>
      </c>
      <c r="D74" s="57" t="s">
        <v>16</v>
      </c>
      <c r="E74" s="58">
        <f t="shared" si="2"/>
        <v>313.42500000000001</v>
      </c>
      <c r="F74" s="353"/>
      <c r="G74" s="58">
        <f t="shared" si="3"/>
        <v>313.42500000000001</v>
      </c>
      <c r="H74" s="280">
        <v>6920351</v>
      </c>
      <c r="I74" s="52" t="s">
        <v>212</v>
      </c>
      <c r="J74" s="51" t="s">
        <v>40</v>
      </c>
      <c r="K74" s="52" t="s">
        <v>19</v>
      </c>
      <c r="L74" s="51">
        <v>98933077</v>
      </c>
      <c r="M74" s="26"/>
      <c r="N74" s="386"/>
    </row>
    <row r="75" spans="1:14" s="195" customFormat="1" ht="15.75" x14ac:dyDescent="0.25">
      <c r="A75" s="138">
        <v>3511</v>
      </c>
      <c r="B75" s="145" t="s">
        <v>21</v>
      </c>
      <c r="C75" s="146">
        <v>679.3</v>
      </c>
      <c r="D75" s="141" t="s">
        <v>16</v>
      </c>
      <c r="E75" s="142">
        <f t="shared" si="2"/>
        <v>169.82499999999999</v>
      </c>
      <c r="F75" s="354">
        <f>167.05+2.775</f>
        <v>169.82500000000002</v>
      </c>
      <c r="G75" s="142">
        <f t="shared" si="3"/>
        <v>0</v>
      </c>
      <c r="H75" s="148">
        <v>2640016</v>
      </c>
      <c r="I75" s="148" t="s">
        <v>22</v>
      </c>
      <c r="J75" s="145" t="s">
        <v>23</v>
      </c>
      <c r="K75" s="148" t="s">
        <v>24</v>
      </c>
      <c r="L75" s="191">
        <v>92953388</v>
      </c>
      <c r="M75" s="149" t="s">
        <v>555</v>
      </c>
      <c r="N75" s="269">
        <v>45727</v>
      </c>
    </row>
    <row r="76" spans="1:14" s="53" customFormat="1" ht="15.75" x14ac:dyDescent="0.25">
      <c r="A76" s="85">
        <v>3512</v>
      </c>
      <c r="B76" s="98" t="s">
        <v>213</v>
      </c>
      <c r="C76" s="101"/>
      <c r="D76" s="57" t="s">
        <v>16</v>
      </c>
      <c r="E76" s="58">
        <f t="shared" si="2"/>
        <v>0</v>
      </c>
      <c r="F76" s="353"/>
      <c r="G76" s="58">
        <f t="shared" si="3"/>
        <v>0</v>
      </c>
      <c r="H76" s="96">
        <v>5514631</v>
      </c>
      <c r="I76" s="96" t="s">
        <v>214</v>
      </c>
      <c r="J76" s="98" t="s">
        <v>36</v>
      </c>
      <c r="K76" s="98" t="s">
        <v>37</v>
      </c>
      <c r="L76" s="97"/>
      <c r="M76" s="26"/>
      <c r="N76" s="386"/>
    </row>
    <row r="77" spans="1:14" s="188" customFormat="1" ht="15.75" x14ac:dyDescent="0.25">
      <c r="A77" s="179">
        <v>3513</v>
      </c>
      <c r="B77" s="444" t="s">
        <v>215</v>
      </c>
      <c r="C77" s="445">
        <v>2575</v>
      </c>
      <c r="D77" s="182" t="s">
        <v>16</v>
      </c>
      <c r="E77" s="183">
        <f t="shared" si="2"/>
        <v>643.75</v>
      </c>
      <c r="F77" s="441">
        <f>E77</f>
        <v>643.75</v>
      </c>
      <c r="G77" s="183">
        <f t="shared" si="3"/>
        <v>0</v>
      </c>
      <c r="H77" s="446">
        <v>7047376</v>
      </c>
      <c r="I77" s="446" t="s">
        <v>216</v>
      </c>
      <c r="J77" s="444" t="s">
        <v>36</v>
      </c>
      <c r="K77" s="446" t="s">
        <v>37</v>
      </c>
      <c r="L77" s="447">
        <v>90106022</v>
      </c>
      <c r="M77" s="448">
        <v>46002</v>
      </c>
      <c r="N77" s="443"/>
    </row>
    <row r="78" spans="1:14" s="53" customFormat="1" ht="18" customHeight="1" x14ac:dyDescent="0.25">
      <c r="A78" s="49">
        <v>3514</v>
      </c>
      <c r="B78" s="98" t="s">
        <v>217</v>
      </c>
      <c r="C78" s="99">
        <v>1255.9000000000001</v>
      </c>
      <c r="D78" s="57" t="s">
        <v>16</v>
      </c>
      <c r="E78" s="58">
        <f t="shared" si="2"/>
        <v>313.97500000000002</v>
      </c>
      <c r="F78" s="353">
        <f>2.64999999999998+311.325</f>
        <v>313.97499999999997</v>
      </c>
      <c r="G78" s="58">
        <f t="shared" si="3"/>
        <v>0</v>
      </c>
      <c r="H78" s="96">
        <v>440083</v>
      </c>
      <c r="I78" s="52" t="s">
        <v>218</v>
      </c>
      <c r="J78" s="51" t="s">
        <v>188</v>
      </c>
      <c r="K78" s="52" t="s">
        <v>19</v>
      </c>
      <c r="L78" s="97">
        <v>92363355</v>
      </c>
      <c r="M78" s="48" t="s">
        <v>635</v>
      </c>
      <c r="N78" s="391">
        <v>45700</v>
      </c>
    </row>
    <row r="79" spans="1:14" s="195" customFormat="1" ht="15.75" x14ac:dyDescent="0.25">
      <c r="A79" s="138">
        <v>3515</v>
      </c>
      <c r="B79" s="145" t="s">
        <v>51</v>
      </c>
      <c r="C79" s="146">
        <v>1749.3</v>
      </c>
      <c r="D79" s="141" t="s">
        <v>16</v>
      </c>
      <c r="E79" s="142">
        <f t="shared" si="2"/>
        <v>437.32499999999999</v>
      </c>
      <c r="F79" s="354">
        <v>433.45000000000005</v>
      </c>
      <c r="G79" s="142">
        <f t="shared" si="3"/>
        <v>3.8749999999999432</v>
      </c>
      <c r="H79" s="148">
        <v>6645198</v>
      </c>
      <c r="I79" s="148" t="s">
        <v>52</v>
      </c>
      <c r="J79" s="143" t="s">
        <v>36</v>
      </c>
      <c r="K79" s="192" t="s">
        <v>37</v>
      </c>
      <c r="L79" s="191">
        <v>94411217</v>
      </c>
      <c r="M79" s="149" t="s">
        <v>555</v>
      </c>
      <c r="N79" s="388"/>
    </row>
    <row r="80" spans="1:14" s="53" customFormat="1" ht="15.75" x14ac:dyDescent="0.25">
      <c r="A80" s="49">
        <v>3516</v>
      </c>
      <c r="B80" s="98" t="s">
        <v>219</v>
      </c>
      <c r="C80" s="99">
        <v>1842.2</v>
      </c>
      <c r="D80" s="57" t="s">
        <v>16</v>
      </c>
      <c r="E80" s="58">
        <f t="shared" si="2"/>
        <v>460.55</v>
      </c>
      <c r="F80" s="353">
        <f>E80</f>
        <v>460.55</v>
      </c>
      <c r="G80" s="58">
        <f t="shared" si="3"/>
        <v>0</v>
      </c>
      <c r="H80" s="96">
        <v>1165877</v>
      </c>
      <c r="I80" s="96" t="s">
        <v>220</v>
      </c>
      <c r="J80" s="98" t="s">
        <v>36</v>
      </c>
      <c r="K80" s="52" t="s">
        <v>37</v>
      </c>
      <c r="L80" s="97"/>
      <c r="M80" s="348" t="s">
        <v>634</v>
      </c>
      <c r="N80" s="386"/>
    </row>
    <row r="81" spans="1:14" s="195" customFormat="1" ht="15.75" x14ac:dyDescent="0.25">
      <c r="A81" s="138">
        <v>3517</v>
      </c>
      <c r="B81" s="145" t="s">
        <v>221</v>
      </c>
      <c r="C81" s="146">
        <v>1280.3</v>
      </c>
      <c r="D81" s="141" t="s">
        <v>16</v>
      </c>
      <c r="E81" s="142">
        <f t="shared" si="2"/>
        <v>320.07499999999999</v>
      </c>
      <c r="F81" s="354">
        <f>2.12499999999999+317.95</f>
        <v>320.07499999999999</v>
      </c>
      <c r="G81" s="142">
        <f t="shared" si="3"/>
        <v>0</v>
      </c>
      <c r="H81" s="148">
        <v>7047081</v>
      </c>
      <c r="I81" s="148" t="s">
        <v>222</v>
      </c>
      <c r="J81" s="145" t="s">
        <v>36</v>
      </c>
      <c r="K81" s="192" t="s">
        <v>37</v>
      </c>
      <c r="L81" s="191"/>
      <c r="M81" s="291" t="s">
        <v>340</v>
      </c>
      <c r="N81" s="269">
        <v>45727</v>
      </c>
    </row>
    <row r="82" spans="1:14" s="195" customFormat="1" ht="15.75" x14ac:dyDescent="0.25">
      <c r="A82" s="138">
        <v>3518</v>
      </c>
      <c r="B82" s="145" t="s">
        <v>54</v>
      </c>
      <c r="C82" s="146">
        <v>1069.0999999999999</v>
      </c>
      <c r="D82" s="141" t="s">
        <v>16</v>
      </c>
      <c r="E82" s="142">
        <f t="shared" si="2"/>
        <v>267.27499999999998</v>
      </c>
      <c r="F82" s="354">
        <f>E82</f>
        <v>267.27499999999998</v>
      </c>
      <c r="G82" s="142">
        <f t="shared" si="3"/>
        <v>0</v>
      </c>
      <c r="H82" s="148">
        <v>20386956</v>
      </c>
      <c r="I82" s="148" t="s">
        <v>55</v>
      </c>
      <c r="J82" s="143" t="s">
        <v>40</v>
      </c>
      <c r="K82" s="192" t="s">
        <v>19</v>
      </c>
      <c r="L82" s="191"/>
      <c r="M82" s="149" t="s">
        <v>556</v>
      </c>
      <c r="N82" s="388"/>
    </row>
    <row r="83" spans="1:14" s="195" customFormat="1" ht="15.75" x14ac:dyDescent="0.25">
      <c r="A83" s="138">
        <v>3519</v>
      </c>
      <c r="B83" s="145" t="s">
        <v>223</v>
      </c>
      <c r="C83" s="146">
        <v>637.5</v>
      </c>
      <c r="D83" s="141" t="s">
        <v>16</v>
      </c>
      <c r="E83" s="142">
        <f t="shared" si="2"/>
        <v>159.375</v>
      </c>
      <c r="F83" s="354">
        <f>1.05+158.325</f>
        <v>159.375</v>
      </c>
      <c r="G83" s="142">
        <f t="shared" si="3"/>
        <v>0</v>
      </c>
      <c r="H83" s="148">
        <v>7047221</v>
      </c>
      <c r="I83" s="148" t="s">
        <v>224</v>
      </c>
      <c r="J83" s="145" t="s">
        <v>36</v>
      </c>
      <c r="K83" s="192" t="s">
        <v>37</v>
      </c>
      <c r="L83" s="191"/>
      <c r="M83" s="291" t="s">
        <v>340</v>
      </c>
      <c r="N83" s="269">
        <v>45727</v>
      </c>
    </row>
    <row r="84" spans="1:14" s="53" customFormat="1" ht="15.75" x14ac:dyDescent="0.25">
      <c r="A84" s="49">
        <v>3520</v>
      </c>
      <c r="B84" s="98" t="s">
        <v>225</v>
      </c>
      <c r="C84" s="99">
        <v>930.8</v>
      </c>
      <c r="D84" s="57" t="s">
        <v>16</v>
      </c>
      <c r="E84" s="58">
        <f t="shared" si="2"/>
        <v>232.7</v>
      </c>
      <c r="F84" s="353"/>
      <c r="G84" s="58">
        <f t="shared" si="3"/>
        <v>232.7</v>
      </c>
      <c r="H84" s="96">
        <v>5665362</v>
      </c>
      <c r="I84" s="96" t="s">
        <v>226</v>
      </c>
      <c r="J84" s="98" t="s">
        <v>36</v>
      </c>
      <c r="K84" s="52" t="s">
        <v>37</v>
      </c>
      <c r="L84" s="97"/>
      <c r="N84" s="386"/>
    </row>
    <row r="85" spans="1:14" s="53" customFormat="1" ht="15.75" x14ac:dyDescent="0.25">
      <c r="A85" s="49">
        <v>3521</v>
      </c>
      <c r="B85" s="98" t="s">
        <v>227</v>
      </c>
      <c r="C85" s="99">
        <v>3669.6</v>
      </c>
      <c r="D85" s="57" t="s">
        <v>16</v>
      </c>
      <c r="E85" s="58">
        <f t="shared" si="2"/>
        <v>917.4</v>
      </c>
      <c r="F85" s="353"/>
      <c r="G85" s="58">
        <f t="shared" si="3"/>
        <v>917.4</v>
      </c>
      <c r="H85" s="96">
        <v>7064553</v>
      </c>
      <c r="I85" s="96" t="s">
        <v>228</v>
      </c>
      <c r="J85" s="51" t="s">
        <v>40</v>
      </c>
      <c r="K85" s="52" t="s">
        <v>19</v>
      </c>
      <c r="L85" s="97"/>
      <c r="M85" s="26"/>
      <c r="N85" s="386"/>
    </row>
    <row r="86" spans="1:14" s="53" customFormat="1" ht="15.75" x14ac:dyDescent="0.25">
      <c r="A86" s="49">
        <v>3522</v>
      </c>
      <c r="B86" s="98" t="s">
        <v>229</v>
      </c>
      <c r="C86" s="99">
        <v>364.2</v>
      </c>
      <c r="D86" s="57" t="s">
        <v>16</v>
      </c>
      <c r="E86" s="58">
        <f t="shared" si="2"/>
        <v>91.05</v>
      </c>
      <c r="F86" s="353"/>
      <c r="G86" s="58">
        <f t="shared" si="3"/>
        <v>91.05</v>
      </c>
      <c r="H86" s="96">
        <v>11365191</v>
      </c>
      <c r="I86" s="96" t="s">
        <v>230</v>
      </c>
      <c r="J86" s="98" t="s">
        <v>36</v>
      </c>
      <c r="K86" s="52" t="s">
        <v>37</v>
      </c>
      <c r="L86" s="97"/>
      <c r="M86" s="26"/>
      <c r="N86" s="386"/>
    </row>
    <row r="87" spans="1:14" s="53" customFormat="1" ht="15.75" x14ac:dyDescent="0.25">
      <c r="A87" s="49"/>
      <c r="B87" s="98"/>
      <c r="C87" s="99"/>
      <c r="D87" s="57"/>
      <c r="E87" s="58"/>
      <c r="F87" s="353"/>
      <c r="G87" s="58">
        <f t="shared" si="3"/>
        <v>0</v>
      </c>
      <c r="H87" s="96"/>
      <c r="I87" s="96"/>
      <c r="J87" s="98"/>
      <c r="K87" s="52"/>
      <c r="L87" s="97"/>
      <c r="M87" s="26"/>
      <c r="N87" s="386"/>
    </row>
    <row r="88" spans="1:14" s="53" customFormat="1" ht="19.5" x14ac:dyDescent="0.25">
      <c r="A88" s="106"/>
      <c r="B88" s="106"/>
      <c r="C88" s="107">
        <f>SUM(C4:C87)</f>
        <v>133905.10000000003</v>
      </c>
      <c r="D88" s="106" t="s">
        <v>26</v>
      </c>
      <c r="E88" s="106">
        <f>SUM(E4:E87)</f>
        <v>33476.275000000009</v>
      </c>
      <c r="F88" s="106">
        <f t="shared" ref="F88:G88" si="4">SUM(F4:F87)</f>
        <v>17181.425000000003</v>
      </c>
      <c r="G88" s="106">
        <f t="shared" si="4"/>
        <v>16294.849999999999</v>
      </c>
      <c r="H88" s="106"/>
      <c r="I88" s="106"/>
      <c r="J88" s="106"/>
      <c r="K88" s="106"/>
      <c r="L88" s="106"/>
      <c r="M88" s="108"/>
      <c r="N88" s="109"/>
    </row>
    <row r="89" spans="1:14" x14ac:dyDescent="0.25">
      <c r="E89" s="40"/>
      <c r="F89" s="40"/>
      <c r="G89" s="40"/>
    </row>
    <row r="90" spans="1:14" x14ac:dyDescent="0.25">
      <c r="C90" s="45"/>
      <c r="E90" s="45"/>
      <c r="F90" s="45"/>
      <c r="G90" s="45"/>
    </row>
    <row r="91" spans="1:14" x14ac:dyDescent="0.25">
      <c r="E91" s="40"/>
      <c r="F91" s="40"/>
      <c r="G91" s="40"/>
    </row>
    <row r="92" spans="1:14" x14ac:dyDescent="0.25">
      <c r="E92" s="40"/>
      <c r="F92" s="40"/>
      <c r="G92" s="40"/>
    </row>
    <row r="93" spans="1:14" x14ac:dyDescent="0.25">
      <c r="E93" s="40"/>
      <c r="F93" s="40"/>
      <c r="G93" s="40"/>
    </row>
    <row r="94" spans="1:14" x14ac:dyDescent="0.25">
      <c r="E94" s="40"/>
      <c r="F94" s="40"/>
      <c r="G94" s="40"/>
    </row>
    <row r="95" spans="1:14" x14ac:dyDescent="0.25">
      <c r="E95" s="40"/>
      <c r="F95" s="40"/>
      <c r="G95" s="40"/>
    </row>
    <row r="96" spans="1:14" x14ac:dyDescent="0.25">
      <c r="E96" s="40"/>
      <c r="F96" s="40"/>
      <c r="G96" s="40"/>
    </row>
    <row r="97" spans="1:14" s="41" customFormat="1" x14ac:dyDescent="0.25">
      <c r="A97"/>
      <c r="B97"/>
      <c r="C97" s="6"/>
      <c r="D97" s="6"/>
      <c r="E97" s="40"/>
      <c r="F97" s="40"/>
      <c r="G97" s="40"/>
      <c r="H97" s="44"/>
      <c r="M97"/>
      <c r="N97" s="390"/>
    </row>
    <row r="98" spans="1:14" s="41" customFormat="1" x14ac:dyDescent="0.25">
      <c r="A98"/>
      <c r="B98"/>
      <c r="C98" s="6"/>
      <c r="D98" s="6"/>
      <c r="E98" s="40"/>
      <c r="F98" s="40"/>
      <c r="G98" s="40"/>
      <c r="H98" s="44"/>
      <c r="M98"/>
      <c r="N98" s="390"/>
    </row>
    <row r="99" spans="1:14" s="41" customFormat="1" x14ac:dyDescent="0.25">
      <c r="A99"/>
      <c r="B99"/>
      <c r="C99" s="6"/>
      <c r="D99" s="6"/>
      <c r="E99" s="40"/>
      <c r="F99" s="40"/>
      <c r="G99" s="40"/>
      <c r="H99" s="44"/>
      <c r="M99"/>
      <c r="N99" s="390"/>
    </row>
    <row r="100" spans="1:14" s="41" customFormat="1" x14ac:dyDescent="0.25">
      <c r="A100"/>
      <c r="B100"/>
      <c r="C100" s="6"/>
      <c r="D100" s="6"/>
      <c r="E100" s="40"/>
      <c r="F100" s="40"/>
      <c r="G100" s="40"/>
      <c r="H100" s="44"/>
      <c r="M100"/>
      <c r="N100" s="390"/>
    </row>
    <row r="101" spans="1:14" s="41" customFormat="1" x14ac:dyDescent="0.25">
      <c r="A101"/>
      <c r="B101"/>
      <c r="C101" s="6"/>
      <c r="D101" s="6"/>
      <c r="E101" s="40"/>
      <c r="F101" s="40"/>
      <c r="G101" s="40"/>
      <c r="H101" s="44"/>
      <c r="M101"/>
      <c r="N101" s="390"/>
    </row>
    <row r="102" spans="1:14" s="41" customFormat="1" x14ac:dyDescent="0.25">
      <c r="A102"/>
      <c r="B102"/>
      <c r="C102" s="6"/>
      <c r="D102" s="6"/>
      <c r="E102" s="40"/>
      <c r="F102" s="40"/>
      <c r="G102" s="40"/>
      <c r="H102" s="44"/>
      <c r="M102"/>
      <c r="N102" s="390"/>
    </row>
    <row r="103" spans="1:14" s="41" customFormat="1" x14ac:dyDescent="0.25">
      <c r="A103"/>
      <c r="B103"/>
      <c r="C103" s="6"/>
      <c r="D103" s="6"/>
      <c r="E103" s="40"/>
      <c r="F103" s="40"/>
      <c r="G103" s="40"/>
      <c r="H103" s="44"/>
      <c r="M103"/>
      <c r="N103" s="390"/>
    </row>
    <row r="104" spans="1:14" s="41" customFormat="1" x14ac:dyDescent="0.25">
      <c r="A104"/>
      <c r="B104"/>
      <c r="C104" s="6"/>
      <c r="D104" s="6"/>
      <c r="E104" s="40"/>
      <c r="F104" s="40"/>
      <c r="G104" s="40"/>
      <c r="H104" s="44"/>
      <c r="M104"/>
      <c r="N104" s="390"/>
    </row>
    <row r="105" spans="1:14" s="41" customFormat="1" x14ac:dyDescent="0.25">
      <c r="A105"/>
      <c r="B105"/>
      <c r="C105" s="6"/>
      <c r="D105" s="6"/>
      <c r="E105" s="40"/>
      <c r="F105" s="40"/>
      <c r="G105" s="40"/>
      <c r="H105" s="44"/>
      <c r="M105"/>
      <c r="N105" s="390"/>
    </row>
    <row r="106" spans="1:14" s="41" customFormat="1" x14ac:dyDescent="0.25">
      <c r="A106"/>
      <c r="B106"/>
      <c r="C106" s="6"/>
      <c r="D106" s="6"/>
      <c r="E106" s="40"/>
      <c r="F106" s="40"/>
      <c r="G106" s="40"/>
      <c r="H106" s="44"/>
      <c r="M106"/>
      <c r="N106" s="390"/>
    </row>
    <row r="107" spans="1:14" s="41" customFormat="1" x14ac:dyDescent="0.25">
      <c r="A107"/>
      <c r="B107"/>
      <c r="C107" s="6"/>
      <c r="D107" s="6"/>
      <c r="E107" s="40"/>
      <c r="F107" s="40"/>
      <c r="G107" s="40"/>
      <c r="H107" s="44"/>
      <c r="M107"/>
      <c r="N107" s="390"/>
    </row>
    <row r="108" spans="1:14" s="41" customFormat="1" x14ac:dyDescent="0.25">
      <c r="A108"/>
      <c r="B108"/>
      <c r="C108" s="6"/>
      <c r="D108" s="6"/>
      <c r="E108" s="40"/>
      <c r="F108" s="40"/>
      <c r="G108" s="40"/>
      <c r="H108" s="44"/>
      <c r="M108"/>
      <c r="N108" s="390"/>
    </row>
    <row r="109" spans="1:14" s="41" customFormat="1" x14ac:dyDescent="0.25">
      <c r="A109"/>
      <c r="B109"/>
      <c r="C109" s="6"/>
      <c r="D109" s="6"/>
      <c r="E109" s="40"/>
      <c r="F109" s="40"/>
      <c r="G109" s="40"/>
      <c r="H109" s="44"/>
      <c r="M109"/>
      <c r="N109" s="390"/>
    </row>
    <row r="110" spans="1:14" s="41" customFormat="1" x14ac:dyDescent="0.25">
      <c r="A110"/>
      <c r="B110"/>
      <c r="C110" s="6"/>
      <c r="D110" s="6"/>
      <c r="E110" s="40"/>
      <c r="F110" s="40"/>
      <c r="G110" s="40"/>
      <c r="H110" s="44"/>
      <c r="M110"/>
      <c r="N110" s="390"/>
    </row>
    <row r="111" spans="1:14" s="41" customFormat="1" x14ac:dyDescent="0.25">
      <c r="A111"/>
      <c r="B111"/>
      <c r="C111" s="6"/>
      <c r="D111" s="6"/>
      <c r="E111" s="40"/>
      <c r="F111" s="40"/>
      <c r="G111" s="40"/>
      <c r="H111" s="44"/>
      <c r="M111"/>
      <c r="N111" s="390"/>
    </row>
    <row r="112" spans="1:14" s="41" customFormat="1" x14ac:dyDescent="0.25">
      <c r="A112"/>
      <c r="B112"/>
      <c r="C112" s="6"/>
      <c r="D112" s="6"/>
      <c r="E112" s="40"/>
      <c r="F112" s="40"/>
      <c r="G112" s="40"/>
      <c r="H112" s="44"/>
      <c r="M112"/>
      <c r="N112" s="390"/>
    </row>
    <row r="113" spans="1:14" s="41" customFormat="1" x14ac:dyDescent="0.25">
      <c r="A113"/>
      <c r="B113"/>
      <c r="C113" s="6"/>
      <c r="D113" s="6"/>
      <c r="E113" s="40"/>
      <c r="F113" s="40"/>
      <c r="G113" s="40"/>
      <c r="H113" s="44"/>
      <c r="M113"/>
      <c r="N113" s="390"/>
    </row>
    <row r="114" spans="1:14" s="41" customFormat="1" x14ac:dyDescent="0.25">
      <c r="A114"/>
      <c r="B114"/>
      <c r="C114" s="6"/>
      <c r="D114" s="6"/>
      <c r="E114" s="40"/>
      <c r="F114" s="40"/>
      <c r="G114" s="40"/>
      <c r="H114" s="44"/>
      <c r="M114"/>
      <c r="N114" s="390"/>
    </row>
    <row r="115" spans="1:14" s="41" customFormat="1" x14ac:dyDescent="0.25">
      <c r="A115"/>
      <c r="B115"/>
      <c r="C115" s="6"/>
      <c r="D115" s="6"/>
      <c r="E115" s="40"/>
      <c r="F115" s="40"/>
      <c r="G115" s="40"/>
      <c r="H115" s="44"/>
      <c r="M115"/>
      <c r="N115" s="390"/>
    </row>
    <row r="116" spans="1:14" s="41" customFormat="1" x14ac:dyDescent="0.25">
      <c r="A116"/>
      <c r="B116"/>
      <c r="C116" s="6"/>
      <c r="D116" s="6"/>
      <c r="E116" s="40"/>
      <c r="F116" s="40"/>
      <c r="G116" s="40"/>
      <c r="H116" s="44"/>
      <c r="M116"/>
      <c r="N116" s="390"/>
    </row>
    <row r="117" spans="1:14" s="41" customFormat="1" x14ac:dyDescent="0.25">
      <c r="A117"/>
      <c r="B117"/>
      <c r="C117" s="6"/>
      <c r="D117" s="6"/>
      <c r="E117" s="40"/>
      <c r="F117" s="40"/>
      <c r="G117" s="40"/>
      <c r="H117" s="44"/>
      <c r="M117"/>
      <c r="N117" s="390"/>
    </row>
    <row r="118" spans="1:14" s="41" customFormat="1" x14ac:dyDescent="0.25">
      <c r="A118"/>
      <c r="B118"/>
      <c r="C118" s="6"/>
      <c r="D118" s="6"/>
      <c r="E118" s="40"/>
      <c r="F118" s="40"/>
      <c r="G118" s="40"/>
      <c r="H118" s="44"/>
      <c r="M118"/>
      <c r="N118" s="390"/>
    </row>
    <row r="119" spans="1:14" s="41" customFormat="1" x14ac:dyDescent="0.25">
      <c r="A119"/>
      <c r="B119"/>
      <c r="C119" s="6"/>
      <c r="D119" s="6"/>
      <c r="E119" s="40"/>
      <c r="F119" s="40"/>
      <c r="G119" s="40"/>
      <c r="H119" s="44"/>
      <c r="M119"/>
      <c r="N119" s="390"/>
    </row>
  </sheetData>
  <autoFilter ref="C1:C119" xr:uid="{C0E927D8-D394-464F-9E0C-CFCF35775B9E}"/>
  <mergeCells count="13">
    <mergeCell ref="K2:K3"/>
    <mergeCell ref="L2:L3"/>
    <mergeCell ref="M2:M3"/>
    <mergeCell ref="H2:H3"/>
    <mergeCell ref="I2:I3"/>
    <mergeCell ref="J2:J3"/>
    <mergeCell ref="F2:F3"/>
    <mergeCell ref="G2:G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8" scale="5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E21EB-C9CF-4957-A035-9E6CF8622F63}">
  <dimension ref="A1:P157"/>
  <sheetViews>
    <sheetView view="pageBreakPreview" zoomScale="80" zoomScaleNormal="100" zoomScaleSheetLayoutView="80" workbookViewId="0">
      <pane xSplit="2" ySplit="3" topLeftCell="C15" activePane="bottomRight" state="frozen"/>
      <selection pane="topRight" activeCell="D1" sqref="D1"/>
      <selection pane="bottomLeft" activeCell="A6" sqref="A6"/>
      <selection pane="bottomRight" activeCell="B24" sqref="B24"/>
    </sheetView>
  </sheetViews>
  <sheetFormatPr defaultRowHeight="15" x14ac:dyDescent="0.25"/>
  <cols>
    <col min="1" max="1" width="71.85546875" bestFit="1" customWidth="1"/>
    <col min="2" max="2" width="51.7109375" customWidth="1"/>
    <col min="3" max="3" width="19" style="6" customWidth="1"/>
    <col min="4" max="4" width="20.28515625" style="6" customWidth="1"/>
    <col min="5" max="5" width="16" style="6" bestFit="1" customWidth="1"/>
    <col min="6" max="7" width="16" style="6" customWidth="1"/>
    <col min="8" max="8" width="14.28515625" style="44" customWidth="1"/>
    <col min="9" max="9" width="21.42578125" style="41" hidden="1" customWidth="1"/>
    <col min="10" max="10" width="18" style="41" hidden="1" customWidth="1"/>
    <col min="11" max="11" width="16.5703125" style="41" hidden="1" customWidth="1"/>
    <col min="12" max="12" width="12" style="41" hidden="1" customWidth="1"/>
    <col min="13" max="13" width="28" style="113" customWidth="1"/>
    <col min="14" max="14" width="15.7109375" style="159" customWidth="1"/>
    <col min="15" max="15" width="12.42578125" customWidth="1"/>
  </cols>
  <sheetData>
    <row r="1" spans="1:14" s="8" customFormat="1" ht="30" customHeight="1" x14ac:dyDescent="0.25">
      <c r="A1" s="479" t="s">
        <v>554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154"/>
    </row>
    <row r="2" spans="1:14" s="3" customFormat="1" ht="19.5" customHeight="1" x14ac:dyDescent="0.25">
      <c r="A2" s="487" t="s">
        <v>2</v>
      </c>
      <c r="B2" s="483" t="s">
        <v>3</v>
      </c>
      <c r="C2" s="486" t="s">
        <v>4</v>
      </c>
      <c r="D2" s="487" t="s">
        <v>5</v>
      </c>
      <c r="E2" s="486" t="s">
        <v>6</v>
      </c>
      <c r="F2" s="486" t="s">
        <v>64</v>
      </c>
      <c r="G2" s="486" t="s">
        <v>65</v>
      </c>
      <c r="H2" s="488" t="s">
        <v>9</v>
      </c>
      <c r="I2" s="482" t="s">
        <v>10</v>
      </c>
      <c r="J2" s="483" t="s">
        <v>11</v>
      </c>
      <c r="K2" s="482" t="s">
        <v>12</v>
      </c>
      <c r="L2" s="483" t="s">
        <v>13</v>
      </c>
      <c r="M2" s="489" t="s">
        <v>14</v>
      </c>
      <c r="N2" s="155"/>
    </row>
    <row r="3" spans="1:14" s="3" customFormat="1" ht="26.25" customHeight="1" x14ac:dyDescent="0.25">
      <c r="A3" s="487"/>
      <c r="B3" s="483"/>
      <c r="C3" s="486"/>
      <c r="D3" s="487"/>
      <c r="E3" s="486"/>
      <c r="F3" s="486"/>
      <c r="G3" s="486"/>
      <c r="H3" s="488"/>
      <c r="I3" s="482"/>
      <c r="J3" s="483"/>
      <c r="K3" s="482"/>
      <c r="L3" s="483"/>
      <c r="M3" s="490"/>
      <c r="N3" s="155"/>
    </row>
    <row r="4" spans="1:14" s="53" customFormat="1" ht="15.75" x14ac:dyDescent="0.25">
      <c r="A4" s="49">
        <v>1007</v>
      </c>
      <c r="B4" s="50" t="s">
        <v>73</v>
      </c>
      <c r="C4" s="56">
        <v>6256</v>
      </c>
      <c r="D4" s="57" t="s">
        <v>16</v>
      </c>
      <c r="E4" s="58">
        <f t="shared" ref="E4:E35" si="0">C4*D4</f>
        <v>1564</v>
      </c>
      <c r="F4" s="58"/>
      <c r="G4" s="58">
        <f>E4-F4</f>
        <v>1564</v>
      </c>
      <c r="H4" s="51">
        <v>1515504</v>
      </c>
      <c r="I4" s="52" t="s">
        <v>74</v>
      </c>
      <c r="J4" s="51" t="s">
        <v>75</v>
      </c>
      <c r="K4" s="52" t="s">
        <v>76</v>
      </c>
      <c r="L4" s="51">
        <v>91748840</v>
      </c>
      <c r="M4" s="61"/>
      <c r="N4" s="150"/>
    </row>
    <row r="5" spans="1:14" s="53" customFormat="1" ht="15.75" x14ac:dyDescent="0.25">
      <c r="A5" s="49">
        <v>1041</v>
      </c>
      <c r="B5" s="55" t="s">
        <v>77</v>
      </c>
      <c r="C5" s="56">
        <v>1848</v>
      </c>
      <c r="D5" s="57" t="s">
        <v>16</v>
      </c>
      <c r="E5" s="58">
        <f t="shared" si="0"/>
        <v>462</v>
      </c>
      <c r="F5" s="58"/>
      <c r="G5" s="58">
        <f t="shared" ref="G5:G68" si="1">E5-F5</f>
        <v>462</v>
      </c>
      <c r="H5" s="51">
        <v>6827729</v>
      </c>
      <c r="I5" s="52" t="s">
        <v>78</v>
      </c>
      <c r="J5" s="17" t="s">
        <v>40</v>
      </c>
      <c r="K5" s="52" t="s">
        <v>19</v>
      </c>
      <c r="L5" s="51">
        <v>92272935</v>
      </c>
      <c r="M5" s="61"/>
      <c r="N5" s="150"/>
    </row>
    <row r="6" spans="1:14" s="195" customFormat="1" ht="15.75" x14ac:dyDescent="0.25">
      <c r="A6" s="138">
        <v>1125</v>
      </c>
      <c r="B6" s="342" t="s">
        <v>79</v>
      </c>
      <c r="C6" s="140">
        <v>4605.8999999999996</v>
      </c>
      <c r="D6" s="141" t="s">
        <v>16</v>
      </c>
      <c r="E6" s="142">
        <f t="shared" si="0"/>
        <v>1151.4749999999999</v>
      </c>
      <c r="F6" s="142">
        <f>3.52500000000001+1147.95</f>
        <v>1151.4750000000001</v>
      </c>
      <c r="G6" s="142">
        <f t="shared" si="1"/>
        <v>0</v>
      </c>
      <c r="H6" s="143">
        <v>6828774</v>
      </c>
      <c r="I6" s="192" t="s">
        <v>80</v>
      </c>
      <c r="J6" s="343" t="s">
        <v>36</v>
      </c>
      <c r="K6" s="192" t="s">
        <v>37</v>
      </c>
      <c r="L6" s="143">
        <v>91267555</v>
      </c>
      <c r="M6" s="387" t="s">
        <v>561</v>
      </c>
      <c r="N6" s="352">
        <v>45941</v>
      </c>
    </row>
    <row r="7" spans="1:14" s="53" customFormat="1" ht="15.75" x14ac:dyDescent="0.25">
      <c r="A7" s="85">
        <v>1222</v>
      </c>
      <c r="B7" s="55" t="s">
        <v>81</v>
      </c>
      <c r="C7" s="56"/>
      <c r="D7" s="57" t="s">
        <v>16</v>
      </c>
      <c r="E7" s="58">
        <f t="shared" si="0"/>
        <v>0</v>
      </c>
      <c r="F7" s="58"/>
      <c r="G7" s="58">
        <f t="shared" si="1"/>
        <v>0</v>
      </c>
      <c r="H7" s="51">
        <v>31221</v>
      </c>
      <c r="I7" s="52" t="s">
        <v>82</v>
      </c>
      <c r="J7" s="51" t="s">
        <v>83</v>
      </c>
      <c r="K7" s="52" t="s">
        <v>84</v>
      </c>
      <c r="L7" s="51"/>
      <c r="M7" s="60"/>
      <c r="N7" s="150"/>
    </row>
    <row r="8" spans="1:14" s="53" customFormat="1" ht="15.75" x14ac:dyDescent="0.25">
      <c r="A8" s="49">
        <v>1286</v>
      </c>
      <c r="B8" s="50" t="s">
        <v>85</v>
      </c>
      <c r="C8" s="56">
        <v>2947.9</v>
      </c>
      <c r="D8" s="57" t="s">
        <v>16</v>
      </c>
      <c r="E8" s="58">
        <f t="shared" si="0"/>
        <v>736.97500000000002</v>
      </c>
      <c r="F8" s="58"/>
      <c r="G8" s="58">
        <f t="shared" si="1"/>
        <v>736.97500000000002</v>
      </c>
      <c r="H8" s="51">
        <v>368056</v>
      </c>
      <c r="I8" s="52" t="s">
        <v>86</v>
      </c>
      <c r="J8" s="51" t="s">
        <v>40</v>
      </c>
      <c r="K8" s="52" t="s">
        <v>19</v>
      </c>
      <c r="L8" s="51">
        <v>99494264</v>
      </c>
      <c r="M8" s="61"/>
      <c r="N8" s="150"/>
    </row>
    <row r="9" spans="1:14" s="195" customFormat="1" ht="15.75" x14ac:dyDescent="0.25">
      <c r="A9" s="138">
        <v>1344</v>
      </c>
      <c r="B9" s="139" t="s">
        <v>66</v>
      </c>
      <c r="C9" s="140">
        <v>3192.1</v>
      </c>
      <c r="D9" s="141" t="s">
        <v>16</v>
      </c>
      <c r="E9" s="142">
        <f t="shared" si="0"/>
        <v>798.02499999999998</v>
      </c>
      <c r="F9" s="142">
        <f>796.975+1.05</f>
        <v>798.02499999999998</v>
      </c>
      <c r="G9" s="142">
        <f t="shared" si="1"/>
        <v>0</v>
      </c>
      <c r="H9" s="143">
        <v>4014519</v>
      </c>
      <c r="I9" s="192" t="s">
        <v>87</v>
      </c>
      <c r="J9" s="143" t="s">
        <v>88</v>
      </c>
      <c r="K9" s="192" t="s">
        <v>89</v>
      </c>
      <c r="L9" s="143"/>
      <c r="M9" s="269">
        <v>45727</v>
      </c>
      <c r="N9" s="227" t="s">
        <v>661</v>
      </c>
    </row>
    <row r="10" spans="1:14" s="195" customFormat="1" ht="15.75" x14ac:dyDescent="0.25">
      <c r="A10" s="138">
        <v>1352</v>
      </c>
      <c r="B10" s="139" t="s">
        <v>90</v>
      </c>
      <c r="C10" s="140">
        <v>1217.7</v>
      </c>
      <c r="D10" s="141" t="s">
        <v>16</v>
      </c>
      <c r="E10" s="142">
        <f t="shared" si="0"/>
        <v>304.42500000000001</v>
      </c>
      <c r="F10" s="142">
        <f>302.8+1.625</f>
        <v>304.42500000000001</v>
      </c>
      <c r="G10" s="142">
        <f t="shared" si="1"/>
        <v>0</v>
      </c>
      <c r="H10" s="143">
        <v>1627344</v>
      </c>
      <c r="I10" s="192" t="s">
        <v>91</v>
      </c>
      <c r="J10" s="143" t="s">
        <v>40</v>
      </c>
      <c r="K10" s="192" t="s">
        <v>19</v>
      </c>
      <c r="L10" s="143"/>
      <c r="M10" s="269">
        <v>45788</v>
      </c>
      <c r="N10" s="335">
        <v>46002</v>
      </c>
    </row>
    <row r="11" spans="1:14" s="53" customFormat="1" ht="15.75" x14ac:dyDescent="0.25">
      <c r="A11" s="49">
        <v>1354</v>
      </c>
      <c r="B11" s="55" t="s">
        <v>92</v>
      </c>
      <c r="C11" s="56">
        <v>1705.2</v>
      </c>
      <c r="D11" s="57" t="s">
        <v>16</v>
      </c>
      <c r="E11" s="58">
        <f t="shared" si="0"/>
        <v>426.3</v>
      </c>
      <c r="F11" s="58"/>
      <c r="G11" s="58">
        <f t="shared" si="1"/>
        <v>426.3</v>
      </c>
      <c r="H11" s="51">
        <v>925709</v>
      </c>
      <c r="I11" s="52" t="s">
        <v>93</v>
      </c>
      <c r="J11" s="51" t="s">
        <v>40</v>
      </c>
      <c r="K11" s="52" t="s">
        <v>19</v>
      </c>
      <c r="L11" s="51">
        <v>95187860</v>
      </c>
      <c r="M11" s="71"/>
      <c r="N11" s="150"/>
    </row>
    <row r="12" spans="1:14" s="53" customFormat="1" ht="15" customHeight="1" x14ac:dyDescent="0.25">
      <c r="A12" s="49">
        <v>1357</v>
      </c>
      <c r="B12" s="55" t="s">
        <v>94</v>
      </c>
      <c r="C12" s="56">
        <v>3989.3</v>
      </c>
      <c r="D12" s="57" t="s">
        <v>16</v>
      </c>
      <c r="E12" s="58">
        <f t="shared" si="0"/>
        <v>997.32500000000005</v>
      </c>
      <c r="F12" s="58"/>
      <c r="G12" s="58">
        <f t="shared" si="1"/>
        <v>997.32500000000005</v>
      </c>
      <c r="H12" s="51">
        <v>1052276</v>
      </c>
      <c r="I12" s="52" t="s">
        <v>95</v>
      </c>
      <c r="J12" s="17" t="s">
        <v>36</v>
      </c>
      <c r="K12" s="52" t="s">
        <v>37</v>
      </c>
      <c r="L12" s="51">
        <v>95301260</v>
      </c>
      <c r="M12" s="71"/>
      <c r="N12" s="150"/>
    </row>
    <row r="13" spans="1:14" s="195" customFormat="1" ht="15.75" x14ac:dyDescent="0.25">
      <c r="A13" s="138">
        <v>1359</v>
      </c>
      <c r="B13" s="342" t="s">
        <v>96</v>
      </c>
      <c r="C13" s="140">
        <v>2256</v>
      </c>
      <c r="D13" s="141" t="s">
        <v>16</v>
      </c>
      <c r="E13" s="142">
        <f t="shared" si="0"/>
        <v>564</v>
      </c>
      <c r="F13" s="142">
        <f>E13</f>
        <v>564</v>
      </c>
      <c r="G13" s="142">
        <f t="shared" si="1"/>
        <v>0</v>
      </c>
      <c r="H13" s="143">
        <v>4812026</v>
      </c>
      <c r="I13" s="192" t="s">
        <v>97</v>
      </c>
      <c r="J13" s="143" t="s">
        <v>83</v>
      </c>
      <c r="K13" s="192" t="s">
        <v>84</v>
      </c>
      <c r="L13" s="143">
        <v>96616558</v>
      </c>
      <c r="M13" s="172">
        <v>45728</v>
      </c>
      <c r="N13" s="199"/>
    </row>
    <row r="14" spans="1:14" s="53" customFormat="1" ht="15.75" x14ac:dyDescent="0.25">
      <c r="A14" s="49">
        <v>1367</v>
      </c>
      <c r="B14" s="50" t="s">
        <v>98</v>
      </c>
      <c r="C14" s="56">
        <v>1601.9</v>
      </c>
      <c r="D14" s="57" t="s">
        <v>16</v>
      </c>
      <c r="E14" s="58">
        <f t="shared" si="0"/>
        <v>400.47500000000002</v>
      </c>
      <c r="F14" s="58"/>
      <c r="G14" s="58">
        <f t="shared" si="1"/>
        <v>400.47500000000002</v>
      </c>
      <c r="H14" s="51">
        <v>6663593</v>
      </c>
      <c r="I14" s="52" t="s">
        <v>99</v>
      </c>
      <c r="J14" s="51" t="s">
        <v>40</v>
      </c>
      <c r="K14" s="52" t="s">
        <v>19</v>
      </c>
      <c r="L14" s="51">
        <v>92817702</v>
      </c>
      <c r="M14" s="71"/>
      <c r="N14" s="150"/>
    </row>
    <row r="15" spans="1:14" s="53" customFormat="1" ht="15.75" x14ac:dyDescent="0.25">
      <c r="A15" s="49">
        <v>1368</v>
      </c>
      <c r="B15" s="337" t="s">
        <v>100</v>
      </c>
      <c r="C15" s="56">
        <v>3056</v>
      </c>
      <c r="D15" s="57" t="s">
        <v>16</v>
      </c>
      <c r="E15" s="58">
        <f t="shared" si="0"/>
        <v>764</v>
      </c>
      <c r="F15" s="58"/>
      <c r="G15" s="58">
        <f t="shared" si="1"/>
        <v>764</v>
      </c>
      <c r="H15" s="52">
        <v>561902</v>
      </c>
      <c r="I15" s="52" t="s">
        <v>101</v>
      </c>
      <c r="J15" s="17" t="s">
        <v>36</v>
      </c>
      <c r="K15" s="52" t="s">
        <v>37</v>
      </c>
      <c r="L15" s="52">
        <v>99499622</v>
      </c>
      <c r="M15" s="71"/>
      <c r="N15" s="150"/>
    </row>
    <row r="16" spans="1:14" s="53" customFormat="1" ht="15.75" x14ac:dyDescent="0.25">
      <c r="A16" s="49">
        <v>2098</v>
      </c>
      <c r="B16" s="337" t="s">
        <v>324</v>
      </c>
      <c r="C16" s="56">
        <v>603.1</v>
      </c>
      <c r="D16" s="57" t="s">
        <v>16</v>
      </c>
      <c r="E16" s="58">
        <f t="shared" si="0"/>
        <v>150.77500000000001</v>
      </c>
      <c r="F16" s="58">
        <f>E16</f>
        <v>150.77500000000001</v>
      </c>
      <c r="G16" s="58">
        <f t="shared" si="1"/>
        <v>0</v>
      </c>
      <c r="H16" s="52">
        <v>1065899</v>
      </c>
      <c r="I16" s="52" t="s">
        <v>323</v>
      </c>
      <c r="J16" s="51" t="s">
        <v>40</v>
      </c>
      <c r="K16" s="52" t="s">
        <v>19</v>
      </c>
      <c r="L16" s="52"/>
      <c r="M16" s="396" t="s">
        <v>665</v>
      </c>
      <c r="N16" s="150"/>
    </row>
    <row r="17" spans="1:16" s="195" customFormat="1" ht="15.75" x14ac:dyDescent="0.25">
      <c r="A17" s="138">
        <v>3002</v>
      </c>
      <c r="B17" s="139" t="s">
        <v>102</v>
      </c>
      <c r="C17" s="140">
        <v>1073.9000000000001</v>
      </c>
      <c r="D17" s="141" t="s">
        <v>16</v>
      </c>
      <c r="E17" s="142">
        <f t="shared" si="0"/>
        <v>268.47500000000002</v>
      </c>
      <c r="F17" s="142">
        <f>265.4+3.075</f>
        <v>268.47499999999997</v>
      </c>
      <c r="G17" s="142">
        <f t="shared" si="1"/>
        <v>0</v>
      </c>
      <c r="H17" s="143">
        <v>21220177</v>
      </c>
      <c r="I17" s="192" t="s">
        <v>103</v>
      </c>
      <c r="J17" s="143" t="s">
        <v>40</v>
      </c>
      <c r="K17" s="192" t="s">
        <v>19</v>
      </c>
      <c r="L17" s="143">
        <v>99280644</v>
      </c>
      <c r="M17" s="173" t="s">
        <v>566</v>
      </c>
      <c r="N17" s="335" t="s">
        <v>659</v>
      </c>
    </row>
    <row r="18" spans="1:16" s="53" customFormat="1" ht="15.75" x14ac:dyDescent="0.25">
      <c r="A18" s="85">
        <v>3035</v>
      </c>
      <c r="B18" s="74" t="s">
        <v>104</v>
      </c>
      <c r="C18" s="56"/>
      <c r="D18" s="57" t="s">
        <v>16</v>
      </c>
      <c r="E18" s="58">
        <f t="shared" si="0"/>
        <v>0</v>
      </c>
      <c r="F18" s="58"/>
      <c r="G18" s="58">
        <f t="shared" si="1"/>
        <v>0</v>
      </c>
      <c r="H18" s="75">
        <v>6725058</v>
      </c>
      <c r="I18" s="52" t="s">
        <v>105</v>
      </c>
      <c r="J18" s="51" t="s">
        <v>36</v>
      </c>
      <c r="K18" s="76" t="s">
        <v>37</v>
      </c>
      <c r="L18" s="75">
        <v>99198121</v>
      </c>
      <c r="M18" s="61"/>
      <c r="N18" s="150"/>
    </row>
    <row r="19" spans="1:16" s="53" customFormat="1" ht="15.75" x14ac:dyDescent="0.25">
      <c r="A19" s="49">
        <v>3057</v>
      </c>
      <c r="B19" s="50" t="s">
        <v>67</v>
      </c>
      <c r="C19" s="56">
        <v>2721.8</v>
      </c>
      <c r="D19" s="57" t="s">
        <v>16</v>
      </c>
      <c r="E19" s="58">
        <f t="shared" si="0"/>
        <v>680.45</v>
      </c>
      <c r="F19" s="58">
        <f>0.275</f>
        <v>0.27500000000000002</v>
      </c>
      <c r="G19" s="58">
        <f t="shared" si="1"/>
        <v>680.17500000000007</v>
      </c>
      <c r="H19" s="51">
        <v>626819</v>
      </c>
      <c r="I19" s="52" t="s">
        <v>106</v>
      </c>
      <c r="J19" s="51" t="s">
        <v>40</v>
      </c>
      <c r="K19" s="52" t="s">
        <v>19</v>
      </c>
      <c r="L19" s="51">
        <v>99298522</v>
      </c>
      <c r="M19" s="61" t="s">
        <v>637</v>
      </c>
      <c r="N19" s="150"/>
    </row>
    <row r="20" spans="1:16" s="53" customFormat="1" ht="15.75" x14ac:dyDescent="0.25">
      <c r="A20" s="49">
        <v>3062</v>
      </c>
      <c r="B20" s="50" t="s">
        <v>107</v>
      </c>
      <c r="C20" s="56">
        <v>2117.6</v>
      </c>
      <c r="D20" s="57" t="s">
        <v>16</v>
      </c>
      <c r="E20" s="58">
        <f t="shared" si="0"/>
        <v>529.4</v>
      </c>
      <c r="F20" s="58"/>
      <c r="G20" s="58">
        <f t="shared" si="1"/>
        <v>529.4</v>
      </c>
      <c r="H20" s="51">
        <v>300741</v>
      </c>
      <c r="I20" s="52" t="s">
        <v>108</v>
      </c>
      <c r="J20" s="51" t="s">
        <v>40</v>
      </c>
      <c r="K20" s="52" t="s">
        <v>19</v>
      </c>
      <c r="L20" s="51">
        <v>99008320</v>
      </c>
      <c r="M20" s="61"/>
      <c r="N20" s="150"/>
    </row>
    <row r="21" spans="1:16" s="53" customFormat="1" ht="15.75" x14ac:dyDescent="0.25">
      <c r="A21" s="49">
        <v>3080</v>
      </c>
      <c r="B21" s="50" t="s">
        <v>109</v>
      </c>
      <c r="C21" s="56">
        <v>1554.7</v>
      </c>
      <c r="D21" s="57" t="s">
        <v>16</v>
      </c>
      <c r="E21" s="58">
        <f t="shared" si="0"/>
        <v>388.67500000000001</v>
      </c>
      <c r="F21" s="58"/>
      <c r="G21" s="58">
        <f t="shared" si="1"/>
        <v>388.67500000000001</v>
      </c>
      <c r="H21" s="51">
        <v>14301608</v>
      </c>
      <c r="I21" s="52" t="s">
        <v>110</v>
      </c>
      <c r="J21" s="51" t="s">
        <v>40</v>
      </c>
      <c r="K21" s="52" t="s">
        <v>19</v>
      </c>
      <c r="L21" s="51">
        <v>98122611</v>
      </c>
      <c r="M21" s="61"/>
      <c r="N21" s="157"/>
    </row>
    <row r="22" spans="1:16" s="195" customFormat="1" ht="15.75" x14ac:dyDescent="0.25">
      <c r="A22" s="137">
        <v>3086</v>
      </c>
      <c r="B22" s="139" t="s">
        <v>111</v>
      </c>
      <c r="C22" s="140">
        <v>245.8</v>
      </c>
      <c r="D22" s="141" t="s">
        <v>16</v>
      </c>
      <c r="E22" s="142">
        <f t="shared" si="0"/>
        <v>61.45</v>
      </c>
      <c r="F22" s="142">
        <f>58.175+3.275</f>
        <v>61.449999999999996</v>
      </c>
      <c r="G22" s="142">
        <f t="shared" si="1"/>
        <v>0</v>
      </c>
      <c r="H22" s="143">
        <v>300033</v>
      </c>
      <c r="I22" s="192" t="s">
        <v>112</v>
      </c>
      <c r="J22" s="143" t="s">
        <v>40</v>
      </c>
      <c r="K22" s="192" t="s">
        <v>19</v>
      </c>
      <c r="L22" s="143"/>
      <c r="M22" s="387" t="s">
        <v>561</v>
      </c>
      <c r="N22" s="199">
        <v>45759</v>
      </c>
    </row>
    <row r="23" spans="1:16" s="53" customFormat="1" ht="15.75" x14ac:dyDescent="0.25">
      <c r="A23" s="49">
        <v>3132</v>
      </c>
      <c r="B23" s="50" t="s">
        <v>113</v>
      </c>
      <c r="C23" s="56">
        <v>1608.5</v>
      </c>
      <c r="D23" s="57" t="s">
        <v>16</v>
      </c>
      <c r="E23" s="58">
        <f t="shared" si="0"/>
        <v>402.125</v>
      </c>
      <c r="F23" s="58"/>
      <c r="G23" s="58">
        <f t="shared" si="1"/>
        <v>402.125</v>
      </c>
      <c r="H23" s="51">
        <v>14606296</v>
      </c>
      <c r="I23" s="52" t="s">
        <v>114</v>
      </c>
      <c r="J23" s="51" t="s">
        <v>40</v>
      </c>
      <c r="K23" s="52" t="s">
        <v>19</v>
      </c>
      <c r="L23" s="51">
        <v>91493522</v>
      </c>
      <c r="M23" s="61"/>
      <c r="N23" s="150"/>
    </row>
    <row r="24" spans="1:16" s="53" customFormat="1" ht="15.75" x14ac:dyDescent="0.25">
      <c r="A24" s="49">
        <v>3134</v>
      </c>
      <c r="B24" s="50" t="s">
        <v>115</v>
      </c>
      <c r="C24" s="56">
        <v>1812.8</v>
      </c>
      <c r="D24" s="57" t="s">
        <v>16</v>
      </c>
      <c r="E24" s="58">
        <f t="shared" si="0"/>
        <v>453.2</v>
      </c>
      <c r="F24" s="58"/>
      <c r="G24" s="58">
        <f t="shared" si="1"/>
        <v>453.2</v>
      </c>
      <c r="H24" s="51">
        <v>2154413</v>
      </c>
      <c r="I24" s="52" t="s">
        <v>116</v>
      </c>
      <c r="J24" s="51" t="s">
        <v>36</v>
      </c>
      <c r="K24" s="52" t="s">
        <v>37</v>
      </c>
      <c r="L24" s="51">
        <v>99493731</v>
      </c>
      <c r="M24" s="61"/>
      <c r="N24" s="150"/>
    </row>
    <row r="25" spans="1:16" s="195" customFormat="1" ht="15.75" x14ac:dyDescent="0.25">
      <c r="A25" s="138">
        <v>3142</v>
      </c>
      <c r="B25" s="139" t="s">
        <v>117</v>
      </c>
      <c r="C25" s="140">
        <v>4297.7</v>
      </c>
      <c r="D25" s="141" t="s">
        <v>16</v>
      </c>
      <c r="E25" s="142">
        <f t="shared" si="0"/>
        <v>1074.425</v>
      </c>
      <c r="F25" s="142">
        <f>537.325+537.1</f>
        <v>1074.4250000000002</v>
      </c>
      <c r="G25" s="142">
        <f t="shared" si="1"/>
        <v>0</v>
      </c>
      <c r="H25" s="143">
        <v>165497</v>
      </c>
      <c r="I25" s="192" t="s">
        <v>118</v>
      </c>
      <c r="J25" s="143" t="s">
        <v>88</v>
      </c>
      <c r="K25" s="192" t="s">
        <v>89</v>
      </c>
      <c r="L25" s="143">
        <v>99499872</v>
      </c>
      <c r="M25" s="173" t="s">
        <v>635</v>
      </c>
      <c r="N25" s="199"/>
    </row>
    <row r="26" spans="1:16" s="195" customFormat="1" ht="15.75" x14ac:dyDescent="0.25">
      <c r="A26" s="138">
        <v>3145</v>
      </c>
      <c r="B26" s="139" t="s">
        <v>119</v>
      </c>
      <c r="C26" s="140">
        <v>2999.7</v>
      </c>
      <c r="D26" s="141" t="s">
        <v>16</v>
      </c>
      <c r="E26" s="142">
        <f t="shared" si="0"/>
        <v>749.92499999999995</v>
      </c>
      <c r="F26" s="142">
        <f>1.7749999999999+747.6+0.55</f>
        <v>749.92499999999984</v>
      </c>
      <c r="G26" s="142">
        <f t="shared" si="1"/>
        <v>0</v>
      </c>
      <c r="H26" s="143">
        <v>1915745</v>
      </c>
      <c r="I26" s="192" t="s">
        <v>120</v>
      </c>
      <c r="J26" s="143" t="s">
        <v>40</v>
      </c>
      <c r="K26" s="192" t="s">
        <v>19</v>
      </c>
      <c r="L26" s="143">
        <v>99489050</v>
      </c>
      <c r="M26" s="173" t="s">
        <v>556</v>
      </c>
      <c r="N26" s="199">
        <v>45758</v>
      </c>
      <c r="P26" s="335" t="s">
        <v>659</v>
      </c>
    </row>
    <row r="27" spans="1:16" s="195" customFormat="1" ht="15.75" x14ac:dyDescent="0.25">
      <c r="A27" s="138">
        <v>3147</v>
      </c>
      <c r="B27" s="139" t="s">
        <v>122</v>
      </c>
      <c r="C27" s="140">
        <v>948</v>
      </c>
      <c r="D27" s="141" t="s">
        <v>16</v>
      </c>
      <c r="E27" s="142">
        <f t="shared" si="0"/>
        <v>237</v>
      </c>
      <c r="F27" s="142">
        <f>236.925+0.075</f>
        <v>237</v>
      </c>
      <c r="G27" s="142">
        <f t="shared" si="1"/>
        <v>0</v>
      </c>
      <c r="H27" s="143">
        <v>1662414</v>
      </c>
      <c r="I27" s="192" t="s">
        <v>123</v>
      </c>
      <c r="J27" s="143" t="s">
        <v>88</v>
      </c>
      <c r="K27" s="192" t="s">
        <v>89</v>
      </c>
      <c r="L27" s="143">
        <v>99282006</v>
      </c>
      <c r="M27" s="172">
        <v>45941</v>
      </c>
      <c r="N27" s="335" t="s">
        <v>659</v>
      </c>
    </row>
    <row r="28" spans="1:16" s="195" customFormat="1" ht="15.75" x14ac:dyDescent="0.25">
      <c r="A28" s="138">
        <v>3148</v>
      </c>
      <c r="B28" s="139" t="s">
        <v>124</v>
      </c>
      <c r="C28" s="140">
        <v>1198.3</v>
      </c>
      <c r="D28" s="141" t="s">
        <v>16</v>
      </c>
      <c r="E28" s="142">
        <f t="shared" si="0"/>
        <v>299.57499999999999</v>
      </c>
      <c r="F28" s="142">
        <f>299.375+0.2</f>
        <v>299.57499999999999</v>
      </c>
      <c r="G28" s="142">
        <f t="shared" si="1"/>
        <v>0</v>
      </c>
      <c r="H28" s="143">
        <v>19545736</v>
      </c>
      <c r="I28" s="192" t="s">
        <v>125</v>
      </c>
      <c r="J28" s="143" t="s">
        <v>36</v>
      </c>
      <c r="K28" s="192" t="s">
        <v>37</v>
      </c>
      <c r="L28" s="143"/>
      <c r="M28" s="173" t="s">
        <v>557</v>
      </c>
      <c r="N28" s="199">
        <v>45973</v>
      </c>
    </row>
    <row r="29" spans="1:16" s="195" customFormat="1" ht="15.75" x14ac:dyDescent="0.25">
      <c r="A29" s="138">
        <v>3149</v>
      </c>
      <c r="B29" s="139" t="s">
        <v>126</v>
      </c>
      <c r="C29" s="140">
        <v>1878.7</v>
      </c>
      <c r="D29" s="141" t="s">
        <v>16</v>
      </c>
      <c r="E29" s="142">
        <f t="shared" si="0"/>
        <v>469.67500000000001</v>
      </c>
      <c r="F29" s="142">
        <f>3.44999999999995+465.5+0.725</f>
        <v>469.67499999999995</v>
      </c>
      <c r="G29" s="142">
        <f t="shared" si="1"/>
        <v>0</v>
      </c>
      <c r="H29" s="143">
        <v>4941095</v>
      </c>
      <c r="I29" s="192" t="s">
        <v>127</v>
      </c>
      <c r="J29" s="143" t="s">
        <v>128</v>
      </c>
      <c r="K29" s="192" t="s">
        <v>129</v>
      </c>
      <c r="L29" s="143">
        <v>93500864</v>
      </c>
      <c r="M29" s="173" t="s">
        <v>556</v>
      </c>
      <c r="N29" s="199">
        <v>45788</v>
      </c>
      <c r="O29" s="144" t="s">
        <v>635</v>
      </c>
    </row>
    <row r="30" spans="1:16" s="195" customFormat="1" ht="15.75" x14ac:dyDescent="0.25">
      <c r="A30" s="138">
        <v>3150</v>
      </c>
      <c r="B30" s="139" t="s">
        <v>553</v>
      </c>
      <c r="C30" s="140">
        <v>154.19999999999999</v>
      </c>
      <c r="D30" s="141" t="s">
        <v>16</v>
      </c>
      <c r="E30" s="142">
        <f t="shared" si="0"/>
        <v>38.549999999999997</v>
      </c>
      <c r="F30" s="142">
        <f>34.65+3.9</f>
        <v>38.549999999999997</v>
      </c>
      <c r="G30" s="142">
        <f t="shared" si="1"/>
        <v>0</v>
      </c>
      <c r="H30" s="143">
        <v>18940347</v>
      </c>
      <c r="I30" s="192" t="s">
        <v>552</v>
      </c>
      <c r="J30" s="143" t="s">
        <v>40</v>
      </c>
      <c r="K30" s="192" t="s">
        <v>19</v>
      </c>
      <c r="L30" s="143">
        <v>98905289</v>
      </c>
      <c r="M30" s="173" t="s">
        <v>557</v>
      </c>
      <c r="N30" s="335" t="s">
        <v>632</v>
      </c>
    </row>
    <row r="31" spans="1:16" s="195" customFormat="1" ht="15.75" x14ac:dyDescent="0.25">
      <c r="A31" s="138">
        <v>3152</v>
      </c>
      <c r="B31" s="139" t="s">
        <v>130</v>
      </c>
      <c r="C31" s="140">
        <v>3162.4</v>
      </c>
      <c r="D31" s="141" t="s">
        <v>16</v>
      </c>
      <c r="E31" s="142">
        <f t="shared" si="0"/>
        <v>790.6</v>
      </c>
      <c r="F31" s="142">
        <f>786.5+4.1</f>
        <v>790.6</v>
      </c>
      <c r="G31" s="142">
        <f t="shared" si="1"/>
        <v>0</v>
      </c>
      <c r="H31" s="143">
        <v>941993</v>
      </c>
      <c r="I31" s="192" t="s">
        <v>131</v>
      </c>
      <c r="J31" s="143" t="s">
        <v>36</v>
      </c>
      <c r="K31" s="192" t="s">
        <v>37</v>
      </c>
      <c r="L31" s="143">
        <v>99086500</v>
      </c>
      <c r="M31" s="173" t="s">
        <v>555</v>
      </c>
      <c r="N31" s="269">
        <v>45727</v>
      </c>
    </row>
    <row r="32" spans="1:16" s="53" customFormat="1" ht="15.75" x14ac:dyDescent="0.25">
      <c r="A32" s="49">
        <v>3153</v>
      </c>
      <c r="B32" s="50" t="s">
        <v>15</v>
      </c>
      <c r="C32" s="56">
        <v>2918.5</v>
      </c>
      <c r="D32" s="57" t="s">
        <v>16</v>
      </c>
      <c r="E32" s="58">
        <f t="shared" si="0"/>
        <v>729.625</v>
      </c>
      <c r="F32" s="58"/>
      <c r="G32" s="58">
        <f t="shared" si="1"/>
        <v>729.625</v>
      </c>
      <c r="H32" s="51">
        <v>6989479</v>
      </c>
      <c r="I32" s="52" t="s">
        <v>17</v>
      </c>
      <c r="J32" s="51" t="s">
        <v>18</v>
      </c>
      <c r="K32" s="52" t="s">
        <v>19</v>
      </c>
      <c r="L32" s="51">
        <v>99699500</v>
      </c>
      <c r="M32" s="61"/>
      <c r="N32" s="150"/>
    </row>
    <row r="33" spans="1:14" s="53" customFormat="1" ht="15.75" x14ac:dyDescent="0.25">
      <c r="A33" s="78">
        <v>3155</v>
      </c>
      <c r="B33" s="50" t="s">
        <v>132</v>
      </c>
      <c r="C33" s="56">
        <v>596</v>
      </c>
      <c r="D33" s="57" t="s">
        <v>16</v>
      </c>
      <c r="E33" s="58">
        <f t="shared" si="0"/>
        <v>149</v>
      </c>
      <c r="F33" s="58"/>
      <c r="G33" s="58">
        <f t="shared" si="1"/>
        <v>149</v>
      </c>
      <c r="H33" s="51">
        <v>19188794</v>
      </c>
      <c r="I33" s="52" t="s">
        <v>133</v>
      </c>
      <c r="J33" s="51" t="s">
        <v>40</v>
      </c>
      <c r="K33" s="52" t="s">
        <v>19</v>
      </c>
      <c r="L33" s="51">
        <v>93215515</v>
      </c>
      <c r="M33" s="61"/>
      <c r="N33" s="150"/>
    </row>
    <row r="34" spans="1:14" s="53" customFormat="1" ht="15.75" x14ac:dyDescent="0.25">
      <c r="A34" s="49">
        <v>3158</v>
      </c>
      <c r="B34" s="50" t="s">
        <v>134</v>
      </c>
      <c r="C34" s="56">
        <v>3136.2</v>
      </c>
      <c r="D34" s="57" t="s">
        <v>16</v>
      </c>
      <c r="E34" s="58">
        <f t="shared" si="0"/>
        <v>784.05</v>
      </c>
      <c r="F34" s="58"/>
      <c r="G34" s="58">
        <f t="shared" si="1"/>
        <v>784.05</v>
      </c>
      <c r="H34" s="51" t="s">
        <v>135</v>
      </c>
      <c r="I34" s="52" t="s">
        <v>136</v>
      </c>
      <c r="J34" s="51" t="s">
        <v>40</v>
      </c>
      <c r="K34" s="52" t="s">
        <v>19</v>
      </c>
      <c r="L34" s="51">
        <v>99694218</v>
      </c>
      <c r="M34" s="61"/>
      <c r="N34" s="150"/>
    </row>
    <row r="35" spans="1:14" s="53" customFormat="1" ht="15.75" x14ac:dyDescent="0.25">
      <c r="A35" s="49">
        <v>3159</v>
      </c>
      <c r="B35" s="50" t="s">
        <v>137</v>
      </c>
      <c r="C35" s="56">
        <v>653.6</v>
      </c>
      <c r="D35" s="57" t="s">
        <v>16</v>
      </c>
      <c r="E35" s="58">
        <f t="shared" si="0"/>
        <v>163.4</v>
      </c>
      <c r="F35" s="58"/>
      <c r="G35" s="58">
        <f t="shared" si="1"/>
        <v>163.4</v>
      </c>
      <c r="H35" s="51">
        <v>1297478</v>
      </c>
      <c r="I35" s="52" t="s">
        <v>138</v>
      </c>
      <c r="J35" s="51" t="s">
        <v>40</v>
      </c>
      <c r="K35" s="52" t="s">
        <v>19</v>
      </c>
      <c r="L35" s="51">
        <v>99497177</v>
      </c>
      <c r="M35" s="61"/>
      <c r="N35" s="150"/>
    </row>
    <row r="36" spans="1:14" s="53" customFormat="1" ht="15.75" x14ac:dyDescent="0.25">
      <c r="A36" s="49">
        <v>3160</v>
      </c>
      <c r="B36" s="50" t="s">
        <v>139</v>
      </c>
      <c r="C36" s="56">
        <v>2141.6</v>
      </c>
      <c r="D36" s="57" t="s">
        <v>16</v>
      </c>
      <c r="E36" s="58">
        <f t="shared" ref="E36:E67" si="2">C36*D36</f>
        <v>535.4</v>
      </c>
      <c r="F36" s="58"/>
      <c r="G36" s="58">
        <f t="shared" si="1"/>
        <v>535.4</v>
      </c>
      <c r="H36" s="51">
        <v>2837163</v>
      </c>
      <c r="I36" s="52" t="s">
        <v>140</v>
      </c>
      <c r="J36" s="51" t="s">
        <v>46</v>
      </c>
      <c r="K36" s="52" t="s">
        <v>47</v>
      </c>
      <c r="L36" s="51">
        <v>99497455</v>
      </c>
      <c r="M36" s="61"/>
      <c r="N36" s="150"/>
    </row>
    <row r="37" spans="1:14" s="53" customFormat="1" ht="15.75" x14ac:dyDescent="0.25">
      <c r="A37" s="49">
        <v>3162</v>
      </c>
      <c r="B37" s="50" t="s">
        <v>141</v>
      </c>
      <c r="C37" s="56">
        <v>5494.7</v>
      </c>
      <c r="D37" s="57" t="s">
        <v>16</v>
      </c>
      <c r="E37" s="58">
        <f t="shared" si="2"/>
        <v>1373.675</v>
      </c>
      <c r="F37" s="58"/>
      <c r="G37" s="58">
        <f t="shared" si="1"/>
        <v>1373.675</v>
      </c>
      <c r="H37" s="51">
        <v>7017227</v>
      </c>
      <c r="I37" s="52" t="s">
        <v>142</v>
      </c>
      <c r="J37" s="51" t="s">
        <v>36</v>
      </c>
      <c r="K37" s="52" t="s">
        <v>37</v>
      </c>
      <c r="L37" s="51">
        <v>99523400</v>
      </c>
      <c r="M37" s="61"/>
      <c r="N37" s="150"/>
    </row>
    <row r="38" spans="1:14" s="53" customFormat="1" ht="15.75" x14ac:dyDescent="0.25">
      <c r="A38" s="138">
        <v>3164</v>
      </c>
      <c r="B38" s="139" t="s">
        <v>143</v>
      </c>
      <c r="C38" s="140">
        <v>2256.4</v>
      </c>
      <c r="D38" s="141" t="s">
        <v>16</v>
      </c>
      <c r="E38" s="142">
        <f t="shared" si="2"/>
        <v>564.1</v>
      </c>
      <c r="F38" s="142">
        <f>2.84999999999994+561.25</f>
        <v>564.09999999999991</v>
      </c>
      <c r="G38" s="142">
        <f t="shared" si="1"/>
        <v>0</v>
      </c>
      <c r="H38" s="143">
        <v>7466062</v>
      </c>
      <c r="I38" s="192" t="s">
        <v>144</v>
      </c>
      <c r="J38" s="343" t="s">
        <v>145</v>
      </c>
      <c r="K38" s="192" t="s">
        <v>146</v>
      </c>
      <c r="L38" s="143">
        <v>91135005</v>
      </c>
      <c r="M38" s="173" t="s">
        <v>566</v>
      </c>
      <c r="N38" s="150">
        <v>46002</v>
      </c>
    </row>
    <row r="39" spans="1:14" s="53" customFormat="1" ht="15.75" x14ac:dyDescent="0.25">
      <c r="A39" s="49">
        <v>3165</v>
      </c>
      <c r="B39" s="50" t="s">
        <v>147</v>
      </c>
      <c r="C39" s="56">
        <v>332.1</v>
      </c>
      <c r="D39" s="57" t="s">
        <v>16</v>
      </c>
      <c r="E39" s="58">
        <f t="shared" si="2"/>
        <v>83.025000000000006</v>
      </c>
      <c r="F39" s="58"/>
      <c r="G39" s="58">
        <f t="shared" si="1"/>
        <v>83.025000000000006</v>
      </c>
      <c r="H39" s="51">
        <v>19029628</v>
      </c>
      <c r="I39" s="52" t="s">
        <v>148</v>
      </c>
      <c r="J39" s="51" t="s">
        <v>36</v>
      </c>
      <c r="K39" s="52" t="s">
        <v>37</v>
      </c>
      <c r="L39" s="51">
        <v>96055446</v>
      </c>
      <c r="M39" s="86"/>
      <c r="N39" s="150"/>
    </row>
    <row r="40" spans="1:14" s="53" customFormat="1" ht="15.75" x14ac:dyDescent="0.25">
      <c r="A40" s="49">
        <v>3169</v>
      </c>
      <c r="B40" s="50" t="s">
        <v>34</v>
      </c>
      <c r="C40" s="56">
        <v>2014.7</v>
      </c>
      <c r="D40" s="57" t="s">
        <v>16</v>
      </c>
      <c r="E40" s="58">
        <f t="shared" si="2"/>
        <v>503.67500000000001</v>
      </c>
      <c r="F40" s="58"/>
      <c r="G40" s="58">
        <f t="shared" si="1"/>
        <v>503.67500000000001</v>
      </c>
      <c r="H40" s="51">
        <v>3068756</v>
      </c>
      <c r="I40" s="52" t="s">
        <v>35</v>
      </c>
      <c r="J40" s="51" t="s">
        <v>36</v>
      </c>
      <c r="K40" s="52" t="s">
        <v>37</v>
      </c>
      <c r="L40" s="51">
        <v>99691806</v>
      </c>
      <c r="M40" s="61"/>
      <c r="N40" s="150"/>
    </row>
    <row r="41" spans="1:14" s="195" customFormat="1" ht="15.75" x14ac:dyDescent="0.25">
      <c r="A41" s="138">
        <v>3171</v>
      </c>
      <c r="B41" s="139" t="s">
        <v>149</v>
      </c>
      <c r="C41" s="140">
        <v>1021.3</v>
      </c>
      <c r="D41" s="141" t="s">
        <v>16</v>
      </c>
      <c r="E41" s="142">
        <f t="shared" si="2"/>
        <v>255.32499999999999</v>
      </c>
      <c r="F41" s="142">
        <f>E41</f>
        <v>255.32499999999999</v>
      </c>
      <c r="G41" s="142">
        <f t="shared" si="1"/>
        <v>0</v>
      </c>
      <c r="H41" s="143">
        <v>7239057</v>
      </c>
      <c r="I41" s="192" t="s">
        <v>150</v>
      </c>
      <c r="J41" s="143" t="s">
        <v>88</v>
      </c>
      <c r="K41" s="192" t="s">
        <v>89</v>
      </c>
      <c r="L41" s="143">
        <v>95880860</v>
      </c>
      <c r="M41" s="173" t="s">
        <v>632</v>
      </c>
      <c r="N41" s="199"/>
    </row>
    <row r="42" spans="1:14" s="53" customFormat="1" ht="15.75" x14ac:dyDescent="0.25">
      <c r="A42" s="49">
        <v>3172</v>
      </c>
      <c r="B42" s="50" t="s">
        <v>151</v>
      </c>
      <c r="C42" s="56">
        <v>1066.7</v>
      </c>
      <c r="D42" s="57" t="s">
        <v>16</v>
      </c>
      <c r="E42" s="58">
        <f t="shared" si="2"/>
        <v>266.67500000000001</v>
      </c>
      <c r="F42" s="58"/>
      <c r="G42" s="58">
        <f t="shared" si="1"/>
        <v>266.67500000000001</v>
      </c>
      <c r="H42" s="51">
        <v>5276984</v>
      </c>
      <c r="I42" s="52" t="s">
        <v>152</v>
      </c>
      <c r="J42" s="51" t="s">
        <v>40</v>
      </c>
      <c r="K42" s="52" t="s">
        <v>19</v>
      </c>
      <c r="L42" s="51">
        <v>99188860</v>
      </c>
      <c r="M42" s="61"/>
      <c r="N42" s="150"/>
    </row>
    <row r="43" spans="1:14" s="349" customFormat="1" ht="15.75" x14ac:dyDescent="0.25">
      <c r="A43" s="130">
        <v>3173</v>
      </c>
      <c r="B43" s="131" t="s">
        <v>153</v>
      </c>
      <c r="C43" s="132">
        <v>801.6</v>
      </c>
      <c r="D43" s="133" t="s">
        <v>16</v>
      </c>
      <c r="E43" s="134">
        <f t="shared" si="2"/>
        <v>200.4</v>
      </c>
      <c r="F43" s="134">
        <f>E43</f>
        <v>200.4</v>
      </c>
      <c r="G43" s="134">
        <f t="shared" si="1"/>
        <v>0</v>
      </c>
      <c r="H43" s="135">
        <v>6825655</v>
      </c>
      <c r="I43" s="136" t="s">
        <v>154</v>
      </c>
      <c r="J43" s="135" t="s">
        <v>40</v>
      </c>
      <c r="K43" s="136" t="s">
        <v>19</v>
      </c>
      <c r="L43" s="135">
        <v>98957747</v>
      </c>
      <c r="M43" s="394" t="s">
        <v>633</v>
      </c>
      <c r="N43" s="350"/>
    </row>
    <row r="44" spans="1:14" s="195" customFormat="1" ht="15.75" x14ac:dyDescent="0.25">
      <c r="A44" s="138">
        <v>3174</v>
      </c>
      <c r="B44" s="139" t="s">
        <v>155</v>
      </c>
      <c r="C44" s="140">
        <v>781.8</v>
      </c>
      <c r="D44" s="141" t="s">
        <v>16</v>
      </c>
      <c r="E44" s="142">
        <f t="shared" si="2"/>
        <v>195.45</v>
      </c>
      <c r="F44" s="142">
        <f>193.05+1.925</f>
        <v>194.97500000000002</v>
      </c>
      <c r="G44" s="142">
        <f t="shared" si="1"/>
        <v>0.47499999999996589</v>
      </c>
      <c r="H44" s="143">
        <v>7547492</v>
      </c>
      <c r="I44" s="192" t="s">
        <v>156</v>
      </c>
      <c r="J44" s="143" t="s">
        <v>40</v>
      </c>
      <c r="K44" s="192" t="s">
        <v>19</v>
      </c>
      <c r="L44" s="143">
        <v>91790502</v>
      </c>
      <c r="M44" s="335">
        <v>45700</v>
      </c>
      <c r="N44" s="335">
        <v>45728</v>
      </c>
    </row>
    <row r="45" spans="1:14" s="53" customFormat="1" ht="15.75" x14ac:dyDescent="0.25">
      <c r="A45" s="138">
        <v>3175</v>
      </c>
      <c r="B45" s="139" t="s">
        <v>157</v>
      </c>
      <c r="C45" s="140">
        <v>837.6</v>
      </c>
      <c r="D45" s="141" t="s">
        <v>16</v>
      </c>
      <c r="E45" s="142">
        <f t="shared" si="2"/>
        <v>209.4</v>
      </c>
      <c r="F45" s="142">
        <f>207.75+1.65</f>
        <v>209.4</v>
      </c>
      <c r="G45" s="142">
        <f t="shared" si="1"/>
        <v>0</v>
      </c>
      <c r="H45" s="143">
        <v>7325076</v>
      </c>
      <c r="I45" s="192" t="s">
        <v>158</v>
      </c>
      <c r="J45" s="143" t="s">
        <v>83</v>
      </c>
      <c r="K45" s="192" t="s">
        <v>84</v>
      </c>
      <c r="L45" s="143">
        <v>92890700</v>
      </c>
      <c r="M45" s="387" t="s">
        <v>561</v>
      </c>
      <c r="N45" s="335" t="s">
        <v>660</v>
      </c>
    </row>
    <row r="46" spans="1:14" s="53" customFormat="1" ht="15.75" x14ac:dyDescent="0.25">
      <c r="A46" s="49">
        <v>3176</v>
      </c>
      <c r="B46" s="87" t="s">
        <v>159</v>
      </c>
      <c r="C46" s="56">
        <v>501.9</v>
      </c>
      <c r="D46" s="57" t="s">
        <v>16</v>
      </c>
      <c r="E46" s="58">
        <f t="shared" si="2"/>
        <v>125.47499999999999</v>
      </c>
      <c r="F46" s="58"/>
      <c r="G46" s="58">
        <f t="shared" si="1"/>
        <v>125.47499999999999</v>
      </c>
      <c r="H46" s="88">
        <v>12178145</v>
      </c>
      <c r="I46" s="89" t="s">
        <v>160</v>
      </c>
      <c r="J46" s="88" t="s">
        <v>40</v>
      </c>
      <c r="K46" s="89" t="s">
        <v>19</v>
      </c>
      <c r="L46" s="88">
        <v>93348565</v>
      </c>
      <c r="M46" s="61"/>
      <c r="N46" s="150"/>
    </row>
    <row r="47" spans="1:14" s="53" customFormat="1" ht="15.75" x14ac:dyDescent="0.25">
      <c r="A47" s="49">
        <v>3179</v>
      </c>
      <c r="B47" s="50" t="s">
        <v>161</v>
      </c>
      <c r="C47" s="56">
        <v>3028.2</v>
      </c>
      <c r="D47" s="57" t="s">
        <v>16</v>
      </c>
      <c r="E47" s="58">
        <f t="shared" si="2"/>
        <v>757.05</v>
      </c>
      <c r="F47" s="58"/>
      <c r="G47" s="58">
        <f t="shared" si="1"/>
        <v>757.05</v>
      </c>
      <c r="H47" s="51">
        <v>1870852</v>
      </c>
      <c r="I47" s="52" t="s">
        <v>162</v>
      </c>
      <c r="J47" s="51" t="s">
        <v>88</v>
      </c>
      <c r="K47" s="52" t="s">
        <v>89</v>
      </c>
      <c r="L47" s="51">
        <v>99050691</v>
      </c>
      <c r="M47" s="61"/>
      <c r="N47" s="150"/>
    </row>
    <row r="48" spans="1:14" s="53" customFormat="1" ht="15.75" x14ac:dyDescent="0.25">
      <c r="A48" s="49">
        <v>3181</v>
      </c>
      <c r="B48" s="50" t="s">
        <v>163</v>
      </c>
      <c r="C48" s="56">
        <v>2209.6999999999998</v>
      </c>
      <c r="D48" s="57" t="s">
        <v>16</v>
      </c>
      <c r="E48" s="58">
        <f t="shared" si="2"/>
        <v>552.42499999999995</v>
      </c>
      <c r="F48" s="58"/>
      <c r="G48" s="58">
        <f t="shared" si="1"/>
        <v>552.42499999999995</v>
      </c>
      <c r="H48" s="51">
        <v>6116067</v>
      </c>
      <c r="I48" s="52" t="s">
        <v>164</v>
      </c>
      <c r="J48" s="51" t="s">
        <v>88</v>
      </c>
      <c r="K48" s="52" t="s">
        <v>89</v>
      </c>
      <c r="L48" s="51">
        <v>99191102</v>
      </c>
      <c r="M48" s="61"/>
      <c r="N48" s="150"/>
    </row>
    <row r="49" spans="1:14" s="195" customFormat="1" ht="15.75" x14ac:dyDescent="0.25">
      <c r="A49" s="138">
        <v>3183</v>
      </c>
      <c r="B49" s="342" t="s">
        <v>165</v>
      </c>
      <c r="C49" s="140">
        <v>1027.8</v>
      </c>
      <c r="D49" s="141" t="s">
        <v>16</v>
      </c>
      <c r="E49" s="142">
        <f t="shared" si="2"/>
        <v>256.95</v>
      </c>
      <c r="F49" s="142">
        <f>253.375+3.575</f>
        <v>256.95</v>
      </c>
      <c r="G49" s="142">
        <f t="shared" si="1"/>
        <v>0</v>
      </c>
      <c r="H49" s="143">
        <v>4955092</v>
      </c>
      <c r="I49" s="192" t="s">
        <v>166</v>
      </c>
      <c r="J49" s="343" t="s">
        <v>40</v>
      </c>
      <c r="K49" s="192" t="s">
        <v>19</v>
      </c>
      <c r="L49" s="143">
        <v>98152775</v>
      </c>
      <c r="M49" s="269">
        <v>45727</v>
      </c>
      <c r="N49" s="199" t="s">
        <v>659</v>
      </c>
    </row>
    <row r="50" spans="1:14" s="53" customFormat="1" ht="15.75" x14ac:dyDescent="0.25">
      <c r="A50" s="49">
        <v>3184</v>
      </c>
      <c r="B50" s="50" t="s">
        <v>69</v>
      </c>
      <c r="C50" s="56">
        <v>2404.3000000000002</v>
      </c>
      <c r="D50" s="57" t="s">
        <v>16</v>
      </c>
      <c r="E50" s="58">
        <f t="shared" si="2"/>
        <v>601.07500000000005</v>
      </c>
      <c r="F50" s="58"/>
      <c r="G50" s="58">
        <f t="shared" si="1"/>
        <v>601.07500000000005</v>
      </c>
      <c r="H50" s="51">
        <v>6701602</v>
      </c>
      <c r="I50" s="52" t="s">
        <v>167</v>
      </c>
      <c r="J50" s="51" t="s">
        <v>36</v>
      </c>
      <c r="K50" s="52" t="s">
        <v>37</v>
      </c>
      <c r="L50" s="51">
        <v>99496161</v>
      </c>
      <c r="M50" s="61"/>
      <c r="N50" s="150"/>
    </row>
    <row r="51" spans="1:14" s="53" customFormat="1" ht="15.75" x14ac:dyDescent="0.25">
      <c r="A51" s="49">
        <v>3185</v>
      </c>
      <c r="B51" s="50" t="s">
        <v>168</v>
      </c>
      <c r="C51" s="56">
        <v>944</v>
      </c>
      <c r="D51" s="57" t="s">
        <v>16</v>
      </c>
      <c r="E51" s="58">
        <f t="shared" si="2"/>
        <v>236</v>
      </c>
      <c r="F51" s="58">
        <f>235.675+0.325</f>
        <v>236</v>
      </c>
      <c r="G51" s="58">
        <f t="shared" si="1"/>
        <v>0</v>
      </c>
      <c r="H51" s="51">
        <v>15179209</v>
      </c>
      <c r="I51" s="52" t="s">
        <v>169</v>
      </c>
      <c r="J51" s="51" t="s">
        <v>40</v>
      </c>
      <c r="K51" s="52" t="s">
        <v>19</v>
      </c>
      <c r="L51" s="51">
        <v>94919974</v>
      </c>
      <c r="M51" s="172">
        <v>45941</v>
      </c>
      <c r="N51" s="199" t="s">
        <v>659</v>
      </c>
    </row>
    <row r="52" spans="1:14" s="195" customFormat="1" ht="15.75" x14ac:dyDescent="0.25">
      <c r="A52" s="138">
        <v>3188</v>
      </c>
      <c r="B52" s="139" t="s">
        <v>170</v>
      </c>
      <c r="C52" s="140">
        <v>1431.8</v>
      </c>
      <c r="D52" s="141" t="s">
        <v>16</v>
      </c>
      <c r="E52" s="142">
        <f t="shared" si="2"/>
        <v>357.95</v>
      </c>
      <c r="F52" s="142">
        <f>356.75+1.2</f>
        <v>357.95</v>
      </c>
      <c r="G52" s="142">
        <f t="shared" si="1"/>
        <v>0</v>
      </c>
      <c r="H52" s="143">
        <v>19290729</v>
      </c>
      <c r="I52" s="192" t="s">
        <v>171</v>
      </c>
      <c r="J52" s="192" t="s">
        <v>36</v>
      </c>
      <c r="K52" s="192" t="s">
        <v>37</v>
      </c>
      <c r="L52" s="143">
        <v>95606029</v>
      </c>
      <c r="M52" s="387" t="s">
        <v>561</v>
      </c>
      <c r="N52" s="172" t="s">
        <v>663</v>
      </c>
    </row>
    <row r="53" spans="1:14" s="243" customFormat="1" ht="15.75" x14ac:dyDescent="0.25">
      <c r="A53" s="121">
        <v>3189</v>
      </c>
      <c r="B53" s="122" t="s">
        <v>172</v>
      </c>
      <c r="C53" s="123">
        <v>921.8</v>
      </c>
      <c r="D53" s="124" t="s">
        <v>16</v>
      </c>
      <c r="E53" s="125">
        <f t="shared" si="2"/>
        <v>230.45</v>
      </c>
      <c r="F53" s="125">
        <f>E53</f>
        <v>230.45</v>
      </c>
      <c r="G53" s="125">
        <f t="shared" si="1"/>
        <v>0</v>
      </c>
      <c r="H53" s="126">
        <v>2802613</v>
      </c>
      <c r="I53" s="127" t="s">
        <v>173</v>
      </c>
      <c r="J53" s="126" t="s">
        <v>40</v>
      </c>
      <c r="K53" s="127" t="s">
        <v>19</v>
      </c>
      <c r="L53" s="126">
        <v>99480848</v>
      </c>
      <c r="M53" s="392" t="s">
        <v>567</v>
      </c>
      <c r="N53" s="242"/>
    </row>
    <row r="54" spans="1:14" s="53" customFormat="1" ht="15.75" x14ac:dyDescent="0.25">
      <c r="A54" s="85">
        <v>3190</v>
      </c>
      <c r="B54" s="50" t="s">
        <v>174</v>
      </c>
      <c r="C54" s="56">
        <v>528.5</v>
      </c>
      <c r="D54" s="57" t="s">
        <v>16</v>
      </c>
      <c r="E54" s="58">
        <f t="shared" si="2"/>
        <v>132.125</v>
      </c>
      <c r="F54" s="58"/>
      <c r="G54" s="58">
        <f t="shared" si="1"/>
        <v>132.125</v>
      </c>
      <c r="H54" s="51">
        <v>3555896</v>
      </c>
      <c r="I54" s="194" t="s">
        <v>175</v>
      </c>
      <c r="J54" s="51" t="s">
        <v>40</v>
      </c>
      <c r="K54" s="52" t="s">
        <v>19</v>
      </c>
      <c r="L54" s="51">
        <v>92881155</v>
      </c>
      <c r="M54" s="61"/>
      <c r="N54" s="150"/>
    </row>
    <row r="55" spans="1:14" s="195" customFormat="1" ht="15.75" x14ac:dyDescent="0.25">
      <c r="A55" s="138">
        <v>3192</v>
      </c>
      <c r="B55" s="139" t="s">
        <v>38</v>
      </c>
      <c r="C55" s="140">
        <v>535</v>
      </c>
      <c r="D55" s="141" t="s">
        <v>16</v>
      </c>
      <c r="E55" s="142">
        <f t="shared" si="2"/>
        <v>133.75</v>
      </c>
      <c r="F55" s="142">
        <f>131.05+2.7</f>
        <v>133.75</v>
      </c>
      <c r="G55" s="142">
        <f t="shared" si="1"/>
        <v>0</v>
      </c>
      <c r="H55" s="143">
        <v>5271448</v>
      </c>
      <c r="I55" s="192" t="s">
        <v>39</v>
      </c>
      <c r="J55" s="143" t="s">
        <v>40</v>
      </c>
      <c r="K55" s="192" t="s">
        <v>19</v>
      </c>
      <c r="L55" s="143">
        <v>99489918</v>
      </c>
      <c r="M55" s="387" t="s">
        <v>561</v>
      </c>
      <c r="N55" s="335" t="s">
        <v>660</v>
      </c>
    </row>
    <row r="56" spans="1:14" s="92" customFormat="1" ht="15.75" x14ac:dyDescent="0.25">
      <c r="A56" s="49">
        <v>3195</v>
      </c>
      <c r="B56" s="50" t="s">
        <v>176</v>
      </c>
      <c r="C56" s="56">
        <v>590.79999999999995</v>
      </c>
      <c r="D56" s="57" t="s">
        <v>16</v>
      </c>
      <c r="E56" s="58">
        <f t="shared" si="2"/>
        <v>147.69999999999999</v>
      </c>
      <c r="F56" s="58"/>
      <c r="G56" s="58">
        <f t="shared" si="1"/>
        <v>147.69999999999999</v>
      </c>
      <c r="H56" s="51">
        <v>675849</v>
      </c>
      <c r="I56" s="52" t="s">
        <v>177</v>
      </c>
      <c r="J56" s="51" t="s">
        <v>36</v>
      </c>
      <c r="K56" s="52" t="s">
        <v>37</v>
      </c>
      <c r="L56" s="51">
        <v>99483811</v>
      </c>
      <c r="M56" s="61"/>
      <c r="N56" s="150"/>
    </row>
    <row r="57" spans="1:14" s="92" customFormat="1" ht="15.75" x14ac:dyDescent="0.25">
      <c r="A57" s="49">
        <v>3196</v>
      </c>
      <c r="B57" s="93" t="s">
        <v>178</v>
      </c>
      <c r="C57" s="56">
        <v>588.20000000000005</v>
      </c>
      <c r="D57" s="57" t="s">
        <v>16</v>
      </c>
      <c r="E57" s="58">
        <f t="shared" si="2"/>
        <v>147.05000000000001</v>
      </c>
      <c r="F57" s="58"/>
      <c r="G57" s="58">
        <f t="shared" si="1"/>
        <v>147.05000000000001</v>
      </c>
      <c r="H57" s="51">
        <v>21080217</v>
      </c>
      <c r="I57" s="52" t="s">
        <v>179</v>
      </c>
      <c r="J57" s="51" t="s">
        <v>40</v>
      </c>
      <c r="K57" s="52" t="s">
        <v>19</v>
      </c>
      <c r="L57" s="51">
        <v>95490778</v>
      </c>
      <c r="M57" s="61"/>
      <c r="N57" s="150"/>
    </row>
    <row r="58" spans="1:14" s="92" customFormat="1" ht="15.75" x14ac:dyDescent="0.25">
      <c r="A58" s="49">
        <v>3197</v>
      </c>
      <c r="B58" s="50" t="s">
        <v>180</v>
      </c>
      <c r="C58" s="56">
        <v>1759.7</v>
      </c>
      <c r="D58" s="57" t="s">
        <v>16</v>
      </c>
      <c r="E58" s="58">
        <f t="shared" si="2"/>
        <v>439.92500000000001</v>
      </c>
      <c r="F58" s="58"/>
      <c r="G58" s="58">
        <f t="shared" si="1"/>
        <v>439.92500000000001</v>
      </c>
      <c r="H58" s="51">
        <v>6479515</v>
      </c>
      <c r="I58" s="52" t="s">
        <v>181</v>
      </c>
      <c r="J58" s="51" t="s">
        <v>40</v>
      </c>
      <c r="K58" s="52" t="s">
        <v>19</v>
      </c>
      <c r="L58" s="51">
        <v>92349032</v>
      </c>
      <c r="M58" s="61"/>
      <c r="N58" s="150"/>
    </row>
    <row r="59" spans="1:14" s="92" customFormat="1" ht="15.75" x14ac:dyDescent="0.25">
      <c r="A59" s="49">
        <v>3198</v>
      </c>
      <c r="B59" s="74" t="s">
        <v>44</v>
      </c>
      <c r="C59" s="56">
        <v>570.9</v>
      </c>
      <c r="D59" s="57" t="s">
        <v>16</v>
      </c>
      <c r="E59" s="58">
        <f t="shared" si="2"/>
        <v>142.72499999999999</v>
      </c>
      <c r="F59" s="58"/>
      <c r="G59" s="58">
        <f t="shared" si="1"/>
        <v>142.72499999999999</v>
      </c>
      <c r="H59" s="75">
        <v>6360793</v>
      </c>
      <c r="I59" s="52" t="s">
        <v>45</v>
      </c>
      <c r="J59" s="75" t="s">
        <v>46</v>
      </c>
      <c r="K59" s="76" t="s">
        <v>47</v>
      </c>
      <c r="L59" s="51">
        <v>99336200</v>
      </c>
      <c r="M59" s="61"/>
      <c r="N59" s="150"/>
    </row>
    <row r="60" spans="1:14" s="53" customFormat="1" ht="15.75" x14ac:dyDescent="0.25">
      <c r="A60" s="49">
        <v>3310</v>
      </c>
      <c r="B60" s="50" t="s">
        <v>182</v>
      </c>
      <c r="C60" s="56">
        <v>1213.5999999999999</v>
      </c>
      <c r="D60" s="57" t="s">
        <v>16</v>
      </c>
      <c r="E60" s="58">
        <f t="shared" si="2"/>
        <v>303.39999999999998</v>
      </c>
      <c r="F60" s="58"/>
      <c r="G60" s="58">
        <f t="shared" si="1"/>
        <v>303.39999999999998</v>
      </c>
      <c r="H60" s="51">
        <v>1007615</v>
      </c>
      <c r="I60" s="52" t="s">
        <v>183</v>
      </c>
      <c r="J60" s="51" t="s">
        <v>40</v>
      </c>
      <c r="K60" s="52" t="s">
        <v>19</v>
      </c>
      <c r="L60" s="51">
        <v>99056614</v>
      </c>
      <c r="M60" s="289"/>
      <c r="N60" s="150"/>
    </row>
    <row r="61" spans="1:14" s="53" customFormat="1" ht="15.75" x14ac:dyDescent="0.25">
      <c r="A61" s="49">
        <v>3324</v>
      </c>
      <c r="B61" s="51" t="s">
        <v>184</v>
      </c>
      <c r="C61" s="56">
        <v>1627</v>
      </c>
      <c r="D61" s="57" t="s">
        <v>16</v>
      </c>
      <c r="E61" s="58">
        <f t="shared" si="2"/>
        <v>406.75</v>
      </c>
      <c r="F61" s="58"/>
      <c r="G61" s="58">
        <f t="shared" si="1"/>
        <v>406.75</v>
      </c>
      <c r="H61" s="52">
        <v>207402</v>
      </c>
      <c r="I61" s="52" t="s">
        <v>185</v>
      </c>
      <c r="J61" s="52" t="s">
        <v>40</v>
      </c>
      <c r="K61" s="52" t="s">
        <v>19</v>
      </c>
      <c r="L61" s="51">
        <v>99487533</v>
      </c>
      <c r="M61" s="61"/>
      <c r="N61" s="150"/>
    </row>
    <row r="62" spans="1:14" s="53" customFormat="1" ht="15.75" x14ac:dyDescent="0.25">
      <c r="A62" s="49">
        <v>3330</v>
      </c>
      <c r="B62" s="51" t="s">
        <v>186</v>
      </c>
      <c r="C62" s="56">
        <v>2128</v>
      </c>
      <c r="D62" s="57" t="s">
        <v>16</v>
      </c>
      <c r="E62" s="58">
        <f t="shared" si="2"/>
        <v>532</v>
      </c>
      <c r="F62" s="58"/>
      <c r="G62" s="58">
        <f t="shared" si="1"/>
        <v>532</v>
      </c>
      <c r="H62" s="52">
        <v>6375079</v>
      </c>
      <c r="I62" s="52" t="s">
        <v>187</v>
      </c>
      <c r="J62" s="52" t="s">
        <v>188</v>
      </c>
      <c r="K62" s="52" t="s">
        <v>19</v>
      </c>
      <c r="L62" s="51"/>
      <c r="M62" s="94"/>
      <c r="N62" s="150"/>
    </row>
    <row r="63" spans="1:14" s="53" customFormat="1" ht="15.75" x14ac:dyDescent="0.25">
      <c r="A63" s="49">
        <v>3333</v>
      </c>
      <c r="B63" s="51" t="s">
        <v>189</v>
      </c>
      <c r="C63" s="56">
        <v>1161.3</v>
      </c>
      <c r="D63" s="57" t="s">
        <v>16</v>
      </c>
      <c r="E63" s="58">
        <f t="shared" si="2"/>
        <v>290.32499999999999</v>
      </c>
      <c r="F63" s="95"/>
      <c r="G63" s="58">
        <f t="shared" si="1"/>
        <v>290.32499999999999</v>
      </c>
      <c r="H63" s="96">
        <v>757601</v>
      </c>
      <c r="I63" s="96" t="s">
        <v>190</v>
      </c>
      <c r="J63" s="96" t="s">
        <v>83</v>
      </c>
      <c r="K63" s="96" t="s">
        <v>84</v>
      </c>
      <c r="L63" s="97"/>
      <c r="M63" s="94"/>
      <c r="N63" s="150"/>
    </row>
    <row r="64" spans="1:14" s="195" customFormat="1" ht="15.75" x14ac:dyDescent="0.25">
      <c r="A64" s="138">
        <v>3339</v>
      </c>
      <c r="B64" s="143" t="s">
        <v>191</v>
      </c>
      <c r="C64" s="140">
        <v>730.6</v>
      </c>
      <c r="D64" s="141" t="s">
        <v>16</v>
      </c>
      <c r="E64" s="142">
        <f t="shared" si="2"/>
        <v>182.65</v>
      </c>
      <c r="F64" s="142">
        <f>180.375+2.275</f>
        <v>182.65</v>
      </c>
      <c r="G64" s="142">
        <f t="shared" si="1"/>
        <v>0</v>
      </c>
      <c r="H64" s="192">
        <v>12415718</v>
      </c>
      <c r="I64" s="192" t="s">
        <v>192</v>
      </c>
      <c r="J64" s="143" t="s">
        <v>40</v>
      </c>
      <c r="K64" s="192" t="s">
        <v>19</v>
      </c>
      <c r="L64" s="143"/>
      <c r="M64" s="173" t="s">
        <v>566</v>
      </c>
      <c r="N64" s="199" t="s">
        <v>659</v>
      </c>
    </row>
    <row r="65" spans="1:14" s="243" customFormat="1" ht="15.75" x14ac:dyDescent="0.25">
      <c r="A65" s="121">
        <v>3341</v>
      </c>
      <c r="B65" s="126" t="s">
        <v>328</v>
      </c>
      <c r="C65" s="123">
        <v>441.4</v>
      </c>
      <c r="D65" s="124" t="s">
        <v>16</v>
      </c>
      <c r="E65" s="125">
        <f t="shared" si="2"/>
        <v>110.35</v>
      </c>
      <c r="F65" s="125">
        <f>E65</f>
        <v>110.35</v>
      </c>
      <c r="G65" s="125">
        <f t="shared" si="1"/>
        <v>0</v>
      </c>
      <c r="H65" s="127">
        <v>702161</v>
      </c>
      <c r="I65" s="127" t="s">
        <v>329</v>
      </c>
      <c r="J65" s="126" t="s">
        <v>88</v>
      </c>
      <c r="K65" s="127" t="s">
        <v>89</v>
      </c>
      <c r="L65" s="126">
        <v>99290644</v>
      </c>
      <c r="M65" s="347" t="s">
        <v>559</v>
      </c>
      <c r="N65" s="242"/>
    </row>
    <row r="66" spans="1:14" s="53" customFormat="1" ht="15.75" x14ac:dyDescent="0.25">
      <c r="A66" s="85">
        <v>3500</v>
      </c>
      <c r="B66" s="51" t="s">
        <v>193</v>
      </c>
      <c r="C66" s="56"/>
      <c r="D66" s="57" t="s">
        <v>16</v>
      </c>
      <c r="E66" s="58">
        <f t="shared" si="2"/>
        <v>0</v>
      </c>
      <c r="F66" s="58"/>
      <c r="G66" s="58">
        <f t="shared" si="1"/>
        <v>0</v>
      </c>
      <c r="H66" s="52">
        <v>13525845</v>
      </c>
      <c r="I66" s="52" t="s">
        <v>194</v>
      </c>
      <c r="J66" s="51" t="s">
        <v>83</v>
      </c>
      <c r="K66" s="52" t="s">
        <v>84</v>
      </c>
      <c r="L66" s="51">
        <v>93985671</v>
      </c>
      <c r="M66" s="26"/>
      <c r="N66" s="150"/>
    </row>
    <row r="67" spans="1:14" s="53" customFormat="1" ht="15.75" x14ac:dyDescent="0.25">
      <c r="A67" s="49">
        <v>3501</v>
      </c>
      <c r="B67" s="51" t="s">
        <v>195</v>
      </c>
      <c r="C67" s="56">
        <v>1352.2</v>
      </c>
      <c r="D67" s="57" t="s">
        <v>16</v>
      </c>
      <c r="E67" s="58">
        <f t="shared" si="2"/>
        <v>338.05</v>
      </c>
      <c r="F67" s="58"/>
      <c r="G67" s="58">
        <f t="shared" si="1"/>
        <v>338.05</v>
      </c>
      <c r="H67" s="52">
        <v>13525794</v>
      </c>
      <c r="I67" s="52" t="s">
        <v>196</v>
      </c>
      <c r="J67" s="51" t="s">
        <v>40</v>
      </c>
      <c r="K67" s="52" t="s">
        <v>19</v>
      </c>
      <c r="L67" s="51">
        <v>92868004</v>
      </c>
      <c r="M67" s="26"/>
      <c r="N67" s="150"/>
    </row>
    <row r="68" spans="1:14" s="53" customFormat="1" ht="15.75" x14ac:dyDescent="0.25">
      <c r="A68" s="49">
        <v>3502</v>
      </c>
      <c r="B68" s="93" t="s">
        <v>198</v>
      </c>
      <c r="C68" s="56">
        <v>1616.7</v>
      </c>
      <c r="D68" s="57" t="s">
        <v>16</v>
      </c>
      <c r="E68" s="58">
        <f t="shared" ref="E68:E99" si="3">C68*D68</f>
        <v>404.17500000000001</v>
      </c>
      <c r="F68" s="58"/>
      <c r="G68" s="58">
        <f t="shared" si="1"/>
        <v>404.17500000000001</v>
      </c>
      <c r="H68" s="52">
        <v>22522336</v>
      </c>
      <c r="I68" s="52" t="s">
        <v>199</v>
      </c>
      <c r="J68" s="51" t="s">
        <v>36</v>
      </c>
      <c r="K68" s="52" t="s">
        <v>37</v>
      </c>
      <c r="L68" s="51"/>
      <c r="M68" s="26"/>
      <c r="N68" s="150"/>
    </row>
    <row r="69" spans="1:14" s="53" customFormat="1" ht="15.75" x14ac:dyDescent="0.25">
      <c r="A69" s="49">
        <v>3503</v>
      </c>
      <c r="B69" s="51" t="s">
        <v>200</v>
      </c>
      <c r="C69" s="56">
        <v>601.70000000000005</v>
      </c>
      <c r="D69" s="57" t="s">
        <v>16</v>
      </c>
      <c r="E69" s="58">
        <f t="shared" si="3"/>
        <v>150.42500000000001</v>
      </c>
      <c r="F69" s="58"/>
      <c r="G69" s="58">
        <f t="shared" ref="G69:G132" si="4">E69-F69</f>
        <v>150.42500000000001</v>
      </c>
      <c r="H69" s="52">
        <v>9212492</v>
      </c>
      <c r="I69" s="52" t="s">
        <v>201</v>
      </c>
      <c r="J69" s="51" t="s">
        <v>40</v>
      </c>
      <c r="K69" s="52" t="s">
        <v>19</v>
      </c>
      <c r="L69" s="51">
        <v>98080144</v>
      </c>
      <c r="M69" s="26"/>
      <c r="N69" s="150"/>
    </row>
    <row r="70" spans="1:14" s="53" customFormat="1" ht="15.75" x14ac:dyDescent="0.25">
      <c r="A70" s="85">
        <v>3504</v>
      </c>
      <c r="B70" s="51" t="s">
        <v>202</v>
      </c>
      <c r="C70" s="56"/>
      <c r="D70" s="57" t="s">
        <v>16</v>
      </c>
      <c r="E70" s="58">
        <f t="shared" si="3"/>
        <v>0</v>
      </c>
      <c r="F70" s="58"/>
      <c r="G70" s="58">
        <f t="shared" si="4"/>
        <v>0</v>
      </c>
      <c r="H70" s="52">
        <v>939641</v>
      </c>
      <c r="I70" s="52" t="s">
        <v>203</v>
      </c>
      <c r="J70" s="51" t="s">
        <v>40</v>
      </c>
      <c r="K70" s="52" t="s">
        <v>19</v>
      </c>
      <c r="L70" s="51">
        <v>99588609</v>
      </c>
      <c r="M70" s="26"/>
      <c r="N70" s="150"/>
    </row>
    <row r="71" spans="1:14" s="195" customFormat="1" ht="15.75" x14ac:dyDescent="0.25">
      <c r="A71" s="138">
        <v>3506</v>
      </c>
      <c r="B71" s="143" t="s">
        <v>205</v>
      </c>
      <c r="C71" s="140">
        <v>531.1</v>
      </c>
      <c r="D71" s="141" t="s">
        <v>16</v>
      </c>
      <c r="E71" s="142">
        <f t="shared" si="3"/>
        <v>132.77500000000001</v>
      </c>
      <c r="F71" s="142">
        <f>E71</f>
        <v>132.77500000000001</v>
      </c>
      <c r="G71" s="142">
        <f t="shared" si="4"/>
        <v>0</v>
      </c>
      <c r="H71" s="192">
        <v>13307752</v>
      </c>
      <c r="I71" s="192" t="s">
        <v>206</v>
      </c>
      <c r="J71" s="143" t="s">
        <v>40</v>
      </c>
      <c r="K71" s="192" t="s">
        <v>19</v>
      </c>
      <c r="L71" s="143">
        <v>99294425</v>
      </c>
      <c r="M71" s="393">
        <v>45941</v>
      </c>
      <c r="N71" s="199"/>
    </row>
    <row r="72" spans="1:14" s="53" customFormat="1" ht="15.75" x14ac:dyDescent="0.25">
      <c r="A72" s="49">
        <v>3507</v>
      </c>
      <c r="B72" s="51" t="s">
        <v>207</v>
      </c>
      <c r="C72" s="56">
        <v>1383.9</v>
      </c>
      <c r="D72" s="57" t="s">
        <v>16</v>
      </c>
      <c r="E72" s="58">
        <f t="shared" si="3"/>
        <v>345.97500000000002</v>
      </c>
      <c r="F72" s="58"/>
      <c r="G72" s="58">
        <f t="shared" si="4"/>
        <v>345.97500000000002</v>
      </c>
      <c r="H72" s="52">
        <v>1184669</v>
      </c>
      <c r="I72" s="52" t="s">
        <v>208</v>
      </c>
      <c r="J72" s="51" t="s">
        <v>36</v>
      </c>
      <c r="K72" s="52" t="s">
        <v>37</v>
      </c>
      <c r="L72" s="51">
        <v>99291928</v>
      </c>
      <c r="M72" s="26"/>
      <c r="N72" s="150"/>
    </row>
    <row r="73" spans="1:14" s="53" customFormat="1" ht="15.75" x14ac:dyDescent="0.25">
      <c r="A73" s="49">
        <v>3508</v>
      </c>
      <c r="B73" s="51" t="s">
        <v>49</v>
      </c>
      <c r="C73" s="56">
        <v>1005.2</v>
      </c>
      <c r="D73" s="57" t="s">
        <v>16</v>
      </c>
      <c r="E73" s="58">
        <f t="shared" si="3"/>
        <v>251.3</v>
      </c>
      <c r="F73" s="58"/>
      <c r="G73" s="58">
        <f t="shared" si="4"/>
        <v>251.3</v>
      </c>
      <c r="H73" s="52">
        <v>2567166</v>
      </c>
      <c r="I73" s="52" t="s">
        <v>50</v>
      </c>
      <c r="J73" s="51" t="s">
        <v>40</v>
      </c>
      <c r="K73" s="52" t="s">
        <v>19</v>
      </c>
      <c r="L73" s="51">
        <v>92570156</v>
      </c>
      <c r="M73" s="26"/>
      <c r="N73" s="150"/>
    </row>
    <row r="74" spans="1:14" s="53" customFormat="1" ht="15.75" x14ac:dyDescent="0.25">
      <c r="A74" s="49">
        <v>3509</v>
      </c>
      <c r="B74" s="93" t="s">
        <v>209</v>
      </c>
      <c r="C74" s="56">
        <v>542.29999999999995</v>
      </c>
      <c r="D74" s="57" t="s">
        <v>16</v>
      </c>
      <c r="E74" s="58">
        <f t="shared" si="3"/>
        <v>135.57499999999999</v>
      </c>
      <c r="F74" s="58"/>
      <c r="G74" s="58">
        <f t="shared" si="4"/>
        <v>135.57499999999999</v>
      </c>
      <c r="H74" s="52">
        <v>22760088</v>
      </c>
      <c r="I74" s="52" t="s">
        <v>210</v>
      </c>
      <c r="J74" s="51" t="s">
        <v>88</v>
      </c>
      <c r="K74" s="52" t="s">
        <v>89</v>
      </c>
      <c r="L74" s="51">
        <v>91476443</v>
      </c>
      <c r="M74" s="26"/>
      <c r="N74" s="150"/>
    </row>
    <row r="75" spans="1:14" s="53" customFormat="1" ht="15.75" x14ac:dyDescent="0.25">
      <c r="A75" s="49">
        <v>3510</v>
      </c>
      <c r="B75" s="93" t="s">
        <v>211</v>
      </c>
      <c r="C75" s="56">
        <v>1188</v>
      </c>
      <c r="D75" s="57" t="s">
        <v>16</v>
      </c>
      <c r="E75" s="58">
        <f t="shared" si="3"/>
        <v>297</v>
      </c>
      <c r="F75" s="58"/>
      <c r="G75" s="58">
        <f t="shared" si="4"/>
        <v>297</v>
      </c>
      <c r="H75" s="52">
        <v>6920351</v>
      </c>
      <c r="I75" s="52" t="s">
        <v>212</v>
      </c>
      <c r="J75" s="51" t="s">
        <v>40</v>
      </c>
      <c r="K75" s="52" t="s">
        <v>19</v>
      </c>
      <c r="L75" s="51">
        <v>98933077</v>
      </c>
      <c r="M75" s="26"/>
      <c r="N75" s="150"/>
    </row>
    <row r="76" spans="1:14" s="195" customFormat="1" ht="15.75" x14ac:dyDescent="0.25">
      <c r="A76" s="138">
        <v>3511</v>
      </c>
      <c r="B76" s="145" t="s">
        <v>21</v>
      </c>
      <c r="C76" s="140">
        <v>915.4</v>
      </c>
      <c r="D76" s="141" t="s">
        <v>16</v>
      </c>
      <c r="E76" s="142">
        <f t="shared" si="3"/>
        <v>228.85</v>
      </c>
      <c r="F76" s="147">
        <f>225.225+3.625</f>
        <v>228.85</v>
      </c>
      <c r="G76" s="142">
        <f t="shared" si="4"/>
        <v>0</v>
      </c>
      <c r="H76" s="148">
        <v>2640016</v>
      </c>
      <c r="I76" s="192" t="s">
        <v>22</v>
      </c>
      <c r="J76" s="143" t="s">
        <v>23</v>
      </c>
      <c r="K76" s="192" t="s">
        <v>24</v>
      </c>
      <c r="L76" s="143">
        <v>92953388</v>
      </c>
      <c r="M76" s="269">
        <v>45727</v>
      </c>
      <c r="N76" s="269" t="s">
        <v>664</v>
      </c>
    </row>
    <row r="77" spans="1:14" s="53" customFormat="1" ht="15.75" x14ac:dyDescent="0.25">
      <c r="A77" s="85">
        <v>3512</v>
      </c>
      <c r="B77" s="98" t="s">
        <v>213</v>
      </c>
      <c r="C77" s="56"/>
      <c r="D77" s="57" t="s">
        <v>16</v>
      </c>
      <c r="E77" s="58">
        <f t="shared" si="3"/>
        <v>0</v>
      </c>
      <c r="F77" s="95"/>
      <c r="G77" s="58">
        <f t="shared" si="4"/>
        <v>0</v>
      </c>
      <c r="H77" s="96">
        <v>5514631</v>
      </c>
      <c r="I77" s="52" t="s">
        <v>214</v>
      </c>
      <c r="J77" s="51" t="s">
        <v>36</v>
      </c>
      <c r="K77" s="51" t="s">
        <v>37</v>
      </c>
      <c r="L77" s="51"/>
      <c r="M77" s="26"/>
      <c r="N77" s="150"/>
    </row>
    <row r="78" spans="1:14" s="53" customFormat="1" ht="15.75" x14ac:dyDescent="0.25">
      <c r="A78" s="49">
        <v>3513</v>
      </c>
      <c r="B78" s="98" t="s">
        <v>215</v>
      </c>
      <c r="C78" s="56">
        <v>2802.1</v>
      </c>
      <c r="D78" s="57" t="s">
        <v>16</v>
      </c>
      <c r="E78" s="58">
        <f t="shared" si="3"/>
        <v>700.52499999999998</v>
      </c>
      <c r="F78" s="95"/>
      <c r="G78" s="58">
        <f t="shared" si="4"/>
        <v>700.52499999999998</v>
      </c>
      <c r="H78" s="96">
        <v>7047376</v>
      </c>
      <c r="I78" s="52" t="s">
        <v>216</v>
      </c>
      <c r="J78" s="51" t="s">
        <v>36</v>
      </c>
      <c r="K78" s="52" t="s">
        <v>37</v>
      </c>
      <c r="L78" s="51">
        <v>90106022</v>
      </c>
      <c r="M78" s="26"/>
      <c r="N78" s="150"/>
    </row>
    <row r="79" spans="1:14" s="195" customFormat="1" ht="18" customHeight="1" x14ac:dyDescent="0.25">
      <c r="A79" s="138">
        <v>3514</v>
      </c>
      <c r="B79" s="145" t="s">
        <v>217</v>
      </c>
      <c r="C79" s="140">
        <v>1584.8</v>
      </c>
      <c r="D79" s="141" t="s">
        <v>16</v>
      </c>
      <c r="E79" s="142">
        <f t="shared" si="3"/>
        <v>396.2</v>
      </c>
      <c r="F79" s="147">
        <f>2.17500000000001+391.05</f>
        <v>393.22500000000002</v>
      </c>
      <c r="G79" s="142">
        <f t="shared" si="4"/>
        <v>2.9749999999999659</v>
      </c>
      <c r="H79" s="148">
        <v>440083</v>
      </c>
      <c r="I79" s="192" t="s">
        <v>218</v>
      </c>
      <c r="J79" s="143" t="s">
        <v>188</v>
      </c>
      <c r="K79" s="192" t="s">
        <v>19</v>
      </c>
      <c r="L79" s="191">
        <v>92363355</v>
      </c>
      <c r="M79" s="269">
        <v>45700</v>
      </c>
      <c r="N79" s="269" t="s">
        <v>664</v>
      </c>
    </row>
    <row r="80" spans="1:14" s="53" customFormat="1" ht="15.75" x14ac:dyDescent="0.25">
      <c r="A80" s="49">
        <v>3515</v>
      </c>
      <c r="B80" s="98" t="s">
        <v>51</v>
      </c>
      <c r="C80" s="56">
        <v>1195</v>
      </c>
      <c r="D80" s="57" t="s">
        <v>16</v>
      </c>
      <c r="E80" s="58">
        <f t="shared" si="3"/>
        <v>298.75</v>
      </c>
      <c r="F80" s="95"/>
      <c r="G80" s="58">
        <f t="shared" si="4"/>
        <v>298.75</v>
      </c>
      <c r="H80" s="96">
        <v>6645198</v>
      </c>
      <c r="I80" s="96" t="s">
        <v>52</v>
      </c>
      <c r="J80" s="51" t="s">
        <v>36</v>
      </c>
      <c r="K80" s="52" t="s">
        <v>37</v>
      </c>
      <c r="L80" s="97">
        <v>94411217</v>
      </c>
      <c r="M80" s="26"/>
      <c r="N80" s="150"/>
    </row>
    <row r="81" spans="1:15" s="53" customFormat="1" ht="15.75" x14ac:dyDescent="0.25">
      <c r="A81" s="49">
        <v>3516</v>
      </c>
      <c r="B81" s="98" t="s">
        <v>219</v>
      </c>
      <c r="C81" s="56">
        <v>1775.7</v>
      </c>
      <c r="D81" s="57" t="s">
        <v>16</v>
      </c>
      <c r="E81" s="58">
        <f t="shared" si="3"/>
        <v>443.92500000000001</v>
      </c>
      <c r="F81" s="95"/>
      <c r="G81" s="58">
        <f t="shared" si="4"/>
        <v>443.92500000000001</v>
      </c>
      <c r="H81" s="96">
        <v>1165877</v>
      </c>
      <c r="I81" s="96" t="s">
        <v>220</v>
      </c>
      <c r="J81" s="98" t="s">
        <v>36</v>
      </c>
      <c r="K81" s="52" t="s">
        <v>37</v>
      </c>
      <c r="L81" s="97"/>
      <c r="M81" s="26"/>
      <c r="N81" s="150"/>
    </row>
    <row r="82" spans="1:15" s="195" customFormat="1" ht="15.75" x14ac:dyDescent="0.25">
      <c r="A82" s="138">
        <v>3517</v>
      </c>
      <c r="B82" s="145" t="s">
        <v>221</v>
      </c>
      <c r="C82" s="140">
        <v>1519.4</v>
      </c>
      <c r="D82" s="141" t="s">
        <v>16</v>
      </c>
      <c r="E82" s="142">
        <f t="shared" si="3"/>
        <v>379.85</v>
      </c>
      <c r="F82" s="147">
        <f>3.25000000000001+375.95+0.65</f>
        <v>379.84999999999997</v>
      </c>
      <c r="G82" s="142">
        <f t="shared" si="4"/>
        <v>0</v>
      </c>
      <c r="H82" s="148">
        <v>7047081</v>
      </c>
      <c r="I82" s="148" t="s">
        <v>222</v>
      </c>
      <c r="J82" s="145" t="s">
        <v>36</v>
      </c>
      <c r="K82" s="192" t="s">
        <v>37</v>
      </c>
      <c r="L82" s="191"/>
      <c r="M82" s="269">
        <v>45727</v>
      </c>
      <c r="N82" s="431" t="s">
        <v>632</v>
      </c>
      <c r="O82" s="269">
        <v>46008</v>
      </c>
    </row>
    <row r="83" spans="1:15" s="195" customFormat="1" ht="15.75" x14ac:dyDescent="0.25">
      <c r="A83" s="138">
        <v>3518</v>
      </c>
      <c r="B83" s="145" t="s">
        <v>54</v>
      </c>
      <c r="C83" s="140">
        <v>714.1</v>
      </c>
      <c r="D83" s="141" t="s">
        <v>16</v>
      </c>
      <c r="E83" s="142">
        <f t="shared" si="3"/>
        <v>178.52500000000001</v>
      </c>
      <c r="F83" s="147">
        <f>0.825000000000023+177.7</f>
        <v>178.52500000000001</v>
      </c>
      <c r="G83" s="142">
        <f t="shared" si="4"/>
        <v>0</v>
      </c>
      <c r="H83" s="148">
        <v>20386956</v>
      </c>
      <c r="I83" s="148" t="s">
        <v>55</v>
      </c>
      <c r="J83" s="143" t="s">
        <v>40</v>
      </c>
      <c r="K83" s="192" t="s">
        <v>19</v>
      </c>
      <c r="L83" s="191"/>
      <c r="M83" s="149" t="s">
        <v>556</v>
      </c>
      <c r="N83" s="199">
        <v>45941</v>
      </c>
    </row>
    <row r="84" spans="1:15" s="195" customFormat="1" ht="15.75" x14ac:dyDescent="0.25">
      <c r="A84" s="138">
        <v>3519</v>
      </c>
      <c r="B84" s="145" t="s">
        <v>223</v>
      </c>
      <c r="C84" s="140">
        <v>1005.9</v>
      </c>
      <c r="D84" s="141" t="s">
        <v>16</v>
      </c>
      <c r="E84" s="142">
        <f t="shared" si="3"/>
        <v>251.47499999999999</v>
      </c>
      <c r="F84" s="147">
        <f>2.27500000000001+248.2+1</f>
        <v>251.47499999999999</v>
      </c>
      <c r="G84" s="142">
        <f t="shared" si="4"/>
        <v>0</v>
      </c>
      <c r="H84" s="148">
        <v>7047221</v>
      </c>
      <c r="I84" s="148" t="s">
        <v>224</v>
      </c>
      <c r="J84" s="145" t="s">
        <v>36</v>
      </c>
      <c r="K84" s="192" t="s">
        <v>37</v>
      </c>
      <c r="L84" s="191"/>
      <c r="M84" s="269">
        <v>45727</v>
      </c>
      <c r="N84" s="431" t="s">
        <v>632</v>
      </c>
      <c r="O84" s="269">
        <v>46008</v>
      </c>
    </row>
    <row r="85" spans="1:15" s="53" customFormat="1" ht="15.75" x14ac:dyDescent="0.25">
      <c r="A85" s="49">
        <v>3520</v>
      </c>
      <c r="B85" s="98" t="s">
        <v>225</v>
      </c>
      <c r="C85" s="56">
        <v>1011.4</v>
      </c>
      <c r="D85" s="57" t="s">
        <v>16</v>
      </c>
      <c r="E85" s="58">
        <f t="shared" si="3"/>
        <v>252.85</v>
      </c>
      <c r="F85" s="95"/>
      <c r="G85" s="58">
        <f t="shared" si="4"/>
        <v>252.85</v>
      </c>
      <c r="H85" s="96">
        <v>5665362</v>
      </c>
      <c r="I85" s="96" t="s">
        <v>226</v>
      </c>
      <c r="J85" s="98" t="s">
        <v>36</v>
      </c>
      <c r="K85" s="52" t="s">
        <v>37</v>
      </c>
      <c r="L85" s="97"/>
      <c r="M85" s="174"/>
      <c r="N85" s="150"/>
    </row>
    <row r="86" spans="1:15" s="53" customFormat="1" ht="15.75" x14ac:dyDescent="0.25">
      <c r="A86" s="49">
        <v>3521</v>
      </c>
      <c r="B86" s="98" t="s">
        <v>227</v>
      </c>
      <c r="C86" s="56">
        <v>3661.1</v>
      </c>
      <c r="D86" s="57" t="s">
        <v>16</v>
      </c>
      <c r="E86" s="58">
        <f t="shared" si="3"/>
        <v>915.27499999999998</v>
      </c>
      <c r="F86" s="95"/>
      <c r="G86" s="58">
        <f t="shared" si="4"/>
        <v>915.27499999999998</v>
      </c>
      <c r="H86" s="96">
        <v>7064553</v>
      </c>
      <c r="I86" s="96" t="s">
        <v>228</v>
      </c>
      <c r="J86" s="51" t="s">
        <v>40</v>
      </c>
      <c r="K86" s="52" t="s">
        <v>19</v>
      </c>
      <c r="L86" s="97"/>
      <c r="M86" s="26"/>
      <c r="N86" s="150"/>
    </row>
    <row r="87" spans="1:15" s="53" customFormat="1" ht="15.75" x14ac:dyDescent="0.25">
      <c r="A87" s="49">
        <v>3522</v>
      </c>
      <c r="B87" s="51" t="s">
        <v>229</v>
      </c>
      <c r="C87" s="56">
        <v>436.9</v>
      </c>
      <c r="D87" s="57" t="s">
        <v>16</v>
      </c>
      <c r="E87" s="58">
        <f t="shared" si="3"/>
        <v>109.22499999999999</v>
      </c>
      <c r="F87" s="58"/>
      <c r="G87" s="58">
        <f t="shared" si="4"/>
        <v>109.22499999999999</v>
      </c>
      <c r="H87" s="52">
        <v>11365191</v>
      </c>
      <c r="I87" s="52" t="s">
        <v>230</v>
      </c>
      <c r="J87" s="51" t="s">
        <v>36</v>
      </c>
      <c r="K87" s="52" t="s">
        <v>37</v>
      </c>
      <c r="L87" s="51"/>
      <c r="M87" s="364"/>
      <c r="N87" s="150"/>
    </row>
    <row r="88" spans="1:15" ht="15" customHeight="1" x14ac:dyDescent="0.25">
      <c r="A88" s="49">
        <v>3523</v>
      </c>
      <c r="B88" s="337" t="s">
        <v>551</v>
      </c>
      <c r="C88" s="81">
        <v>438</v>
      </c>
      <c r="D88" s="57" t="s">
        <v>16</v>
      </c>
      <c r="E88" s="58">
        <f t="shared" si="3"/>
        <v>109.5</v>
      </c>
      <c r="F88" s="58"/>
      <c r="G88" s="58">
        <f t="shared" si="4"/>
        <v>109.5</v>
      </c>
      <c r="H88" s="88">
        <v>9399193</v>
      </c>
      <c r="I88" s="360" t="s">
        <v>550</v>
      </c>
      <c r="J88" s="361" t="s">
        <v>373</v>
      </c>
      <c r="K88" s="361"/>
      <c r="L88" s="87" t="s">
        <v>549</v>
      </c>
      <c r="M88" s="395"/>
    </row>
    <row r="89" spans="1:15" ht="15.75" x14ac:dyDescent="0.25">
      <c r="A89" s="49">
        <v>3524</v>
      </c>
      <c r="B89" s="337" t="s">
        <v>548</v>
      </c>
      <c r="C89" s="81">
        <v>416.7</v>
      </c>
      <c r="D89" s="57" t="s">
        <v>16</v>
      </c>
      <c r="E89" s="58">
        <f t="shared" si="3"/>
        <v>104.175</v>
      </c>
      <c r="F89" s="58"/>
      <c r="G89" s="58">
        <f t="shared" si="4"/>
        <v>104.175</v>
      </c>
      <c r="H89" s="88">
        <v>1876659</v>
      </c>
      <c r="I89" s="360" t="s">
        <v>547</v>
      </c>
      <c r="J89" s="361" t="s">
        <v>40</v>
      </c>
      <c r="K89" s="361"/>
      <c r="L89" s="87" t="s">
        <v>546</v>
      </c>
      <c r="M89" s="395"/>
    </row>
    <row r="90" spans="1:15" ht="15.75" x14ac:dyDescent="0.25">
      <c r="A90" s="49">
        <v>3525</v>
      </c>
      <c r="B90" s="337" t="s">
        <v>545</v>
      </c>
      <c r="C90" s="81">
        <v>426.1</v>
      </c>
      <c r="D90" s="57" t="s">
        <v>16</v>
      </c>
      <c r="E90" s="58">
        <f t="shared" si="3"/>
        <v>106.52500000000001</v>
      </c>
      <c r="F90" s="58"/>
      <c r="G90" s="58">
        <f t="shared" si="4"/>
        <v>106.52500000000001</v>
      </c>
      <c r="H90" s="88">
        <v>1862864</v>
      </c>
      <c r="I90" s="360" t="s">
        <v>544</v>
      </c>
      <c r="J90" s="361" t="s">
        <v>40</v>
      </c>
      <c r="K90" s="361"/>
      <c r="L90" s="87" t="s">
        <v>543</v>
      </c>
      <c r="M90" s="395"/>
    </row>
    <row r="91" spans="1:15" ht="15.75" x14ac:dyDescent="0.25">
      <c r="A91" s="49">
        <v>3526</v>
      </c>
      <c r="B91" s="337" t="s">
        <v>542</v>
      </c>
      <c r="C91" s="363">
        <v>166</v>
      </c>
      <c r="D91" s="57" t="s">
        <v>16</v>
      </c>
      <c r="E91" s="58">
        <f t="shared" si="3"/>
        <v>41.5</v>
      </c>
      <c r="F91" s="58"/>
      <c r="G91" s="58">
        <f t="shared" si="4"/>
        <v>41.5</v>
      </c>
      <c r="H91" s="88">
        <v>5349102</v>
      </c>
      <c r="I91" s="360" t="s">
        <v>541</v>
      </c>
      <c r="J91" s="361" t="s">
        <v>503</v>
      </c>
      <c r="K91" s="361"/>
      <c r="L91" s="87" t="s">
        <v>540</v>
      </c>
      <c r="M91" s="395"/>
    </row>
    <row r="92" spans="1:15" ht="15.75" x14ac:dyDescent="0.25">
      <c r="A92" s="49">
        <v>3527</v>
      </c>
      <c r="B92" s="337" t="s">
        <v>539</v>
      </c>
      <c r="C92" s="81">
        <v>363.7</v>
      </c>
      <c r="D92" s="57" t="s">
        <v>16</v>
      </c>
      <c r="E92" s="58">
        <f t="shared" si="3"/>
        <v>90.924999999999997</v>
      </c>
      <c r="F92" s="58"/>
      <c r="G92" s="58">
        <f t="shared" si="4"/>
        <v>90.924999999999997</v>
      </c>
      <c r="H92" s="88">
        <v>6372265</v>
      </c>
      <c r="I92" s="360" t="s">
        <v>538</v>
      </c>
      <c r="J92" s="361" t="s">
        <v>40</v>
      </c>
      <c r="K92" s="361"/>
      <c r="L92" s="87" t="s">
        <v>537</v>
      </c>
      <c r="M92" s="395"/>
    </row>
    <row r="93" spans="1:15" s="227" customFormat="1" ht="15.75" x14ac:dyDescent="0.25">
      <c r="A93" s="138">
        <v>3528</v>
      </c>
      <c r="B93" s="351" t="s">
        <v>536</v>
      </c>
      <c r="C93" s="218">
        <v>418.3</v>
      </c>
      <c r="D93" s="141" t="s">
        <v>16</v>
      </c>
      <c r="E93" s="142">
        <f t="shared" si="3"/>
        <v>104.575</v>
      </c>
      <c r="F93" s="142">
        <f>104.5+0.075</f>
        <v>104.575</v>
      </c>
      <c r="G93" s="142">
        <f t="shared" si="4"/>
        <v>0</v>
      </c>
      <c r="H93" s="143">
        <v>28605923</v>
      </c>
      <c r="I93" s="366" t="s">
        <v>425</v>
      </c>
      <c r="J93" s="367" t="s">
        <v>40</v>
      </c>
      <c r="K93" s="367"/>
      <c r="L93" s="139" t="s">
        <v>424</v>
      </c>
      <c r="M93" s="343" t="s">
        <v>561</v>
      </c>
      <c r="N93" s="269">
        <v>46008</v>
      </c>
    </row>
    <row r="94" spans="1:15" ht="15.75" x14ac:dyDescent="0.25">
      <c r="A94" s="49">
        <v>3529</v>
      </c>
      <c r="B94" s="337" t="s">
        <v>535</v>
      </c>
      <c r="C94" s="81">
        <v>420.3</v>
      </c>
      <c r="D94" s="57" t="s">
        <v>16</v>
      </c>
      <c r="E94" s="58">
        <f t="shared" si="3"/>
        <v>105.075</v>
      </c>
      <c r="F94" s="58"/>
      <c r="G94" s="58">
        <f t="shared" si="4"/>
        <v>105.075</v>
      </c>
      <c r="H94" s="88">
        <v>4702777</v>
      </c>
      <c r="I94" s="360" t="s">
        <v>534</v>
      </c>
      <c r="J94" s="361" t="s">
        <v>40</v>
      </c>
      <c r="K94" s="361"/>
      <c r="L94" s="87" t="s">
        <v>533</v>
      </c>
      <c r="M94" s="395"/>
    </row>
    <row r="95" spans="1:15" ht="15.75" x14ac:dyDescent="0.25">
      <c r="A95" s="49">
        <v>3530</v>
      </c>
      <c r="B95" s="337" t="s">
        <v>532</v>
      </c>
      <c r="C95" s="81">
        <v>290.2</v>
      </c>
      <c r="D95" s="57" t="s">
        <v>16</v>
      </c>
      <c r="E95" s="58">
        <f t="shared" si="3"/>
        <v>72.55</v>
      </c>
      <c r="F95" s="58"/>
      <c r="G95" s="58">
        <f t="shared" si="4"/>
        <v>72.55</v>
      </c>
      <c r="H95" s="88">
        <v>1163821</v>
      </c>
      <c r="I95" s="360" t="s">
        <v>531</v>
      </c>
      <c r="J95" s="361" t="s">
        <v>36</v>
      </c>
      <c r="K95" s="361"/>
      <c r="L95" s="87" t="s">
        <v>530</v>
      </c>
      <c r="M95" s="395"/>
    </row>
    <row r="96" spans="1:15" s="227" customFormat="1" ht="15.75" x14ac:dyDescent="0.25">
      <c r="A96" s="138">
        <v>3531</v>
      </c>
      <c r="B96" s="351" t="s">
        <v>529</v>
      </c>
      <c r="C96" s="221">
        <v>397</v>
      </c>
      <c r="D96" s="141" t="s">
        <v>16</v>
      </c>
      <c r="E96" s="142">
        <f t="shared" si="3"/>
        <v>99.25</v>
      </c>
      <c r="F96" s="142">
        <f>98.55+0.7</f>
        <v>99.25</v>
      </c>
      <c r="G96" s="142">
        <f t="shared" si="4"/>
        <v>0</v>
      </c>
      <c r="H96" s="143">
        <v>23661829</v>
      </c>
      <c r="I96" s="366" t="s">
        <v>528</v>
      </c>
      <c r="J96" s="367" t="s">
        <v>40</v>
      </c>
      <c r="K96" s="367"/>
      <c r="L96" s="139" t="s">
        <v>527</v>
      </c>
      <c r="M96" s="393">
        <v>45941</v>
      </c>
      <c r="N96" s="431" t="s">
        <v>660</v>
      </c>
    </row>
    <row r="97" spans="1:14" s="369" customFormat="1" ht="15.75" x14ac:dyDescent="0.25">
      <c r="A97" s="138">
        <v>3532</v>
      </c>
      <c r="B97" s="351" t="s">
        <v>526</v>
      </c>
      <c r="C97" s="218">
        <v>404.9</v>
      </c>
      <c r="D97" s="141" t="s">
        <v>16</v>
      </c>
      <c r="E97" s="142">
        <f t="shared" si="3"/>
        <v>101.22499999999999</v>
      </c>
      <c r="F97" s="142">
        <f>E97</f>
        <v>101.22499999999999</v>
      </c>
      <c r="G97" s="142">
        <f t="shared" si="4"/>
        <v>0</v>
      </c>
      <c r="H97" s="143">
        <v>26301042</v>
      </c>
      <c r="I97" s="366" t="s">
        <v>525</v>
      </c>
      <c r="J97" s="367" t="s">
        <v>36</v>
      </c>
      <c r="K97" s="367"/>
      <c r="L97" s="139" t="s">
        <v>524</v>
      </c>
      <c r="M97" s="396" t="s">
        <v>663</v>
      </c>
      <c r="N97" s="268"/>
    </row>
    <row r="98" spans="1:14" s="41" customFormat="1" ht="15.75" x14ac:dyDescent="0.25">
      <c r="A98" s="49">
        <v>3533</v>
      </c>
      <c r="B98" s="337" t="s">
        <v>523</v>
      </c>
      <c r="C98" s="81">
        <v>420.9</v>
      </c>
      <c r="D98" s="57" t="s">
        <v>16</v>
      </c>
      <c r="E98" s="58">
        <f t="shared" si="3"/>
        <v>105.22499999999999</v>
      </c>
      <c r="F98" s="58"/>
      <c r="G98" s="58">
        <f t="shared" si="4"/>
        <v>105.22499999999999</v>
      </c>
      <c r="H98" s="88">
        <v>22979942</v>
      </c>
      <c r="I98" s="360" t="s">
        <v>522</v>
      </c>
      <c r="J98" s="361" t="s">
        <v>40</v>
      </c>
      <c r="K98" s="361"/>
      <c r="L98" s="87" t="s">
        <v>521</v>
      </c>
      <c r="M98" s="395"/>
      <c r="N98" s="159"/>
    </row>
    <row r="99" spans="1:14" s="369" customFormat="1" ht="15.75" x14ac:dyDescent="0.25">
      <c r="A99" s="138">
        <v>3534</v>
      </c>
      <c r="B99" s="351" t="s">
        <v>520</v>
      </c>
      <c r="C99" s="221">
        <v>421</v>
      </c>
      <c r="D99" s="141" t="s">
        <v>16</v>
      </c>
      <c r="E99" s="142">
        <f t="shared" si="3"/>
        <v>105.25</v>
      </c>
      <c r="F99" s="142">
        <f>102.2+3.05</f>
        <v>105.25</v>
      </c>
      <c r="G99" s="142">
        <f t="shared" si="4"/>
        <v>0</v>
      </c>
      <c r="H99" s="143">
        <v>14897254</v>
      </c>
      <c r="I99" s="366" t="s">
        <v>519</v>
      </c>
      <c r="J99" s="367" t="s">
        <v>40</v>
      </c>
      <c r="K99" s="367"/>
      <c r="L99" s="139" t="s">
        <v>518</v>
      </c>
      <c r="M99" s="393">
        <v>45941</v>
      </c>
      <c r="N99" s="431" t="s">
        <v>660</v>
      </c>
    </row>
    <row r="100" spans="1:14" s="369" customFormat="1" ht="15.75" x14ac:dyDescent="0.25">
      <c r="A100" s="138">
        <v>3536</v>
      </c>
      <c r="B100" s="351" t="s">
        <v>517</v>
      </c>
      <c r="C100" s="218">
        <v>406.7</v>
      </c>
      <c r="D100" s="141" t="s">
        <v>16</v>
      </c>
      <c r="E100" s="142">
        <f t="shared" ref="E100:E131" si="5">C100*D100</f>
        <v>101.675</v>
      </c>
      <c r="F100" s="142">
        <f>99.75+1.925</f>
        <v>101.675</v>
      </c>
      <c r="G100" s="142">
        <f t="shared" si="4"/>
        <v>0</v>
      </c>
      <c r="H100" s="143">
        <v>19548147</v>
      </c>
      <c r="I100" s="366" t="s">
        <v>516</v>
      </c>
      <c r="J100" s="367" t="s">
        <v>36</v>
      </c>
      <c r="K100" s="367"/>
      <c r="L100" s="139" t="s">
        <v>515</v>
      </c>
      <c r="M100" s="343" t="s">
        <v>558</v>
      </c>
      <c r="N100" s="199">
        <v>45973</v>
      </c>
    </row>
    <row r="101" spans="1:14" s="41" customFormat="1" ht="15.75" x14ac:dyDescent="0.25">
      <c r="A101" s="138">
        <v>3537</v>
      </c>
      <c r="B101" s="351" t="s">
        <v>514</v>
      </c>
      <c r="C101" s="218">
        <v>299.2</v>
      </c>
      <c r="D101" s="141" t="s">
        <v>16</v>
      </c>
      <c r="E101" s="142">
        <f t="shared" si="5"/>
        <v>74.8</v>
      </c>
      <c r="F101" s="142">
        <f>71.25+3.55</f>
        <v>74.8</v>
      </c>
      <c r="G101" s="142">
        <f t="shared" si="4"/>
        <v>0</v>
      </c>
      <c r="H101" s="143">
        <v>6104979</v>
      </c>
      <c r="I101" s="366" t="s">
        <v>513</v>
      </c>
      <c r="J101" s="367" t="s">
        <v>40</v>
      </c>
      <c r="K101" s="367"/>
      <c r="L101" s="139" t="s">
        <v>512</v>
      </c>
      <c r="M101" s="343" t="s">
        <v>561</v>
      </c>
      <c r="N101" s="396" t="s">
        <v>665</v>
      </c>
    </row>
    <row r="102" spans="1:14" s="369" customFormat="1" ht="15.75" x14ac:dyDescent="0.25">
      <c r="A102" s="138">
        <v>3538</v>
      </c>
      <c r="B102" s="351" t="s">
        <v>511</v>
      </c>
      <c r="C102" s="218">
        <v>421.7</v>
      </c>
      <c r="D102" s="141" t="s">
        <v>16</v>
      </c>
      <c r="E102" s="142">
        <f t="shared" si="5"/>
        <v>105.425</v>
      </c>
      <c r="F102" s="142">
        <f>102.2+3.225</f>
        <v>105.425</v>
      </c>
      <c r="G102" s="142">
        <f t="shared" si="4"/>
        <v>0</v>
      </c>
      <c r="H102" s="143">
        <v>14897235</v>
      </c>
      <c r="I102" s="366" t="s">
        <v>510</v>
      </c>
      <c r="J102" s="367" t="s">
        <v>40</v>
      </c>
      <c r="K102" s="367"/>
      <c r="L102" s="139" t="s">
        <v>509</v>
      </c>
      <c r="M102" s="393">
        <v>45941</v>
      </c>
      <c r="N102" s="431" t="s">
        <v>660</v>
      </c>
    </row>
    <row r="103" spans="1:14" s="41" customFormat="1" ht="15.75" x14ac:dyDescent="0.25">
      <c r="A103" s="49">
        <v>3539</v>
      </c>
      <c r="B103" s="337" t="s">
        <v>508</v>
      </c>
      <c r="C103" s="81">
        <v>390.7</v>
      </c>
      <c r="D103" s="57" t="s">
        <v>16</v>
      </c>
      <c r="E103" s="58">
        <f t="shared" si="5"/>
        <v>97.674999999999997</v>
      </c>
      <c r="F103" s="58"/>
      <c r="G103" s="58">
        <f t="shared" si="4"/>
        <v>97.674999999999997</v>
      </c>
      <c r="H103" s="88">
        <v>11314114</v>
      </c>
      <c r="I103" s="360" t="s">
        <v>507</v>
      </c>
      <c r="J103" s="361" t="s">
        <v>40</v>
      </c>
      <c r="K103" s="361"/>
      <c r="L103" s="87" t="s">
        <v>506</v>
      </c>
      <c r="M103" s="395"/>
      <c r="N103" s="159"/>
    </row>
    <row r="104" spans="1:14" s="41" customFormat="1" ht="15.75" x14ac:dyDescent="0.25">
      <c r="A104" s="49">
        <v>3540</v>
      </c>
      <c r="B104" s="337" t="s">
        <v>505</v>
      </c>
      <c r="C104" s="81">
        <v>380.3</v>
      </c>
      <c r="D104" s="57" t="s">
        <v>16</v>
      </c>
      <c r="E104" s="58">
        <f t="shared" si="5"/>
        <v>95.075000000000003</v>
      </c>
      <c r="F104" s="58"/>
      <c r="G104" s="58">
        <f t="shared" si="4"/>
        <v>95.075000000000003</v>
      </c>
      <c r="H104" s="88">
        <v>6787729</v>
      </c>
      <c r="I104" s="360" t="s">
        <v>504</v>
      </c>
      <c r="J104" s="361" t="s">
        <v>503</v>
      </c>
      <c r="K104" s="361"/>
      <c r="L104" s="87" t="s">
        <v>502</v>
      </c>
      <c r="M104" s="395"/>
      <c r="N104" s="159"/>
    </row>
    <row r="105" spans="1:14" s="41" customFormat="1" ht="15.75" x14ac:dyDescent="0.25">
      <c r="A105" s="49">
        <v>3541</v>
      </c>
      <c r="B105" s="337" t="s">
        <v>501</v>
      </c>
      <c r="C105" s="81">
        <v>346.2</v>
      </c>
      <c r="D105" s="57" t="s">
        <v>16</v>
      </c>
      <c r="E105" s="58">
        <f t="shared" si="5"/>
        <v>86.55</v>
      </c>
      <c r="F105" s="58"/>
      <c r="G105" s="58">
        <f t="shared" si="4"/>
        <v>86.55</v>
      </c>
      <c r="H105" s="88">
        <v>19520814</v>
      </c>
      <c r="I105" s="360" t="s">
        <v>500</v>
      </c>
      <c r="J105" s="361" t="s">
        <v>88</v>
      </c>
      <c r="K105" s="361"/>
      <c r="L105" s="87" t="s">
        <v>499</v>
      </c>
      <c r="M105" s="395"/>
      <c r="N105" s="159"/>
    </row>
    <row r="106" spans="1:14" s="369" customFormat="1" ht="15.75" x14ac:dyDescent="0.25">
      <c r="A106" s="138">
        <v>3542</v>
      </c>
      <c r="B106" s="351" t="s">
        <v>498</v>
      </c>
      <c r="C106" s="218">
        <v>389.8</v>
      </c>
      <c r="D106" s="141" t="s">
        <v>16</v>
      </c>
      <c r="E106" s="142">
        <f t="shared" si="5"/>
        <v>97.45</v>
      </c>
      <c r="F106" s="142">
        <f>95+2.45</f>
        <v>97.45</v>
      </c>
      <c r="G106" s="142">
        <f t="shared" si="4"/>
        <v>0</v>
      </c>
      <c r="H106" s="143">
        <v>5247401</v>
      </c>
      <c r="I106" s="366" t="s">
        <v>497</v>
      </c>
      <c r="J106" s="367" t="s">
        <v>83</v>
      </c>
      <c r="K106" s="367"/>
      <c r="L106" s="139" t="s">
        <v>496</v>
      </c>
      <c r="M106" s="396">
        <v>45788</v>
      </c>
      <c r="N106" s="431" t="s">
        <v>632</v>
      </c>
    </row>
    <row r="107" spans="1:14" s="41" customFormat="1" ht="15.75" x14ac:dyDescent="0.25">
      <c r="A107" s="49">
        <v>3543</v>
      </c>
      <c r="B107" s="337" t="s">
        <v>495</v>
      </c>
      <c r="C107" s="363">
        <v>391</v>
      </c>
      <c r="D107" s="57" t="s">
        <v>16</v>
      </c>
      <c r="E107" s="58">
        <f t="shared" si="5"/>
        <v>97.75</v>
      </c>
      <c r="F107" s="58"/>
      <c r="G107" s="58">
        <f t="shared" si="4"/>
        <v>97.75</v>
      </c>
      <c r="H107" s="88">
        <v>21104469</v>
      </c>
      <c r="I107" s="360" t="s">
        <v>494</v>
      </c>
      <c r="J107" s="361" t="s">
        <v>40</v>
      </c>
      <c r="K107" s="361"/>
      <c r="L107" s="87" t="s">
        <v>493</v>
      </c>
      <c r="M107" s="395"/>
      <c r="N107" s="159"/>
    </row>
    <row r="108" spans="1:14" s="41" customFormat="1" ht="15.75" x14ac:dyDescent="0.25">
      <c r="A108" s="49">
        <v>3544</v>
      </c>
      <c r="B108" s="337" t="s">
        <v>492</v>
      </c>
      <c r="C108" s="81">
        <v>321.7</v>
      </c>
      <c r="D108" s="57" t="s">
        <v>16</v>
      </c>
      <c r="E108" s="58">
        <f t="shared" si="5"/>
        <v>80.424999999999997</v>
      </c>
      <c r="F108" s="58"/>
      <c r="G108" s="58">
        <f t="shared" si="4"/>
        <v>80.424999999999997</v>
      </c>
      <c r="H108" s="88">
        <v>2548974</v>
      </c>
      <c r="I108" s="360" t="s">
        <v>491</v>
      </c>
      <c r="J108" s="361" t="s">
        <v>36</v>
      </c>
      <c r="K108" s="361"/>
      <c r="L108" s="87" t="s">
        <v>490</v>
      </c>
      <c r="M108" s="395"/>
      <c r="N108" s="159"/>
    </row>
    <row r="109" spans="1:14" s="41" customFormat="1" ht="15.75" x14ac:dyDescent="0.25">
      <c r="A109" s="49">
        <v>3545</v>
      </c>
      <c r="B109" s="337" t="s">
        <v>489</v>
      </c>
      <c r="C109" s="81">
        <v>145.30000000000001</v>
      </c>
      <c r="D109" s="57" t="s">
        <v>16</v>
      </c>
      <c r="E109" s="58">
        <f t="shared" si="5"/>
        <v>36.325000000000003</v>
      </c>
      <c r="F109" s="58"/>
      <c r="G109" s="58">
        <f t="shared" si="4"/>
        <v>36.325000000000003</v>
      </c>
      <c r="H109" s="88">
        <v>7287174</v>
      </c>
      <c r="I109" s="360" t="s">
        <v>488</v>
      </c>
      <c r="J109" s="361" t="s">
        <v>36</v>
      </c>
      <c r="K109" s="361"/>
      <c r="L109" s="87" t="s">
        <v>487</v>
      </c>
      <c r="M109" s="395"/>
      <c r="N109" s="159"/>
    </row>
    <row r="110" spans="1:14" s="41" customFormat="1" ht="15.75" x14ac:dyDescent="0.25">
      <c r="A110" s="49">
        <v>3546</v>
      </c>
      <c r="B110" s="337" t="s">
        <v>486</v>
      </c>
      <c r="C110" s="81">
        <v>254.5</v>
      </c>
      <c r="D110" s="57" t="s">
        <v>16</v>
      </c>
      <c r="E110" s="58">
        <f t="shared" si="5"/>
        <v>63.625</v>
      </c>
      <c r="F110" s="58"/>
      <c r="G110" s="58">
        <f t="shared" si="4"/>
        <v>63.625</v>
      </c>
      <c r="H110" s="88">
        <v>6116507</v>
      </c>
      <c r="I110" s="360" t="s">
        <v>485</v>
      </c>
      <c r="J110" s="361" t="s">
        <v>40</v>
      </c>
      <c r="K110" s="361"/>
      <c r="L110" s="87" t="s">
        <v>484</v>
      </c>
      <c r="M110" s="395"/>
      <c r="N110" s="159"/>
    </row>
    <row r="111" spans="1:14" s="41" customFormat="1" ht="15.75" x14ac:dyDescent="0.25">
      <c r="A111" s="49">
        <v>3547</v>
      </c>
      <c r="B111" s="337" t="s">
        <v>483</v>
      </c>
      <c r="C111" s="81">
        <v>387.6</v>
      </c>
      <c r="D111" s="57" t="s">
        <v>16</v>
      </c>
      <c r="E111" s="58">
        <f t="shared" si="5"/>
        <v>96.9</v>
      </c>
      <c r="F111" s="58"/>
      <c r="G111" s="58">
        <f t="shared" si="4"/>
        <v>96.9</v>
      </c>
      <c r="H111" s="88">
        <v>22745262</v>
      </c>
      <c r="I111" s="360" t="s">
        <v>482</v>
      </c>
      <c r="J111" s="361" t="s">
        <v>40</v>
      </c>
      <c r="K111" s="361"/>
      <c r="L111" s="87" t="s">
        <v>481</v>
      </c>
      <c r="M111" s="395"/>
      <c r="N111" s="159"/>
    </row>
    <row r="112" spans="1:14" s="369" customFormat="1" ht="15.75" x14ac:dyDescent="0.25">
      <c r="A112" s="138">
        <v>3548</v>
      </c>
      <c r="B112" s="351" t="s">
        <v>480</v>
      </c>
      <c r="C112" s="218">
        <v>399.5</v>
      </c>
      <c r="D112" s="141" t="s">
        <v>16</v>
      </c>
      <c r="E112" s="142">
        <f t="shared" si="5"/>
        <v>99.875</v>
      </c>
      <c r="F112" s="142">
        <f>E112</f>
        <v>99.875</v>
      </c>
      <c r="G112" s="142">
        <f t="shared" si="4"/>
        <v>0</v>
      </c>
      <c r="H112" s="143">
        <v>15107731</v>
      </c>
      <c r="I112" s="366" t="s">
        <v>479</v>
      </c>
      <c r="J112" s="367" t="s">
        <v>40</v>
      </c>
      <c r="K112" s="367"/>
      <c r="L112" s="139" t="s">
        <v>478</v>
      </c>
      <c r="M112" s="343" t="s">
        <v>632</v>
      </c>
      <c r="N112" s="268"/>
    </row>
    <row r="113" spans="1:14" s="369" customFormat="1" ht="15.75" x14ac:dyDescent="0.25">
      <c r="A113" s="138">
        <v>3549</v>
      </c>
      <c r="B113" s="351" t="s">
        <v>477</v>
      </c>
      <c r="C113" s="218">
        <v>407.9</v>
      </c>
      <c r="D113" s="141" t="s">
        <v>16</v>
      </c>
      <c r="E113" s="142">
        <f t="shared" si="5"/>
        <v>101.97499999999999</v>
      </c>
      <c r="F113" s="142">
        <f>98.55+3.425</f>
        <v>101.97499999999999</v>
      </c>
      <c r="G113" s="142">
        <f t="shared" si="4"/>
        <v>0</v>
      </c>
      <c r="H113" s="143">
        <v>24895713</v>
      </c>
      <c r="I113" s="366" t="s">
        <v>476</v>
      </c>
      <c r="J113" s="367" t="s">
        <v>40</v>
      </c>
      <c r="K113" s="367"/>
      <c r="L113" s="139" t="s">
        <v>475</v>
      </c>
      <c r="M113" s="396">
        <v>45942</v>
      </c>
      <c r="N113" s="396" t="s">
        <v>665</v>
      </c>
    </row>
    <row r="114" spans="1:14" s="41" customFormat="1" ht="15.75" x14ac:dyDescent="0.25">
      <c r="A114" s="49">
        <v>3550</v>
      </c>
      <c r="B114" s="337" t="s">
        <v>474</v>
      </c>
      <c r="C114" s="81">
        <v>251.8</v>
      </c>
      <c r="D114" s="57" t="s">
        <v>16</v>
      </c>
      <c r="E114" s="58">
        <f t="shared" si="5"/>
        <v>62.95</v>
      </c>
      <c r="F114" s="58"/>
      <c r="G114" s="58">
        <f t="shared" si="4"/>
        <v>62.95</v>
      </c>
      <c r="H114" s="88">
        <v>5614642</v>
      </c>
      <c r="I114" s="360" t="s">
        <v>473</v>
      </c>
      <c r="J114" s="361" t="s">
        <v>40</v>
      </c>
      <c r="K114" s="361"/>
      <c r="L114" s="87" t="s">
        <v>472</v>
      </c>
      <c r="M114" s="395"/>
      <c r="N114" s="159"/>
    </row>
    <row r="115" spans="1:14" s="369" customFormat="1" ht="15.75" x14ac:dyDescent="0.25">
      <c r="A115" s="138">
        <v>3551</v>
      </c>
      <c r="B115" s="351" t="s">
        <v>471</v>
      </c>
      <c r="C115" s="218">
        <v>336.7</v>
      </c>
      <c r="D115" s="141" t="s">
        <v>16</v>
      </c>
      <c r="E115" s="142">
        <f t="shared" si="5"/>
        <v>84.174999999999997</v>
      </c>
      <c r="F115" s="142">
        <f>E115</f>
        <v>84.174999999999997</v>
      </c>
      <c r="G115" s="142">
        <f t="shared" si="4"/>
        <v>0</v>
      </c>
      <c r="H115" s="143">
        <v>14967862</v>
      </c>
      <c r="I115" s="366" t="s">
        <v>470</v>
      </c>
      <c r="J115" s="367" t="s">
        <v>40</v>
      </c>
      <c r="K115" s="367"/>
      <c r="L115" s="139" t="s">
        <v>469</v>
      </c>
      <c r="M115" s="343" t="s">
        <v>632</v>
      </c>
      <c r="N115" s="268"/>
    </row>
    <row r="116" spans="1:14" s="41" customFormat="1" ht="15.75" x14ac:dyDescent="0.25">
      <c r="A116" s="49">
        <v>3552</v>
      </c>
      <c r="B116" s="337" t="s">
        <v>468</v>
      </c>
      <c r="C116" s="81">
        <v>322.60000000000002</v>
      </c>
      <c r="D116" s="57" t="s">
        <v>16</v>
      </c>
      <c r="E116" s="58">
        <f t="shared" si="5"/>
        <v>80.650000000000006</v>
      </c>
      <c r="F116" s="58"/>
      <c r="G116" s="58">
        <f t="shared" si="4"/>
        <v>80.650000000000006</v>
      </c>
      <c r="H116" s="88">
        <v>5818311</v>
      </c>
      <c r="I116" s="360" t="s">
        <v>467</v>
      </c>
      <c r="J116" s="361" t="s">
        <v>40</v>
      </c>
      <c r="K116" s="361"/>
      <c r="L116" s="87" t="s">
        <v>466</v>
      </c>
      <c r="M116" s="395"/>
      <c r="N116" s="159"/>
    </row>
    <row r="117" spans="1:14" s="41" customFormat="1" ht="15.75" x14ac:dyDescent="0.25">
      <c r="A117" s="49">
        <v>3553</v>
      </c>
      <c r="B117" s="337" t="s">
        <v>465</v>
      </c>
      <c r="C117" s="363">
        <v>380</v>
      </c>
      <c r="D117" s="57" t="s">
        <v>16</v>
      </c>
      <c r="E117" s="58">
        <f t="shared" si="5"/>
        <v>95</v>
      </c>
      <c r="F117" s="58"/>
      <c r="G117" s="58">
        <f t="shared" si="4"/>
        <v>95</v>
      </c>
      <c r="H117" s="88">
        <v>25909199</v>
      </c>
      <c r="I117" s="360" t="s">
        <v>464</v>
      </c>
      <c r="J117" s="361" t="s">
        <v>36</v>
      </c>
      <c r="K117" s="361"/>
      <c r="L117" s="87" t="s">
        <v>463</v>
      </c>
      <c r="M117" s="395"/>
      <c r="N117" s="159"/>
    </row>
    <row r="118" spans="1:14" s="41" customFormat="1" ht="15.75" x14ac:dyDescent="0.25">
      <c r="A118" s="49">
        <v>3554</v>
      </c>
      <c r="B118" s="337" t="s">
        <v>462</v>
      </c>
      <c r="C118" s="81">
        <v>374.2</v>
      </c>
      <c r="D118" s="57" t="s">
        <v>16</v>
      </c>
      <c r="E118" s="58">
        <f t="shared" si="5"/>
        <v>93.55</v>
      </c>
      <c r="F118" s="58"/>
      <c r="G118" s="58">
        <f t="shared" si="4"/>
        <v>93.55</v>
      </c>
      <c r="H118" s="88">
        <v>5553803</v>
      </c>
      <c r="I118" s="360" t="s">
        <v>461</v>
      </c>
      <c r="J118" s="361" t="s">
        <v>40</v>
      </c>
      <c r="K118" s="361"/>
      <c r="L118" s="87" t="s">
        <v>460</v>
      </c>
      <c r="M118" s="395"/>
      <c r="N118" s="159"/>
    </row>
    <row r="119" spans="1:14" ht="15.75" x14ac:dyDescent="0.25">
      <c r="A119" s="49">
        <v>3555</v>
      </c>
      <c r="B119" s="337" t="s">
        <v>459</v>
      </c>
      <c r="C119" s="81">
        <v>365.1</v>
      </c>
      <c r="D119" s="57" t="s">
        <v>16</v>
      </c>
      <c r="E119" s="58">
        <f t="shared" si="5"/>
        <v>91.275000000000006</v>
      </c>
      <c r="F119" s="58"/>
      <c r="G119" s="58">
        <f t="shared" si="4"/>
        <v>91.275000000000006</v>
      </c>
      <c r="H119" s="88">
        <v>4862996</v>
      </c>
      <c r="I119" s="360" t="s">
        <v>458</v>
      </c>
      <c r="J119" s="361" t="s">
        <v>40</v>
      </c>
      <c r="K119" s="361"/>
      <c r="L119" s="87" t="s">
        <v>457</v>
      </c>
      <c r="M119" s="395"/>
    </row>
    <row r="120" spans="1:14" s="227" customFormat="1" ht="15.75" x14ac:dyDescent="0.25">
      <c r="A120" s="138">
        <v>3556</v>
      </c>
      <c r="B120" s="351" t="s">
        <v>456</v>
      </c>
      <c r="C120" s="218">
        <v>325.2</v>
      </c>
      <c r="D120" s="141" t="s">
        <v>16</v>
      </c>
      <c r="E120" s="142">
        <f t="shared" si="5"/>
        <v>81.3</v>
      </c>
      <c r="F120" s="142">
        <f>79.2+2.1</f>
        <v>81.3</v>
      </c>
      <c r="G120" s="142">
        <f t="shared" si="4"/>
        <v>0</v>
      </c>
      <c r="H120" s="143">
        <v>6071399</v>
      </c>
      <c r="I120" s="366" t="s">
        <v>455</v>
      </c>
      <c r="J120" s="367" t="s">
        <v>40</v>
      </c>
      <c r="K120" s="367"/>
      <c r="L120" s="139" t="s">
        <v>454</v>
      </c>
      <c r="M120" s="343" t="s">
        <v>632</v>
      </c>
      <c r="N120" s="335" t="s">
        <v>659</v>
      </c>
    </row>
    <row r="121" spans="1:14" ht="15.75" x14ac:dyDescent="0.25">
      <c r="A121" s="49">
        <v>3557</v>
      </c>
      <c r="B121" s="337" t="s">
        <v>453</v>
      </c>
      <c r="C121" s="81">
        <v>49.5</v>
      </c>
      <c r="D121" s="57" t="s">
        <v>16</v>
      </c>
      <c r="E121" s="58">
        <f t="shared" si="5"/>
        <v>12.375</v>
      </c>
      <c r="F121" s="58"/>
      <c r="G121" s="58">
        <f t="shared" si="4"/>
        <v>12.375</v>
      </c>
      <c r="H121" s="88">
        <v>3560822</v>
      </c>
      <c r="I121" s="360" t="s">
        <v>452</v>
      </c>
      <c r="J121" s="361" t="s">
        <v>40</v>
      </c>
      <c r="K121" s="361"/>
      <c r="L121" s="87" t="s">
        <v>451</v>
      </c>
      <c r="M121" s="395"/>
    </row>
    <row r="122" spans="1:14" ht="15.75" x14ac:dyDescent="0.25">
      <c r="A122" s="49">
        <v>3558</v>
      </c>
      <c r="B122" s="337" t="s">
        <v>450</v>
      </c>
      <c r="C122" s="363">
        <v>172</v>
      </c>
      <c r="D122" s="57" t="s">
        <v>16</v>
      </c>
      <c r="E122" s="58">
        <f t="shared" si="5"/>
        <v>43</v>
      </c>
      <c r="F122" s="58"/>
      <c r="G122" s="58">
        <f t="shared" si="4"/>
        <v>43</v>
      </c>
      <c r="H122" s="88">
        <v>790841</v>
      </c>
      <c r="I122" s="360" t="s">
        <v>449</v>
      </c>
      <c r="J122" s="361" t="s">
        <v>36</v>
      </c>
      <c r="K122" s="361"/>
      <c r="L122" s="87" t="s">
        <v>448</v>
      </c>
      <c r="M122" s="395"/>
    </row>
    <row r="123" spans="1:14" ht="15.75" x14ac:dyDescent="0.25">
      <c r="A123" s="49">
        <v>3559</v>
      </c>
      <c r="B123" s="337" t="s">
        <v>447</v>
      </c>
      <c r="C123" s="81">
        <v>188.4</v>
      </c>
      <c r="D123" s="57" t="s">
        <v>16</v>
      </c>
      <c r="E123" s="58">
        <f t="shared" si="5"/>
        <v>47.1</v>
      </c>
      <c r="F123" s="58"/>
      <c r="G123" s="58">
        <f t="shared" si="4"/>
        <v>47.1</v>
      </c>
      <c r="H123" s="88">
        <v>14330314</v>
      </c>
      <c r="I123" s="360" t="s">
        <v>446</v>
      </c>
      <c r="J123" s="361" t="s">
        <v>83</v>
      </c>
      <c r="K123" s="361"/>
      <c r="L123" s="87" t="s">
        <v>445</v>
      </c>
      <c r="M123" s="395"/>
    </row>
    <row r="124" spans="1:14" ht="15.75" x14ac:dyDescent="0.25">
      <c r="A124" s="49">
        <v>3560</v>
      </c>
      <c r="B124" s="337" t="s">
        <v>444</v>
      </c>
      <c r="C124" s="81">
        <v>334.8</v>
      </c>
      <c r="D124" s="57" t="s">
        <v>16</v>
      </c>
      <c r="E124" s="58">
        <f t="shared" si="5"/>
        <v>83.7</v>
      </c>
      <c r="F124" s="58"/>
      <c r="G124" s="58">
        <f t="shared" si="4"/>
        <v>83.7</v>
      </c>
      <c r="H124" s="88">
        <v>1975929</v>
      </c>
      <c r="I124" s="360" t="s">
        <v>443</v>
      </c>
      <c r="J124" s="361" t="s">
        <v>40</v>
      </c>
      <c r="K124" s="361"/>
      <c r="L124" s="87">
        <v>99837335</v>
      </c>
      <c r="M124" s="395"/>
    </row>
    <row r="125" spans="1:14" ht="15.75" x14ac:dyDescent="0.25">
      <c r="A125" s="49">
        <v>3561</v>
      </c>
      <c r="B125" s="337" t="s">
        <v>442</v>
      </c>
      <c r="C125" s="81">
        <v>319.7</v>
      </c>
      <c r="D125" s="57" t="s">
        <v>16</v>
      </c>
      <c r="E125" s="58">
        <f t="shared" si="5"/>
        <v>79.924999999999997</v>
      </c>
      <c r="F125" s="58"/>
      <c r="G125" s="58">
        <f t="shared" si="4"/>
        <v>79.924999999999997</v>
      </c>
      <c r="H125" s="88">
        <v>1234226</v>
      </c>
      <c r="I125" s="360" t="s">
        <v>441</v>
      </c>
      <c r="J125" s="361" t="s">
        <v>373</v>
      </c>
      <c r="K125" s="361"/>
      <c r="L125" s="87" t="s">
        <v>440</v>
      </c>
      <c r="M125" s="395"/>
    </row>
    <row r="126" spans="1:14" ht="15.75" x14ac:dyDescent="0.25">
      <c r="A126" s="49">
        <v>3562</v>
      </c>
      <c r="B126" s="337" t="s">
        <v>439</v>
      </c>
      <c r="C126" s="81">
        <v>332.7</v>
      </c>
      <c r="D126" s="57" t="s">
        <v>16</v>
      </c>
      <c r="E126" s="58">
        <f t="shared" si="5"/>
        <v>83.174999999999997</v>
      </c>
      <c r="F126" s="58"/>
      <c r="G126" s="58">
        <f t="shared" si="4"/>
        <v>83.174999999999997</v>
      </c>
      <c r="H126" s="88">
        <v>14052914</v>
      </c>
      <c r="I126" s="360" t="s">
        <v>438</v>
      </c>
      <c r="J126" s="361" t="s">
        <v>437</v>
      </c>
      <c r="K126" s="361"/>
      <c r="L126" s="87" t="s">
        <v>436</v>
      </c>
      <c r="M126" s="395"/>
    </row>
    <row r="127" spans="1:14" ht="15.75" x14ac:dyDescent="0.25">
      <c r="A127" s="49">
        <v>3563</v>
      </c>
      <c r="B127" s="337" t="s">
        <v>435</v>
      </c>
      <c r="C127" s="81">
        <v>332.3</v>
      </c>
      <c r="D127" s="57" t="s">
        <v>16</v>
      </c>
      <c r="E127" s="58">
        <f t="shared" si="5"/>
        <v>83.075000000000003</v>
      </c>
      <c r="F127" s="58"/>
      <c r="G127" s="58">
        <f t="shared" si="4"/>
        <v>83.075000000000003</v>
      </c>
      <c r="H127" s="88">
        <v>14453238</v>
      </c>
      <c r="I127" s="360" t="s">
        <v>434</v>
      </c>
      <c r="J127" s="361" t="s">
        <v>40</v>
      </c>
      <c r="K127" s="361"/>
      <c r="L127" s="87" t="s">
        <v>433</v>
      </c>
      <c r="M127" s="395"/>
    </row>
    <row r="128" spans="1:14" ht="15.75" x14ac:dyDescent="0.25">
      <c r="A128" s="49">
        <v>3564</v>
      </c>
      <c r="B128" s="337" t="s">
        <v>432</v>
      </c>
      <c r="C128" s="81">
        <v>157.69999999999999</v>
      </c>
      <c r="D128" s="57" t="s">
        <v>16</v>
      </c>
      <c r="E128" s="58">
        <f t="shared" si="5"/>
        <v>39.424999999999997</v>
      </c>
      <c r="F128" s="58"/>
      <c r="G128" s="58">
        <f t="shared" si="4"/>
        <v>39.424999999999997</v>
      </c>
      <c r="H128" s="88">
        <v>323724</v>
      </c>
      <c r="I128" s="360" t="s">
        <v>431</v>
      </c>
      <c r="J128" s="361" t="s">
        <v>88</v>
      </c>
      <c r="K128" s="361"/>
      <c r="L128" s="87" t="s">
        <v>430</v>
      </c>
      <c r="M128" s="395"/>
    </row>
    <row r="129" spans="1:14" s="227" customFormat="1" ht="15.75" x14ac:dyDescent="0.25">
      <c r="A129" s="138">
        <v>3565</v>
      </c>
      <c r="B129" s="351" t="s">
        <v>429</v>
      </c>
      <c r="C129" s="221">
        <v>345</v>
      </c>
      <c r="D129" s="141" t="s">
        <v>16</v>
      </c>
      <c r="E129" s="142">
        <f t="shared" si="5"/>
        <v>86.25</v>
      </c>
      <c r="F129" s="142">
        <f>E129</f>
        <v>86.25</v>
      </c>
      <c r="G129" s="142">
        <f t="shared" si="4"/>
        <v>0</v>
      </c>
      <c r="H129" s="143">
        <v>19611872</v>
      </c>
      <c r="I129" s="366" t="s">
        <v>428</v>
      </c>
      <c r="J129" s="367" t="s">
        <v>40</v>
      </c>
      <c r="K129" s="367"/>
      <c r="L129" s="139" t="s">
        <v>427</v>
      </c>
      <c r="M129" s="431" t="s">
        <v>660</v>
      </c>
      <c r="N129" s="268"/>
    </row>
    <row r="130" spans="1:14" s="227" customFormat="1" ht="15.75" x14ac:dyDescent="0.25">
      <c r="A130" s="138">
        <v>3566</v>
      </c>
      <c r="B130" s="351" t="s">
        <v>426</v>
      </c>
      <c r="C130" s="218">
        <v>313.89999999999998</v>
      </c>
      <c r="D130" s="141" t="s">
        <v>16</v>
      </c>
      <c r="E130" s="142">
        <f t="shared" si="5"/>
        <v>78.474999999999994</v>
      </c>
      <c r="F130" s="142">
        <f>76+2.475</f>
        <v>78.474999999999994</v>
      </c>
      <c r="G130" s="142">
        <f t="shared" si="4"/>
        <v>0</v>
      </c>
      <c r="H130" s="143">
        <v>6664792</v>
      </c>
      <c r="I130" s="366" t="s">
        <v>425</v>
      </c>
      <c r="J130" s="367" t="s">
        <v>40</v>
      </c>
      <c r="K130" s="367"/>
      <c r="L130" s="139" t="s">
        <v>424</v>
      </c>
      <c r="M130" s="387" t="s">
        <v>561</v>
      </c>
      <c r="N130" s="269">
        <v>46008</v>
      </c>
    </row>
    <row r="131" spans="1:14" ht="15.75" x14ac:dyDescent="0.25">
      <c r="A131" s="49">
        <v>3567</v>
      </c>
      <c r="B131" s="337" t="s">
        <v>423</v>
      </c>
      <c r="C131" s="81">
        <v>305.5</v>
      </c>
      <c r="D131" s="57" t="s">
        <v>16</v>
      </c>
      <c r="E131" s="58">
        <f t="shared" si="5"/>
        <v>76.375</v>
      </c>
      <c r="F131" s="58"/>
      <c r="G131" s="58">
        <f t="shared" si="4"/>
        <v>76.375</v>
      </c>
      <c r="H131" s="88">
        <v>6825074</v>
      </c>
      <c r="I131" s="360" t="s">
        <v>422</v>
      </c>
      <c r="J131" s="361" t="s">
        <v>40</v>
      </c>
      <c r="K131" s="361"/>
      <c r="L131" s="87" t="s">
        <v>421</v>
      </c>
      <c r="M131" s="395"/>
    </row>
    <row r="132" spans="1:14" ht="15.75" x14ac:dyDescent="0.25">
      <c r="A132" s="49">
        <v>3568</v>
      </c>
      <c r="B132" s="337" t="s">
        <v>420</v>
      </c>
      <c r="C132" s="81">
        <v>295.5</v>
      </c>
      <c r="D132" s="57" t="s">
        <v>16</v>
      </c>
      <c r="E132" s="58">
        <f t="shared" ref="E132:E156" si="6">C132*D132</f>
        <v>73.875</v>
      </c>
      <c r="F132" s="58"/>
      <c r="G132" s="58">
        <f t="shared" si="4"/>
        <v>73.875</v>
      </c>
      <c r="H132" s="88">
        <v>5390889</v>
      </c>
      <c r="I132" s="360" t="s">
        <v>419</v>
      </c>
      <c r="J132" s="361" t="s">
        <v>40</v>
      </c>
      <c r="K132" s="361"/>
      <c r="L132" s="87" t="s">
        <v>416</v>
      </c>
      <c r="M132" s="395"/>
    </row>
    <row r="133" spans="1:14" ht="15.75" x14ac:dyDescent="0.25">
      <c r="A133" s="49">
        <v>3569</v>
      </c>
      <c r="B133" s="337" t="s">
        <v>418</v>
      </c>
      <c r="C133" s="81">
        <v>313.3</v>
      </c>
      <c r="D133" s="57" t="s">
        <v>16</v>
      </c>
      <c r="E133" s="58">
        <f t="shared" si="6"/>
        <v>78.325000000000003</v>
      </c>
      <c r="F133" s="58"/>
      <c r="G133" s="58">
        <f t="shared" ref="G133:G156" si="7">E133-F133</f>
        <v>78.325000000000003</v>
      </c>
      <c r="H133" s="88">
        <v>18628284</v>
      </c>
      <c r="I133" s="360" t="s">
        <v>417</v>
      </c>
      <c r="J133" s="361" t="s">
        <v>40</v>
      </c>
      <c r="K133" s="361"/>
      <c r="L133" s="87" t="s">
        <v>416</v>
      </c>
      <c r="M133" s="395"/>
    </row>
    <row r="134" spans="1:14" ht="15.75" x14ac:dyDescent="0.25">
      <c r="A134" s="49">
        <v>3570</v>
      </c>
      <c r="B134" s="337" t="s">
        <v>415</v>
      </c>
      <c r="C134" s="81">
        <v>286.3</v>
      </c>
      <c r="D134" s="57" t="s">
        <v>16</v>
      </c>
      <c r="E134" s="58">
        <f t="shared" si="6"/>
        <v>71.575000000000003</v>
      </c>
      <c r="F134" s="58"/>
      <c r="G134" s="58">
        <f t="shared" si="7"/>
        <v>71.575000000000003</v>
      </c>
      <c r="H134" s="88">
        <v>1932809</v>
      </c>
      <c r="I134" s="360" t="s">
        <v>414</v>
      </c>
      <c r="J134" s="361" t="s">
        <v>40</v>
      </c>
      <c r="K134" s="361"/>
      <c r="L134" s="87" t="s">
        <v>413</v>
      </c>
      <c r="M134" s="395"/>
    </row>
    <row r="135" spans="1:14" ht="15.75" x14ac:dyDescent="0.25">
      <c r="A135" s="49">
        <v>3571</v>
      </c>
      <c r="B135" s="337" t="s">
        <v>412</v>
      </c>
      <c r="C135" s="81">
        <v>254.2</v>
      </c>
      <c r="D135" s="57" t="s">
        <v>16</v>
      </c>
      <c r="E135" s="58">
        <f t="shared" si="6"/>
        <v>63.55</v>
      </c>
      <c r="F135" s="58"/>
      <c r="G135" s="58">
        <f t="shared" si="7"/>
        <v>63.55</v>
      </c>
      <c r="H135" s="88">
        <v>24329569</v>
      </c>
      <c r="I135" s="360" t="s">
        <v>411</v>
      </c>
      <c r="J135" s="361" t="s">
        <v>36</v>
      </c>
      <c r="K135" s="361"/>
      <c r="L135" s="87" t="s">
        <v>410</v>
      </c>
      <c r="M135" s="395"/>
    </row>
    <row r="136" spans="1:14" ht="15.75" x14ac:dyDescent="0.25">
      <c r="A136" s="49">
        <v>3572</v>
      </c>
      <c r="B136" s="337" t="s">
        <v>409</v>
      </c>
      <c r="C136" s="81">
        <v>295.2</v>
      </c>
      <c r="D136" s="57" t="s">
        <v>16</v>
      </c>
      <c r="E136" s="58">
        <f t="shared" si="6"/>
        <v>73.8</v>
      </c>
      <c r="F136" s="58"/>
      <c r="G136" s="58">
        <f t="shared" si="7"/>
        <v>73.8</v>
      </c>
      <c r="H136" s="88">
        <v>6160288</v>
      </c>
      <c r="I136" s="360" t="s">
        <v>408</v>
      </c>
      <c r="J136" s="361" t="s">
        <v>40</v>
      </c>
      <c r="K136" s="361"/>
      <c r="L136" s="87" t="s">
        <v>407</v>
      </c>
      <c r="M136" s="395"/>
    </row>
    <row r="137" spans="1:14" ht="15.75" x14ac:dyDescent="0.25">
      <c r="A137" s="49">
        <v>3573</v>
      </c>
      <c r="B137" s="337" t="s">
        <v>406</v>
      </c>
      <c r="C137" s="363">
        <v>60</v>
      </c>
      <c r="D137" s="57" t="s">
        <v>16</v>
      </c>
      <c r="E137" s="58">
        <f t="shared" si="6"/>
        <v>15</v>
      </c>
      <c r="F137" s="58"/>
      <c r="G137" s="58">
        <f t="shared" si="7"/>
        <v>15</v>
      </c>
      <c r="H137" s="88">
        <v>19827505</v>
      </c>
      <c r="I137" s="360" t="s">
        <v>405</v>
      </c>
      <c r="J137" s="361" t="s">
        <v>40</v>
      </c>
      <c r="K137" s="361"/>
      <c r="L137" s="87" t="s">
        <v>404</v>
      </c>
      <c r="M137" s="395"/>
    </row>
    <row r="138" spans="1:14" s="227" customFormat="1" ht="15.75" x14ac:dyDescent="0.25">
      <c r="A138" s="138">
        <v>3574</v>
      </c>
      <c r="B138" s="351" t="s">
        <v>403</v>
      </c>
      <c r="C138" s="218">
        <v>197.9</v>
      </c>
      <c r="D138" s="141" t="s">
        <v>16</v>
      </c>
      <c r="E138" s="142">
        <f t="shared" si="6"/>
        <v>49.475000000000001</v>
      </c>
      <c r="F138" s="142">
        <f>E138</f>
        <v>49.475000000000001</v>
      </c>
      <c r="G138" s="142">
        <f t="shared" si="7"/>
        <v>0</v>
      </c>
      <c r="H138" s="143">
        <v>24363459</v>
      </c>
      <c r="I138" s="366" t="s">
        <v>402</v>
      </c>
      <c r="J138" s="367" t="s">
        <v>36</v>
      </c>
      <c r="K138" s="367"/>
      <c r="L138" s="139" t="s">
        <v>401</v>
      </c>
      <c r="M138" s="431" t="s">
        <v>659</v>
      </c>
      <c r="N138" s="268"/>
    </row>
    <row r="139" spans="1:14" s="227" customFormat="1" ht="15.75" x14ac:dyDescent="0.25">
      <c r="A139" s="138">
        <v>3575</v>
      </c>
      <c r="B139" s="351" t="s">
        <v>400</v>
      </c>
      <c r="C139" s="218">
        <v>186.9</v>
      </c>
      <c r="D139" s="141" t="s">
        <v>16</v>
      </c>
      <c r="E139" s="142">
        <f t="shared" si="6"/>
        <v>46.725000000000001</v>
      </c>
      <c r="F139" s="142">
        <f>E139</f>
        <v>46.725000000000001</v>
      </c>
      <c r="G139" s="142">
        <f t="shared" si="7"/>
        <v>0</v>
      </c>
      <c r="H139" s="143">
        <v>22985669</v>
      </c>
      <c r="I139" s="366" t="s">
        <v>399</v>
      </c>
      <c r="J139" s="367" t="s">
        <v>40</v>
      </c>
      <c r="K139" s="367"/>
      <c r="L139" s="139" t="s">
        <v>398</v>
      </c>
      <c r="M139" s="431" t="s">
        <v>659</v>
      </c>
      <c r="N139" s="268"/>
    </row>
    <row r="140" spans="1:14" ht="15.75" x14ac:dyDescent="0.25">
      <c r="A140" s="49">
        <v>3576</v>
      </c>
      <c r="B140" s="337" t="s">
        <v>397</v>
      </c>
      <c r="C140" s="81">
        <v>152.6</v>
      </c>
      <c r="D140" s="57" t="s">
        <v>16</v>
      </c>
      <c r="E140" s="58">
        <f t="shared" si="6"/>
        <v>38.15</v>
      </c>
      <c r="F140" s="58"/>
      <c r="G140" s="58">
        <f t="shared" si="7"/>
        <v>38.15</v>
      </c>
      <c r="H140" s="88">
        <v>4631242</v>
      </c>
      <c r="I140" s="360" t="s">
        <v>396</v>
      </c>
      <c r="J140" s="361" t="s">
        <v>40</v>
      </c>
      <c r="K140" s="361"/>
      <c r="L140" s="87" t="s">
        <v>395</v>
      </c>
      <c r="M140" s="395"/>
    </row>
    <row r="141" spans="1:14" ht="15.75" x14ac:dyDescent="0.25">
      <c r="A141" s="49">
        <v>3577</v>
      </c>
      <c r="B141" s="337" t="s">
        <v>394</v>
      </c>
      <c r="C141" s="81">
        <v>286.39999999999998</v>
      </c>
      <c r="D141" s="57" t="s">
        <v>16</v>
      </c>
      <c r="E141" s="58">
        <f t="shared" si="6"/>
        <v>71.599999999999994</v>
      </c>
      <c r="F141" s="58"/>
      <c r="G141" s="58">
        <f t="shared" si="7"/>
        <v>71.599999999999994</v>
      </c>
      <c r="H141" s="88">
        <v>27770646</v>
      </c>
      <c r="I141" s="360" t="s">
        <v>393</v>
      </c>
      <c r="J141" s="361" t="s">
        <v>40</v>
      </c>
      <c r="K141" s="361"/>
      <c r="L141" s="87" t="s">
        <v>392</v>
      </c>
      <c r="M141" s="395"/>
    </row>
    <row r="142" spans="1:14" ht="15.75" x14ac:dyDescent="0.25">
      <c r="A142" s="49">
        <v>3578</v>
      </c>
      <c r="B142" s="337" t="s">
        <v>391</v>
      </c>
      <c r="C142" s="81">
        <v>78.7</v>
      </c>
      <c r="D142" s="57" t="s">
        <v>16</v>
      </c>
      <c r="E142" s="58">
        <f t="shared" si="6"/>
        <v>19.675000000000001</v>
      </c>
      <c r="F142" s="58"/>
      <c r="G142" s="58">
        <f t="shared" si="7"/>
        <v>19.675000000000001</v>
      </c>
      <c r="H142" s="88">
        <v>5818269</v>
      </c>
      <c r="I142" s="360" t="s">
        <v>390</v>
      </c>
      <c r="J142" s="361" t="s">
        <v>40</v>
      </c>
      <c r="K142" s="361"/>
      <c r="L142" s="87" t="s">
        <v>389</v>
      </c>
      <c r="M142" s="395"/>
    </row>
    <row r="143" spans="1:14" s="227" customFormat="1" ht="15.75" x14ac:dyDescent="0.25">
      <c r="A143" s="138">
        <v>3579</v>
      </c>
      <c r="B143" s="351" t="s">
        <v>388</v>
      </c>
      <c r="C143" s="218">
        <v>186.4</v>
      </c>
      <c r="D143" s="141" t="s">
        <v>16</v>
      </c>
      <c r="E143" s="142">
        <f t="shared" si="6"/>
        <v>46.6</v>
      </c>
      <c r="F143" s="142">
        <f>E143</f>
        <v>46.6</v>
      </c>
      <c r="G143" s="142">
        <f t="shared" si="7"/>
        <v>0</v>
      </c>
      <c r="H143" s="143">
        <v>10188283</v>
      </c>
      <c r="I143" s="366" t="s">
        <v>387</v>
      </c>
      <c r="J143" s="367" t="s">
        <v>373</v>
      </c>
      <c r="K143" s="367"/>
      <c r="L143" s="139" t="s">
        <v>386</v>
      </c>
      <c r="M143" s="431" t="s">
        <v>659</v>
      </c>
      <c r="N143" s="268"/>
    </row>
    <row r="144" spans="1:14" s="227" customFormat="1" ht="15.75" x14ac:dyDescent="0.25">
      <c r="A144" s="138">
        <v>3580</v>
      </c>
      <c r="B144" s="351" t="s">
        <v>385</v>
      </c>
      <c r="C144" s="218">
        <v>209.5</v>
      </c>
      <c r="D144" s="141" t="s">
        <v>16</v>
      </c>
      <c r="E144" s="142">
        <f t="shared" si="6"/>
        <v>52.375</v>
      </c>
      <c r="F144" s="142">
        <f>E144</f>
        <v>52.375</v>
      </c>
      <c r="G144" s="142">
        <f t="shared" si="7"/>
        <v>0</v>
      </c>
      <c r="H144" s="143">
        <v>24923763</v>
      </c>
      <c r="I144" s="366" t="s">
        <v>384</v>
      </c>
      <c r="J144" s="367" t="s">
        <v>40</v>
      </c>
      <c r="K144" s="367"/>
      <c r="L144" s="139" t="s">
        <v>381</v>
      </c>
      <c r="M144" s="431" t="s">
        <v>659</v>
      </c>
      <c r="N144" s="268"/>
    </row>
    <row r="145" spans="1:14" s="227" customFormat="1" ht="15.75" x14ac:dyDescent="0.25">
      <c r="A145" s="138">
        <v>3581</v>
      </c>
      <c r="B145" s="351" t="s">
        <v>383</v>
      </c>
      <c r="C145" s="218">
        <v>204.8</v>
      </c>
      <c r="D145" s="141" t="s">
        <v>16</v>
      </c>
      <c r="E145" s="142">
        <f t="shared" si="6"/>
        <v>51.2</v>
      </c>
      <c r="F145" s="142">
        <f>E145</f>
        <v>51.2</v>
      </c>
      <c r="G145" s="142">
        <f t="shared" si="7"/>
        <v>0</v>
      </c>
      <c r="H145" s="143">
        <v>19346473</v>
      </c>
      <c r="I145" s="366" t="s">
        <v>382</v>
      </c>
      <c r="J145" s="367" t="s">
        <v>40</v>
      </c>
      <c r="K145" s="367"/>
      <c r="L145" s="139" t="s">
        <v>381</v>
      </c>
      <c r="M145" s="431" t="s">
        <v>659</v>
      </c>
      <c r="N145" s="268"/>
    </row>
    <row r="146" spans="1:14" ht="15.75" x14ac:dyDescent="0.25">
      <c r="A146" s="49">
        <v>3582</v>
      </c>
      <c r="B146" s="337" t="s">
        <v>380</v>
      </c>
      <c r="C146" s="81">
        <v>205.6</v>
      </c>
      <c r="D146" s="57" t="s">
        <v>16</v>
      </c>
      <c r="E146" s="58">
        <f t="shared" si="6"/>
        <v>51.4</v>
      </c>
      <c r="F146" s="58"/>
      <c r="G146" s="58">
        <f t="shared" si="7"/>
        <v>51.4</v>
      </c>
      <c r="H146" s="88">
        <v>21228878</v>
      </c>
      <c r="I146" s="360" t="s">
        <v>379</v>
      </c>
      <c r="J146" s="361" t="s">
        <v>40</v>
      </c>
      <c r="K146" s="361"/>
      <c r="L146" s="87">
        <v>94444279</v>
      </c>
      <c r="M146" s="395"/>
    </row>
    <row r="147" spans="1:14" ht="15.75" x14ac:dyDescent="0.25">
      <c r="A147" s="49">
        <v>3583</v>
      </c>
      <c r="B147" s="337" t="s">
        <v>378</v>
      </c>
      <c r="C147" s="363">
        <v>241</v>
      </c>
      <c r="D147" s="57" t="s">
        <v>16</v>
      </c>
      <c r="E147" s="58">
        <f t="shared" si="6"/>
        <v>60.25</v>
      </c>
      <c r="F147" s="58"/>
      <c r="G147" s="58">
        <f t="shared" si="7"/>
        <v>60.25</v>
      </c>
      <c r="H147" s="88">
        <v>22777574</v>
      </c>
      <c r="I147" s="360" t="s">
        <v>377</v>
      </c>
      <c r="J147" s="361" t="s">
        <v>40</v>
      </c>
      <c r="K147" s="361"/>
      <c r="L147" s="87" t="s">
        <v>376</v>
      </c>
      <c r="M147" s="395"/>
    </row>
    <row r="148" spans="1:14" ht="15.75" x14ac:dyDescent="0.25">
      <c r="A148" s="49">
        <v>3584</v>
      </c>
      <c r="B148" s="337" t="s">
        <v>375</v>
      </c>
      <c r="C148" s="81">
        <v>257.8</v>
      </c>
      <c r="D148" s="57" t="s">
        <v>16</v>
      </c>
      <c r="E148" s="58">
        <f t="shared" si="6"/>
        <v>64.45</v>
      </c>
      <c r="F148" s="58"/>
      <c r="G148" s="58">
        <f t="shared" si="7"/>
        <v>64.45</v>
      </c>
      <c r="H148" s="88">
        <v>4087239</v>
      </c>
      <c r="I148" s="360" t="s">
        <v>374</v>
      </c>
      <c r="J148" s="361" t="s">
        <v>373</v>
      </c>
      <c r="K148" s="361"/>
      <c r="L148" s="87" t="s">
        <v>372</v>
      </c>
      <c r="M148" s="395"/>
    </row>
    <row r="149" spans="1:14" ht="15.75" x14ac:dyDescent="0.25">
      <c r="A149" s="49">
        <v>3586</v>
      </c>
      <c r="B149" s="337" t="s">
        <v>371</v>
      </c>
      <c r="C149" s="81">
        <v>232.1</v>
      </c>
      <c r="D149" s="57" t="s">
        <v>16</v>
      </c>
      <c r="E149" s="58">
        <f t="shared" si="6"/>
        <v>58.024999999999999</v>
      </c>
      <c r="F149" s="58"/>
      <c r="G149" s="58">
        <f t="shared" si="7"/>
        <v>58.024999999999999</v>
      </c>
      <c r="H149" s="88">
        <v>775949</v>
      </c>
      <c r="I149" s="360" t="s">
        <v>370</v>
      </c>
      <c r="J149" s="361" t="s">
        <v>188</v>
      </c>
      <c r="K149" s="361"/>
      <c r="L149" s="87" t="s">
        <v>369</v>
      </c>
      <c r="M149" s="395"/>
    </row>
    <row r="150" spans="1:14" ht="15.75" x14ac:dyDescent="0.25">
      <c r="A150" s="49">
        <v>3587</v>
      </c>
      <c r="B150" s="337" t="s">
        <v>368</v>
      </c>
      <c r="C150" s="81">
        <v>206.8</v>
      </c>
      <c r="D150" s="57" t="s">
        <v>16</v>
      </c>
      <c r="E150" s="58">
        <f t="shared" si="6"/>
        <v>51.7</v>
      </c>
      <c r="F150" s="58"/>
      <c r="G150" s="58">
        <f t="shared" si="7"/>
        <v>51.7</v>
      </c>
      <c r="H150" s="88">
        <v>7693695</v>
      </c>
      <c r="I150" s="360" t="s">
        <v>367</v>
      </c>
      <c r="J150" s="361" t="s">
        <v>188</v>
      </c>
      <c r="K150" s="361"/>
      <c r="L150" s="87" t="s">
        <v>366</v>
      </c>
      <c r="M150" s="395"/>
    </row>
    <row r="151" spans="1:14" ht="15.75" x14ac:dyDescent="0.25">
      <c r="A151" s="49">
        <v>3588</v>
      </c>
      <c r="B151" s="337" t="s">
        <v>365</v>
      </c>
      <c r="C151" s="81">
        <v>97.5</v>
      </c>
      <c r="D151" s="57" t="s">
        <v>16</v>
      </c>
      <c r="E151" s="58">
        <f t="shared" si="6"/>
        <v>24.375</v>
      </c>
      <c r="F151" s="58"/>
      <c r="G151" s="58">
        <f t="shared" si="7"/>
        <v>24.375</v>
      </c>
      <c r="H151" s="88">
        <v>9653943</v>
      </c>
      <c r="I151" s="360" t="s">
        <v>364</v>
      </c>
      <c r="J151" s="361" t="s">
        <v>83</v>
      </c>
      <c r="K151" s="361"/>
      <c r="L151" s="87" t="s">
        <v>361</v>
      </c>
      <c r="M151" s="395"/>
    </row>
    <row r="152" spans="1:14" ht="15.75" x14ac:dyDescent="0.25">
      <c r="A152" s="49" t="s">
        <v>363</v>
      </c>
      <c r="B152" s="337" t="s">
        <v>362</v>
      </c>
      <c r="C152" s="81">
        <v>81.400000000000006</v>
      </c>
      <c r="D152" s="57" t="s">
        <v>16</v>
      </c>
      <c r="E152" s="58">
        <f t="shared" si="6"/>
        <v>20.350000000000001</v>
      </c>
      <c r="F152" s="58"/>
      <c r="G152" s="58">
        <f t="shared" si="7"/>
        <v>20.350000000000001</v>
      </c>
      <c r="H152" s="88">
        <v>5535821</v>
      </c>
      <c r="I152" s="361"/>
      <c r="J152" s="361"/>
      <c r="K152" s="361"/>
      <c r="L152" s="87" t="s">
        <v>361</v>
      </c>
      <c r="M152" s="395"/>
    </row>
    <row r="153" spans="1:14" ht="15.75" x14ac:dyDescent="0.25">
      <c r="A153" s="49" t="s">
        <v>360</v>
      </c>
      <c r="B153" s="337" t="s">
        <v>359</v>
      </c>
      <c r="C153" s="81">
        <v>203.5</v>
      </c>
      <c r="D153" s="57" t="s">
        <v>16</v>
      </c>
      <c r="E153" s="58">
        <f t="shared" si="6"/>
        <v>50.875</v>
      </c>
      <c r="F153" s="58"/>
      <c r="G153" s="58">
        <f t="shared" si="7"/>
        <v>50.875</v>
      </c>
      <c r="H153" s="88">
        <v>18197297</v>
      </c>
      <c r="I153" s="360" t="s">
        <v>358</v>
      </c>
      <c r="J153" s="361" t="s">
        <v>357</v>
      </c>
      <c r="K153" s="361"/>
      <c r="L153" s="87" t="s">
        <v>356</v>
      </c>
      <c r="M153" s="395"/>
    </row>
    <row r="154" spans="1:14" ht="15.75" x14ac:dyDescent="0.25">
      <c r="A154" s="49" t="s">
        <v>355</v>
      </c>
      <c r="B154" s="337" t="s">
        <v>354</v>
      </c>
      <c r="C154" s="81">
        <v>233.6</v>
      </c>
      <c r="D154" s="57" t="s">
        <v>16</v>
      </c>
      <c r="E154" s="58">
        <f t="shared" si="6"/>
        <v>58.4</v>
      </c>
      <c r="F154" s="58"/>
      <c r="G154" s="58">
        <f t="shared" si="7"/>
        <v>58.4</v>
      </c>
      <c r="H154" s="88">
        <v>2567152</v>
      </c>
      <c r="I154" s="360" t="s">
        <v>353</v>
      </c>
      <c r="J154" s="361" t="s">
        <v>188</v>
      </c>
      <c r="K154" s="361"/>
      <c r="L154" s="87" t="s">
        <v>352</v>
      </c>
      <c r="M154" s="395"/>
    </row>
    <row r="155" spans="1:14" ht="15.75" x14ac:dyDescent="0.25">
      <c r="A155" s="49" t="s">
        <v>351</v>
      </c>
      <c r="B155" s="337" t="s">
        <v>350</v>
      </c>
      <c r="C155" s="81">
        <v>186.8</v>
      </c>
      <c r="D155" s="57" t="s">
        <v>16</v>
      </c>
      <c r="E155" s="58">
        <f t="shared" si="6"/>
        <v>46.7</v>
      </c>
      <c r="F155" s="58"/>
      <c r="G155" s="58">
        <f t="shared" si="7"/>
        <v>46.7</v>
      </c>
      <c r="H155" s="88">
        <v>20953759</v>
      </c>
      <c r="I155" s="360" t="s">
        <v>349</v>
      </c>
      <c r="J155" s="361" t="s">
        <v>188</v>
      </c>
      <c r="K155" s="361"/>
      <c r="L155" s="87" t="s">
        <v>348</v>
      </c>
      <c r="M155" s="395"/>
    </row>
    <row r="156" spans="1:14" ht="15.75" x14ac:dyDescent="0.25">
      <c r="A156" s="49" t="s">
        <v>347</v>
      </c>
      <c r="B156" s="337" t="s">
        <v>346</v>
      </c>
      <c r="C156" s="363">
        <v>60</v>
      </c>
      <c r="D156" s="57" t="s">
        <v>16</v>
      </c>
      <c r="E156" s="58">
        <f t="shared" si="6"/>
        <v>15</v>
      </c>
      <c r="F156" s="58"/>
      <c r="G156" s="58">
        <f t="shared" si="7"/>
        <v>15</v>
      </c>
      <c r="H156" s="362">
        <v>2663534</v>
      </c>
      <c r="I156" s="360" t="s">
        <v>345</v>
      </c>
      <c r="J156" s="361" t="s">
        <v>344</v>
      </c>
      <c r="K156" s="361"/>
      <c r="L156" s="360" t="s">
        <v>343</v>
      </c>
      <c r="M156" s="395"/>
    </row>
    <row r="157" spans="1:14" s="295" customFormat="1" ht="24.75" customHeight="1" x14ac:dyDescent="0.3">
      <c r="A157" s="358"/>
      <c r="B157" s="359" t="s">
        <v>342</v>
      </c>
      <c r="C157" s="358">
        <f>SUM(C4:C156)</f>
        <v>152039.50000000003</v>
      </c>
      <c r="D157" s="358" t="s">
        <v>341</v>
      </c>
      <c r="E157" s="358">
        <f>SUM(E4:E156)</f>
        <v>38009.875000000007</v>
      </c>
      <c r="F157" s="358">
        <f t="shared" ref="F157:G157" si="8">SUM(F4:F156)</f>
        <v>13023.725000000006</v>
      </c>
      <c r="G157" s="358">
        <f t="shared" si="8"/>
        <v>24986.149999999998</v>
      </c>
      <c r="H157" s="358"/>
      <c r="I157" s="358"/>
      <c r="J157" s="358"/>
      <c r="K157" s="358"/>
      <c r="L157" s="358"/>
      <c r="M157" s="397"/>
      <c r="N157" s="449"/>
    </row>
  </sheetData>
  <autoFilter ref="A2:M3" xr:uid="{163E21EB-C9CF-4957-A035-9E6CF8622F63}"/>
  <mergeCells count="13">
    <mergeCell ref="K2:K3"/>
    <mergeCell ref="L2:L3"/>
    <mergeCell ref="M2:M3"/>
    <mergeCell ref="D2:D3"/>
    <mergeCell ref="E2:E3"/>
    <mergeCell ref="H2:H3"/>
    <mergeCell ref="F2:F3"/>
    <mergeCell ref="G2:G3"/>
    <mergeCell ref="A2:A3"/>
    <mergeCell ref="B2:B3"/>
    <mergeCell ref="C2:C3"/>
    <mergeCell ref="I2:I3"/>
    <mergeCell ref="J2:J3"/>
  </mergeCells>
  <pageMargins left="0.7" right="0.7" top="0.75" bottom="0.75" header="0.3" footer="0.3"/>
  <pageSetup paperSize="8" scale="4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76ADA-16C0-42B6-8888-3A5A52DB1E86}">
  <dimension ref="A1:N184"/>
  <sheetViews>
    <sheetView view="pageBreakPreview" zoomScale="80" zoomScaleNormal="100" zoomScaleSheetLayoutView="80" workbookViewId="0">
      <pane xSplit="2" ySplit="3" topLeftCell="C4" activePane="bottomRight" state="frozen"/>
      <selection pane="topRight" activeCell="D1" sqref="D1"/>
      <selection pane="bottomLeft" activeCell="A6" sqref="A6"/>
      <selection pane="bottomRight" activeCell="G5" sqref="G5"/>
    </sheetView>
  </sheetViews>
  <sheetFormatPr defaultRowHeight="15" x14ac:dyDescent="0.25"/>
  <cols>
    <col min="1" max="1" width="70.5703125" bestFit="1" customWidth="1"/>
    <col min="2" max="2" width="51.85546875" customWidth="1"/>
    <col min="3" max="3" width="19" style="6" customWidth="1"/>
    <col min="4" max="4" width="20.140625" style="6" customWidth="1"/>
    <col min="5" max="5" width="16" style="6" bestFit="1" customWidth="1"/>
    <col min="6" max="7" width="16" style="6" customWidth="1"/>
    <col min="8" max="8" width="14.28515625" style="44" customWidth="1"/>
    <col min="9" max="9" width="21.42578125" style="41" hidden="1" customWidth="1"/>
    <col min="10" max="10" width="18" style="41" hidden="1" customWidth="1"/>
    <col min="11" max="11" width="16.5703125" style="41" hidden="1" customWidth="1"/>
    <col min="12" max="12" width="12" style="41" hidden="1" customWidth="1"/>
    <col min="13" max="13" width="28" style="469" customWidth="1"/>
    <col min="14" max="14" width="11" style="43" customWidth="1"/>
  </cols>
  <sheetData>
    <row r="1" spans="1:14" s="8" customFormat="1" ht="30" customHeight="1" x14ac:dyDescent="0.25">
      <c r="A1" s="479" t="s">
        <v>630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7"/>
    </row>
    <row r="2" spans="1:14" s="3" customFormat="1" ht="19.5" customHeight="1" x14ac:dyDescent="0.25">
      <c r="A2" s="487" t="s">
        <v>2</v>
      </c>
      <c r="B2" s="483" t="s">
        <v>3</v>
      </c>
      <c r="C2" s="486" t="s">
        <v>4</v>
      </c>
      <c r="D2" s="487" t="s">
        <v>5</v>
      </c>
      <c r="E2" s="486" t="s">
        <v>6</v>
      </c>
      <c r="F2" s="486" t="s">
        <v>6</v>
      </c>
      <c r="G2" s="486" t="s">
        <v>65</v>
      </c>
      <c r="H2" s="488" t="s">
        <v>9</v>
      </c>
      <c r="I2" s="482" t="s">
        <v>10</v>
      </c>
      <c r="J2" s="483" t="s">
        <v>11</v>
      </c>
      <c r="K2" s="482" t="s">
        <v>12</v>
      </c>
      <c r="L2" s="483" t="s">
        <v>13</v>
      </c>
      <c r="M2" s="499" t="s">
        <v>14</v>
      </c>
      <c r="N2" s="11"/>
    </row>
    <row r="3" spans="1:14" s="3" customFormat="1" ht="26.25" customHeight="1" x14ac:dyDescent="0.25">
      <c r="A3" s="487"/>
      <c r="B3" s="483"/>
      <c r="C3" s="486"/>
      <c r="D3" s="487"/>
      <c r="E3" s="486"/>
      <c r="F3" s="486"/>
      <c r="G3" s="486"/>
      <c r="H3" s="488"/>
      <c r="I3" s="482"/>
      <c r="J3" s="483"/>
      <c r="K3" s="482"/>
      <c r="L3" s="483"/>
      <c r="M3" s="500"/>
      <c r="N3" s="11"/>
    </row>
    <row r="4" spans="1:14" s="53" customFormat="1" ht="15.75" x14ac:dyDescent="0.25">
      <c r="A4" s="49">
        <v>1007</v>
      </c>
      <c r="B4" s="50" t="s">
        <v>73</v>
      </c>
      <c r="C4" s="56">
        <v>6878.2</v>
      </c>
      <c r="D4" s="57">
        <v>0.25</v>
      </c>
      <c r="E4" s="58">
        <f t="shared" ref="E4:E35" si="0">C4*D4</f>
        <v>1719.55</v>
      </c>
      <c r="F4" s="58"/>
      <c r="G4" s="58">
        <f>E4-F4</f>
        <v>1719.55</v>
      </c>
      <c r="H4" s="51">
        <v>1515504</v>
      </c>
      <c r="I4" s="52" t="s">
        <v>74</v>
      </c>
      <c r="J4" s="51" t="s">
        <v>75</v>
      </c>
      <c r="K4" s="52" t="s">
        <v>76</v>
      </c>
      <c r="L4" s="51">
        <v>91748840</v>
      </c>
      <c r="M4" s="114"/>
      <c r="N4" s="48"/>
    </row>
    <row r="5" spans="1:14" s="53" customFormat="1" ht="15.75" x14ac:dyDescent="0.25">
      <c r="A5" s="49">
        <v>1041</v>
      </c>
      <c r="B5" s="55" t="s">
        <v>77</v>
      </c>
      <c r="C5" s="56">
        <v>2549.8000000000002</v>
      </c>
      <c r="D5" s="57">
        <v>0.25</v>
      </c>
      <c r="E5" s="58">
        <f t="shared" si="0"/>
        <v>637.45000000000005</v>
      </c>
      <c r="F5" s="58"/>
      <c r="G5" s="58">
        <f t="shared" ref="G5:G68" si="1">E5-F5</f>
        <v>637.45000000000005</v>
      </c>
      <c r="H5" s="51">
        <v>6827729</v>
      </c>
      <c r="I5" s="52" t="s">
        <v>78</v>
      </c>
      <c r="J5" s="17" t="s">
        <v>40</v>
      </c>
      <c r="K5" s="52" t="s">
        <v>19</v>
      </c>
      <c r="L5" s="51">
        <v>92272935</v>
      </c>
      <c r="M5" s="114"/>
      <c r="N5" s="48"/>
    </row>
    <row r="6" spans="1:14" s="195" customFormat="1" ht="15.75" x14ac:dyDescent="0.25">
      <c r="A6" s="138">
        <v>1125</v>
      </c>
      <c r="B6" s="342" t="s">
        <v>79</v>
      </c>
      <c r="C6" s="140">
        <v>5022.7</v>
      </c>
      <c r="D6" s="141">
        <v>0.25</v>
      </c>
      <c r="E6" s="142">
        <f t="shared" si="0"/>
        <v>1255.675</v>
      </c>
      <c r="F6" s="142">
        <f>1251.05</f>
        <v>1251.05</v>
      </c>
      <c r="G6" s="142">
        <f t="shared" si="1"/>
        <v>4.625</v>
      </c>
      <c r="H6" s="143">
        <v>6828774</v>
      </c>
      <c r="I6" s="192" t="s">
        <v>80</v>
      </c>
      <c r="J6" s="343" t="s">
        <v>36</v>
      </c>
      <c r="K6" s="192" t="s">
        <v>37</v>
      </c>
      <c r="L6" s="143">
        <v>91267555</v>
      </c>
      <c r="M6" s="352">
        <v>45941</v>
      </c>
      <c r="N6" s="431" t="s">
        <v>660</v>
      </c>
    </row>
    <row r="7" spans="1:14" s="462" customFormat="1" ht="15.75" x14ac:dyDescent="0.25">
      <c r="A7" s="450">
        <v>1222</v>
      </c>
      <c r="B7" s="464" t="s">
        <v>81</v>
      </c>
      <c r="C7" s="459"/>
      <c r="D7" s="453">
        <v>0.25</v>
      </c>
      <c r="E7" s="416">
        <f t="shared" si="0"/>
        <v>0</v>
      </c>
      <c r="F7" s="416"/>
      <c r="G7" s="416">
        <f t="shared" si="1"/>
        <v>0</v>
      </c>
      <c r="H7" s="418">
        <v>31221</v>
      </c>
      <c r="I7" s="417" t="s">
        <v>82</v>
      </c>
      <c r="J7" s="418" t="s">
        <v>83</v>
      </c>
      <c r="K7" s="417" t="s">
        <v>84</v>
      </c>
      <c r="L7" s="418"/>
      <c r="M7" s="465"/>
      <c r="N7" s="461"/>
    </row>
    <row r="8" spans="1:14" s="53" customFormat="1" ht="15.75" x14ac:dyDescent="0.25">
      <c r="A8" s="49">
        <v>1286</v>
      </c>
      <c r="B8" s="50" t="s">
        <v>85</v>
      </c>
      <c r="C8" s="56">
        <v>3798.9</v>
      </c>
      <c r="D8" s="57">
        <v>0.25</v>
      </c>
      <c r="E8" s="58">
        <f t="shared" si="0"/>
        <v>949.72500000000002</v>
      </c>
      <c r="F8" s="58"/>
      <c r="G8" s="58">
        <f t="shared" si="1"/>
        <v>949.72500000000002</v>
      </c>
      <c r="H8" s="51">
        <v>368056</v>
      </c>
      <c r="I8" s="52" t="s">
        <v>86</v>
      </c>
      <c r="J8" s="51" t="s">
        <v>40</v>
      </c>
      <c r="K8" s="52" t="s">
        <v>19</v>
      </c>
      <c r="L8" s="51">
        <v>99494264</v>
      </c>
      <c r="M8" s="114"/>
      <c r="N8" s="48"/>
    </row>
    <row r="9" spans="1:14" s="53" customFormat="1" ht="15.75" x14ac:dyDescent="0.25">
      <c r="A9" s="49">
        <v>1344</v>
      </c>
      <c r="B9" s="50" t="s">
        <v>66</v>
      </c>
      <c r="C9" s="56">
        <v>3437.4</v>
      </c>
      <c r="D9" s="57">
        <v>0.25</v>
      </c>
      <c r="E9" s="58">
        <f t="shared" si="0"/>
        <v>859.35</v>
      </c>
      <c r="F9" s="58">
        <v>858.7</v>
      </c>
      <c r="G9" s="58">
        <f t="shared" si="1"/>
        <v>0.64999999999997726</v>
      </c>
      <c r="H9" s="51">
        <v>4014519</v>
      </c>
      <c r="I9" s="52" t="s">
        <v>87</v>
      </c>
      <c r="J9" s="51" t="s">
        <v>88</v>
      </c>
      <c r="K9" s="52" t="s">
        <v>89</v>
      </c>
      <c r="L9" s="51"/>
      <c r="M9" s="466" t="s">
        <v>661</v>
      </c>
      <c r="N9" s="48"/>
    </row>
    <row r="10" spans="1:14" s="195" customFormat="1" ht="15.75" x14ac:dyDescent="0.25">
      <c r="A10" s="138">
        <v>1352</v>
      </c>
      <c r="B10" s="139" t="s">
        <v>90</v>
      </c>
      <c r="C10" s="140">
        <v>1281.5999999999999</v>
      </c>
      <c r="D10" s="141">
        <v>0.25</v>
      </c>
      <c r="E10" s="142">
        <f t="shared" si="0"/>
        <v>320.39999999999998</v>
      </c>
      <c r="F10" s="142">
        <v>316.625</v>
      </c>
      <c r="G10" s="142">
        <f t="shared" si="1"/>
        <v>3.7749999999999773</v>
      </c>
      <c r="H10" s="143">
        <v>1627344</v>
      </c>
      <c r="I10" s="192" t="s">
        <v>91</v>
      </c>
      <c r="J10" s="143" t="s">
        <v>40</v>
      </c>
      <c r="K10" s="192" t="s">
        <v>19</v>
      </c>
      <c r="L10" s="143"/>
      <c r="M10" s="172">
        <v>46002</v>
      </c>
      <c r="N10" s="270"/>
    </row>
    <row r="11" spans="1:14" s="53" customFormat="1" ht="15.75" x14ac:dyDescent="0.25">
      <c r="A11" s="49">
        <v>1354</v>
      </c>
      <c r="B11" s="55" t="s">
        <v>92</v>
      </c>
      <c r="C11" s="56">
        <v>2232.6999999999998</v>
      </c>
      <c r="D11" s="57">
        <v>0.25</v>
      </c>
      <c r="E11" s="58">
        <f t="shared" si="0"/>
        <v>558.17499999999995</v>
      </c>
      <c r="F11" s="58"/>
      <c r="G11" s="58">
        <f t="shared" si="1"/>
        <v>558.17499999999995</v>
      </c>
      <c r="H11" s="51">
        <v>925709</v>
      </c>
      <c r="I11" s="52" t="s">
        <v>93</v>
      </c>
      <c r="J11" s="51" t="s">
        <v>40</v>
      </c>
      <c r="K11" s="52" t="s">
        <v>19</v>
      </c>
      <c r="L11" s="51">
        <v>95187860</v>
      </c>
      <c r="M11" s="170"/>
      <c r="N11" s="48"/>
    </row>
    <row r="12" spans="1:14" s="53" customFormat="1" ht="15.75" x14ac:dyDescent="0.25">
      <c r="A12" s="49">
        <v>1357</v>
      </c>
      <c r="B12" s="55" t="s">
        <v>94</v>
      </c>
      <c r="C12" s="56">
        <v>4873.1000000000004</v>
      </c>
      <c r="D12" s="57">
        <v>0.25</v>
      </c>
      <c r="E12" s="58">
        <f t="shared" si="0"/>
        <v>1218.2750000000001</v>
      </c>
      <c r="F12" s="58"/>
      <c r="G12" s="58">
        <f t="shared" si="1"/>
        <v>1218.2750000000001</v>
      </c>
      <c r="H12" s="51">
        <v>1052276</v>
      </c>
      <c r="I12" s="52" t="s">
        <v>95</v>
      </c>
      <c r="J12" s="17" t="s">
        <v>36</v>
      </c>
      <c r="K12" s="52" t="s">
        <v>37</v>
      </c>
      <c r="L12" s="51">
        <v>95301260</v>
      </c>
      <c r="M12" s="170"/>
      <c r="N12" s="48"/>
    </row>
    <row r="13" spans="1:14" s="195" customFormat="1" ht="15.75" x14ac:dyDescent="0.25">
      <c r="A13" s="138">
        <v>1359</v>
      </c>
      <c r="B13" s="342" t="s">
        <v>96</v>
      </c>
      <c r="C13" s="140">
        <v>3273.3</v>
      </c>
      <c r="D13" s="141">
        <v>0.25</v>
      </c>
      <c r="E13" s="142">
        <f t="shared" si="0"/>
        <v>818.32500000000005</v>
      </c>
      <c r="F13" s="142">
        <f>2.80000000000003+812.25</f>
        <v>815.05000000000007</v>
      </c>
      <c r="G13" s="142">
        <f t="shared" si="1"/>
        <v>3.2749999999999773</v>
      </c>
      <c r="H13" s="143">
        <v>4812026</v>
      </c>
      <c r="I13" s="192" t="s">
        <v>97</v>
      </c>
      <c r="J13" s="143" t="s">
        <v>83</v>
      </c>
      <c r="K13" s="192" t="s">
        <v>84</v>
      </c>
      <c r="L13" s="143">
        <v>96616558</v>
      </c>
      <c r="M13" s="172">
        <v>45728</v>
      </c>
      <c r="N13" s="270" t="s">
        <v>662</v>
      </c>
    </row>
    <row r="14" spans="1:14" s="53" customFormat="1" ht="15.75" x14ac:dyDescent="0.25">
      <c r="A14" s="49">
        <v>1367</v>
      </c>
      <c r="B14" s="50" t="s">
        <v>98</v>
      </c>
      <c r="C14" s="56">
        <v>1867.7</v>
      </c>
      <c r="D14" s="57">
        <v>0.25</v>
      </c>
      <c r="E14" s="58">
        <f t="shared" si="0"/>
        <v>466.92500000000001</v>
      </c>
      <c r="F14" s="58"/>
      <c r="G14" s="58">
        <f t="shared" si="1"/>
        <v>466.92500000000001</v>
      </c>
      <c r="H14" s="51">
        <v>6663593</v>
      </c>
      <c r="I14" s="52" t="s">
        <v>99</v>
      </c>
      <c r="J14" s="51" t="s">
        <v>40</v>
      </c>
      <c r="K14" s="52" t="s">
        <v>19</v>
      </c>
      <c r="L14" s="51">
        <v>92817702</v>
      </c>
      <c r="M14" s="170"/>
      <c r="N14" s="48"/>
    </row>
    <row r="15" spans="1:14" s="53" customFormat="1" ht="15.75" x14ac:dyDescent="0.25">
      <c r="A15" s="49">
        <v>1368</v>
      </c>
      <c r="B15" s="337" t="s">
        <v>100</v>
      </c>
      <c r="C15" s="56">
        <v>1980.1</v>
      </c>
      <c r="D15" s="57">
        <v>0.25</v>
      </c>
      <c r="E15" s="58">
        <f t="shared" si="0"/>
        <v>495.02499999999998</v>
      </c>
      <c r="F15" s="58"/>
      <c r="G15" s="58">
        <f t="shared" si="1"/>
        <v>495.02499999999998</v>
      </c>
      <c r="H15" s="52">
        <v>561902</v>
      </c>
      <c r="I15" s="52" t="s">
        <v>101</v>
      </c>
      <c r="J15" s="17" t="s">
        <v>36</v>
      </c>
      <c r="K15" s="52" t="s">
        <v>37</v>
      </c>
      <c r="L15" s="52">
        <v>99499622</v>
      </c>
      <c r="M15" s="170"/>
      <c r="N15" s="48"/>
    </row>
    <row r="16" spans="1:14" s="53" customFormat="1" ht="15.75" x14ac:dyDescent="0.25">
      <c r="A16" s="49">
        <v>2098</v>
      </c>
      <c r="B16" s="337" t="s">
        <v>324</v>
      </c>
      <c r="C16" s="56">
        <v>647.1</v>
      </c>
      <c r="D16" s="57">
        <v>0.25</v>
      </c>
      <c r="E16" s="58">
        <f t="shared" si="0"/>
        <v>161.77500000000001</v>
      </c>
      <c r="F16" s="58">
        <f>160.15</f>
        <v>160.15</v>
      </c>
      <c r="G16" s="58">
        <f t="shared" si="1"/>
        <v>1.625</v>
      </c>
      <c r="H16" s="52">
        <v>1065899</v>
      </c>
      <c r="I16" s="52" t="s">
        <v>323</v>
      </c>
      <c r="J16" s="51" t="s">
        <v>40</v>
      </c>
      <c r="K16" s="52" t="s">
        <v>19</v>
      </c>
      <c r="L16" s="52"/>
      <c r="M16" s="396" t="s">
        <v>665</v>
      </c>
      <c r="N16" s="48"/>
    </row>
    <row r="17" spans="1:14" s="53" customFormat="1" ht="15.75" x14ac:dyDescent="0.25">
      <c r="A17" s="49">
        <v>2529</v>
      </c>
      <c r="B17" s="337" t="s">
        <v>629</v>
      </c>
      <c r="C17" s="56">
        <v>1029</v>
      </c>
      <c r="D17" s="57">
        <v>0.25</v>
      </c>
      <c r="E17" s="58">
        <f t="shared" si="0"/>
        <v>257.25</v>
      </c>
      <c r="F17" s="58">
        <f>256.5</f>
        <v>256.5</v>
      </c>
      <c r="G17" s="58">
        <f t="shared" si="1"/>
        <v>0.75</v>
      </c>
      <c r="H17" s="52" t="s">
        <v>628</v>
      </c>
      <c r="I17" s="52" t="s">
        <v>627</v>
      </c>
      <c r="J17" s="51" t="s">
        <v>40</v>
      </c>
      <c r="K17" s="52" t="s">
        <v>19</v>
      </c>
      <c r="L17" s="52">
        <v>95144359</v>
      </c>
      <c r="M17" s="172">
        <v>46008</v>
      </c>
      <c r="N17" s="48"/>
    </row>
    <row r="18" spans="1:14" s="195" customFormat="1" ht="15.75" x14ac:dyDescent="0.25">
      <c r="A18" s="138">
        <v>3002</v>
      </c>
      <c r="B18" s="139" t="s">
        <v>102</v>
      </c>
      <c r="C18" s="140">
        <v>1358</v>
      </c>
      <c r="D18" s="141">
        <v>0.25</v>
      </c>
      <c r="E18" s="142">
        <f t="shared" si="0"/>
        <v>339.5</v>
      </c>
      <c r="F18" s="142">
        <v>338.47500000000002</v>
      </c>
      <c r="G18" s="142">
        <f t="shared" si="1"/>
        <v>1.0249999999999773</v>
      </c>
      <c r="H18" s="143">
        <v>21220177</v>
      </c>
      <c r="I18" s="192" t="s">
        <v>103</v>
      </c>
      <c r="J18" s="143" t="s">
        <v>40</v>
      </c>
      <c r="K18" s="192" t="s">
        <v>19</v>
      </c>
      <c r="L18" s="143">
        <v>99280644</v>
      </c>
      <c r="M18" s="172" t="s">
        <v>659</v>
      </c>
      <c r="N18" s="270"/>
    </row>
    <row r="19" spans="1:14" s="53" customFormat="1" ht="15.75" x14ac:dyDescent="0.25">
      <c r="A19" s="85">
        <v>3035</v>
      </c>
      <c r="B19" s="74" t="s">
        <v>104</v>
      </c>
      <c r="C19" s="56">
        <v>512.5</v>
      </c>
      <c r="D19" s="57">
        <v>0.25</v>
      </c>
      <c r="E19" s="58">
        <f t="shared" si="0"/>
        <v>128.125</v>
      </c>
      <c r="F19" s="58"/>
      <c r="G19" s="58">
        <f t="shared" si="1"/>
        <v>128.125</v>
      </c>
      <c r="H19" s="75">
        <v>6725058</v>
      </c>
      <c r="I19" s="52" t="s">
        <v>105</v>
      </c>
      <c r="J19" s="51" t="s">
        <v>36</v>
      </c>
      <c r="K19" s="76" t="s">
        <v>37</v>
      </c>
      <c r="L19" s="75">
        <v>99198121</v>
      </c>
      <c r="M19" s="114"/>
      <c r="N19" s="48"/>
    </row>
    <row r="20" spans="1:14" s="53" customFormat="1" ht="15.75" x14ac:dyDescent="0.25">
      <c r="A20" s="49">
        <v>3057</v>
      </c>
      <c r="B20" s="50" t="s">
        <v>67</v>
      </c>
      <c r="C20" s="56">
        <v>2683.7</v>
      </c>
      <c r="D20" s="57">
        <v>0.25</v>
      </c>
      <c r="E20" s="58">
        <f t="shared" si="0"/>
        <v>670.92499999999995</v>
      </c>
      <c r="F20" s="58"/>
      <c r="G20" s="58">
        <f t="shared" si="1"/>
        <v>670.92499999999995</v>
      </c>
      <c r="H20" s="51">
        <v>626819</v>
      </c>
      <c r="I20" s="52" t="s">
        <v>106</v>
      </c>
      <c r="J20" s="51" t="s">
        <v>40</v>
      </c>
      <c r="K20" s="52" t="s">
        <v>19</v>
      </c>
      <c r="L20" s="51">
        <v>99298522</v>
      </c>
      <c r="M20" s="114"/>
      <c r="N20" s="48"/>
    </row>
    <row r="21" spans="1:14" s="53" customFormat="1" ht="15.75" x14ac:dyDescent="0.25">
      <c r="A21" s="49">
        <v>3062</v>
      </c>
      <c r="B21" s="50" t="s">
        <v>107</v>
      </c>
      <c r="C21" s="56">
        <v>2716.6</v>
      </c>
      <c r="D21" s="57">
        <v>0.25</v>
      </c>
      <c r="E21" s="58">
        <f t="shared" si="0"/>
        <v>679.15</v>
      </c>
      <c r="F21" s="58"/>
      <c r="G21" s="58">
        <f t="shared" si="1"/>
        <v>679.15</v>
      </c>
      <c r="H21" s="51">
        <v>300741</v>
      </c>
      <c r="I21" s="52" t="s">
        <v>108</v>
      </c>
      <c r="J21" s="51" t="s">
        <v>40</v>
      </c>
      <c r="K21" s="52" t="s">
        <v>19</v>
      </c>
      <c r="L21" s="51">
        <v>99008320</v>
      </c>
      <c r="M21" s="114"/>
      <c r="N21" s="48"/>
    </row>
    <row r="22" spans="1:14" s="53" customFormat="1" ht="15.75" x14ac:dyDescent="0.25">
      <c r="A22" s="49">
        <v>3080</v>
      </c>
      <c r="B22" s="50" t="s">
        <v>109</v>
      </c>
      <c r="C22" s="56">
        <v>1906.6</v>
      </c>
      <c r="D22" s="57">
        <v>0.25</v>
      </c>
      <c r="E22" s="58">
        <f t="shared" si="0"/>
        <v>476.65</v>
      </c>
      <c r="F22" s="58"/>
      <c r="G22" s="58">
        <f t="shared" si="1"/>
        <v>476.65</v>
      </c>
      <c r="H22" s="51">
        <v>14301608</v>
      </c>
      <c r="I22" s="52" t="s">
        <v>110</v>
      </c>
      <c r="J22" s="51" t="s">
        <v>40</v>
      </c>
      <c r="K22" s="52" t="s">
        <v>19</v>
      </c>
      <c r="L22" s="51">
        <v>98122611</v>
      </c>
      <c r="M22" s="114"/>
      <c r="N22" s="77"/>
    </row>
    <row r="23" spans="1:14" s="195" customFormat="1" ht="15.75" x14ac:dyDescent="0.25">
      <c r="A23" s="137">
        <v>3086</v>
      </c>
      <c r="B23" s="139" t="s">
        <v>111</v>
      </c>
      <c r="C23" s="140">
        <v>751.8</v>
      </c>
      <c r="D23" s="141">
        <v>0.25</v>
      </c>
      <c r="E23" s="142">
        <f t="shared" si="0"/>
        <v>187.95</v>
      </c>
      <c r="F23" s="142">
        <f>184.825</f>
        <v>184.82499999999999</v>
      </c>
      <c r="G23" s="142">
        <f t="shared" si="1"/>
        <v>3.125</v>
      </c>
      <c r="H23" s="143">
        <v>300033</v>
      </c>
      <c r="I23" s="192" t="s">
        <v>112</v>
      </c>
      <c r="J23" s="143" t="s">
        <v>40</v>
      </c>
      <c r="K23" s="192" t="s">
        <v>19</v>
      </c>
      <c r="L23" s="143"/>
      <c r="M23" s="393">
        <v>45759</v>
      </c>
      <c r="N23" s="270"/>
    </row>
    <row r="24" spans="1:14" s="53" customFormat="1" ht="15.75" x14ac:dyDescent="0.25">
      <c r="A24" s="49">
        <v>3132</v>
      </c>
      <c r="B24" s="50" t="s">
        <v>113</v>
      </c>
      <c r="C24" s="56">
        <v>1894.1</v>
      </c>
      <c r="D24" s="57">
        <v>0.25</v>
      </c>
      <c r="E24" s="58">
        <f t="shared" si="0"/>
        <v>473.52499999999998</v>
      </c>
      <c r="F24" s="58"/>
      <c r="G24" s="58">
        <f t="shared" si="1"/>
        <v>473.52499999999998</v>
      </c>
      <c r="H24" s="51">
        <v>14606296</v>
      </c>
      <c r="I24" s="52" t="s">
        <v>114</v>
      </c>
      <c r="J24" s="51" t="s">
        <v>40</v>
      </c>
      <c r="K24" s="52" t="s">
        <v>19</v>
      </c>
      <c r="L24" s="51">
        <v>91493522</v>
      </c>
      <c r="M24" s="114"/>
      <c r="N24" s="48"/>
    </row>
    <row r="25" spans="1:14" s="53" customFormat="1" ht="15.75" x14ac:dyDescent="0.25">
      <c r="A25" s="49">
        <v>3134</v>
      </c>
      <c r="B25" s="50" t="s">
        <v>115</v>
      </c>
      <c r="C25" s="56">
        <v>1971.7</v>
      </c>
      <c r="D25" s="57">
        <v>0.25</v>
      </c>
      <c r="E25" s="58">
        <f t="shared" si="0"/>
        <v>492.92500000000001</v>
      </c>
      <c r="F25" s="58"/>
      <c r="G25" s="58">
        <f t="shared" si="1"/>
        <v>492.92500000000001</v>
      </c>
      <c r="H25" s="51">
        <v>2154413</v>
      </c>
      <c r="I25" s="52" t="s">
        <v>116</v>
      </c>
      <c r="J25" s="51" t="s">
        <v>36</v>
      </c>
      <c r="K25" s="52" t="s">
        <v>37</v>
      </c>
      <c r="L25" s="51">
        <v>99493731</v>
      </c>
      <c r="M25" s="114"/>
      <c r="N25" s="48"/>
    </row>
    <row r="26" spans="1:14" s="195" customFormat="1" ht="15.75" x14ac:dyDescent="0.25">
      <c r="A26" s="138">
        <v>3142</v>
      </c>
      <c r="B26" s="139" t="s">
        <v>117</v>
      </c>
      <c r="C26" s="140">
        <v>4731.6000000000004</v>
      </c>
      <c r="D26" s="141">
        <v>0.25</v>
      </c>
      <c r="E26" s="142">
        <f t="shared" si="0"/>
        <v>1182.9000000000001</v>
      </c>
      <c r="F26" s="142">
        <f>4.4+589+589</f>
        <v>1182.4000000000001</v>
      </c>
      <c r="G26" s="142">
        <f t="shared" si="1"/>
        <v>0.5</v>
      </c>
      <c r="H26" s="143">
        <v>165497</v>
      </c>
      <c r="I26" s="192" t="s">
        <v>118</v>
      </c>
      <c r="J26" s="143" t="s">
        <v>88</v>
      </c>
      <c r="K26" s="192" t="s">
        <v>89</v>
      </c>
      <c r="L26" s="143">
        <v>99499872</v>
      </c>
      <c r="M26" s="172" t="s">
        <v>635</v>
      </c>
      <c r="N26" s="227" t="s">
        <v>661</v>
      </c>
    </row>
    <row r="27" spans="1:14" s="195" customFormat="1" ht="15.75" x14ac:dyDescent="0.25">
      <c r="A27" s="138">
        <v>3145</v>
      </c>
      <c r="B27" s="139" t="s">
        <v>119</v>
      </c>
      <c r="C27" s="140">
        <v>2832.9</v>
      </c>
      <c r="D27" s="141">
        <v>0.25</v>
      </c>
      <c r="E27" s="142">
        <f t="shared" si="0"/>
        <v>708.22500000000002</v>
      </c>
      <c r="F27" s="142">
        <f>704.95</f>
        <v>704.95</v>
      </c>
      <c r="G27" s="142">
        <f t="shared" si="1"/>
        <v>3.2749999999999773</v>
      </c>
      <c r="H27" s="143">
        <v>1915745</v>
      </c>
      <c r="I27" s="192" t="s">
        <v>120</v>
      </c>
      <c r="J27" s="143" t="s">
        <v>40</v>
      </c>
      <c r="K27" s="192" t="s">
        <v>19</v>
      </c>
      <c r="L27" s="143">
        <v>99489050</v>
      </c>
      <c r="M27" s="172" t="s">
        <v>659</v>
      </c>
      <c r="N27" s="270"/>
    </row>
    <row r="28" spans="1:14" s="195" customFormat="1" ht="15.75" x14ac:dyDescent="0.25">
      <c r="A28" s="138">
        <v>3147</v>
      </c>
      <c r="B28" s="139" t="s">
        <v>122</v>
      </c>
      <c r="C28" s="140">
        <v>1970.1</v>
      </c>
      <c r="D28" s="141">
        <v>0.25</v>
      </c>
      <c r="E28" s="142">
        <f t="shared" si="0"/>
        <v>492.52499999999998</v>
      </c>
      <c r="F28" s="142">
        <v>489.17500000000001</v>
      </c>
      <c r="G28" s="142">
        <f t="shared" si="1"/>
        <v>3.3499999999999659</v>
      </c>
      <c r="H28" s="143">
        <v>1662414</v>
      </c>
      <c r="I28" s="192" t="s">
        <v>123</v>
      </c>
      <c r="J28" s="143" t="s">
        <v>88</v>
      </c>
      <c r="K28" s="192" t="s">
        <v>89</v>
      </c>
      <c r="L28" s="143">
        <v>99282006</v>
      </c>
      <c r="M28" s="172" t="s">
        <v>659</v>
      </c>
      <c r="N28" s="270"/>
    </row>
    <row r="29" spans="1:14" s="195" customFormat="1" ht="15.75" x14ac:dyDescent="0.25">
      <c r="A29" s="138">
        <v>3148</v>
      </c>
      <c r="B29" s="139" t="s">
        <v>124</v>
      </c>
      <c r="C29" s="140">
        <v>1387.6</v>
      </c>
      <c r="D29" s="141">
        <v>0.25</v>
      </c>
      <c r="E29" s="142">
        <f t="shared" si="0"/>
        <v>346.9</v>
      </c>
      <c r="F29" s="142">
        <f>346.55</f>
        <v>346.55</v>
      </c>
      <c r="G29" s="142">
        <f t="shared" si="1"/>
        <v>0.34999999999996589</v>
      </c>
      <c r="H29" s="143">
        <v>19545736</v>
      </c>
      <c r="I29" s="192" t="s">
        <v>125</v>
      </c>
      <c r="J29" s="143" t="s">
        <v>36</v>
      </c>
      <c r="K29" s="192" t="s">
        <v>37</v>
      </c>
      <c r="L29" s="143"/>
      <c r="M29" s="393">
        <v>45973</v>
      </c>
      <c r="N29" s="270"/>
    </row>
    <row r="30" spans="1:14" s="195" customFormat="1" ht="15.75" x14ac:dyDescent="0.25">
      <c r="A30" s="138">
        <v>3149</v>
      </c>
      <c r="B30" s="139" t="s">
        <v>126</v>
      </c>
      <c r="C30" s="140">
        <v>1871.7</v>
      </c>
      <c r="D30" s="141">
        <v>0.25</v>
      </c>
      <c r="E30" s="142">
        <f t="shared" si="0"/>
        <v>467.92500000000001</v>
      </c>
      <c r="F30" s="142">
        <v>464.77500000000003</v>
      </c>
      <c r="G30" s="142">
        <f t="shared" si="1"/>
        <v>3.1499999999999773</v>
      </c>
      <c r="H30" s="143">
        <v>4941095</v>
      </c>
      <c r="I30" s="192" t="s">
        <v>127</v>
      </c>
      <c r="J30" s="143" t="s">
        <v>128</v>
      </c>
      <c r="K30" s="192" t="s">
        <v>129</v>
      </c>
      <c r="L30" s="143">
        <v>93500864</v>
      </c>
      <c r="M30" s="172" t="s">
        <v>635</v>
      </c>
      <c r="N30" s="270"/>
    </row>
    <row r="31" spans="1:14" s="195" customFormat="1" ht="15.75" x14ac:dyDescent="0.25">
      <c r="A31" s="138">
        <v>3150</v>
      </c>
      <c r="B31" s="139" t="s">
        <v>553</v>
      </c>
      <c r="C31" s="140">
        <v>483.1</v>
      </c>
      <c r="D31" s="141">
        <v>0.25</v>
      </c>
      <c r="E31" s="142">
        <f t="shared" si="0"/>
        <v>120.77500000000001</v>
      </c>
      <c r="F31" s="142">
        <v>119.85</v>
      </c>
      <c r="G31" s="142">
        <f t="shared" si="1"/>
        <v>0.92500000000001137</v>
      </c>
      <c r="H31" s="143">
        <v>18940347</v>
      </c>
      <c r="I31" s="192" t="s">
        <v>552</v>
      </c>
      <c r="J31" s="143" t="s">
        <v>40</v>
      </c>
      <c r="K31" s="192" t="s">
        <v>19</v>
      </c>
      <c r="L31" s="143">
        <v>98905289</v>
      </c>
      <c r="M31" s="172" t="s">
        <v>632</v>
      </c>
      <c r="N31" s="270"/>
    </row>
    <row r="32" spans="1:14" s="195" customFormat="1" ht="15.75" x14ac:dyDescent="0.25">
      <c r="A32" s="138">
        <v>3152</v>
      </c>
      <c r="B32" s="139" t="s">
        <v>130</v>
      </c>
      <c r="C32" s="140">
        <v>3209.7</v>
      </c>
      <c r="D32" s="141">
        <v>0.25</v>
      </c>
      <c r="E32" s="142">
        <f t="shared" si="0"/>
        <v>802.42499999999995</v>
      </c>
      <c r="F32" s="142">
        <f>E32</f>
        <v>802.42499999999995</v>
      </c>
      <c r="G32" s="142">
        <f t="shared" si="1"/>
        <v>0</v>
      </c>
      <c r="H32" s="143">
        <v>941993</v>
      </c>
      <c r="I32" s="192" t="s">
        <v>131</v>
      </c>
      <c r="J32" s="143" t="s">
        <v>36</v>
      </c>
      <c r="K32" s="192" t="s">
        <v>37</v>
      </c>
      <c r="L32" s="143">
        <v>99086500</v>
      </c>
      <c r="M32" s="269">
        <v>45727</v>
      </c>
      <c r="N32" s="383" t="s">
        <v>631</v>
      </c>
    </row>
    <row r="33" spans="1:14" s="53" customFormat="1" ht="15.75" x14ac:dyDescent="0.25">
      <c r="A33" s="49">
        <v>3153</v>
      </c>
      <c r="B33" s="50" t="s">
        <v>15</v>
      </c>
      <c r="C33" s="56">
        <v>2897.3</v>
      </c>
      <c r="D33" s="57">
        <v>0.25</v>
      </c>
      <c r="E33" s="58">
        <f t="shared" si="0"/>
        <v>724.32500000000005</v>
      </c>
      <c r="F33" s="58"/>
      <c r="G33" s="58">
        <f t="shared" si="1"/>
        <v>724.32500000000005</v>
      </c>
      <c r="H33" s="51">
        <v>6989479</v>
      </c>
      <c r="I33" s="52" t="s">
        <v>17</v>
      </c>
      <c r="J33" s="51" t="s">
        <v>18</v>
      </c>
      <c r="K33" s="52" t="s">
        <v>19</v>
      </c>
      <c r="L33" s="51">
        <v>99699500</v>
      </c>
      <c r="M33" s="114"/>
      <c r="N33" s="48"/>
    </row>
    <row r="34" spans="1:14" s="53" customFormat="1" ht="15.75" x14ac:dyDescent="0.25">
      <c r="A34" s="78">
        <v>3155</v>
      </c>
      <c r="B34" s="50" t="s">
        <v>132</v>
      </c>
      <c r="C34" s="56">
        <v>627.20000000000005</v>
      </c>
      <c r="D34" s="57">
        <v>0.25</v>
      </c>
      <c r="E34" s="58">
        <f t="shared" si="0"/>
        <v>156.80000000000001</v>
      </c>
      <c r="F34" s="58"/>
      <c r="G34" s="58">
        <f t="shared" si="1"/>
        <v>156.80000000000001</v>
      </c>
      <c r="H34" s="51">
        <v>19188794</v>
      </c>
      <c r="I34" s="52" t="s">
        <v>133</v>
      </c>
      <c r="J34" s="51" t="s">
        <v>40</v>
      </c>
      <c r="K34" s="52" t="s">
        <v>19</v>
      </c>
      <c r="L34" s="51">
        <v>93215515</v>
      </c>
      <c r="M34" s="114"/>
      <c r="N34" s="48"/>
    </row>
    <row r="35" spans="1:14" s="53" customFormat="1" ht="15.75" x14ac:dyDescent="0.25">
      <c r="A35" s="49">
        <v>3158</v>
      </c>
      <c r="B35" s="50" t="s">
        <v>134</v>
      </c>
      <c r="C35" s="56">
        <v>3556.4</v>
      </c>
      <c r="D35" s="57">
        <v>0.25</v>
      </c>
      <c r="E35" s="58">
        <f t="shared" si="0"/>
        <v>889.1</v>
      </c>
      <c r="F35" s="58"/>
      <c r="G35" s="58">
        <f t="shared" si="1"/>
        <v>889.1</v>
      </c>
      <c r="H35" s="51" t="s">
        <v>135</v>
      </c>
      <c r="I35" s="52" t="s">
        <v>136</v>
      </c>
      <c r="J35" s="51" t="s">
        <v>40</v>
      </c>
      <c r="K35" s="52" t="s">
        <v>19</v>
      </c>
      <c r="L35" s="51">
        <v>99694218</v>
      </c>
      <c r="M35" s="114"/>
      <c r="N35" s="48"/>
    </row>
    <row r="36" spans="1:14" s="53" customFormat="1" ht="15.75" x14ac:dyDescent="0.25">
      <c r="A36" s="49">
        <v>3159</v>
      </c>
      <c r="B36" s="50" t="s">
        <v>137</v>
      </c>
      <c r="C36" s="56">
        <v>619.29999999999995</v>
      </c>
      <c r="D36" s="57">
        <v>0.25</v>
      </c>
      <c r="E36" s="58">
        <f t="shared" ref="E36:E67" si="2">C36*D36</f>
        <v>154.82499999999999</v>
      </c>
      <c r="F36" s="58"/>
      <c r="G36" s="58">
        <f t="shared" si="1"/>
        <v>154.82499999999999</v>
      </c>
      <c r="H36" s="51">
        <v>1297478</v>
      </c>
      <c r="I36" s="52" t="s">
        <v>138</v>
      </c>
      <c r="J36" s="51" t="s">
        <v>40</v>
      </c>
      <c r="K36" s="52" t="s">
        <v>19</v>
      </c>
      <c r="L36" s="51">
        <v>99497177</v>
      </c>
      <c r="M36" s="114"/>
      <c r="N36" s="48"/>
    </row>
    <row r="37" spans="1:14" s="53" customFormat="1" ht="15.75" x14ac:dyDescent="0.25">
      <c r="A37" s="49">
        <v>3160</v>
      </c>
      <c r="B37" s="50" t="s">
        <v>139</v>
      </c>
      <c r="C37" s="56">
        <v>2400</v>
      </c>
      <c r="D37" s="57">
        <v>0.25</v>
      </c>
      <c r="E37" s="58">
        <f t="shared" si="2"/>
        <v>600</v>
      </c>
      <c r="F37" s="58"/>
      <c r="G37" s="58">
        <f t="shared" si="1"/>
        <v>600</v>
      </c>
      <c r="H37" s="51">
        <v>2837163</v>
      </c>
      <c r="I37" s="52" t="s">
        <v>140</v>
      </c>
      <c r="J37" s="51" t="s">
        <v>46</v>
      </c>
      <c r="K37" s="52" t="s">
        <v>47</v>
      </c>
      <c r="L37" s="51">
        <v>99497455</v>
      </c>
      <c r="M37" s="114"/>
      <c r="N37" s="48"/>
    </row>
    <row r="38" spans="1:14" s="53" customFormat="1" ht="15.75" x14ac:dyDescent="0.25">
      <c r="A38" s="49">
        <v>3162</v>
      </c>
      <c r="B38" s="50" t="s">
        <v>141</v>
      </c>
      <c r="C38" s="56">
        <v>5734.4</v>
      </c>
      <c r="D38" s="57">
        <v>0.25</v>
      </c>
      <c r="E38" s="58">
        <f t="shared" si="2"/>
        <v>1433.6</v>
      </c>
      <c r="F38" s="58"/>
      <c r="G38" s="58">
        <f t="shared" si="1"/>
        <v>1433.6</v>
      </c>
      <c r="H38" s="51">
        <v>7017227</v>
      </c>
      <c r="I38" s="52" t="s">
        <v>142</v>
      </c>
      <c r="J38" s="51" t="s">
        <v>36</v>
      </c>
      <c r="K38" s="52" t="s">
        <v>37</v>
      </c>
      <c r="L38" s="51">
        <v>99523400</v>
      </c>
      <c r="M38" s="114"/>
      <c r="N38" s="48"/>
    </row>
    <row r="39" spans="1:14" s="195" customFormat="1" ht="15.75" x14ac:dyDescent="0.25">
      <c r="A39" s="138">
        <v>3164</v>
      </c>
      <c r="B39" s="139" t="s">
        <v>143</v>
      </c>
      <c r="C39" s="140">
        <v>2426.6</v>
      </c>
      <c r="D39" s="141">
        <v>0.25</v>
      </c>
      <c r="E39" s="142">
        <f t="shared" si="2"/>
        <v>606.65</v>
      </c>
      <c r="F39" s="142">
        <f>3.25+602.25</f>
        <v>605.5</v>
      </c>
      <c r="G39" s="142">
        <f t="shared" si="1"/>
        <v>1.1499999999999773</v>
      </c>
      <c r="H39" s="143">
        <v>7466062</v>
      </c>
      <c r="I39" s="192" t="s">
        <v>144</v>
      </c>
      <c r="J39" s="343" t="s">
        <v>145</v>
      </c>
      <c r="K39" s="192" t="s">
        <v>146</v>
      </c>
      <c r="L39" s="143">
        <v>91135005</v>
      </c>
      <c r="M39" s="172">
        <v>46002</v>
      </c>
      <c r="N39" s="335" t="s">
        <v>659</v>
      </c>
    </row>
    <row r="40" spans="1:14" s="53" customFormat="1" ht="15.75" x14ac:dyDescent="0.25">
      <c r="A40" s="49">
        <v>3165</v>
      </c>
      <c r="B40" s="50" t="s">
        <v>147</v>
      </c>
      <c r="C40" s="56">
        <v>460.7</v>
      </c>
      <c r="D40" s="57">
        <v>0.25</v>
      </c>
      <c r="E40" s="58">
        <f t="shared" si="2"/>
        <v>115.175</v>
      </c>
      <c r="F40" s="58"/>
      <c r="G40" s="58">
        <f t="shared" si="1"/>
        <v>115.175</v>
      </c>
      <c r="H40" s="51">
        <v>19029628</v>
      </c>
      <c r="I40" s="52" t="s">
        <v>148</v>
      </c>
      <c r="J40" s="51" t="s">
        <v>36</v>
      </c>
      <c r="K40" s="52" t="s">
        <v>37</v>
      </c>
      <c r="L40" s="51">
        <v>96055446</v>
      </c>
      <c r="M40" s="427"/>
      <c r="N40" s="48"/>
    </row>
    <row r="41" spans="1:14" s="53" customFormat="1" ht="15.75" x14ac:dyDescent="0.25">
      <c r="A41" s="49">
        <v>3169</v>
      </c>
      <c r="B41" s="50" t="s">
        <v>34</v>
      </c>
      <c r="C41" s="56">
        <v>2509.1999999999998</v>
      </c>
      <c r="D41" s="57">
        <v>0.25</v>
      </c>
      <c r="E41" s="58">
        <f t="shared" si="2"/>
        <v>627.29999999999995</v>
      </c>
      <c r="F41" s="58"/>
      <c r="G41" s="58">
        <f t="shared" si="1"/>
        <v>627.29999999999995</v>
      </c>
      <c r="H41" s="51">
        <v>3068756</v>
      </c>
      <c r="I41" s="52" t="s">
        <v>35</v>
      </c>
      <c r="J41" s="51" t="s">
        <v>36</v>
      </c>
      <c r="K41" s="52" t="s">
        <v>37</v>
      </c>
      <c r="L41" s="51">
        <v>99691806</v>
      </c>
      <c r="M41" s="114"/>
      <c r="N41" s="48"/>
    </row>
    <row r="42" spans="1:14" s="195" customFormat="1" ht="15.75" x14ac:dyDescent="0.25">
      <c r="A42" s="138">
        <v>3171</v>
      </c>
      <c r="B42" s="139" t="s">
        <v>149</v>
      </c>
      <c r="C42" s="140">
        <v>1120.2</v>
      </c>
      <c r="D42" s="141">
        <v>0.25</v>
      </c>
      <c r="E42" s="142">
        <f t="shared" si="2"/>
        <v>280.05</v>
      </c>
      <c r="F42" s="142">
        <v>277</v>
      </c>
      <c r="G42" s="142">
        <f t="shared" si="1"/>
        <v>3.0500000000000114</v>
      </c>
      <c r="H42" s="143">
        <v>7239057</v>
      </c>
      <c r="I42" s="192" t="s">
        <v>150</v>
      </c>
      <c r="J42" s="143" t="s">
        <v>88</v>
      </c>
      <c r="K42" s="192" t="s">
        <v>89</v>
      </c>
      <c r="L42" s="143">
        <v>95880860</v>
      </c>
      <c r="M42" s="172" t="s">
        <v>632</v>
      </c>
      <c r="N42" s="270"/>
    </row>
    <row r="43" spans="1:14" s="53" customFormat="1" ht="15.75" x14ac:dyDescent="0.25">
      <c r="A43" s="49">
        <v>3172</v>
      </c>
      <c r="B43" s="50" t="s">
        <v>151</v>
      </c>
      <c r="C43" s="56">
        <v>1316.4</v>
      </c>
      <c r="D43" s="57">
        <v>0.25</v>
      </c>
      <c r="E43" s="58">
        <f t="shared" si="2"/>
        <v>329.1</v>
      </c>
      <c r="F43" s="58"/>
      <c r="G43" s="58">
        <f t="shared" si="1"/>
        <v>329.1</v>
      </c>
      <c r="H43" s="51">
        <v>5276984</v>
      </c>
      <c r="I43" s="52" t="s">
        <v>152</v>
      </c>
      <c r="J43" s="51" t="s">
        <v>40</v>
      </c>
      <c r="K43" s="52" t="s">
        <v>19</v>
      </c>
      <c r="L43" s="51">
        <v>99188860</v>
      </c>
      <c r="M43" s="114"/>
      <c r="N43" s="48"/>
    </row>
    <row r="44" spans="1:14" s="53" customFormat="1" ht="15.75" x14ac:dyDescent="0.25">
      <c r="A44" s="49">
        <v>3173</v>
      </c>
      <c r="B44" s="50" t="s">
        <v>153</v>
      </c>
      <c r="C44" s="56">
        <v>725.1</v>
      </c>
      <c r="D44" s="57">
        <v>0.25</v>
      </c>
      <c r="E44" s="58">
        <f t="shared" si="2"/>
        <v>181.27500000000001</v>
      </c>
      <c r="F44" s="58">
        <f>178.2</f>
        <v>178.2</v>
      </c>
      <c r="G44" s="58">
        <f t="shared" si="1"/>
        <v>3.0750000000000171</v>
      </c>
      <c r="H44" s="51">
        <v>6825655</v>
      </c>
      <c r="I44" s="52" t="s">
        <v>154</v>
      </c>
      <c r="J44" s="51" t="s">
        <v>40</v>
      </c>
      <c r="K44" s="52" t="s">
        <v>19</v>
      </c>
      <c r="L44" s="51">
        <v>98957747</v>
      </c>
      <c r="M44" s="466" t="s">
        <v>661</v>
      </c>
      <c r="N44" s="48"/>
    </row>
    <row r="45" spans="1:14" s="53" customFormat="1" ht="15.75" x14ac:dyDescent="0.25">
      <c r="A45" s="49">
        <v>3174</v>
      </c>
      <c r="B45" s="50" t="s">
        <v>155</v>
      </c>
      <c r="C45" s="56">
        <v>1013.5</v>
      </c>
      <c r="D45" s="57">
        <v>0.25</v>
      </c>
      <c r="E45" s="58">
        <f t="shared" si="2"/>
        <v>253.375</v>
      </c>
      <c r="F45" s="58"/>
      <c r="G45" s="58">
        <f t="shared" si="1"/>
        <v>253.375</v>
      </c>
      <c r="H45" s="51">
        <v>7547492</v>
      </c>
      <c r="I45" s="52" t="s">
        <v>156</v>
      </c>
      <c r="J45" s="51" t="s">
        <v>40</v>
      </c>
      <c r="K45" s="52" t="s">
        <v>19</v>
      </c>
      <c r="L45" s="51">
        <v>91790502</v>
      </c>
      <c r="M45" s="114"/>
      <c r="N45" s="48"/>
    </row>
    <row r="46" spans="1:14" s="195" customFormat="1" ht="15.75" x14ac:dyDescent="0.25">
      <c r="A46" s="138">
        <v>3175</v>
      </c>
      <c r="B46" s="139" t="s">
        <v>157</v>
      </c>
      <c r="C46" s="140">
        <v>776.3</v>
      </c>
      <c r="D46" s="141">
        <v>0.25</v>
      </c>
      <c r="E46" s="142">
        <f t="shared" si="2"/>
        <v>194.07499999999999</v>
      </c>
      <c r="F46" s="142">
        <v>193.09999999999997</v>
      </c>
      <c r="G46" s="142">
        <f t="shared" si="1"/>
        <v>0.97500000000002274</v>
      </c>
      <c r="H46" s="143">
        <v>7325076</v>
      </c>
      <c r="I46" s="192" t="s">
        <v>158</v>
      </c>
      <c r="J46" s="143" t="s">
        <v>83</v>
      </c>
      <c r="K46" s="192" t="s">
        <v>84</v>
      </c>
      <c r="L46" s="143">
        <v>92890700</v>
      </c>
      <c r="M46" s="172" t="s">
        <v>660</v>
      </c>
      <c r="N46" s="270"/>
    </row>
    <row r="47" spans="1:14" s="53" customFormat="1" ht="15.75" x14ac:dyDescent="0.25">
      <c r="A47" s="49">
        <v>3176</v>
      </c>
      <c r="B47" s="87" t="s">
        <v>159</v>
      </c>
      <c r="C47" s="56">
        <v>507.3</v>
      </c>
      <c r="D47" s="57">
        <v>0.25</v>
      </c>
      <c r="E47" s="58">
        <f t="shared" si="2"/>
        <v>126.825</v>
      </c>
      <c r="F47" s="58"/>
      <c r="G47" s="58">
        <f t="shared" si="1"/>
        <v>126.825</v>
      </c>
      <c r="H47" s="88">
        <v>12178145</v>
      </c>
      <c r="I47" s="89" t="s">
        <v>160</v>
      </c>
      <c r="J47" s="88" t="s">
        <v>40</v>
      </c>
      <c r="K47" s="89" t="s">
        <v>19</v>
      </c>
      <c r="L47" s="88">
        <v>93348565</v>
      </c>
      <c r="M47" s="114"/>
      <c r="N47" s="48"/>
    </row>
    <row r="48" spans="1:14" s="53" customFormat="1" ht="15.75" x14ac:dyDescent="0.25">
      <c r="A48" s="49">
        <v>3179</v>
      </c>
      <c r="B48" s="50" t="s">
        <v>161</v>
      </c>
      <c r="C48" s="56">
        <v>2651.7</v>
      </c>
      <c r="D48" s="57">
        <v>0.25</v>
      </c>
      <c r="E48" s="58">
        <f t="shared" si="2"/>
        <v>662.92499999999995</v>
      </c>
      <c r="F48" s="58"/>
      <c r="G48" s="58">
        <f t="shared" si="1"/>
        <v>662.92499999999995</v>
      </c>
      <c r="H48" s="51">
        <v>1870852</v>
      </c>
      <c r="I48" s="52" t="s">
        <v>162</v>
      </c>
      <c r="J48" s="51" t="s">
        <v>88</v>
      </c>
      <c r="K48" s="52" t="s">
        <v>89</v>
      </c>
      <c r="L48" s="51">
        <v>99050691</v>
      </c>
      <c r="M48" s="114"/>
      <c r="N48" s="48"/>
    </row>
    <row r="49" spans="1:14" s="53" customFormat="1" ht="15.75" x14ac:dyDescent="0.25">
      <c r="A49" s="49">
        <v>3181</v>
      </c>
      <c r="B49" s="50" t="s">
        <v>163</v>
      </c>
      <c r="C49" s="56">
        <v>2547.4</v>
      </c>
      <c r="D49" s="57">
        <v>0.25</v>
      </c>
      <c r="E49" s="58">
        <f t="shared" si="2"/>
        <v>636.85</v>
      </c>
      <c r="F49" s="58"/>
      <c r="G49" s="58">
        <f t="shared" si="1"/>
        <v>636.85</v>
      </c>
      <c r="H49" s="51">
        <v>6116067</v>
      </c>
      <c r="I49" s="52" t="s">
        <v>164</v>
      </c>
      <c r="J49" s="51" t="s">
        <v>88</v>
      </c>
      <c r="K49" s="52" t="s">
        <v>89</v>
      </c>
      <c r="L49" s="51">
        <v>99191102</v>
      </c>
      <c r="M49" s="114"/>
      <c r="N49" s="48"/>
    </row>
    <row r="50" spans="1:14" s="195" customFormat="1" ht="15.75" x14ac:dyDescent="0.25">
      <c r="A50" s="138">
        <v>3183</v>
      </c>
      <c r="B50" s="342" t="s">
        <v>165</v>
      </c>
      <c r="C50" s="140">
        <v>1284.4000000000001</v>
      </c>
      <c r="D50" s="141">
        <v>0.25</v>
      </c>
      <c r="E50" s="142">
        <f t="shared" si="2"/>
        <v>321.10000000000002</v>
      </c>
      <c r="F50" s="142">
        <v>319.42499999999995</v>
      </c>
      <c r="G50" s="142">
        <f t="shared" si="1"/>
        <v>1.6750000000000682</v>
      </c>
      <c r="H50" s="143">
        <v>4955092</v>
      </c>
      <c r="I50" s="192" t="s">
        <v>166</v>
      </c>
      <c r="J50" s="343" t="s">
        <v>40</v>
      </c>
      <c r="K50" s="192" t="s">
        <v>19</v>
      </c>
      <c r="L50" s="143">
        <v>98152775</v>
      </c>
      <c r="M50" s="393" t="s">
        <v>659</v>
      </c>
      <c r="N50" s="270"/>
    </row>
    <row r="51" spans="1:14" s="53" customFormat="1" ht="15.75" x14ac:dyDescent="0.25">
      <c r="A51" s="49">
        <v>3184</v>
      </c>
      <c r="B51" s="50" t="s">
        <v>69</v>
      </c>
      <c r="C51" s="56">
        <v>2570.1</v>
      </c>
      <c r="D51" s="57">
        <v>0.25</v>
      </c>
      <c r="E51" s="58">
        <f t="shared" si="2"/>
        <v>642.52499999999998</v>
      </c>
      <c r="F51" s="58"/>
      <c r="G51" s="58">
        <f t="shared" si="1"/>
        <v>642.52499999999998</v>
      </c>
      <c r="H51" s="51">
        <v>6701602</v>
      </c>
      <c r="I51" s="52" t="s">
        <v>167</v>
      </c>
      <c r="J51" s="51" t="s">
        <v>36</v>
      </c>
      <c r="K51" s="52" t="s">
        <v>37</v>
      </c>
      <c r="L51" s="51">
        <v>99496161</v>
      </c>
      <c r="M51" s="114"/>
      <c r="N51" s="48"/>
    </row>
    <row r="52" spans="1:14" s="195" customFormat="1" ht="15.75" x14ac:dyDescent="0.25">
      <c r="A52" s="138">
        <v>3185</v>
      </c>
      <c r="B52" s="139" t="s">
        <v>168</v>
      </c>
      <c r="C52" s="140">
        <v>1240.4000000000001</v>
      </c>
      <c r="D52" s="141">
        <v>0.25</v>
      </c>
      <c r="E52" s="142">
        <f t="shared" si="2"/>
        <v>310.10000000000002</v>
      </c>
      <c r="F52" s="142">
        <v>308.42500000000001</v>
      </c>
      <c r="G52" s="142">
        <f t="shared" si="1"/>
        <v>1.6750000000000114</v>
      </c>
      <c r="H52" s="143">
        <v>15179209</v>
      </c>
      <c r="I52" s="192" t="s">
        <v>169</v>
      </c>
      <c r="J52" s="143" t="s">
        <v>40</v>
      </c>
      <c r="K52" s="192" t="s">
        <v>19</v>
      </c>
      <c r="L52" s="143">
        <v>94919974</v>
      </c>
      <c r="M52" s="393" t="s">
        <v>659</v>
      </c>
      <c r="N52" s="270"/>
    </row>
    <row r="53" spans="1:14" s="195" customFormat="1" ht="15.75" x14ac:dyDescent="0.25">
      <c r="A53" s="138">
        <v>3188</v>
      </c>
      <c r="B53" s="139" t="s">
        <v>170</v>
      </c>
      <c r="C53" s="140">
        <v>1584.7</v>
      </c>
      <c r="D53" s="141">
        <v>0.25</v>
      </c>
      <c r="E53" s="142">
        <f t="shared" si="2"/>
        <v>396.17500000000001</v>
      </c>
      <c r="F53" s="142">
        <v>394.79999999999995</v>
      </c>
      <c r="G53" s="142">
        <f t="shared" si="1"/>
        <v>1.3750000000000568</v>
      </c>
      <c r="H53" s="143">
        <v>19290729</v>
      </c>
      <c r="I53" s="192" t="s">
        <v>171</v>
      </c>
      <c r="J53" s="192" t="s">
        <v>36</v>
      </c>
      <c r="K53" s="192" t="s">
        <v>37</v>
      </c>
      <c r="L53" s="143">
        <v>95606029</v>
      </c>
      <c r="M53" s="172" t="s">
        <v>663</v>
      </c>
      <c r="N53" s="270"/>
    </row>
    <row r="54" spans="1:14" s="53" customFormat="1" ht="15.75" x14ac:dyDescent="0.25">
      <c r="A54" s="49">
        <v>3189</v>
      </c>
      <c r="B54" s="50" t="s">
        <v>172</v>
      </c>
      <c r="C54" s="56">
        <v>917.1</v>
      </c>
      <c r="D54" s="57">
        <v>0.25</v>
      </c>
      <c r="E54" s="58">
        <f t="shared" si="2"/>
        <v>229.27500000000001</v>
      </c>
      <c r="F54" s="58"/>
      <c r="G54" s="58">
        <f t="shared" si="1"/>
        <v>229.27500000000001</v>
      </c>
      <c r="H54" s="51">
        <v>2802613</v>
      </c>
      <c r="I54" s="52" t="s">
        <v>173</v>
      </c>
      <c r="J54" s="51" t="s">
        <v>40</v>
      </c>
      <c r="K54" s="52" t="s">
        <v>19</v>
      </c>
      <c r="L54" s="51">
        <v>99480848</v>
      </c>
      <c r="M54" s="114"/>
      <c r="N54" s="48"/>
    </row>
    <row r="55" spans="1:14" s="53" customFormat="1" ht="15.75" x14ac:dyDescent="0.25">
      <c r="A55" s="85">
        <v>3190</v>
      </c>
      <c r="B55" s="50" t="s">
        <v>174</v>
      </c>
      <c r="C55" s="56">
        <v>596.5</v>
      </c>
      <c r="D55" s="57">
        <v>0.25</v>
      </c>
      <c r="E55" s="58">
        <f t="shared" si="2"/>
        <v>149.125</v>
      </c>
      <c r="F55" s="58"/>
      <c r="G55" s="58">
        <f t="shared" si="1"/>
        <v>149.125</v>
      </c>
      <c r="H55" s="51">
        <v>3555896</v>
      </c>
      <c r="I55" s="194" t="s">
        <v>175</v>
      </c>
      <c r="J55" s="51" t="s">
        <v>40</v>
      </c>
      <c r="K55" s="52" t="s">
        <v>19</v>
      </c>
      <c r="L55" s="51">
        <v>92881155</v>
      </c>
      <c r="M55" s="114"/>
      <c r="N55" s="48"/>
    </row>
    <row r="56" spans="1:14" s="195" customFormat="1" ht="15.75" x14ac:dyDescent="0.25">
      <c r="A56" s="138">
        <v>3192</v>
      </c>
      <c r="B56" s="139" t="s">
        <v>38</v>
      </c>
      <c r="C56" s="140">
        <v>982</v>
      </c>
      <c r="D56" s="141">
        <v>0.25</v>
      </c>
      <c r="E56" s="142">
        <f t="shared" si="2"/>
        <v>245.5</v>
      </c>
      <c r="F56" s="142">
        <v>244.8</v>
      </c>
      <c r="G56" s="142">
        <f t="shared" si="1"/>
        <v>0.69999999999998863</v>
      </c>
      <c r="H56" s="143">
        <v>5271448</v>
      </c>
      <c r="I56" s="192" t="s">
        <v>39</v>
      </c>
      <c r="J56" s="143" t="s">
        <v>40</v>
      </c>
      <c r="K56" s="192" t="s">
        <v>19</v>
      </c>
      <c r="L56" s="143">
        <v>99489918</v>
      </c>
      <c r="M56" s="172" t="s">
        <v>660</v>
      </c>
      <c r="N56" s="270"/>
    </row>
    <row r="57" spans="1:14" s="92" customFormat="1" ht="15.75" x14ac:dyDescent="0.25">
      <c r="A57" s="49">
        <v>3195</v>
      </c>
      <c r="B57" s="50" t="s">
        <v>176</v>
      </c>
      <c r="C57" s="56">
        <v>628.5</v>
      </c>
      <c r="D57" s="57">
        <v>0.25</v>
      </c>
      <c r="E57" s="58">
        <f t="shared" si="2"/>
        <v>157.125</v>
      </c>
      <c r="F57" s="58"/>
      <c r="G57" s="58">
        <f t="shared" si="1"/>
        <v>157.125</v>
      </c>
      <c r="H57" s="51">
        <v>675849</v>
      </c>
      <c r="I57" s="52" t="s">
        <v>177</v>
      </c>
      <c r="J57" s="51" t="s">
        <v>36</v>
      </c>
      <c r="K57" s="52" t="s">
        <v>37</v>
      </c>
      <c r="L57" s="51">
        <v>99483811</v>
      </c>
      <c r="M57" s="114"/>
      <c r="N57" s="48"/>
    </row>
    <row r="58" spans="1:14" s="92" customFormat="1" ht="15.75" x14ac:dyDescent="0.25">
      <c r="A58" s="49">
        <v>3196</v>
      </c>
      <c r="B58" s="93" t="s">
        <v>178</v>
      </c>
      <c r="C58" s="56">
        <v>627</v>
      </c>
      <c r="D58" s="57">
        <v>0.25</v>
      </c>
      <c r="E58" s="58">
        <f t="shared" si="2"/>
        <v>156.75</v>
      </c>
      <c r="F58" s="58"/>
      <c r="G58" s="58">
        <f t="shared" si="1"/>
        <v>156.75</v>
      </c>
      <c r="H58" s="51">
        <v>21080217</v>
      </c>
      <c r="I58" s="52" t="s">
        <v>179</v>
      </c>
      <c r="J58" s="51" t="s">
        <v>40</v>
      </c>
      <c r="K58" s="52" t="s">
        <v>19</v>
      </c>
      <c r="L58" s="51">
        <v>95490778</v>
      </c>
      <c r="M58" s="114"/>
      <c r="N58" s="48"/>
    </row>
    <row r="59" spans="1:14" s="92" customFormat="1" ht="15.75" x14ac:dyDescent="0.25">
      <c r="A59" s="49">
        <v>3197</v>
      </c>
      <c r="B59" s="50" t="s">
        <v>180</v>
      </c>
      <c r="C59" s="56">
        <v>1860.4</v>
      </c>
      <c r="D59" s="57">
        <v>0.25</v>
      </c>
      <c r="E59" s="58">
        <f t="shared" si="2"/>
        <v>465.1</v>
      </c>
      <c r="F59" s="58"/>
      <c r="G59" s="58">
        <f t="shared" si="1"/>
        <v>465.1</v>
      </c>
      <c r="H59" s="51">
        <v>6479515</v>
      </c>
      <c r="I59" s="52" t="s">
        <v>181</v>
      </c>
      <c r="J59" s="51" t="s">
        <v>40</v>
      </c>
      <c r="K59" s="52" t="s">
        <v>19</v>
      </c>
      <c r="L59" s="51">
        <v>92349032</v>
      </c>
      <c r="M59" s="114"/>
      <c r="N59" s="48"/>
    </row>
    <row r="60" spans="1:14" s="92" customFormat="1" ht="15.75" x14ac:dyDescent="0.25">
      <c r="A60" s="49">
        <v>3198</v>
      </c>
      <c r="B60" s="74" t="s">
        <v>44</v>
      </c>
      <c r="C60" s="56">
        <v>507.8</v>
      </c>
      <c r="D60" s="57">
        <v>0.25</v>
      </c>
      <c r="E60" s="58">
        <f t="shared" si="2"/>
        <v>126.95</v>
      </c>
      <c r="F60" s="58"/>
      <c r="G60" s="58">
        <f t="shared" si="1"/>
        <v>126.95</v>
      </c>
      <c r="H60" s="75">
        <v>6360793</v>
      </c>
      <c r="I60" s="52" t="s">
        <v>45</v>
      </c>
      <c r="J60" s="75" t="s">
        <v>46</v>
      </c>
      <c r="K60" s="76" t="s">
        <v>47</v>
      </c>
      <c r="L60" s="51">
        <v>99336200</v>
      </c>
      <c r="M60" s="114"/>
      <c r="N60" s="48"/>
    </row>
    <row r="61" spans="1:14" s="53" customFormat="1" ht="15.75" x14ac:dyDescent="0.25">
      <c r="A61" s="49">
        <v>3310</v>
      </c>
      <c r="B61" s="50" t="s">
        <v>182</v>
      </c>
      <c r="C61" s="56">
        <v>1281.3</v>
      </c>
      <c r="D61" s="57">
        <v>0.25</v>
      </c>
      <c r="E61" s="58">
        <f t="shared" si="2"/>
        <v>320.32499999999999</v>
      </c>
      <c r="F61" s="58"/>
      <c r="G61" s="58">
        <f t="shared" si="1"/>
        <v>320.32499999999999</v>
      </c>
      <c r="H61" s="51">
        <v>1007615</v>
      </c>
      <c r="I61" s="52" t="s">
        <v>183</v>
      </c>
      <c r="J61" s="51" t="s">
        <v>40</v>
      </c>
      <c r="K61" s="52" t="s">
        <v>19</v>
      </c>
      <c r="L61" s="51">
        <v>99056614</v>
      </c>
      <c r="M61" s="428"/>
      <c r="N61" s="48"/>
    </row>
    <row r="62" spans="1:14" s="53" customFormat="1" ht="15.75" x14ac:dyDescent="0.25">
      <c r="A62" s="49">
        <v>3324</v>
      </c>
      <c r="B62" s="51" t="s">
        <v>184</v>
      </c>
      <c r="C62" s="56">
        <v>1902.7</v>
      </c>
      <c r="D62" s="57">
        <v>0.25</v>
      </c>
      <c r="E62" s="58">
        <f t="shared" si="2"/>
        <v>475.67500000000001</v>
      </c>
      <c r="F62" s="58"/>
      <c r="G62" s="58">
        <f t="shared" si="1"/>
        <v>475.67500000000001</v>
      </c>
      <c r="H62" s="52">
        <v>207402</v>
      </c>
      <c r="I62" s="52" t="s">
        <v>185</v>
      </c>
      <c r="J62" s="52" t="s">
        <v>40</v>
      </c>
      <c r="K62" s="52" t="s">
        <v>19</v>
      </c>
      <c r="L62" s="51">
        <v>99487533</v>
      </c>
      <c r="M62" s="114"/>
      <c r="N62" s="48"/>
    </row>
    <row r="63" spans="1:14" s="53" customFormat="1" ht="15.75" x14ac:dyDescent="0.25">
      <c r="A63" s="49">
        <v>3330</v>
      </c>
      <c r="B63" s="51" t="s">
        <v>186</v>
      </c>
      <c r="C63" s="56">
        <v>2337.4</v>
      </c>
      <c r="D63" s="57">
        <v>0.25</v>
      </c>
      <c r="E63" s="58">
        <f t="shared" si="2"/>
        <v>584.35</v>
      </c>
      <c r="F63" s="58"/>
      <c r="G63" s="58">
        <f t="shared" si="1"/>
        <v>584.35</v>
      </c>
      <c r="H63" s="52">
        <v>6375079</v>
      </c>
      <c r="I63" s="52" t="s">
        <v>187</v>
      </c>
      <c r="J63" s="52" t="s">
        <v>188</v>
      </c>
      <c r="K63" s="52" t="s">
        <v>19</v>
      </c>
      <c r="L63" s="51"/>
      <c r="M63" s="429"/>
      <c r="N63" s="48"/>
    </row>
    <row r="64" spans="1:14" s="53" customFormat="1" ht="15.75" x14ac:dyDescent="0.25">
      <c r="A64" s="49">
        <v>3333</v>
      </c>
      <c r="B64" s="51" t="s">
        <v>189</v>
      </c>
      <c r="C64" s="56">
        <v>1786</v>
      </c>
      <c r="D64" s="57">
        <v>0.25</v>
      </c>
      <c r="E64" s="58">
        <f t="shared" si="2"/>
        <v>446.5</v>
      </c>
      <c r="F64" s="95"/>
      <c r="G64" s="58">
        <f t="shared" si="1"/>
        <v>446.5</v>
      </c>
      <c r="H64" s="96">
        <v>757601</v>
      </c>
      <c r="I64" s="96" t="s">
        <v>190</v>
      </c>
      <c r="J64" s="96" t="s">
        <v>83</v>
      </c>
      <c r="K64" s="96" t="s">
        <v>84</v>
      </c>
      <c r="L64" s="97"/>
      <c r="M64" s="429"/>
      <c r="N64" s="48"/>
    </row>
    <row r="65" spans="1:14" s="195" customFormat="1" ht="15.75" x14ac:dyDescent="0.25">
      <c r="A65" s="138">
        <v>3339</v>
      </c>
      <c r="B65" s="143" t="s">
        <v>191</v>
      </c>
      <c r="C65" s="140">
        <v>689.8</v>
      </c>
      <c r="D65" s="141">
        <v>0.25</v>
      </c>
      <c r="E65" s="142">
        <f t="shared" si="2"/>
        <v>172.45</v>
      </c>
      <c r="F65" s="142">
        <v>169.27500000000001</v>
      </c>
      <c r="G65" s="142">
        <f t="shared" si="1"/>
        <v>3.1749999999999829</v>
      </c>
      <c r="H65" s="192">
        <v>12415718</v>
      </c>
      <c r="I65" s="192" t="s">
        <v>192</v>
      </c>
      <c r="J65" s="143" t="s">
        <v>40</v>
      </c>
      <c r="K65" s="192" t="s">
        <v>19</v>
      </c>
      <c r="L65" s="143"/>
      <c r="M65" s="393" t="s">
        <v>659</v>
      </c>
      <c r="N65" s="270"/>
    </row>
    <row r="66" spans="1:14" s="53" customFormat="1" ht="15.75" x14ac:dyDescent="0.25">
      <c r="A66" s="49">
        <v>3341</v>
      </c>
      <c r="B66" s="88" t="s">
        <v>328</v>
      </c>
      <c r="C66" s="56">
        <v>373.4</v>
      </c>
      <c r="D66" s="57">
        <v>0.25</v>
      </c>
      <c r="E66" s="58">
        <f t="shared" si="2"/>
        <v>93.35</v>
      </c>
      <c r="F66" s="58"/>
      <c r="G66" s="58">
        <f t="shared" si="1"/>
        <v>93.35</v>
      </c>
      <c r="H66" s="89">
        <v>702161</v>
      </c>
      <c r="I66" s="89" t="s">
        <v>329</v>
      </c>
      <c r="J66" s="88" t="s">
        <v>88</v>
      </c>
      <c r="K66" s="89" t="s">
        <v>89</v>
      </c>
      <c r="L66" s="51">
        <v>99290644</v>
      </c>
      <c r="M66" s="429"/>
      <c r="N66" s="48"/>
    </row>
    <row r="67" spans="1:14" s="462" customFormat="1" ht="15.6" customHeight="1" x14ac:dyDescent="0.25">
      <c r="A67" s="450">
        <v>3500</v>
      </c>
      <c r="B67" s="418" t="s">
        <v>193</v>
      </c>
      <c r="C67" s="459"/>
      <c r="D67" s="453">
        <v>0.25</v>
      </c>
      <c r="E67" s="416">
        <f t="shared" si="2"/>
        <v>0</v>
      </c>
      <c r="F67" s="416"/>
      <c r="G67" s="416">
        <f t="shared" si="1"/>
        <v>0</v>
      </c>
      <c r="H67" s="417">
        <v>13525845</v>
      </c>
      <c r="I67" s="417" t="s">
        <v>194</v>
      </c>
      <c r="J67" s="418" t="s">
        <v>83</v>
      </c>
      <c r="K67" s="417" t="s">
        <v>84</v>
      </c>
      <c r="L67" s="418">
        <v>93985671</v>
      </c>
      <c r="M67" s="460"/>
      <c r="N67" s="461"/>
    </row>
    <row r="68" spans="1:14" s="53" customFormat="1" ht="15.75" x14ac:dyDescent="0.25">
      <c r="A68" s="49">
        <v>3501</v>
      </c>
      <c r="B68" s="51" t="s">
        <v>195</v>
      </c>
      <c r="C68" s="56">
        <v>1676.7</v>
      </c>
      <c r="D68" s="57">
        <v>0.25</v>
      </c>
      <c r="E68" s="58">
        <f t="shared" ref="E68:E99" si="3">C68*D68</f>
        <v>419.17500000000001</v>
      </c>
      <c r="F68" s="58"/>
      <c r="G68" s="58">
        <f t="shared" si="1"/>
        <v>419.17500000000001</v>
      </c>
      <c r="H68" s="52">
        <v>13525794</v>
      </c>
      <c r="I68" s="52" t="s">
        <v>196</v>
      </c>
      <c r="J68" s="51" t="s">
        <v>40</v>
      </c>
      <c r="K68" s="52" t="s">
        <v>19</v>
      </c>
      <c r="L68" s="51">
        <v>92868004</v>
      </c>
      <c r="M68" s="115"/>
      <c r="N68" s="48"/>
    </row>
    <row r="69" spans="1:14" s="53" customFormat="1" ht="15.75" x14ac:dyDescent="0.25">
      <c r="A69" s="49">
        <v>3502</v>
      </c>
      <c r="B69" s="93" t="s">
        <v>198</v>
      </c>
      <c r="C69" s="56">
        <v>1906.1</v>
      </c>
      <c r="D69" s="57">
        <v>0.25</v>
      </c>
      <c r="E69" s="58">
        <f t="shared" si="3"/>
        <v>476.52499999999998</v>
      </c>
      <c r="F69" s="58"/>
      <c r="G69" s="58">
        <f t="shared" ref="G69:G132" si="4">E69-F69</f>
        <v>476.52499999999998</v>
      </c>
      <c r="H69" s="52">
        <v>22522336</v>
      </c>
      <c r="I69" s="52" t="s">
        <v>199</v>
      </c>
      <c r="J69" s="51" t="s">
        <v>36</v>
      </c>
      <c r="K69" s="52" t="s">
        <v>37</v>
      </c>
      <c r="L69" s="51"/>
      <c r="M69" s="115"/>
      <c r="N69" s="48"/>
    </row>
    <row r="70" spans="1:14" s="53" customFormat="1" ht="15.75" x14ac:dyDescent="0.25">
      <c r="A70" s="49">
        <v>3503</v>
      </c>
      <c r="B70" s="51" t="s">
        <v>200</v>
      </c>
      <c r="C70" s="56">
        <v>622.1</v>
      </c>
      <c r="D70" s="57">
        <v>0.25</v>
      </c>
      <c r="E70" s="58">
        <f t="shared" si="3"/>
        <v>155.52500000000001</v>
      </c>
      <c r="F70" s="58"/>
      <c r="G70" s="58">
        <f t="shared" si="4"/>
        <v>155.52500000000001</v>
      </c>
      <c r="H70" s="52">
        <v>9212492</v>
      </c>
      <c r="I70" s="52" t="s">
        <v>201</v>
      </c>
      <c r="J70" s="51" t="s">
        <v>40</v>
      </c>
      <c r="K70" s="52" t="s">
        <v>19</v>
      </c>
      <c r="L70" s="51">
        <v>98080144</v>
      </c>
      <c r="M70" s="115"/>
      <c r="N70" s="48"/>
    </row>
    <row r="71" spans="1:14" s="462" customFormat="1" ht="15.6" customHeight="1" x14ac:dyDescent="0.25">
      <c r="A71" s="450">
        <v>3504</v>
      </c>
      <c r="B71" s="418" t="s">
        <v>202</v>
      </c>
      <c r="C71" s="459"/>
      <c r="D71" s="453">
        <v>0.25</v>
      </c>
      <c r="E71" s="416">
        <f t="shared" si="3"/>
        <v>0</v>
      </c>
      <c r="F71" s="416"/>
      <c r="G71" s="416">
        <f t="shared" si="4"/>
        <v>0</v>
      </c>
      <c r="H71" s="417">
        <v>939641</v>
      </c>
      <c r="I71" s="417" t="s">
        <v>203</v>
      </c>
      <c r="J71" s="418" t="s">
        <v>40</v>
      </c>
      <c r="K71" s="417" t="s">
        <v>19</v>
      </c>
      <c r="L71" s="418">
        <v>99588609</v>
      </c>
      <c r="M71" s="460"/>
      <c r="N71" s="461"/>
    </row>
    <row r="72" spans="1:14" s="195" customFormat="1" ht="15.75" x14ac:dyDescent="0.25">
      <c r="A72" s="138">
        <v>3506</v>
      </c>
      <c r="B72" s="143" t="s">
        <v>205</v>
      </c>
      <c r="C72" s="140">
        <v>526.20000000000005</v>
      </c>
      <c r="D72" s="141">
        <v>0.25</v>
      </c>
      <c r="E72" s="142">
        <f t="shared" si="3"/>
        <v>131.55000000000001</v>
      </c>
      <c r="F72" s="142">
        <v>114.42500000000003</v>
      </c>
      <c r="G72" s="142">
        <f t="shared" si="4"/>
        <v>17.124999999999986</v>
      </c>
      <c r="H72" s="192">
        <v>13307752</v>
      </c>
      <c r="I72" s="192" t="s">
        <v>206</v>
      </c>
      <c r="J72" s="143" t="s">
        <v>40</v>
      </c>
      <c r="K72" s="192" t="s">
        <v>19</v>
      </c>
      <c r="L72" s="143">
        <v>99294425</v>
      </c>
      <c r="M72" s="393">
        <v>45941</v>
      </c>
      <c r="N72" s="270"/>
    </row>
    <row r="73" spans="1:14" s="53" customFormat="1" ht="15.75" x14ac:dyDescent="0.25">
      <c r="A73" s="49">
        <v>3507</v>
      </c>
      <c r="B73" s="51" t="s">
        <v>207</v>
      </c>
      <c r="C73" s="56">
        <v>1049</v>
      </c>
      <c r="D73" s="57">
        <v>0.25</v>
      </c>
      <c r="E73" s="58">
        <f t="shared" si="3"/>
        <v>262.25</v>
      </c>
      <c r="F73" s="58"/>
      <c r="G73" s="58">
        <f t="shared" si="4"/>
        <v>262.25</v>
      </c>
      <c r="H73" s="52">
        <v>1184669</v>
      </c>
      <c r="I73" s="52" t="s">
        <v>208</v>
      </c>
      <c r="J73" s="51" t="s">
        <v>36</v>
      </c>
      <c r="K73" s="52" t="s">
        <v>37</v>
      </c>
      <c r="L73" s="51">
        <v>99291928</v>
      </c>
      <c r="M73" s="115"/>
      <c r="N73" s="48"/>
    </row>
    <row r="74" spans="1:14" s="53" customFormat="1" ht="15.75" x14ac:dyDescent="0.25">
      <c r="A74" s="49">
        <v>3508</v>
      </c>
      <c r="B74" s="51" t="s">
        <v>49</v>
      </c>
      <c r="C74" s="56">
        <v>1189.5</v>
      </c>
      <c r="D74" s="57">
        <v>0.25</v>
      </c>
      <c r="E74" s="58">
        <f t="shared" si="3"/>
        <v>297.375</v>
      </c>
      <c r="F74" s="58"/>
      <c r="G74" s="58">
        <f t="shared" si="4"/>
        <v>297.375</v>
      </c>
      <c r="H74" s="52">
        <v>2567166</v>
      </c>
      <c r="I74" s="52" t="s">
        <v>50</v>
      </c>
      <c r="J74" s="51" t="s">
        <v>40</v>
      </c>
      <c r="K74" s="52" t="s">
        <v>19</v>
      </c>
      <c r="L74" s="51">
        <v>92570156</v>
      </c>
      <c r="M74" s="115"/>
      <c r="N74" s="48"/>
    </row>
    <row r="75" spans="1:14" s="53" customFormat="1" ht="15.75" x14ac:dyDescent="0.25">
      <c r="A75" s="49">
        <v>3509</v>
      </c>
      <c r="B75" s="293" t="s">
        <v>209</v>
      </c>
      <c r="C75" s="56">
        <v>600.9</v>
      </c>
      <c r="D75" s="57">
        <v>0.25</v>
      </c>
      <c r="E75" s="58">
        <f t="shared" si="3"/>
        <v>150.22499999999999</v>
      </c>
      <c r="F75" s="58"/>
      <c r="G75" s="58">
        <f t="shared" si="4"/>
        <v>150.22499999999999</v>
      </c>
      <c r="H75" s="52">
        <v>22760088</v>
      </c>
      <c r="I75" s="52" t="s">
        <v>210</v>
      </c>
      <c r="J75" s="51" t="s">
        <v>88</v>
      </c>
      <c r="K75" s="52" t="s">
        <v>89</v>
      </c>
      <c r="L75" s="51">
        <v>91476443</v>
      </c>
      <c r="M75" s="115"/>
      <c r="N75" s="48"/>
    </row>
    <row r="76" spans="1:14" s="53" customFormat="1" ht="15.75" x14ac:dyDescent="0.25">
      <c r="A76" s="49">
        <v>3510</v>
      </c>
      <c r="B76" s="293" t="s">
        <v>211</v>
      </c>
      <c r="C76" s="56">
        <v>1145.5999999999999</v>
      </c>
      <c r="D76" s="57">
        <v>0.25</v>
      </c>
      <c r="E76" s="58">
        <f t="shared" si="3"/>
        <v>286.39999999999998</v>
      </c>
      <c r="F76" s="58"/>
      <c r="G76" s="58">
        <f t="shared" si="4"/>
        <v>286.39999999999998</v>
      </c>
      <c r="H76" s="52">
        <v>6920351</v>
      </c>
      <c r="I76" s="52" t="s">
        <v>212</v>
      </c>
      <c r="J76" s="51" t="s">
        <v>40</v>
      </c>
      <c r="K76" s="52" t="s">
        <v>19</v>
      </c>
      <c r="L76" s="51">
        <v>98933077</v>
      </c>
      <c r="M76" s="115"/>
      <c r="N76" s="48"/>
    </row>
    <row r="77" spans="1:14" s="195" customFormat="1" ht="15.75" x14ac:dyDescent="0.25">
      <c r="A77" s="138">
        <v>3511</v>
      </c>
      <c r="B77" s="145" t="s">
        <v>21</v>
      </c>
      <c r="C77" s="140">
        <v>1803.4</v>
      </c>
      <c r="D77" s="141">
        <v>0.25</v>
      </c>
      <c r="E77" s="142">
        <f t="shared" si="3"/>
        <v>450.85</v>
      </c>
      <c r="F77" s="147">
        <v>447.62500000000006</v>
      </c>
      <c r="G77" s="142">
        <f t="shared" si="4"/>
        <v>3.2249999999999659</v>
      </c>
      <c r="H77" s="148">
        <v>2640016</v>
      </c>
      <c r="I77" s="192" t="s">
        <v>22</v>
      </c>
      <c r="J77" s="143" t="s">
        <v>23</v>
      </c>
      <c r="K77" s="192" t="s">
        <v>24</v>
      </c>
      <c r="L77" s="143">
        <v>92953388</v>
      </c>
      <c r="M77" s="269" t="s">
        <v>664</v>
      </c>
      <c r="N77" s="270"/>
    </row>
    <row r="78" spans="1:14" s="462" customFormat="1" ht="15.6" customHeight="1" x14ac:dyDescent="0.25">
      <c r="A78" s="450">
        <v>3512</v>
      </c>
      <c r="B78" s="421" t="s">
        <v>213</v>
      </c>
      <c r="C78" s="459"/>
      <c r="D78" s="453">
        <v>0.25</v>
      </c>
      <c r="E78" s="416">
        <f t="shared" si="3"/>
        <v>0</v>
      </c>
      <c r="F78" s="463"/>
      <c r="G78" s="416">
        <f t="shared" si="4"/>
        <v>0</v>
      </c>
      <c r="H78" s="420">
        <v>5514631</v>
      </c>
      <c r="I78" s="417" t="s">
        <v>214</v>
      </c>
      <c r="J78" s="418" t="s">
        <v>36</v>
      </c>
      <c r="K78" s="418" t="s">
        <v>37</v>
      </c>
      <c r="L78" s="418"/>
      <c r="M78" s="460"/>
      <c r="N78" s="461"/>
    </row>
    <row r="79" spans="1:14" s="53" customFormat="1" ht="15.75" x14ac:dyDescent="0.25">
      <c r="A79" s="49">
        <v>3513</v>
      </c>
      <c r="B79" s="98" t="s">
        <v>215</v>
      </c>
      <c r="C79" s="56">
        <v>3147</v>
      </c>
      <c r="D79" s="57">
        <v>0.25</v>
      </c>
      <c r="E79" s="58">
        <f t="shared" si="3"/>
        <v>786.75</v>
      </c>
      <c r="F79" s="95"/>
      <c r="G79" s="58">
        <f t="shared" si="4"/>
        <v>786.75</v>
      </c>
      <c r="H79" s="96">
        <v>7047376</v>
      </c>
      <c r="I79" s="52" t="s">
        <v>216</v>
      </c>
      <c r="J79" s="51" t="s">
        <v>36</v>
      </c>
      <c r="K79" s="52" t="s">
        <v>37</v>
      </c>
      <c r="L79" s="51">
        <v>90106022</v>
      </c>
      <c r="M79" s="115"/>
      <c r="N79" s="48"/>
    </row>
    <row r="80" spans="1:14" s="53" customFormat="1" ht="18" customHeight="1" x14ac:dyDescent="0.25">
      <c r="A80" s="49">
        <v>3514</v>
      </c>
      <c r="B80" s="98" t="s">
        <v>217</v>
      </c>
      <c r="C80" s="56">
        <v>1798.2</v>
      </c>
      <c r="D80" s="57">
        <v>0.25</v>
      </c>
      <c r="E80" s="58">
        <f t="shared" si="3"/>
        <v>449.55</v>
      </c>
      <c r="F80" s="95"/>
      <c r="G80" s="58">
        <f t="shared" si="4"/>
        <v>449.55</v>
      </c>
      <c r="H80" s="96">
        <v>440083</v>
      </c>
      <c r="I80" s="52" t="s">
        <v>218</v>
      </c>
      <c r="J80" s="51" t="s">
        <v>188</v>
      </c>
      <c r="K80" s="52" t="s">
        <v>19</v>
      </c>
      <c r="L80" s="97">
        <v>92363355</v>
      </c>
      <c r="M80" s="115"/>
      <c r="N80" s="48"/>
    </row>
    <row r="81" spans="1:14" s="53" customFormat="1" ht="15.75" x14ac:dyDescent="0.25">
      <c r="A81" s="49">
        <v>3515</v>
      </c>
      <c r="B81" s="98" t="s">
        <v>51</v>
      </c>
      <c r="C81" s="56">
        <v>792.4</v>
      </c>
      <c r="D81" s="57">
        <v>0.25</v>
      </c>
      <c r="E81" s="58">
        <f t="shared" si="3"/>
        <v>198.1</v>
      </c>
      <c r="F81" s="95"/>
      <c r="G81" s="58">
        <f t="shared" si="4"/>
        <v>198.1</v>
      </c>
      <c r="H81" s="96">
        <v>6645198</v>
      </c>
      <c r="I81" s="96" t="s">
        <v>52</v>
      </c>
      <c r="J81" s="51" t="s">
        <v>36</v>
      </c>
      <c r="K81" s="52" t="s">
        <v>37</v>
      </c>
      <c r="L81" s="97">
        <v>94411217</v>
      </c>
      <c r="M81" s="115"/>
      <c r="N81" s="48"/>
    </row>
    <row r="82" spans="1:14" s="53" customFormat="1" ht="15.75" x14ac:dyDescent="0.25">
      <c r="A82" s="49">
        <v>3516</v>
      </c>
      <c r="B82" s="98" t="s">
        <v>219</v>
      </c>
      <c r="C82" s="56">
        <v>1920.2</v>
      </c>
      <c r="D82" s="57">
        <v>0.25</v>
      </c>
      <c r="E82" s="58">
        <f t="shared" si="3"/>
        <v>480.05</v>
      </c>
      <c r="F82" s="95"/>
      <c r="G82" s="58">
        <f t="shared" si="4"/>
        <v>480.05</v>
      </c>
      <c r="H82" s="96">
        <v>1165877</v>
      </c>
      <c r="I82" s="96" t="s">
        <v>220</v>
      </c>
      <c r="J82" s="98" t="s">
        <v>36</v>
      </c>
      <c r="K82" s="52" t="s">
        <v>37</v>
      </c>
      <c r="L82" s="97"/>
      <c r="M82" s="115"/>
      <c r="N82" s="48"/>
    </row>
    <row r="83" spans="1:14" s="195" customFormat="1" ht="15.75" x14ac:dyDescent="0.25">
      <c r="A83" s="138">
        <v>3517</v>
      </c>
      <c r="B83" s="145" t="s">
        <v>221</v>
      </c>
      <c r="C83" s="140">
        <v>1809.4</v>
      </c>
      <c r="D83" s="141">
        <v>0.25</v>
      </c>
      <c r="E83" s="142">
        <f t="shared" si="3"/>
        <v>452.35</v>
      </c>
      <c r="F83" s="147">
        <v>451.95</v>
      </c>
      <c r="G83" s="142">
        <f t="shared" si="4"/>
        <v>0.40000000000003411</v>
      </c>
      <c r="H83" s="148">
        <v>7047081</v>
      </c>
      <c r="I83" s="148" t="s">
        <v>222</v>
      </c>
      <c r="J83" s="145" t="s">
        <v>36</v>
      </c>
      <c r="K83" s="192" t="s">
        <v>37</v>
      </c>
      <c r="L83" s="191"/>
      <c r="M83" s="269">
        <v>46008</v>
      </c>
      <c r="N83" s="270"/>
    </row>
    <row r="84" spans="1:14" s="195" customFormat="1" ht="15.75" x14ac:dyDescent="0.25">
      <c r="A84" s="138">
        <v>3518</v>
      </c>
      <c r="B84" s="145" t="s">
        <v>54</v>
      </c>
      <c r="C84" s="140">
        <v>1128.5</v>
      </c>
      <c r="D84" s="141">
        <v>0.25</v>
      </c>
      <c r="E84" s="142">
        <f t="shared" si="3"/>
        <v>282.125</v>
      </c>
      <c r="F84" s="147">
        <f>0.5+277.2</f>
        <v>277.7</v>
      </c>
      <c r="G84" s="142">
        <f t="shared" si="4"/>
        <v>4.4250000000000114</v>
      </c>
      <c r="H84" s="148">
        <v>20386956</v>
      </c>
      <c r="I84" s="148" t="s">
        <v>55</v>
      </c>
      <c r="J84" s="143" t="s">
        <v>40</v>
      </c>
      <c r="K84" s="192" t="s">
        <v>19</v>
      </c>
      <c r="L84" s="191"/>
      <c r="M84" s="393">
        <v>45941</v>
      </c>
      <c r="N84" s="269" t="s">
        <v>664</v>
      </c>
    </row>
    <row r="85" spans="1:14" s="195" customFormat="1" ht="15.75" x14ac:dyDescent="0.25">
      <c r="A85" s="138">
        <v>3519</v>
      </c>
      <c r="B85" s="145" t="s">
        <v>223</v>
      </c>
      <c r="C85" s="140">
        <v>1161.5</v>
      </c>
      <c r="D85" s="141">
        <v>0.25</v>
      </c>
      <c r="E85" s="142">
        <f t="shared" si="3"/>
        <v>290.375</v>
      </c>
      <c r="F85" s="147">
        <v>287.34999999999997</v>
      </c>
      <c r="G85" s="142">
        <f t="shared" si="4"/>
        <v>3.0250000000000341</v>
      </c>
      <c r="H85" s="148">
        <v>7047221</v>
      </c>
      <c r="I85" s="148" t="s">
        <v>224</v>
      </c>
      <c r="J85" s="145" t="s">
        <v>36</v>
      </c>
      <c r="K85" s="192" t="s">
        <v>37</v>
      </c>
      <c r="L85" s="191"/>
      <c r="M85" s="269">
        <v>46008</v>
      </c>
      <c r="N85" s="270"/>
    </row>
    <row r="86" spans="1:14" s="53" customFormat="1" ht="15.75" x14ac:dyDescent="0.25">
      <c r="A86" s="49">
        <v>3520</v>
      </c>
      <c r="B86" s="98" t="s">
        <v>225</v>
      </c>
      <c r="C86" s="56">
        <v>956.7</v>
      </c>
      <c r="D86" s="57">
        <v>0.25</v>
      </c>
      <c r="E86" s="58">
        <f t="shared" si="3"/>
        <v>239.17500000000001</v>
      </c>
      <c r="F86" s="95"/>
      <c r="G86" s="58">
        <f t="shared" si="4"/>
        <v>239.17500000000001</v>
      </c>
      <c r="H86" s="96">
        <v>5665362</v>
      </c>
      <c r="I86" s="96" t="s">
        <v>226</v>
      </c>
      <c r="J86" s="98" t="s">
        <v>36</v>
      </c>
      <c r="K86" s="52" t="s">
        <v>37</v>
      </c>
      <c r="L86" s="97"/>
      <c r="M86" s="467"/>
      <c r="N86" s="48"/>
    </row>
    <row r="87" spans="1:14" s="53" customFormat="1" ht="15.75" x14ac:dyDescent="0.25">
      <c r="A87" s="49">
        <v>3521</v>
      </c>
      <c r="B87" s="98" t="s">
        <v>227</v>
      </c>
      <c r="C87" s="56">
        <v>4228.7</v>
      </c>
      <c r="D87" s="57">
        <v>0.25</v>
      </c>
      <c r="E87" s="58">
        <f t="shared" si="3"/>
        <v>1057.175</v>
      </c>
      <c r="F87" s="95"/>
      <c r="G87" s="58">
        <f t="shared" si="4"/>
        <v>1057.175</v>
      </c>
      <c r="H87" s="96">
        <v>7064553</v>
      </c>
      <c r="I87" s="96" t="s">
        <v>228</v>
      </c>
      <c r="J87" s="51" t="s">
        <v>40</v>
      </c>
      <c r="K87" s="52" t="s">
        <v>19</v>
      </c>
      <c r="L87" s="97"/>
      <c r="M87" s="115"/>
      <c r="N87" s="48"/>
    </row>
    <row r="88" spans="1:14" s="53" customFormat="1" ht="15.75" x14ac:dyDescent="0.25">
      <c r="A88" s="49">
        <v>3522</v>
      </c>
      <c r="B88" s="51" t="s">
        <v>229</v>
      </c>
      <c r="C88" s="56">
        <v>396.6</v>
      </c>
      <c r="D88" s="57">
        <v>0.25</v>
      </c>
      <c r="E88" s="58">
        <f t="shared" si="3"/>
        <v>99.15</v>
      </c>
      <c r="F88" s="58"/>
      <c r="G88" s="58">
        <f t="shared" si="4"/>
        <v>99.15</v>
      </c>
      <c r="H88" s="52">
        <v>11365191</v>
      </c>
      <c r="I88" s="52" t="s">
        <v>230</v>
      </c>
      <c r="J88" s="51" t="s">
        <v>36</v>
      </c>
      <c r="K88" s="52" t="s">
        <v>37</v>
      </c>
      <c r="L88" s="51"/>
      <c r="M88" s="430"/>
      <c r="N88" s="48"/>
    </row>
    <row r="89" spans="1:14" ht="15" customHeight="1" x14ac:dyDescent="0.25">
      <c r="A89" s="49">
        <v>3523</v>
      </c>
      <c r="B89" s="337" t="s">
        <v>551</v>
      </c>
      <c r="C89" s="363">
        <v>635.4</v>
      </c>
      <c r="D89" s="57">
        <v>0.25</v>
      </c>
      <c r="E89" s="58">
        <f t="shared" si="3"/>
        <v>158.85</v>
      </c>
      <c r="F89" s="58"/>
      <c r="G89" s="58">
        <f t="shared" si="4"/>
        <v>158.85</v>
      </c>
      <c r="H89" s="88">
        <v>9399193</v>
      </c>
      <c r="I89" s="360" t="s">
        <v>550</v>
      </c>
      <c r="J89" s="361" t="s">
        <v>373</v>
      </c>
      <c r="K89" s="361"/>
      <c r="L89" s="87" t="s">
        <v>549</v>
      </c>
      <c r="M89" s="468"/>
    </row>
    <row r="90" spans="1:14" ht="15.75" x14ac:dyDescent="0.25">
      <c r="A90" s="49">
        <v>3524</v>
      </c>
      <c r="B90" s="337" t="s">
        <v>548</v>
      </c>
      <c r="C90" s="363">
        <v>618.29999999999995</v>
      </c>
      <c r="D90" s="57">
        <v>0.25</v>
      </c>
      <c r="E90" s="58">
        <f t="shared" si="3"/>
        <v>154.57499999999999</v>
      </c>
      <c r="F90" s="58"/>
      <c r="G90" s="58">
        <f t="shared" si="4"/>
        <v>154.57499999999999</v>
      </c>
      <c r="H90" s="88">
        <v>1876659</v>
      </c>
      <c r="I90" s="360" t="s">
        <v>547</v>
      </c>
      <c r="J90" s="361" t="s">
        <v>40</v>
      </c>
      <c r="K90" s="361"/>
      <c r="L90" s="87" t="s">
        <v>546</v>
      </c>
      <c r="M90" s="468"/>
    </row>
    <row r="91" spans="1:14" ht="15.75" x14ac:dyDescent="0.25">
      <c r="A91" s="49">
        <v>3525</v>
      </c>
      <c r="B91" s="337" t="s">
        <v>545</v>
      </c>
      <c r="C91" s="363">
        <v>478.7</v>
      </c>
      <c r="D91" s="57">
        <v>0.25</v>
      </c>
      <c r="E91" s="58">
        <f t="shared" si="3"/>
        <v>119.675</v>
      </c>
      <c r="F91" s="58"/>
      <c r="G91" s="58">
        <f t="shared" si="4"/>
        <v>119.675</v>
      </c>
      <c r="H91" s="88">
        <v>1862864</v>
      </c>
      <c r="I91" s="360" t="s">
        <v>544</v>
      </c>
      <c r="J91" s="361" t="s">
        <v>40</v>
      </c>
      <c r="K91" s="361"/>
      <c r="L91" s="87" t="s">
        <v>543</v>
      </c>
      <c r="M91" s="468"/>
    </row>
    <row r="92" spans="1:14" ht="15.75" x14ac:dyDescent="0.25">
      <c r="A92" s="49">
        <v>3526</v>
      </c>
      <c r="B92" s="337" t="s">
        <v>542</v>
      </c>
      <c r="C92" s="363">
        <v>191.4</v>
      </c>
      <c r="D92" s="57">
        <v>0.25</v>
      </c>
      <c r="E92" s="58">
        <f t="shared" si="3"/>
        <v>47.85</v>
      </c>
      <c r="F92" s="58"/>
      <c r="G92" s="58">
        <f t="shared" si="4"/>
        <v>47.85</v>
      </c>
      <c r="H92" s="88">
        <v>5349102</v>
      </c>
      <c r="I92" s="360" t="s">
        <v>541</v>
      </c>
      <c r="J92" s="361" t="s">
        <v>503</v>
      </c>
      <c r="K92" s="361"/>
      <c r="L92" s="87" t="s">
        <v>540</v>
      </c>
      <c r="M92" s="468"/>
    </row>
    <row r="93" spans="1:14" ht="15.75" x14ac:dyDescent="0.25">
      <c r="A93" s="49">
        <v>3527</v>
      </c>
      <c r="B93" s="337" t="s">
        <v>539</v>
      </c>
      <c r="C93" s="363">
        <v>569.5</v>
      </c>
      <c r="D93" s="57">
        <v>0.25</v>
      </c>
      <c r="E93" s="58">
        <f t="shared" si="3"/>
        <v>142.375</v>
      </c>
      <c r="F93" s="58"/>
      <c r="G93" s="58">
        <f t="shared" si="4"/>
        <v>142.375</v>
      </c>
      <c r="H93" s="88">
        <v>6372265</v>
      </c>
      <c r="I93" s="360" t="s">
        <v>538</v>
      </c>
      <c r="J93" s="361" t="s">
        <v>40</v>
      </c>
      <c r="K93" s="361"/>
      <c r="L93" s="87" t="s">
        <v>537</v>
      </c>
      <c r="M93" s="468"/>
    </row>
    <row r="94" spans="1:14" s="227" customFormat="1" ht="15.75" x14ac:dyDescent="0.25">
      <c r="A94" s="138">
        <v>3528</v>
      </c>
      <c r="B94" s="351" t="s">
        <v>536</v>
      </c>
      <c r="C94" s="221">
        <v>618.29999999999995</v>
      </c>
      <c r="D94" s="141">
        <v>0.25</v>
      </c>
      <c r="E94" s="142">
        <f t="shared" si="3"/>
        <v>154.57499999999999</v>
      </c>
      <c r="F94" s="142">
        <v>153.375</v>
      </c>
      <c r="G94" s="142">
        <f t="shared" si="4"/>
        <v>1.1999999999999886</v>
      </c>
      <c r="H94" s="143">
        <v>28605923</v>
      </c>
      <c r="I94" s="366" t="s">
        <v>425</v>
      </c>
      <c r="J94" s="367" t="s">
        <v>40</v>
      </c>
      <c r="K94" s="367"/>
      <c r="L94" s="139" t="s">
        <v>424</v>
      </c>
      <c r="M94" s="269">
        <v>46008</v>
      </c>
      <c r="N94" s="368"/>
    </row>
    <row r="95" spans="1:14" ht="15.75" x14ac:dyDescent="0.25">
      <c r="A95" s="49">
        <v>3529</v>
      </c>
      <c r="B95" s="337" t="s">
        <v>535</v>
      </c>
      <c r="C95" s="363">
        <v>599.29999999999995</v>
      </c>
      <c r="D95" s="57">
        <v>0.25</v>
      </c>
      <c r="E95" s="58">
        <f t="shared" si="3"/>
        <v>149.82499999999999</v>
      </c>
      <c r="F95" s="58"/>
      <c r="G95" s="58">
        <f t="shared" si="4"/>
        <v>149.82499999999999</v>
      </c>
      <c r="H95" s="88">
        <v>4702777</v>
      </c>
      <c r="I95" s="360" t="s">
        <v>534</v>
      </c>
      <c r="J95" s="361" t="s">
        <v>40</v>
      </c>
      <c r="K95" s="361"/>
      <c r="L95" s="87" t="s">
        <v>533</v>
      </c>
    </row>
    <row r="96" spans="1:14" ht="15.75" x14ac:dyDescent="0.25">
      <c r="A96" s="49">
        <v>3530</v>
      </c>
      <c r="B96" s="337" t="s">
        <v>532</v>
      </c>
      <c r="C96" s="363">
        <v>580.6</v>
      </c>
      <c r="D96" s="57">
        <v>0.25</v>
      </c>
      <c r="E96" s="58">
        <f t="shared" si="3"/>
        <v>145.15</v>
      </c>
      <c r="F96" s="58"/>
      <c r="G96" s="58">
        <f t="shared" si="4"/>
        <v>145.15</v>
      </c>
      <c r="H96" s="88">
        <v>1163821</v>
      </c>
      <c r="I96" s="360" t="s">
        <v>531</v>
      </c>
      <c r="J96" s="361" t="s">
        <v>36</v>
      </c>
      <c r="K96" s="361"/>
      <c r="L96" s="87" t="s">
        <v>530</v>
      </c>
      <c r="M96" s="468"/>
    </row>
    <row r="97" spans="1:14" s="227" customFormat="1" ht="15.75" x14ac:dyDescent="0.25">
      <c r="A97" s="138">
        <v>3531</v>
      </c>
      <c r="B97" s="351" t="s">
        <v>529</v>
      </c>
      <c r="C97" s="221">
        <v>615.6</v>
      </c>
      <c r="D97" s="141">
        <v>0.25</v>
      </c>
      <c r="E97" s="142">
        <f t="shared" si="3"/>
        <v>153.9</v>
      </c>
      <c r="F97" s="142">
        <v>152.6</v>
      </c>
      <c r="G97" s="142">
        <f t="shared" si="4"/>
        <v>1.3000000000000114</v>
      </c>
      <c r="H97" s="143">
        <v>23661829</v>
      </c>
      <c r="I97" s="366" t="s">
        <v>528</v>
      </c>
      <c r="J97" s="367" t="s">
        <v>40</v>
      </c>
      <c r="K97" s="367"/>
      <c r="L97" s="139" t="s">
        <v>527</v>
      </c>
      <c r="M97" s="396" t="s">
        <v>660</v>
      </c>
      <c r="N97" s="368"/>
    </row>
    <row r="98" spans="1:14" s="369" customFormat="1" ht="15.75" x14ac:dyDescent="0.25">
      <c r="A98" s="138">
        <v>3532</v>
      </c>
      <c r="B98" s="351" t="s">
        <v>526</v>
      </c>
      <c r="C98" s="221">
        <v>623.4</v>
      </c>
      <c r="D98" s="141">
        <v>0.25</v>
      </c>
      <c r="E98" s="142">
        <f t="shared" si="3"/>
        <v>155.85</v>
      </c>
      <c r="F98" s="142">
        <v>155.27500000000001</v>
      </c>
      <c r="G98" s="142">
        <f t="shared" si="4"/>
        <v>0.57499999999998863</v>
      </c>
      <c r="H98" s="143">
        <v>26301042</v>
      </c>
      <c r="I98" s="366" t="s">
        <v>525</v>
      </c>
      <c r="J98" s="367" t="s">
        <v>36</v>
      </c>
      <c r="K98" s="367"/>
      <c r="L98" s="139" t="s">
        <v>524</v>
      </c>
      <c r="M98" s="396" t="s">
        <v>663</v>
      </c>
      <c r="N98" s="368"/>
    </row>
    <row r="99" spans="1:14" s="41" customFormat="1" ht="15.75" x14ac:dyDescent="0.25">
      <c r="A99" s="49">
        <v>3533</v>
      </c>
      <c r="B99" s="337" t="s">
        <v>523</v>
      </c>
      <c r="C99" s="363">
        <v>608</v>
      </c>
      <c r="D99" s="57">
        <v>0.25</v>
      </c>
      <c r="E99" s="58">
        <f t="shared" si="3"/>
        <v>152</v>
      </c>
      <c r="F99" s="58"/>
      <c r="G99" s="58">
        <f t="shared" si="4"/>
        <v>152</v>
      </c>
      <c r="H99" s="88">
        <v>22979942</v>
      </c>
      <c r="I99" s="360" t="s">
        <v>522</v>
      </c>
      <c r="J99" s="361" t="s">
        <v>40</v>
      </c>
      <c r="K99" s="361"/>
      <c r="L99" s="87" t="s">
        <v>521</v>
      </c>
      <c r="M99" s="468"/>
      <c r="N99" s="43"/>
    </row>
    <row r="100" spans="1:14" s="369" customFormat="1" ht="15.75" x14ac:dyDescent="0.25">
      <c r="A100" s="138">
        <v>3534</v>
      </c>
      <c r="B100" s="351" t="s">
        <v>520</v>
      </c>
      <c r="C100" s="221">
        <v>622.9</v>
      </c>
      <c r="D100" s="141">
        <v>0.25</v>
      </c>
      <c r="E100" s="142">
        <f t="shared" ref="E100:E131" si="5">C100*D100</f>
        <v>155.72499999999999</v>
      </c>
      <c r="F100" s="142">
        <v>153.9</v>
      </c>
      <c r="G100" s="142">
        <f t="shared" si="4"/>
        <v>1.8249999999999886</v>
      </c>
      <c r="H100" s="143">
        <v>14897254</v>
      </c>
      <c r="I100" s="366" t="s">
        <v>519</v>
      </c>
      <c r="J100" s="367" t="s">
        <v>40</v>
      </c>
      <c r="K100" s="367"/>
      <c r="L100" s="139" t="s">
        <v>518</v>
      </c>
      <c r="M100" s="396" t="s">
        <v>660</v>
      </c>
      <c r="N100" s="368"/>
    </row>
    <row r="101" spans="1:14" s="41" customFormat="1" ht="15.75" x14ac:dyDescent="0.25">
      <c r="A101" s="381">
        <v>3535</v>
      </c>
      <c r="B101" s="373" t="s">
        <v>626</v>
      </c>
      <c r="C101" s="363">
        <v>476.4</v>
      </c>
      <c r="D101" s="57">
        <v>0.25</v>
      </c>
      <c r="E101" s="58">
        <f t="shared" si="5"/>
        <v>119.1</v>
      </c>
      <c r="F101" s="382"/>
      <c r="G101" s="58">
        <f t="shared" si="4"/>
        <v>119.1</v>
      </c>
      <c r="H101" s="378">
        <v>1694834</v>
      </c>
      <c r="I101" s="360" t="s">
        <v>625</v>
      </c>
      <c r="J101" s="361" t="s">
        <v>40</v>
      </c>
      <c r="K101" s="361"/>
      <c r="L101" s="373">
        <v>98444454</v>
      </c>
      <c r="M101" s="468"/>
      <c r="N101" s="43"/>
    </row>
    <row r="102" spans="1:14" s="369" customFormat="1" ht="15.75" x14ac:dyDescent="0.25">
      <c r="A102" s="138">
        <v>3536</v>
      </c>
      <c r="B102" s="351" t="s">
        <v>517</v>
      </c>
      <c r="C102" s="221">
        <v>603.79999999999995</v>
      </c>
      <c r="D102" s="141">
        <v>0.25</v>
      </c>
      <c r="E102" s="142">
        <f t="shared" si="5"/>
        <v>150.94999999999999</v>
      </c>
      <c r="F102" s="142">
        <f>150.075</f>
        <v>150.07499999999999</v>
      </c>
      <c r="G102" s="142">
        <f t="shared" si="4"/>
        <v>0.875</v>
      </c>
      <c r="H102" s="143">
        <v>19548147</v>
      </c>
      <c r="I102" s="366" t="s">
        <v>516</v>
      </c>
      <c r="J102" s="367" t="s">
        <v>36</v>
      </c>
      <c r="K102" s="367"/>
      <c r="L102" s="139" t="s">
        <v>515</v>
      </c>
      <c r="M102" s="393">
        <v>45973</v>
      </c>
      <c r="N102" s="368"/>
    </row>
    <row r="103" spans="1:14" s="41" customFormat="1" ht="15.75" x14ac:dyDescent="0.25">
      <c r="A103" s="49">
        <v>3537</v>
      </c>
      <c r="B103" s="337" t="s">
        <v>514</v>
      </c>
      <c r="C103" s="363">
        <v>596.20000000000005</v>
      </c>
      <c r="D103" s="57">
        <v>0.25</v>
      </c>
      <c r="E103" s="58">
        <f t="shared" si="5"/>
        <v>149.05000000000001</v>
      </c>
      <c r="F103" s="58">
        <v>148.45000000000002</v>
      </c>
      <c r="G103" s="58">
        <f t="shared" si="4"/>
        <v>0.59999999999999432</v>
      </c>
      <c r="H103" s="88">
        <v>6104979</v>
      </c>
      <c r="I103" s="360" t="s">
        <v>513</v>
      </c>
      <c r="J103" s="361" t="s">
        <v>40</v>
      </c>
      <c r="K103" s="361"/>
      <c r="L103" s="87" t="s">
        <v>512</v>
      </c>
      <c r="M103" s="396" t="s">
        <v>665</v>
      </c>
      <c r="N103" s="43"/>
    </row>
    <row r="104" spans="1:14" s="369" customFormat="1" ht="15.75" x14ac:dyDescent="0.25">
      <c r="A104" s="138">
        <v>3538</v>
      </c>
      <c r="B104" s="351" t="s">
        <v>511</v>
      </c>
      <c r="C104" s="221">
        <v>609.79999999999995</v>
      </c>
      <c r="D104" s="141">
        <v>0.25</v>
      </c>
      <c r="E104" s="142">
        <f t="shared" si="5"/>
        <v>152.44999999999999</v>
      </c>
      <c r="F104" s="142">
        <v>150.07499999999999</v>
      </c>
      <c r="G104" s="142">
        <f t="shared" si="4"/>
        <v>2.375</v>
      </c>
      <c r="H104" s="143">
        <v>14897235</v>
      </c>
      <c r="I104" s="366" t="s">
        <v>510</v>
      </c>
      <c r="J104" s="367" t="s">
        <v>40</v>
      </c>
      <c r="K104" s="367"/>
      <c r="L104" s="139" t="s">
        <v>509</v>
      </c>
      <c r="M104" s="396" t="s">
        <v>660</v>
      </c>
      <c r="N104" s="368"/>
    </row>
    <row r="105" spans="1:14" s="41" customFormat="1" ht="15.75" x14ac:dyDescent="0.25">
      <c r="A105" s="49">
        <v>3539</v>
      </c>
      <c r="B105" s="337" t="s">
        <v>508</v>
      </c>
      <c r="C105" s="363">
        <v>532.70000000000005</v>
      </c>
      <c r="D105" s="57">
        <v>0.25</v>
      </c>
      <c r="E105" s="58">
        <f t="shared" si="5"/>
        <v>133.17500000000001</v>
      </c>
      <c r="F105" s="58"/>
      <c r="G105" s="58">
        <f t="shared" si="4"/>
        <v>133.17500000000001</v>
      </c>
      <c r="H105" s="88">
        <v>11314114</v>
      </c>
      <c r="I105" s="360" t="s">
        <v>507</v>
      </c>
      <c r="J105" s="361" t="s">
        <v>40</v>
      </c>
      <c r="K105" s="361"/>
      <c r="L105" s="87" t="s">
        <v>506</v>
      </c>
      <c r="M105" s="468"/>
      <c r="N105" s="43"/>
    </row>
    <row r="106" spans="1:14" s="41" customFormat="1" ht="15.75" x14ac:dyDescent="0.25">
      <c r="A106" s="49">
        <v>3540</v>
      </c>
      <c r="B106" s="337" t="s">
        <v>505</v>
      </c>
      <c r="C106" s="363">
        <v>620.20000000000005</v>
      </c>
      <c r="D106" s="57">
        <v>0.25</v>
      </c>
      <c r="E106" s="58">
        <f t="shared" si="5"/>
        <v>155.05000000000001</v>
      </c>
      <c r="F106" s="58"/>
      <c r="G106" s="58">
        <f t="shared" si="4"/>
        <v>155.05000000000001</v>
      </c>
      <c r="H106" s="88">
        <v>6787729</v>
      </c>
      <c r="I106" s="360" t="s">
        <v>504</v>
      </c>
      <c r="J106" s="361" t="s">
        <v>503</v>
      </c>
      <c r="K106" s="361"/>
      <c r="L106" s="87" t="s">
        <v>502</v>
      </c>
      <c r="M106" s="468"/>
      <c r="N106" s="43"/>
    </row>
    <row r="107" spans="1:14" s="41" customFormat="1" ht="15.75" x14ac:dyDescent="0.25">
      <c r="A107" s="49">
        <v>3541</v>
      </c>
      <c r="B107" s="337" t="s">
        <v>501</v>
      </c>
      <c r="C107" s="363">
        <v>417.3</v>
      </c>
      <c r="D107" s="57">
        <v>0.25</v>
      </c>
      <c r="E107" s="58">
        <f t="shared" si="5"/>
        <v>104.325</v>
      </c>
      <c r="F107" s="58"/>
      <c r="G107" s="58">
        <f t="shared" si="4"/>
        <v>104.325</v>
      </c>
      <c r="H107" s="88">
        <v>19520814</v>
      </c>
      <c r="I107" s="360" t="s">
        <v>500</v>
      </c>
      <c r="J107" s="361" t="s">
        <v>88</v>
      </c>
      <c r="K107" s="361"/>
      <c r="L107" s="87" t="s">
        <v>499</v>
      </c>
      <c r="M107" s="468"/>
      <c r="N107" s="43"/>
    </row>
    <row r="108" spans="1:14" s="369" customFormat="1" ht="15.75" x14ac:dyDescent="0.25">
      <c r="A108" s="138">
        <v>3542</v>
      </c>
      <c r="B108" s="351" t="s">
        <v>498</v>
      </c>
      <c r="C108" s="221">
        <v>547.79999999999995</v>
      </c>
      <c r="D108" s="141">
        <v>0.25</v>
      </c>
      <c r="E108" s="142">
        <f t="shared" si="5"/>
        <v>136.94999999999999</v>
      </c>
      <c r="F108" s="142">
        <f>136.25</f>
        <v>136.25</v>
      </c>
      <c r="G108" s="142">
        <f t="shared" si="4"/>
        <v>0.69999999999998863</v>
      </c>
      <c r="H108" s="143">
        <v>5247401</v>
      </c>
      <c r="I108" s="366" t="s">
        <v>497</v>
      </c>
      <c r="J108" s="367" t="s">
        <v>83</v>
      </c>
      <c r="K108" s="367"/>
      <c r="L108" s="139" t="s">
        <v>496</v>
      </c>
      <c r="M108" s="396" t="s">
        <v>632</v>
      </c>
      <c r="N108" s="368"/>
    </row>
    <row r="109" spans="1:14" s="41" customFormat="1" ht="15.75" x14ac:dyDescent="0.25">
      <c r="A109" s="49">
        <v>3543</v>
      </c>
      <c r="B109" s="337" t="s">
        <v>495</v>
      </c>
      <c r="C109" s="363">
        <v>613.4</v>
      </c>
      <c r="D109" s="57">
        <v>0.25</v>
      </c>
      <c r="E109" s="58">
        <f t="shared" si="5"/>
        <v>153.35</v>
      </c>
      <c r="F109" s="58"/>
      <c r="G109" s="58">
        <f t="shared" si="4"/>
        <v>153.35</v>
      </c>
      <c r="H109" s="88">
        <v>21104469</v>
      </c>
      <c r="I109" s="360" t="s">
        <v>494</v>
      </c>
      <c r="J109" s="361" t="s">
        <v>40</v>
      </c>
      <c r="K109" s="361"/>
      <c r="L109" s="87" t="s">
        <v>493</v>
      </c>
      <c r="M109" s="468"/>
      <c r="N109" s="43"/>
    </row>
    <row r="110" spans="1:14" s="41" customFormat="1" ht="15.75" x14ac:dyDescent="0.25">
      <c r="A110" s="49">
        <v>3544</v>
      </c>
      <c r="B110" s="337" t="s">
        <v>492</v>
      </c>
      <c r="C110" s="363">
        <v>494.8</v>
      </c>
      <c r="D110" s="57">
        <v>0.25</v>
      </c>
      <c r="E110" s="58">
        <f t="shared" si="5"/>
        <v>123.7</v>
      </c>
      <c r="F110" s="58"/>
      <c r="G110" s="58">
        <f t="shared" si="4"/>
        <v>123.7</v>
      </c>
      <c r="H110" s="88">
        <v>2548974</v>
      </c>
      <c r="I110" s="360" t="s">
        <v>491</v>
      </c>
      <c r="J110" s="361" t="s">
        <v>36</v>
      </c>
      <c r="K110" s="361"/>
      <c r="L110" s="87" t="s">
        <v>490</v>
      </c>
      <c r="M110" s="468"/>
      <c r="N110" s="43"/>
    </row>
    <row r="111" spans="1:14" s="41" customFormat="1" ht="15.75" x14ac:dyDescent="0.25">
      <c r="A111" s="49">
        <v>3545</v>
      </c>
      <c r="B111" s="337" t="s">
        <v>489</v>
      </c>
      <c r="C111" s="363">
        <v>137.4</v>
      </c>
      <c r="D111" s="57">
        <v>0.25</v>
      </c>
      <c r="E111" s="58">
        <f t="shared" si="5"/>
        <v>34.35</v>
      </c>
      <c r="F111" s="58"/>
      <c r="G111" s="58">
        <f t="shared" si="4"/>
        <v>34.35</v>
      </c>
      <c r="H111" s="88">
        <v>7287174</v>
      </c>
      <c r="I111" s="360" t="s">
        <v>488</v>
      </c>
      <c r="J111" s="361" t="s">
        <v>36</v>
      </c>
      <c r="K111" s="361"/>
      <c r="L111" s="87" t="s">
        <v>487</v>
      </c>
      <c r="M111" s="468"/>
      <c r="N111" s="43"/>
    </row>
    <row r="112" spans="1:14" s="41" customFormat="1" ht="15.75" x14ac:dyDescent="0.25">
      <c r="A112" s="49">
        <v>3546</v>
      </c>
      <c r="B112" s="337" t="s">
        <v>486</v>
      </c>
      <c r="C112" s="363">
        <v>569.9</v>
      </c>
      <c r="D112" s="57">
        <v>0.25</v>
      </c>
      <c r="E112" s="58">
        <f t="shared" si="5"/>
        <v>142.47499999999999</v>
      </c>
      <c r="F112" s="58"/>
      <c r="G112" s="58">
        <f t="shared" si="4"/>
        <v>142.47499999999999</v>
      </c>
      <c r="H112" s="88">
        <v>6116507</v>
      </c>
      <c r="I112" s="360" t="s">
        <v>485</v>
      </c>
      <c r="J112" s="361" t="s">
        <v>40</v>
      </c>
      <c r="K112" s="361"/>
      <c r="L112" s="87" t="s">
        <v>484</v>
      </c>
      <c r="M112" s="468"/>
      <c r="N112" s="43"/>
    </row>
    <row r="113" spans="1:14" s="41" customFormat="1" ht="15.75" x14ac:dyDescent="0.25">
      <c r="A113" s="49">
        <v>3547</v>
      </c>
      <c r="B113" s="337" t="s">
        <v>483</v>
      </c>
      <c r="C113" s="363">
        <v>585.79999999999995</v>
      </c>
      <c r="D113" s="57">
        <v>0.25</v>
      </c>
      <c r="E113" s="58">
        <f t="shared" si="5"/>
        <v>146.44999999999999</v>
      </c>
      <c r="F113" s="58"/>
      <c r="G113" s="58">
        <f t="shared" si="4"/>
        <v>146.44999999999999</v>
      </c>
      <c r="H113" s="88">
        <v>22745262</v>
      </c>
      <c r="I113" s="360" t="s">
        <v>482</v>
      </c>
      <c r="J113" s="361" t="s">
        <v>40</v>
      </c>
      <c r="K113" s="361"/>
      <c r="L113" s="87" t="s">
        <v>481</v>
      </c>
      <c r="M113" s="468"/>
      <c r="N113" s="43"/>
    </row>
    <row r="114" spans="1:14" s="369" customFormat="1" ht="15.75" x14ac:dyDescent="0.25">
      <c r="A114" s="138">
        <v>3548</v>
      </c>
      <c r="B114" s="351" t="s">
        <v>480</v>
      </c>
      <c r="C114" s="221">
        <v>574.6</v>
      </c>
      <c r="D114" s="141">
        <v>0.25</v>
      </c>
      <c r="E114" s="142">
        <f t="shared" si="5"/>
        <v>143.65</v>
      </c>
      <c r="F114" s="142">
        <f>142.675</f>
        <v>142.67500000000001</v>
      </c>
      <c r="G114" s="142">
        <f t="shared" si="4"/>
        <v>0.97499999999999432</v>
      </c>
      <c r="H114" s="143">
        <v>15107731</v>
      </c>
      <c r="I114" s="366" t="s">
        <v>479</v>
      </c>
      <c r="J114" s="367" t="s">
        <v>40</v>
      </c>
      <c r="K114" s="367"/>
      <c r="L114" s="139" t="s">
        <v>478</v>
      </c>
      <c r="M114" s="396" t="s">
        <v>632</v>
      </c>
      <c r="N114" s="368"/>
    </row>
    <row r="115" spans="1:14" s="369" customFormat="1" ht="15.75" x14ac:dyDescent="0.25">
      <c r="A115" s="138">
        <v>3549</v>
      </c>
      <c r="B115" s="351" t="s">
        <v>477</v>
      </c>
      <c r="C115" s="221">
        <v>611.1</v>
      </c>
      <c r="D115" s="141">
        <v>0.25</v>
      </c>
      <c r="E115" s="142">
        <f t="shared" si="5"/>
        <v>152.77500000000001</v>
      </c>
      <c r="F115" s="142">
        <v>149.875</v>
      </c>
      <c r="G115" s="142">
        <f t="shared" si="4"/>
        <v>2.9000000000000057</v>
      </c>
      <c r="H115" s="143">
        <v>24895713</v>
      </c>
      <c r="I115" s="366" t="s">
        <v>476</v>
      </c>
      <c r="J115" s="367" t="s">
        <v>40</v>
      </c>
      <c r="K115" s="367"/>
      <c r="L115" s="139" t="s">
        <v>475</v>
      </c>
      <c r="M115" s="396" t="s">
        <v>665</v>
      </c>
      <c r="N115" s="368"/>
    </row>
    <row r="116" spans="1:14" s="41" customFormat="1" ht="15.75" x14ac:dyDescent="0.25">
      <c r="A116" s="49">
        <v>3550</v>
      </c>
      <c r="B116" s="337" t="s">
        <v>474</v>
      </c>
      <c r="C116" s="363">
        <v>169.1</v>
      </c>
      <c r="D116" s="57">
        <v>0.25</v>
      </c>
      <c r="E116" s="58">
        <f t="shared" si="5"/>
        <v>42.274999999999999</v>
      </c>
      <c r="F116" s="58"/>
      <c r="G116" s="58">
        <f t="shared" si="4"/>
        <v>42.274999999999999</v>
      </c>
      <c r="H116" s="88">
        <v>5614642</v>
      </c>
      <c r="I116" s="360" t="s">
        <v>473</v>
      </c>
      <c r="J116" s="361" t="s">
        <v>40</v>
      </c>
      <c r="K116" s="361"/>
      <c r="L116" s="87" t="s">
        <v>472</v>
      </c>
      <c r="M116" s="468"/>
      <c r="N116" s="43"/>
    </row>
    <row r="117" spans="1:14" s="369" customFormat="1" ht="15.75" x14ac:dyDescent="0.25">
      <c r="A117" s="138">
        <v>3551</v>
      </c>
      <c r="B117" s="351" t="s">
        <v>471</v>
      </c>
      <c r="C117" s="221">
        <v>607.4</v>
      </c>
      <c r="D117" s="141">
        <v>0.25</v>
      </c>
      <c r="E117" s="142">
        <f t="shared" si="5"/>
        <v>151.85</v>
      </c>
      <c r="F117" s="142">
        <v>148.47499999999999</v>
      </c>
      <c r="G117" s="142">
        <f t="shared" si="4"/>
        <v>3.375</v>
      </c>
      <c r="H117" s="143">
        <v>14967862</v>
      </c>
      <c r="I117" s="366" t="s">
        <v>470</v>
      </c>
      <c r="J117" s="367" t="s">
        <v>40</v>
      </c>
      <c r="K117" s="367"/>
      <c r="L117" s="139" t="s">
        <v>469</v>
      </c>
      <c r="M117" s="396" t="s">
        <v>632</v>
      </c>
      <c r="N117" s="368"/>
    </row>
    <row r="118" spans="1:14" s="41" customFormat="1" ht="15.75" x14ac:dyDescent="0.25">
      <c r="A118" s="49">
        <v>3552</v>
      </c>
      <c r="B118" s="337" t="s">
        <v>468</v>
      </c>
      <c r="C118" s="363">
        <v>546</v>
      </c>
      <c r="D118" s="57">
        <v>0.25</v>
      </c>
      <c r="E118" s="58">
        <f t="shared" si="5"/>
        <v>136.5</v>
      </c>
      <c r="F118" s="58"/>
      <c r="G118" s="58">
        <f t="shared" si="4"/>
        <v>136.5</v>
      </c>
      <c r="H118" s="88">
        <v>5818311</v>
      </c>
      <c r="I118" s="360" t="s">
        <v>467</v>
      </c>
      <c r="J118" s="361" t="s">
        <v>40</v>
      </c>
      <c r="K118" s="361"/>
      <c r="L118" s="87" t="s">
        <v>466</v>
      </c>
      <c r="M118" s="468"/>
      <c r="N118" s="43"/>
    </row>
    <row r="119" spans="1:14" s="41" customFormat="1" ht="15.75" x14ac:dyDescent="0.25">
      <c r="A119" s="49">
        <v>3553</v>
      </c>
      <c r="B119" s="337" t="s">
        <v>465</v>
      </c>
      <c r="C119" s="363">
        <v>608.6</v>
      </c>
      <c r="D119" s="57">
        <v>0.25</v>
      </c>
      <c r="E119" s="58">
        <f t="shared" si="5"/>
        <v>152.15</v>
      </c>
      <c r="F119" s="58"/>
      <c r="G119" s="58">
        <f t="shared" si="4"/>
        <v>152.15</v>
      </c>
      <c r="H119" s="88">
        <v>25909199</v>
      </c>
      <c r="I119" s="360" t="s">
        <v>464</v>
      </c>
      <c r="J119" s="361" t="s">
        <v>36</v>
      </c>
      <c r="K119" s="361"/>
      <c r="L119" s="87" t="s">
        <v>463</v>
      </c>
      <c r="M119" s="468"/>
      <c r="N119" s="43"/>
    </row>
    <row r="120" spans="1:14" s="41" customFormat="1" ht="15.75" x14ac:dyDescent="0.25">
      <c r="A120" s="49">
        <v>3554</v>
      </c>
      <c r="B120" s="337" t="s">
        <v>462</v>
      </c>
      <c r="C120" s="363">
        <v>551.1</v>
      </c>
      <c r="D120" s="57">
        <v>0.25</v>
      </c>
      <c r="E120" s="58">
        <f t="shared" si="5"/>
        <v>137.77500000000001</v>
      </c>
      <c r="F120" s="58"/>
      <c r="G120" s="58">
        <f t="shared" si="4"/>
        <v>137.77500000000001</v>
      </c>
      <c r="H120" s="88">
        <v>5553803</v>
      </c>
      <c r="I120" s="360" t="s">
        <v>461</v>
      </c>
      <c r="J120" s="361" t="s">
        <v>40</v>
      </c>
      <c r="K120" s="361"/>
      <c r="L120" s="87" t="s">
        <v>460</v>
      </c>
      <c r="M120" s="468"/>
      <c r="N120" s="43"/>
    </row>
    <row r="121" spans="1:14" ht="15.75" x14ac:dyDescent="0.25">
      <c r="A121" s="49">
        <v>3555</v>
      </c>
      <c r="B121" s="337" t="s">
        <v>459</v>
      </c>
      <c r="C121" s="363">
        <v>603.9</v>
      </c>
      <c r="D121" s="57">
        <v>0.25</v>
      </c>
      <c r="E121" s="58">
        <f t="shared" si="5"/>
        <v>150.97499999999999</v>
      </c>
      <c r="F121" s="58"/>
      <c r="G121" s="58">
        <f t="shared" si="4"/>
        <v>150.97499999999999</v>
      </c>
      <c r="H121" s="88">
        <v>4862996</v>
      </c>
      <c r="I121" s="360" t="s">
        <v>458</v>
      </c>
      <c r="J121" s="361" t="s">
        <v>40</v>
      </c>
      <c r="K121" s="361"/>
      <c r="L121" s="87" t="s">
        <v>457</v>
      </c>
      <c r="M121" s="468"/>
    </row>
    <row r="122" spans="1:14" s="227" customFormat="1" ht="15.75" x14ac:dyDescent="0.25">
      <c r="A122" s="138">
        <v>3556</v>
      </c>
      <c r="B122" s="351" t="s">
        <v>456</v>
      </c>
      <c r="C122" s="221">
        <v>601.70000000000005</v>
      </c>
      <c r="D122" s="141">
        <v>0.25</v>
      </c>
      <c r="E122" s="142">
        <f t="shared" si="5"/>
        <v>150.42500000000001</v>
      </c>
      <c r="F122" s="142">
        <v>146.4</v>
      </c>
      <c r="G122" s="142">
        <f t="shared" si="4"/>
        <v>4.0250000000000057</v>
      </c>
      <c r="H122" s="143">
        <v>6071399</v>
      </c>
      <c r="I122" s="366" t="s">
        <v>455</v>
      </c>
      <c r="J122" s="367" t="s">
        <v>40</v>
      </c>
      <c r="K122" s="367"/>
      <c r="L122" s="139" t="s">
        <v>454</v>
      </c>
      <c r="M122" s="172" t="s">
        <v>659</v>
      </c>
      <c r="N122" s="368"/>
    </row>
    <row r="123" spans="1:14" s="458" customFormat="1" ht="15.75" x14ac:dyDescent="0.25">
      <c r="A123" s="450">
        <v>3557</v>
      </c>
      <c r="B123" s="451" t="s">
        <v>453</v>
      </c>
      <c r="C123" s="452"/>
      <c r="D123" s="453">
        <v>0.25</v>
      </c>
      <c r="E123" s="416">
        <f t="shared" si="5"/>
        <v>0</v>
      </c>
      <c r="F123" s="416"/>
      <c r="G123" s="416">
        <f t="shared" si="4"/>
        <v>0</v>
      </c>
      <c r="H123" s="418">
        <v>3560822</v>
      </c>
      <c r="I123" s="454" t="s">
        <v>452</v>
      </c>
      <c r="J123" s="455" t="s">
        <v>40</v>
      </c>
      <c r="K123" s="455"/>
      <c r="L123" s="456" t="s">
        <v>451</v>
      </c>
      <c r="M123" s="470"/>
      <c r="N123" s="457"/>
    </row>
    <row r="124" spans="1:14" ht="15.75" x14ac:dyDescent="0.25">
      <c r="A124" s="49">
        <v>3558</v>
      </c>
      <c r="B124" s="337" t="s">
        <v>450</v>
      </c>
      <c r="C124" s="363">
        <v>239.2</v>
      </c>
      <c r="D124" s="57">
        <v>0.25</v>
      </c>
      <c r="E124" s="58">
        <f t="shared" si="5"/>
        <v>59.8</v>
      </c>
      <c r="F124" s="58"/>
      <c r="G124" s="58">
        <f t="shared" si="4"/>
        <v>59.8</v>
      </c>
      <c r="H124" s="88">
        <v>790841</v>
      </c>
      <c r="I124" s="360" t="s">
        <v>449</v>
      </c>
      <c r="J124" s="361" t="s">
        <v>36</v>
      </c>
      <c r="K124" s="361"/>
      <c r="L124" s="87" t="s">
        <v>448</v>
      </c>
      <c r="M124" s="468"/>
    </row>
    <row r="125" spans="1:14" ht="15.75" x14ac:dyDescent="0.25">
      <c r="A125" s="49">
        <v>3559</v>
      </c>
      <c r="B125" s="337" t="s">
        <v>447</v>
      </c>
      <c r="C125" s="363">
        <v>158.5</v>
      </c>
      <c r="D125" s="57">
        <v>0.25</v>
      </c>
      <c r="E125" s="58">
        <f t="shared" si="5"/>
        <v>39.625</v>
      </c>
      <c r="F125" s="58"/>
      <c r="G125" s="58">
        <f t="shared" si="4"/>
        <v>39.625</v>
      </c>
      <c r="H125" s="88">
        <v>14330314</v>
      </c>
      <c r="I125" s="360" t="s">
        <v>446</v>
      </c>
      <c r="J125" s="361" t="s">
        <v>83</v>
      </c>
      <c r="K125" s="361"/>
      <c r="L125" s="87" t="s">
        <v>445</v>
      </c>
      <c r="M125" s="468"/>
    </row>
    <row r="126" spans="1:14" ht="15.75" x14ac:dyDescent="0.25">
      <c r="A126" s="49">
        <v>3560</v>
      </c>
      <c r="B126" s="337" t="s">
        <v>444</v>
      </c>
      <c r="C126" s="363">
        <v>582.4</v>
      </c>
      <c r="D126" s="57">
        <v>0.25</v>
      </c>
      <c r="E126" s="58">
        <f t="shared" si="5"/>
        <v>145.6</v>
      </c>
      <c r="F126" s="58"/>
      <c r="G126" s="58">
        <f t="shared" si="4"/>
        <v>145.6</v>
      </c>
      <c r="H126" s="88">
        <v>1975929</v>
      </c>
      <c r="I126" s="360" t="s">
        <v>443</v>
      </c>
      <c r="J126" s="361" t="s">
        <v>40</v>
      </c>
      <c r="K126" s="361"/>
      <c r="L126" s="87">
        <v>99837335</v>
      </c>
      <c r="M126" s="468"/>
    </row>
    <row r="127" spans="1:14" ht="15.75" x14ac:dyDescent="0.25">
      <c r="A127" s="49">
        <v>3561</v>
      </c>
      <c r="B127" s="337" t="s">
        <v>442</v>
      </c>
      <c r="C127" s="363">
        <v>613.20000000000005</v>
      </c>
      <c r="D127" s="57">
        <v>0.25</v>
      </c>
      <c r="E127" s="58">
        <f t="shared" si="5"/>
        <v>153.30000000000001</v>
      </c>
      <c r="F127" s="58"/>
      <c r="G127" s="58">
        <f t="shared" si="4"/>
        <v>153.30000000000001</v>
      </c>
      <c r="H127" s="88">
        <v>1234226</v>
      </c>
      <c r="I127" s="360" t="s">
        <v>441</v>
      </c>
      <c r="J127" s="361" t="s">
        <v>373</v>
      </c>
      <c r="K127" s="361"/>
      <c r="L127" s="87" t="s">
        <v>440</v>
      </c>
      <c r="M127" s="468"/>
    </row>
    <row r="128" spans="1:14" ht="15.75" x14ac:dyDescent="0.25">
      <c r="A128" s="49">
        <v>3562</v>
      </c>
      <c r="B128" s="337" t="s">
        <v>439</v>
      </c>
      <c r="C128" s="363">
        <v>608.4</v>
      </c>
      <c r="D128" s="57">
        <v>0.25</v>
      </c>
      <c r="E128" s="58">
        <f t="shared" si="5"/>
        <v>152.1</v>
      </c>
      <c r="F128" s="58"/>
      <c r="G128" s="58">
        <f t="shared" si="4"/>
        <v>152.1</v>
      </c>
      <c r="H128" s="88">
        <v>14052914</v>
      </c>
      <c r="I128" s="360" t="s">
        <v>438</v>
      </c>
      <c r="J128" s="361" t="s">
        <v>437</v>
      </c>
      <c r="K128" s="361"/>
      <c r="L128" s="87" t="s">
        <v>436</v>
      </c>
      <c r="M128" s="468"/>
    </row>
    <row r="129" spans="1:14" ht="15.75" x14ac:dyDescent="0.25">
      <c r="A129" s="49">
        <v>3563</v>
      </c>
      <c r="B129" s="337" t="s">
        <v>435</v>
      </c>
      <c r="C129" s="363">
        <v>577.20000000000005</v>
      </c>
      <c r="D129" s="57">
        <v>0.25</v>
      </c>
      <c r="E129" s="58">
        <f t="shared" si="5"/>
        <v>144.30000000000001</v>
      </c>
      <c r="F129" s="58"/>
      <c r="G129" s="58">
        <f t="shared" si="4"/>
        <v>144.30000000000001</v>
      </c>
      <c r="H129" s="88">
        <v>14453238</v>
      </c>
      <c r="I129" s="360" t="s">
        <v>434</v>
      </c>
      <c r="J129" s="361" t="s">
        <v>40</v>
      </c>
      <c r="K129" s="361"/>
      <c r="L129" s="87" t="s">
        <v>433</v>
      </c>
      <c r="M129" s="468"/>
    </row>
    <row r="130" spans="1:14" ht="15.75" x14ac:dyDescent="0.25">
      <c r="A130" s="49">
        <v>3564</v>
      </c>
      <c r="B130" s="337" t="s">
        <v>432</v>
      </c>
      <c r="C130" s="363">
        <v>40.9</v>
      </c>
      <c r="D130" s="57">
        <v>0.25</v>
      </c>
      <c r="E130" s="58">
        <f t="shared" si="5"/>
        <v>10.225</v>
      </c>
      <c r="F130" s="58"/>
      <c r="G130" s="58">
        <f t="shared" si="4"/>
        <v>10.225</v>
      </c>
      <c r="H130" s="88">
        <v>323724</v>
      </c>
      <c r="I130" s="360" t="s">
        <v>431</v>
      </c>
      <c r="J130" s="361" t="s">
        <v>88</v>
      </c>
      <c r="K130" s="361"/>
      <c r="L130" s="87" t="s">
        <v>430</v>
      </c>
      <c r="M130" s="468"/>
    </row>
    <row r="131" spans="1:14" s="227" customFormat="1" ht="15.75" x14ac:dyDescent="0.25">
      <c r="A131" s="138">
        <v>3565</v>
      </c>
      <c r="B131" s="351" t="s">
        <v>429</v>
      </c>
      <c r="C131" s="221">
        <v>618.5</v>
      </c>
      <c r="D131" s="141">
        <v>0.25</v>
      </c>
      <c r="E131" s="142">
        <f t="shared" si="5"/>
        <v>154.625</v>
      </c>
      <c r="F131" s="142">
        <v>151.35000000000002</v>
      </c>
      <c r="G131" s="142">
        <f t="shared" si="4"/>
        <v>3.2749999999999773</v>
      </c>
      <c r="H131" s="143">
        <v>19611872</v>
      </c>
      <c r="I131" s="366" t="s">
        <v>428</v>
      </c>
      <c r="J131" s="367" t="s">
        <v>40</v>
      </c>
      <c r="K131" s="367"/>
      <c r="L131" s="139" t="s">
        <v>427</v>
      </c>
      <c r="M131" s="396" t="s">
        <v>660</v>
      </c>
      <c r="N131" s="368"/>
    </row>
    <row r="132" spans="1:14" s="227" customFormat="1" ht="15.75" x14ac:dyDescent="0.25">
      <c r="A132" s="138">
        <v>3566</v>
      </c>
      <c r="B132" s="351" t="s">
        <v>426</v>
      </c>
      <c r="C132" s="221">
        <v>610</v>
      </c>
      <c r="D132" s="141">
        <v>0.25</v>
      </c>
      <c r="E132" s="142">
        <f t="shared" ref="E132:E163" si="6">C132*D132</f>
        <v>152.5</v>
      </c>
      <c r="F132" s="142">
        <v>150.97499999999999</v>
      </c>
      <c r="G132" s="142">
        <f t="shared" si="4"/>
        <v>1.5250000000000057</v>
      </c>
      <c r="H132" s="143">
        <v>6664792</v>
      </c>
      <c r="I132" s="366" t="s">
        <v>425</v>
      </c>
      <c r="J132" s="367" t="s">
        <v>40</v>
      </c>
      <c r="K132" s="367"/>
      <c r="L132" s="139" t="s">
        <v>424</v>
      </c>
      <c r="M132" s="269">
        <v>46008</v>
      </c>
      <c r="N132" s="368"/>
    </row>
    <row r="133" spans="1:14" ht="15.75" x14ac:dyDescent="0.25">
      <c r="A133" s="49">
        <v>3567</v>
      </c>
      <c r="B133" s="337" t="s">
        <v>423</v>
      </c>
      <c r="C133" s="363">
        <v>601.79999999999995</v>
      </c>
      <c r="D133" s="57">
        <v>0.25</v>
      </c>
      <c r="E133" s="58">
        <f t="shared" si="6"/>
        <v>150.44999999999999</v>
      </c>
      <c r="F133" s="58"/>
      <c r="G133" s="58">
        <f t="shared" ref="G133:G183" si="7">E133-F133</f>
        <v>150.44999999999999</v>
      </c>
      <c r="H133" s="88">
        <v>6825074</v>
      </c>
      <c r="I133" s="360" t="s">
        <v>422</v>
      </c>
      <c r="J133" s="361" t="s">
        <v>40</v>
      </c>
      <c r="K133" s="361"/>
      <c r="L133" s="87" t="s">
        <v>421</v>
      </c>
      <c r="M133" s="468"/>
    </row>
    <row r="134" spans="1:14" ht="15.75" x14ac:dyDescent="0.25">
      <c r="A134" s="49">
        <v>3568</v>
      </c>
      <c r="B134" s="337" t="s">
        <v>420</v>
      </c>
      <c r="C134" s="363">
        <v>599.20000000000005</v>
      </c>
      <c r="D134" s="57">
        <v>0.25</v>
      </c>
      <c r="E134" s="58">
        <f t="shared" si="6"/>
        <v>149.80000000000001</v>
      </c>
      <c r="F134" s="58"/>
      <c r="G134" s="58">
        <f t="shared" si="7"/>
        <v>149.80000000000001</v>
      </c>
      <c r="H134" s="88">
        <v>5390889</v>
      </c>
      <c r="I134" s="360" t="s">
        <v>419</v>
      </c>
      <c r="J134" s="361" t="s">
        <v>40</v>
      </c>
      <c r="K134" s="361"/>
      <c r="L134" s="87" t="s">
        <v>416</v>
      </c>
      <c r="M134" s="468"/>
    </row>
    <row r="135" spans="1:14" ht="15.75" x14ac:dyDescent="0.25">
      <c r="A135" s="49">
        <v>3569</v>
      </c>
      <c r="B135" s="337" t="s">
        <v>418</v>
      </c>
      <c r="C135" s="363">
        <v>605.1</v>
      </c>
      <c r="D135" s="57">
        <v>0.25</v>
      </c>
      <c r="E135" s="58">
        <f t="shared" si="6"/>
        <v>151.27500000000001</v>
      </c>
      <c r="F135" s="58"/>
      <c r="G135" s="58">
        <f t="shared" si="7"/>
        <v>151.27500000000001</v>
      </c>
      <c r="H135" s="88">
        <v>18628284</v>
      </c>
      <c r="I135" s="360" t="s">
        <v>417</v>
      </c>
      <c r="J135" s="361" t="s">
        <v>40</v>
      </c>
      <c r="K135" s="361"/>
      <c r="L135" s="87" t="s">
        <v>416</v>
      </c>
      <c r="M135" s="468"/>
    </row>
    <row r="136" spans="1:14" ht="15.75" x14ac:dyDescent="0.25">
      <c r="A136" s="49">
        <v>3570</v>
      </c>
      <c r="B136" s="337" t="s">
        <v>415</v>
      </c>
      <c r="C136" s="363">
        <v>567.6</v>
      </c>
      <c r="D136" s="57">
        <v>0.25</v>
      </c>
      <c r="E136" s="58">
        <f t="shared" si="6"/>
        <v>141.9</v>
      </c>
      <c r="F136" s="58"/>
      <c r="G136" s="58">
        <f t="shared" si="7"/>
        <v>141.9</v>
      </c>
      <c r="H136" s="88">
        <v>1932809</v>
      </c>
      <c r="I136" s="360" t="s">
        <v>414</v>
      </c>
      <c r="J136" s="361" t="s">
        <v>40</v>
      </c>
      <c r="K136" s="361"/>
      <c r="L136" s="87" t="s">
        <v>413</v>
      </c>
      <c r="M136" s="468"/>
    </row>
    <row r="137" spans="1:14" ht="15.75" x14ac:dyDescent="0.25">
      <c r="A137" s="49">
        <v>3571</v>
      </c>
      <c r="B137" s="337" t="s">
        <v>412</v>
      </c>
      <c r="C137" s="363">
        <v>584.70000000000005</v>
      </c>
      <c r="D137" s="57">
        <v>0.25</v>
      </c>
      <c r="E137" s="58">
        <f t="shared" si="6"/>
        <v>146.17500000000001</v>
      </c>
      <c r="F137" s="58"/>
      <c r="G137" s="58">
        <f t="shared" si="7"/>
        <v>146.17500000000001</v>
      </c>
      <c r="H137" s="88">
        <v>24329569</v>
      </c>
      <c r="I137" s="360" t="s">
        <v>411</v>
      </c>
      <c r="J137" s="361" t="s">
        <v>36</v>
      </c>
      <c r="K137" s="361"/>
      <c r="L137" s="87" t="s">
        <v>410</v>
      </c>
      <c r="M137" s="468"/>
    </row>
    <row r="138" spans="1:14" ht="15.75" x14ac:dyDescent="0.25">
      <c r="A138" s="49">
        <v>3572</v>
      </c>
      <c r="B138" s="337" t="s">
        <v>409</v>
      </c>
      <c r="C138" s="363">
        <v>578.4</v>
      </c>
      <c r="D138" s="57">
        <v>0.25</v>
      </c>
      <c r="E138" s="58">
        <f t="shared" si="6"/>
        <v>144.6</v>
      </c>
      <c r="F138" s="58"/>
      <c r="G138" s="58">
        <f t="shared" si="7"/>
        <v>144.6</v>
      </c>
      <c r="H138" s="88">
        <v>6160288</v>
      </c>
      <c r="I138" s="360" t="s">
        <v>408</v>
      </c>
      <c r="J138" s="361" t="s">
        <v>40</v>
      </c>
      <c r="K138" s="361"/>
      <c r="L138" s="87" t="s">
        <v>407</v>
      </c>
      <c r="M138" s="468"/>
    </row>
    <row r="139" spans="1:14" s="458" customFormat="1" ht="15.75" x14ac:dyDescent="0.25">
      <c r="A139" s="450">
        <v>3573</v>
      </c>
      <c r="B139" s="451" t="s">
        <v>406</v>
      </c>
      <c r="C139" s="452"/>
      <c r="D139" s="453">
        <v>0.25</v>
      </c>
      <c r="E139" s="416">
        <f t="shared" si="6"/>
        <v>0</v>
      </c>
      <c r="F139" s="416"/>
      <c r="G139" s="416">
        <f t="shared" si="7"/>
        <v>0</v>
      </c>
      <c r="H139" s="418">
        <v>19827505</v>
      </c>
      <c r="I139" s="454" t="s">
        <v>405</v>
      </c>
      <c r="J139" s="455" t="s">
        <v>40</v>
      </c>
      <c r="K139" s="455"/>
      <c r="L139" s="456" t="s">
        <v>404</v>
      </c>
      <c r="M139" s="470"/>
      <c r="N139" s="457"/>
    </row>
    <row r="140" spans="1:14" s="227" customFormat="1" ht="15.75" x14ac:dyDescent="0.25">
      <c r="A140" s="138">
        <v>3574</v>
      </c>
      <c r="B140" s="351" t="s">
        <v>403</v>
      </c>
      <c r="C140" s="221">
        <v>445.1</v>
      </c>
      <c r="D140" s="141">
        <v>0.25</v>
      </c>
      <c r="E140" s="142">
        <f t="shared" si="6"/>
        <v>111.27500000000001</v>
      </c>
      <c r="F140" s="142">
        <v>108.92500000000001</v>
      </c>
      <c r="G140" s="142">
        <f t="shared" si="7"/>
        <v>2.3499999999999943</v>
      </c>
      <c r="H140" s="143">
        <v>24363459</v>
      </c>
      <c r="I140" s="366" t="s">
        <v>402</v>
      </c>
      <c r="J140" s="367" t="s">
        <v>36</v>
      </c>
      <c r="K140" s="367"/>
      <c r="L140" s="139" t="s">
        <v>401</v>
      </c>
      <c r="M140" s="396" t="s">
        <v>659</v>
      </c>
      <c r="N140" s="368"/>
    </row>
    <row r="141" spans="1:14" s="227" customFormat="1" ht="15.75" x14ac:dyDescent="0.25">
      <c r="A141" s="138">
        <v>3575</v>
      </c>
      <c r="B141" s="351" t="s">
        <v>400</v>
      </c>
      <c r="C141" s="221">
        <v>451.6</v>
      </c>
      <c r="D141" s="141">
        <v>0.25</v>
      </c>
      <c r="E141" s="142">
        <f t="shared" si="6"/>
        <v>112.9</v>
      </c>
      <c r="F141" s="142">
        <v>111.67500000000001</v>
      </c>
      <c r="G141" s="142">
        <f t="shared" si="7"/>
        <v>1.2249999999999943</v>
      </c>
      <c r="H141" s="143">
        <v>22985669</v>
      </c>
      <c r="I141" s="366" t="s">
        <v>399</v>
      </c>
      <c r="J141" s="367" t="s">
        <v>40</v>
      </c>
      <c r="K141" s="367"/>
      <c r="L141" s="139" t="s">
        <v>398</v>
      </c>
      <c r="M141" s="396" t="s">
        <v>659</v>
      </c>
      <c r="N141" s="368"/>
    </row>
    <row r="142" spans="1:14" ht="15.75" x14ac:dyDescent="0.25">
      <c r="A142" s="49">
        <v>3576</v>
      </c>
      <c r="B142" s="337" t="s">
        <v>397</v>
      </c>
      <c r="C142" s="363">
        <v>320.60000000000002</v>
      </c>
      <c r="D142" s="57">
        <v>0.25</v>
      </c>
      <c r="E142" s="58">
        <f t="shared" si="6"/>
        <v>80.150000000000006</v>
      </c>
      <c r="F142" s="58"/>
      <c r="G142" s="58">
        <f t="shared" si="7"/>
        <v>80.150000000000006</v>
      </c>
      <c r="H142" s="88">
        <v>4631242</v>
      </c>
      <c r="I142" s="360" t="s">
        <v>396</v>
      </c>
      <c r="J142" s="361" t="s">
        <v>40</v>
      </c>
      <c r="K142" s="361"/>
      <c r="L142" s="87" t="s">
        <v>395</v>
      </c>
      <c r="M142" s="468"/>
    </row>
    <row r="143" spans="1:14" ht="15.75" x14ac:dyDescent="0.25">
      <c r="A143" s="49">
        <v>3577</v>
      </c>
      <c r="B143" s="337" t="s">
        <v>394</v>
      </c>
      <c r="C143" s="363">
        <v>600</v>
      </c>
      <c r="D143" s="57">
        <v>0.25</v>
      </c>
      <c r="E143" s="58">
        <f t="shared" si="6"/>
        <v>150</v>
      </c>
      <c r="F143" s="58"/>
      <c r="G143" s="58">
        <f t="shared" si="7"/>
        <v>150</v>
      </c>
      <c r="H143" s="88">
        <v>27770646</v>
      </c>
      <c r="I143" s="360" t="s">
        <v>393</v>
      </c>
      <c r="J143" s="361" t="s">
        <v>40</v>
      </c>
      <c r="K143" s="361"/>
      <c r="L143" s="87" t="s">
        <v>392</v>
      </c>
      <c r="M143" s="468"/>
    </row>
    <row r="144" spans="1:14" s="458" customFormat="1" ht="15.75" x14ac:dyDescent="0.25">
      <c r="A144" s="450">
        <v>3578</v>
      </c>
      <c r="B144" s="451" t="s">
        <v>391</v>
      </c>
      <c r="C144" s="452"/>
      <c r="D144" s="453">
        <v>0.25</v>
      </c>
      <c r="E144" s="416">
        <f t="shared" si="6"/>
        <v>0</v>
      </c>
      <c r="F144" s="416"/>
      <c r="G144" s="416">
        <f t="shared" si="7"/>
        <v>0</v>
      </c>
      <c r="H144" s="418">
        <v>5818269</v>
      </c>
      <c r="I144" s="454" t="s">
        <v>390</v>
      </c>
      <c r="J144" s="455" t="s">
        <v>40</v>
      </c>
      <c r="K144" s="455"/>
      <c r="L144" s="456" t="s">
        <v>389</v>
      </c>
      <c r="M144" s="470"/>
      <c r="N144" s="457"/>
    </row>
    <row r="145" spans="1:14" s="227" customFormat="1" ht="15.75" x14ac:dyDescent="0.25">
      <c r="A145" s="138">
        <v>3579</v>
      </c>
      <c r="B145" s="351" t="s">
        <v>388</v>
      </c>
      <c r="C145" s="221">
        <v>608.20000000000005</v>
      </c>
      <c r="D145" s="141">
        <v>0.25</v>
      </c>
      <c r="E145" s="142">
        <f t="shared" si="6"/>
        <v>152.05000000000001</v>
      </c>
      <c r="F145" s="142">
        <v>151.4</v>
      </c>
      <c r="G145" s="142">
        <f t="shared" si="7"/>
        <v>0.65000000000000568</v>
      </c>
      <c r="H145" s="143">
        <v>10188283</v>
      </c>
      <c r="I145" s="366" t="s">
        <v>387</v>
      </c>
      <c r="J145" s="367" t="s">
        <v>373</v>
      </c>
      <c r="K145" s="367"/>
      <c r="L145" s="139" t="s">
        <v>386</v>
      </c>
      <c r="M145" s="396" t="s">
        <v>659</v>
      </c>
      <c r="N145" s="368"/>
    </row>
    <row r="146" spans="1:14" s="227" customFormat="1" ht="15.75" x14ac:dyDescent="0.25">
      <c r="A146" s="138">
        <v>3580</v>
      </c>
      <c r="B146" s="351" t="s">
        <v>385</v>
      </c>
      <c r="C146" s="221">
        <v>586.1</v>
      </c>
      <c r="D146" s="141">
        <v>0.25</v>
      </c>
      <c r="E146" s="142">
        <f t="shared" si="6"/>
        <v>146.52500000000001</v>
      </c>
      <c r="F146" s="142">
        <f>145.625</f>
        <v>145.625</v>
      </c>
      <c r="G146" s="142">
        <f t="shared" si="7"/>
        <v>0.90000000000000568</v>
      </c>
      <c r="H146" s="143">
        <v>24923763</v>
      </c>
      <c r="I146" s="366" t="s">
        <v>384</v>
      </c>
      <c r="J146" s="367" t="s">
        <v>40</v>
      </c>
      <c r="K146" s="367"/>
      <c r="L146" s="139" t="s">
        <v>381</v>
      </c>
      <c r="M146" s="396" t="s">
        <v>659</v>
      </c>
      <c r="N146" s="368"/>
    </row>
    <row r="147" spans="1:14" s="227" customFormat="1" ht="15.75" x14ac:dyDescent="0.25">
      <c r="A147" s="138">
        <v>3581</v>
      </c>
      <c r="B147" s="351" t="s">
        <v>383</v>
      </c>
      <c r="C147" s="221">
        <v>615.29999999999995</v>
      </c>
      <c r="D147" s="141">
        <v>0.25</v>
      </c>
      <c r="E147" s="142">
        <f t="shared" si="6"/>
        <v>153.82499999999999</v>
      </c>
      <c r="F147" s="142">
        <v>151.75</v>
      </c>
      <c r="G147" s="142">
        <f t="shared" si="7"/>
        <v>2.0749999999999886</v>
      </c>
      <c r="H147" s="143">
        <v>19346473</v>
      </c>
      <c r="I147" s="366" t="s">
        <v>382</v>
      </c>
      <c r="J147" s="367" t="s">
        <v>40</v>
      </c>
      <c r="K147" s="367"/>
      <c r="L147" s="139" t="s">
        <v>381</v>
      </c>
      <c r="M147" s="396" t="s">
        <v>659</v>
      </c>
      <c r="N147" s="368"/>
    </row>
    <row r="148" spans="1:14" ht="15.75" x14ac:dyDescent="0.25">
      <c r="A148" s="49">
        <v>3582</v>
      </c>
      <c r="B148" s="337" t="s">
        <v>380</v>
      </c>
      <c r="C148" s="363">
        <v>426.9</v>
      </c>
      <c r="D148" s="57">
        <v>0.25</v>
      </c>
      <c r="E148" s="58">
        <f t="shared" si="6"/>
        <v>106.72499999999999</v>
      </c>
      <c r="F148" s="58"/>
      <c r="G148" s="58">
        <f t="shared" si="7"/>
        <v>106.72499999999999</v>
      </c>
      <c r="H148" s="88">
        <v>21228878</v>
      </c>
      <c r="I148" s="360" t="s">
        <v>379</v>
      </c>
      <c r="J148" s="361" t="s">
        <v>40</v>
      </c>
      <c r="K148" s="361"/>
      <c r="L148" s="87">
        <v>94444279</v>
      </c>
      <c r="M148" s="468"/>
    </row>
    <row r="149" spans="1:14" ht="15.75" x14ac:dyDescent="0.25">
      <c r="A149" s="49">
        <v>3583</v>
      </c>
      <c r="B149" s="337" t="s">
        <v>378</v>
      </c>
      <c r="C149" s="363">
        <v>615.79999999999995</v>
      </c>
      <c r="D149" s="57">
        <v>0.25</v>
      </c>
      <c r="E149" s="58">
        <f t="shared" si="6"/>
        <v>153.94999999999999</v>
      </c>
      <c r="F149" s="58"/>
      <c r="G149" s="58">
        <f t="shared" si="7"/>
        <v>153.94999999999999</v>
      </c>
      <c r="H149" s="88">
        <v>22777574</v>
      </c>
      <c r="I149" s="360" t="s">
        <v>377</v>
      </c>
      <c r="J149" s="361" t="s">
        <v>40</v>
      </c>
      <c r="K149" s="361"/>
      <c r="L149" s="87" t="s">
        <v>376</v>
      </c>
      <c r="M149" s="468"/>
    </row>
    <row r="150" spans="1:14" ht="15.75" x14ac:dyDescent="0.25">
      <c r="A150" s="49">
        <v>3584</v>
      </c>
      <c r="B150" s="337" t="s">
        <v>375</v>
      </c>
      <c r="C150" s="363">
        <v>581.4</v>
      </c>
      <c r="D150" s="57">
        <v>0.25</v>
      </c>
      <c r="E150" s="58">
        <f t="shared" si="6"/>
        <v>145.35</v>
      </c>
      <c r="F150" s="58"/>
      <c r="G150" s="58">
        <f t="shared" si="7"/>
        <v>145.35</v>
      </c>
      <c r="H150" s="88">
        <v>4087239</v>
      </c>
      <c r="I150" s="360" t="s">
        <v>374</v>
      </c>
      <c r="J150" s="361" t="s">
        <v>373</v>
      </c>
      <c r="K150" s="361"/>
      <c r="L150" s="87" t="s">
        <v>372</v>
      </c>
      <c r="M150" s="468"/>
    </row>
    <row r="151" spans="1:14" ht="15.75" x14ac:dyDescent="0.25">
      <c r="A151" s="49">
        <v>3586</v>
      </c>
      <c r="B151" s="337" t="s">
        <v>371</v>
      </c>
      <c r="C151" s="363">
        <v>449.7</v>
      </c>
      <c r="D151" s="57">
        <v>0.25</v>
      </c>
      <c r="E151" s="58">
        <f t="shared" si="6"/>
        <v>112.425</v>
      </c>
      <c r="F151" s="58"/>
      <c r="G151" s="58">
        <f t="shared" si="7"/>
        <v>112.425</v>
      </c>
      <c r="H151" s="88">
        <v>775949</v>
      </c>
      <c r="I151" s="360" t="s">
        <v>370</v>
      </c>
      <c r="J151" s="361" t="s">
        <v>188</v>
      </c>
      <c r="K151" s="361"/>
      <c r="L151" s="87" t="s">
        <v>369</v>
      </c>
      <c r="M151" s="468"/>
    </row>
    <row r="152" spans="1:14" ht="15.75" x14ac:dyDescent="0.25">
      <c r="A152" s="49">
        <v>3587</v>
      </c>
      <c r="B152" s="337" t="s">
        <v>368</v>
      </c>
      <c r="C152" s="363">
        <v>575.70000000000005</v>
      </c>
      <c r="D152" s="57">
        <v>0.25</v>
      </c>
      <c r="E152" s="58">
        <f t="shared" si="6"/>
        <v>143.92500000000001</v>
      </c>
      <c r="F152" s="58"/>
      <c r="G152" s="58">
        <f t="shared" si="7"/>
        <v>143.92500000000001</v>
      </c>
      <c r="H152" s="88">
        <v>7693695</v>
      </c>
      <c r="I152" s="360" t="s">
        <v>367</v>
      </c>
      <c r="J152" s="361" t="s">
        <v>188</v>
      </c>
      <c r="K152" s="361"/>
      <c r="L152" s="87" t="s">
        <v>366</v>
      </c>
      <c r="M152" s="468"/>
    </row>
    <row r="153" spans="1:14" s="458" customFormat="1" ht="15.75" x14ac:dyDescent="0.25">
      <c r="A153" s="450">
        <v>3588</v>
      </c>
      <c r="B153" s="451" t="s">
        <v>365</v>
      </c>
      <c r="C153" s="452"/>
      <c r="D153" s="453">
        <v>0.25</v>
      </c>
      <c r="E153" s="416">
        <f t="shared" si="6"/>
        <v>0</v>
      </c>
      <c r="F153" s="416"/>
      <c r="G153" s="416">
        <f t="shared" si="7"/>
        <v>0</v>
      </c>
      <c r="H153" s="418">
        <v>9653943</v>
      </c>
      <c r="I153" s="454" t="s">
        <v>364</v>
      </c>
      <c r="J153" s="455" t="s">
        <v>83</v>
      </c>
      <c r="K153" s="455"/>
      <c r="L153" s="456" t="s">
        <v>361</v>
      </c>
      <c r="M153" s="470"/>
      <c r="N153" s="457"/>
    </row>
    <row r="154" spans="1:14" s="458" customFormat="1" ht="15.75" x14ac:dyDescent="0.25">
      <c r="A154" s="450">
        <v>3589</v>
      </c>
      <c r="B154" s="451" t="s">
        <v>362</v>
      </c>
      <c r="C154" s="452"/>
      <c r="D154" s="453">
        <v>0.25</v>
      </c>
      <c r="E154" s="416">
        <f t="shared" si="6"/>
        <v>0</v>
      </c>
      <c r="F154" s="416"/>
      <c r="G154" s="416">
        <f t="shared" si="7"/>
        <v>0</v>
      </c>
      <c r="H154" s="418">
        <v>5535821</v>
      </c>
      <c r="I154" s="455"/>
      <c r="J154" s="455"/>
      <c r="K154" s="455"/>
      <c r="L154" s="456" t="s">
        <v>361</v>
      </c>
      <c r="M154" s="470"/>
      <c r="N154" s="457"/>
    </row>
    <row r="155" spans="1:14" ht="15.75" x14ac:dyDescent="0.25">
      <c r="A155" s="49">
        <v>3590</v>
      </c>
      <c r="B155" s="337" t="s">
        <v>359</v>
      </c>
      <c r="C155" s="363">
        <v>301.7</v>
      </c>
      <c r="D155" s="57">
        <v>0.25</v>
      </c>
      <c r="E155" s="58">
        <f t="shared" si="6"/>
        <v>75.424999999999997</v>
      </c>
      <c r="F155" s="58"/>
      <c r="G155" s="58">
        <f t="shared" si="7"/>
        <v>75.424999999999997</v>
      </c>
      <c r="H155" s="88">
        <v>18197297</v>
      </c>
      <c r="I155" s="360" t="s">
        <v>358</v>
      </c>
      <c r="J155" s="361" t="s">
        <v>357</v>
      </c>
      <c r="K155" s="361"/>
      <c r="L155" s="87" t="s">
        <v>356</v>
      </c>
      <c r="M155" s="468"/>
    </row>
    <row r="156" spans="1:14" ht="15.75" x14ac:dyDescent="0.25">
      <c r="A156" s="49">
        <v>3591</v>
      </c>
      <c r="B156" s="337" t="s">
        <v>354</v>
      </c>
      <c r="C156" s="363">
        <v>580.70000000000005</v>
      </c>
      <c r="D156" s="57">
        <v>0.25</v>
      </c>
      <c r="E156" s="58">
        <f t="shared" si="6"/>
        <v>145.17500000000001</v>
      </c>
      <c r="F156" s="58"/>
      <c r="G156" s="58">
        <f t="shared" si="7"/>
        <v>145.17500000000001</v>
      </c>
      <c r="H156" s="88">
        <v>2567152</v>
      </c>
      <c r="I156" s="360" t="s">
        <v>353</v>
      </c>
      <c r="J156" s="361" t="s">
        <v>188</v>
      </c>
      <c r="K156" s="361"/>
      <c r="L156" s="87" t="s">
        <v>352</v>
      </c>
      <c r="M156" s="468"/>
    </row>
    <row r="157" spans="1:14" ht="15.75" x14ac:dyDescent="0.25">
      <c r="A157" s="49">
        <v>3592</v>
      </c>
      <c r="B157" s="337" t="s">
        <v>350</v>
      </c>
      <c r="C157" s="363">
        <v>609.9</v>
      </c>
      <c r="D157" s="57">
        <v>0.25</v>
      </c>
      <c r="E157" s="58">
        <f t="shared" si="6"/>
        <v>152.47499999999999</v>
      </c>
      <c r="F157" s="58"/>
      <c r="G157" s="58">
        <f t="shared" si="7"/>
        <v>152.47499999999999</v>
      </c>
      <c r="H157" s="88">
        <v>20953759</v>
      </c>
      <c r="I157" s="360" t="s">
        <v>349</v>
      </c>
      <c r="J157" s="361" t="s">
        <v>188</v>
      </c>
      <c r="K157" s="361"/>
      <c r="L157" s="87" t="s">
        <v>348</v>
      </c>
      <c r="M157" s="468"/>
    </row>
    <row r="158" spans="1:14" ht="15.75" x14ac:dyDescent="0.25">
      <c r="A158" s="49">
        <v>3593</v>
      </c>
      <c r="B158" s="337" t="s">
        <v>346</v>
      </c>
      <c r="C158" s="363">
        <v>584.5</v>
      </c>
      <c r="D158" s="57">
        <v>0.25</v>
      </c>
      <c r="E158" s="58">
        <f t="shared" si="6"/>
        <v>146.125</v>
      </c>
      <c r="F158" s="58"/>
      <c r="G158" s="58">
        <f t="shared" si="7"/>
        <v>146.125</v>
      </c>
      <c r="H158" s="362">
        <v>2663534</v>
      </c>
      <c r="I158" s="360" t="s">
        <v>345</v>
      </c>
      <c r="J158" s="361" t="s">
        <v>344</v>
      </c>
      <c r="K158" s="361"/>
      <c r="L158" s="360" t="s">
        <v>343</v>
      </c>
      <c r="M158" s="468"/>
    </row>
    <row r="159" spans="1:14" ht="15.75" x14ac:dyDescent="0.25">
      <c r="A159" s="376">
        <v>3594</v>
      </c>
      <c r="B159" s="374" t="s">
        <v>624</v>
      </c>
      <c r="C159" s="363">
        <v>596.9</v>
      </c>
      <c r="D159" s="57">
        <v>0.25</v>
      </c>
      <c r="E159" s="58">
        <f t="shared" si="6"/>
        <v>149.22499999999999</v>
      </c>
      <c r="F159" s="382"/>
      <c r="G159" s="58">
        <f t="shared" si="7"/>
        <v>149.22499999999999</v>
      </c>
      <c r="H159" s="378">
        <v>644971</v>
      </c>
      <c r="I159" s="377" t="s">
        <v>623</v>
      </c>
      <c r="J159" s="361" t="s">
        <v>188</v>
      </c>
      <c r="K159" s="361"/>
      <c r="L159" s="373" t="s">
        <v>622</v>
      </c>
      <c r="M159" s="468"/>
    </row>
    <row r="160" spans="1:14" ht="15.75" x14ac:dyDescent="0.25">
      <c r="A160" s="376">
        <v>3595</v>
      </c>
      <c r="B160" s="374" t="s">
        <v>621</v>
      </c>
      <c r="C160" s="363">
        <v>631.9</v>
      </c>
      <c r="D160" s="57">
        <v>0.25</v>
      </c>
      <c r="E160" s="58">
        <f t="shared" si="6"/>
        <v>157.97499999999999</v>
      </c>
      <c r="F160" s="58"/>
      <c r="G160" s="58">
        <f t="shared" si="7"/>
        <v>157.97499999999999</v>
      </c>
      <c r="H160" s="375">
        <v>732815</v>
      </c>
      <c r="I160" s="377" t="s">
        <v>620</v>
      </c>
      <c r="J160" s="361" t="s">
        <v>188</v>
      </c>
      <c r="K160" s="361"/>
      <c r="L160" s="373" t="s">
        <v>619</v>
      </c>
      <c r="M160" s="468"/>
    </row>
    <row r="161" spans="1:14" ht="15.75" x14ac:dyDescent="0.25">
      <c r="A161" s="376">
        <v>3596</v>
      </c>
      <c r="B161" s="374" t="s">
        <v>618</v>
      </c>
      <c r="C161" s="363">
        <v>615.6</v>
      </c>
      <c r="D161" s="57">
        <v>0.25</v>
      </c>
      <c r="E161" s="58">
        <f t="shared" si="6"/>
        <v>153.9</v>
      </c>
      <c r="F161" s="58"/>
      <c r="G161" s="58">
        <f t="shared" si="7"/>
        <v>153.9</v>
      </c>
      <c r="H161" s="375">
        <v>5998887</v>
      </c>
      <c r="I161" s="377" t="s">
        <v>617</v>
      </c>
      <c r="J161" s="374" t="s">
        <v>188</v>
      </c>
      <c r="K161" s="361"/>
      <c r="L161" s="373" t="s">
        <v>612</v>
      </c>
      <c r="M161" s="468"/>
    </row>
    <row r="162" spans="1:14" ht="15.75" x14ac:dyDescent="0.25">
      <c r="A162" s="376">
        <v>3597</v>
      </c>
      <c r="B162" s="374" t="s">
        <v>616</v>
      </c>
      <c r="C162" s="363">
        <v>615.4</v>
      </c>
      <c r="D162" s="57">
        <v>0.25</v>
      </c>
      <c r="E162" s="58">
        <f t="shared" si="6"/>
        <v>153.85</v>
      </c>
      <c r="F162" s="58"/>
      <c r="G162" s="58">
        <f t="shared" si="7"/>
        <v>153.85</v>
      </c>
      <c r="H162" s="375">
        <v>27870521</v>
      </c>
      <c r="I162" s="377" t="s">
        <v>615</v>
      </c>
      <c r="J162" s="374" t="s">
        <v>188</v>
      </c>
      <c r="K162" s="361"/>
      <c r="L162" s="373" t="s">
        <v>612</v>
      </c>
      <c r="M162" s="468"/>
    </row>
    <row r="163" spans="1:14" ht="15.75" x14ac:dyDescent="0.25">
      <c r="A163" s="376">
        <v>3598</v>
      </c>
      <c r="B163" s="374" t="s">
        <v>614</v>
      </c>
      <c r="C163" s="363">
        <v>637.9</v>
      </c>
      <c r="D163" s="57">
        <v>0.25</v>
      </c>
      <c r="E163" s="58">
        <f t="shared" si="6"/>
        <v>159.47499999999999</v>
      </c>
      <c r="F163" s="58"/>
      <c r="G163" s="58">
        <f t="shared" si="7"/>
        <v>159.47499999999999</v>
      </c>
      <c r="H163" s="375">
        <v>5998868</v>
      </c>
      <c r="I163" s="377" t="s">
        <v>613</v>
      </c>
      <c r="J163" s="374" t="s">
        <v>188</v>
      </c>
      <c r="K163" s="361"/>
      <c r="L163" s="373" t="s">
        <v>612</v>
      </c>
      <c r="M163" s="468"/>
    </row>
    <row r="164" spans="1:14" ht="15.75" x14ac:dyDescent="0.25">
      <c r="A164" s="376">
        <v>3599</v>
      </c>
      <c r="B164" s="374" t="s">
        <v>611</v>
      </c>
      <c r="C164" s="363">
        <v>594.29999999999995</v>
      </c>
      <c r="D164" s="57">
        <v>0.25</v>
      </c>
      <c r="E164" s="58">
        <f t="shared" ref="E164:E183" si="8">C164*D164</f>
        <v>148.57499999999999</v>
      </c>
      <c r="F164" s="58"/>
      <c r="G164" s="58">
        <f t="shared" si="7"/>
        <v>148.57499999999999</v>
      </c>
      <c r="H164" s="375">
        <v>7374738</v>
      </c>
      <c r="I164" s="377" t="s">
        <v>610</v>
      </c>
      <c r="J164" s="374" t="s">
        <v>188</v>
      </c>
      <c r="K164" s="361"/>
      <c r="L164" s="373">
        <v>92341240</v>
      </c>
      <c r="M164" s="468"/>
    </row>
    <row r="165" spans="1:14" s="227" customFormat="1" ht="15.75" x14ac:dyDescent="0.25">
      <c r="A165" s="472">
        <v>3600</v>
      </c>
      <c r="B165" s="473" t="s">
        <v>609</v>
      </c>
      <c r="C165" s="221">
        <v>508.1</v>
      </c>
      <c r="D165" s="141">
        <v>0.25</v>
      </c>
      <c r="E165" s="142">
        <f t="shared" si="8"/>
        <v>127.02500000000001</v>
      </c>
      <c r="F165" s="142">
        <f>123.75</f>
        <v>123.75</v>
      </c>
      <c r="G165" s="142">
        <f t="shared" si="7"/>
        <v>3.2750000000000057</v>
      </c>
      <c r="H165" s="474">
        <v>11753992</v>
      </c>
      <c r="I165" s="475" t="s">
        <v>608</v>
      </c>
      <c r="J165" s="473" t="s">
        <v>188</v>
      </c>
      <c r="K165" s="367"/>
      <c r="L165" s="476">
        <v>99205960</v>
      </c>
      <c r="M165" s="396" t="s">
        <v>663</v>
      </c>
      <c r="N165" s="368"/>
    </row>
    <row r="166" spans="1:14" ht="15.75" x14ac:dyDescent="0.25">
      <c r="A166" s="376">
        <v>3601</v>
      </c>
      <c r="B166" s="374" t="s">
        <v>607</v>
      </c>
      <c r="C166" s="363">
        <v>269.5</v>
      </c>
      <c r="D166" s="57">
        <v>0.25</v>
      </c>
      <c r="E166" s="58">
        <f t="shared" si="8"/>
        <v>67.375</v>
      </c>
      <c r="F166" s="58"/>
      <c r="G166" s="58">
        <f t="shared" si="7"/>
        <v>67.375</v>
      </c>
      <c r="H166" s="375">
        <v>23211984</v>
      </c>
      <c r="I166" s="374" t="s">
        <v>606</v>
      </c>
      <c r="J166" s="374" t="s">
        <v>188</v>
      </c>
      <c r="K166" s="361"/>
      <c r="L166" s="373">
        <v>98905289</v>
      </c>
      <c r="M166" s="468"/>
    </row>
    <row r="167" spans="1:14" ht="15.75" x14ac:dyDescent="0.25">
      <c r="A167" s="376">
        <v>3602</v>
      </c>
      <c r="B167" s="374" t="s">
        <v>605</v>
      </c>
      <c r="C167" s="363">
        <v>243.6</v>
      </c>
      <c r="D167" s="57">
        <v>0.25</v>
      </c>
      <c r="E167" s="58">
        <f t="shared" si="8"/>
        <v>60.9</v>
      </c>
      <c r="F167" s="58"/>
      <c r="G167" s="58">
        <f t="shared" si="7"/>
        <v>60.9</v>
      </c>
      <c r="H167" s="375">
        <v>6518124</v>
      </c>
      <c r="I167" s="374" t="s">
        <v>604</v>
      </c>
      <c r="J167" s="374" t="s">
        <v>188</v>
      </c>
      <c r="K167" s="361"/>
      <c r="L167" s="373" t="s">
        <v>596</v>
      </c>
      <c r="M167" s="468"/>
    </row>
    <row r="168" spans="1:14" ht="15.75" x14ac:dyDescent="0.25">
      <c r="A168" s="376">
        <v>3603</v>
      </c>
      <c r="B168" s="374" t="s">
        <v>603</v>
      </c>
      <c r="C168" s="363">
        <v>254</v>
      </c>
      <c r="D168" s="57">
        <v>0.25</v>
      </c>
      <c r="E168" s="58">
        <f t="shared" si="8"/>
        <v>63.5</v>
      </c>
      <c r="F168" s="58"/>
      <c r="G168" s="58">
        <f t="shared" si="7"/>
        <v>63.5</v>
      </c>
      <c r="H168" s="375">
        <v>21978977</v>
      </c>
      <c r="I168" s="374" t="s">
        <v>602</v>
      </c>
      <c r="J168" s="374" t="s">
        <v>188</v>
      </c>
      <c r="K168" s="361"/>
      <c r="L168" s="373" t="s">
        <v>596</v>
      </c>
      <c r="M168" s="468"/>
    </row>
    <row r="169" spans="1:14" ht="15.75" x14ac:dyDescent="0.25">
      <c r="A169" s="376">
        <v>3604</v>
      </c>
      <c r="B169" s="374" t="s">
        <v>601</v>
      </c>
      <c r="C169" s="363">
        <v>288</v>
      </c>
      <c r="D169" s="57">
        <v>0.25</v>
      </c>
      <c r="E169" s="58">
        <f t="shared" si="8"/>
        <v>72</v>
      </c>
      <c r="F169" s="58"/>
      <c r="G169" s="58">
        <f t="shared" si="7"/>
        <v>72</v>
      </c>
      <c r="H169" s="375">
        <v>5597569</v>
      </c>
      <c r="I169" s="374" t="s">
        <v>600</v>
      </c>
      <c r="J169" s="374" t="s">
        <v>188</v>
      </c>
      <c r="K169" s="361"/>
      <c r="L169" s="373" t="s">
        <v>599</v>
      </c>
      <c r="M169" s="468"/>
    </row>
    <row r="170" spans="1:14" ht="15.75" x14ac:dyDescent="0.25">
      <c r="A170" s="376">
        <v>3605</v>
      </c>
      <c r="B170" s="374" t="s">
        <v>598</v>
      </c>
      <c r="C170" s="363">
        <v>250.7</v>
      </c>
      <c r="D170" s="57">
        <v>0.25</v>
      </c>
      <c r="E170" s="58">
        <f t="shared" si="8"/>
        <v>62.674999999999997</v>
      </c>
      <c r="F170" s="58"/>
      <c r="G170" s="58">
        <f t="shared" si="7"/>
        <v>62.674999999999997</v>
      </c>
      <c r="H170" s="375">
        <v>21979046</v>
      </c>
      <c r="I170" s="374" t="s">
        <v>597</v>
      </c>
      <c r="J170" s="374" t="s">
        <v>188</v>
      </c>
      <c r="K170" s="361"/>
      <c r="L170" s="373" t="s">
        <v>596</v>
      </c>
      <c r="M170" s="468"/>
    </row>
    <row r="171" spans="1:14" ht="15.75" x14ac:dyDescent="0.25">
      <c r="A171" s="376">
        <v>3606</v>
      </c>
      <c r="B171" s="374" t="s">
        <v>595</v>
      </c>
      <c r="C171" s="363">
        <v>214.7</v>
      </c>
      <c r="D171" s="57">
        <v>0.25</v>
      </c>
      <c r="E171" s="58">
        <f t="shared" si="8"/>
        <v>53.674999999999997</v>
      </c>
      <c r="F171" s="58"/>
      <c r="G171" s="58">
        <f t="shared" si="7"/>
        <v>53.674999999999997</v>
      </c>
      <c r="H171" s="375">
        <v>5208295</v>
      </c>
      <c r="I171" s="377" t="s">
        <v>594</v>
      </c>
      <c r="J171" s="361" t="s">
        <v>593</v>
      </c>
      <c r="K171" s="361"/>
      <c r="L171" s="373" t="s">
        <v>592</v>
      </c>
      <c r="M171" s="468"/>
    </row>
    <row r="172" spans="1:14" ht="15.75" x14ac:dyDescent="0.25">
      <c r="A172" s="376">
        <v>3607</v>
      </c>
      <c r="B172" s="374" t="s">
        <v>591</v>
      </c>
      <c r="C172" s="363">
        <v>197.5</v>
      </c>
      <c r="D172" s="57">
        <v>0.25</v>
      </c>
      <c r="E172" s="58">
        <f t="shared" si="8"/>
        <v>49.375</v>
      </c>
      <c r="F172" s="58"/>
      <c r="G172" s="58">
        <f t="shared" si="7"/>
        <v>49.375</v>
      </c>
      <c r="H172" s="375">
        <v>5016098</v>
      </c>
      <c r="I172" s="374" t="s">
        <v>590</v>
      </c>
      <c r="J172" s="374" t="s">
        <v>188</v>
      </c>
      <c r="K172" s="361"/>
      <c r="L172" s="373" t="s">
        <v>589</v>
      </c>
      <c r="M172" s="468"/>
    </row>
    <row r="173" spans="1:14" ht="15.75" x14ac:dyDescent="0.25">
      <c r="A173" s="376">
        <v>3608</v>
      </c>
      <c r="B173" s="374" t="s">
        <v>588</v>
      </c>
      <c r="C173" s="363">
        <v>190.9</v>
      </c>
      <c r="D173" s="57">
        <v>0.25</v>
      </c>
      <c r="E173" s="58">
        <f t="shared" si="8"/>
        <v>47.725000000000001</v>
      </c>
      <c r="F173" s="58"/>
      <c r="G173" s="58">
        <f t="shared" si="7"/>
        <v>47.725000000000001</v>
      </c>
      <c r="H173" s="375">
        <v>4701704</v>
      </c>
      <c r="I173" s="374" t="s">
        <v>587</v>
      </c>
      <c r="J173" s="374" t="s">
        <v>188</v>
      </c>
      <c r="K173" s="361"/>
      <c r="L173" s="373" t="s">
        <v>586</v>
      </c>
      <c r="M173" s="468"/>
    </row>
    <row r="174" spans="1:14" ht="15.75" x14ac:dyDescent="0.25">
      <c r="A174" s="376">
        <v>3609</v>
      </c>
      <c r="B174" s="374" t="s">
        <v>585</v>
      </c>
      <c r="C174" s="363">
        <v>173.5</v>
      </c>
      <c r="D174" s="57">
        <v>0.25</v>
      </c>
      <c r="E174" s="58">
        <f t="shared" si="8"/>
        <v>43.375</v>
      </c>
      <c r="F174" s="58"/>
      <c r="G174" s="58">
        <f t="shared" si="7"/>
        <v>43.375</v>
      </c>
      <c r="H174" s="375">
        <v>14173586</v>
      </c>
      <c r="I174" s="374" t="s">
        <v>584</v>
      </c>
      <c r="J174" s="374" t="s">
        <v>188</v>
      </c>
      <c r="K174" s="361"/>
      <c r="L174" s="373" t="s">
        <v>581</v>
      </c>
      <c r="M174" s="468"/>
    </row>
    <row r="175" spans="1:14" ht="15.75" x14ac:dyDescent="0.25">
      <c r="A175" s="376">
        <v>3610</v>
      </c>
      <c r="B175" s="374" t="s">
        <v>583</v>
      </c>
      <c r="C175" s="363">
        <v>169.1</v>
      </c>
      <c r="D175" s="57">
        <v>0.25</v>
      </c>
      <c r="E175" s="58">
        <f t="shared" si="8"/>
        <v>42.274999999999999</v>
      </c>
      <c r="F175" s="58"/>
      <c r="G175" s="58">
        <f t="shared" si="7"/>
        <v>42.274999999999999</v>
      </c>
      <c r="H175" s="375">
        <v>25095823</v>
      </c>
      <c r="I175" s="374" t="s">
        <v>582</v>
      </c>
      <c r="J175" s="374" t="s">
        <v>188</v>
      </c>
      <c r="K175" s="361"/>
      <c r="L175" s="373" t="s">
        <v>581</v>
      </c>
      <c r="M175" s="468"/>
    </row>
    <row r="176" spans="1:14" ht="15.75" x14ac:dyDescent="0.25">
      <c r="A176" s="376">
        <v>3611</v>
      </c>
      <c r="B176" s="374" t="s">
        <v>580</v>
      </c>
      <c r="C176" s="363">
        <v>104.7</v>
      </c>
      <c r="D176" s="57">
        <v>0.25</v>
      </c>
      <c r="E176" s="58">
        <f t="shared" si="8"/>
        <v>26.175000000000001</v>
      </c>
      <c r="F176" s="58"/>
      <c r="G176" s="58">
        <f t="shared" si="7"/>
        <v>26.175000000000001</v>
      </c>
      <c r="H176" s="375">
        <v>6376807</v>
      </c>
      <c r="I176" s="374" t="s">
        <v>579</v>
      </c>
      <c r="J176" s="374" t="s">
        <v>188</v>
      </c>
      <c r="K176" s="361"/>
      <c r="L176" s="373" t="s">
        <v>578</v>
      </c>
      <c r="M176" s="468"/>
    </row>
    <row r="177" spans="1:14" ht="15.75" x14ac:dyDescent="0.25">
      <c r="A177" s="376">
        <v>3612</v>
      </c>
      <c r="B177" s="374" t="s">
        <v>577</v>
      </c>
      <c r="C177" s="363">
        <v>78</v>
      </c>
      <c r="D177" s="57">
        <v>0.25</v>
      </c>
      <c r="E177" s="58">
        <f t="shared" si="8"/>
        <v>19.5</v>
      </c>
      <c r="F177" s="58"/>
      <c r="G177" s="58">
        <f t="shared" si="7"/>
        <v>19.5</v>
      </c>
      <c r="H177" s="375">
        <v>732886</v>
      </c>
      <c r="I177" s="374" t="s">
        <v>576</v>
      </c>
      <c r="J177" s="374" t="s">
        <v>188</v>
      </c>
      <c r="K177" s="361"/>
      <c r="L177" s="373" t="s">
        <v>460</v>
      </c>
      <c r="M177" s="468"/>
    </row>
    <row r="178" spans="1:14" ht="15.75" x14ac:dyDescent="0.25">
      <c r="A178" s="376">
        <v>3613</v>
      </c>
      <c r="B178" s="374" t="s">
        <v>575</v>
      </c>
      <c r="C178" s="363">
        <v>58.9</v>
      </c>
      <c r="D178" s="57">
        <v>0.25</v>
      </c>
      <c r="E178" s="58">
        <f t="shared" si="8"/>
        <v>14.725</v>
      </c>
      <c r="F178" s="58"/>
      <c r="G178" s="58">
        <f t="shared" si="7"/>
        <v>14.725</v>
      </c>
      <c r="H178" s="375">
        <v>3666339</v>
      </c>
      <c r="I178" s="374" t="s">
        <v>504</v>
      </c>
      <c r="J178" s="374" t="s">
        <v>188</v>
      </c>
      <c r="K178" s="361"/>
      <c r="L178" s="373" t="s">
        <v>502</v>
      </c>
      <c r="M178" s="468"/>
    </row>
    <row r="179" spans="1:14" ht="15.75" x14ac:dyDescent="0.25">
      <c r="A179" s="376">
        <v>3614</v>
      </c>
      <c r="B179" s="374" t="s">
        <v>574</v>
      </c>
      <c r="C179" s="363">
        <v>59.1</v>
      </c>
      <c r="D179" s="57">
        <v>0.25</v>
      </c>
      <c r="E179" s="58">
        <f t="shared" si="8"/>
        <v>14.775</v>
      </c>
      <c r="F179" s="58"/>
      <c r="G179" s="58">
        <f t="shared" si="7"/>
        <v>14.775</v>
      </c>
      <c r="H179" s="375">
        <v>2451154</v>
      </c>
      <c r="I179" s="374" t="s">
        <v>504</v>
      </c>
      <c r="J179" s="374" t="s">
        <v>188</v>
      </c>
      <c r="K179" s="361"/>
      <c r="L179" s="373" t="s">
        <v>502</v>
      </c>
      <c r="M179" s="468"/>
    </row>
    <row r="180" spans="1:14" ht="15.75" x14ac:dyDescent="0.25">
      <c r="A180" s="376">
        <v>3615</v>
      </c>
      <c r="B180" s="374" t="s">
        <v>573</v>
      </c>
      <c r="C180" s="363">
        <v>60.4</v>
      </c>
      <c r="D180" s="57">
        <v>0.25</v>
      </c>
      <c r="E180" s="58">
        <f t="shared" si="8"/>
        <v>15.1</v>
      </c>
      <c r="F180" s="58"/>
      <c r="G180" s="58">
        <f t="shared" si="7"/>
        <v>15.1</v>
      </c>
      <c r="H180" s="375">
        <v>6787748</v>
      </c>
      <c r="I180" s="374" t="s">
        <v>504</v>
      </c>
      <c r="J180" s="374" t="s">
        <v>188</v>
      </c>
      <c r="K180" s="361"/>
      <c r="L180" s="373" t="s">
        <v>502</v>
      </c>
      <c r="M180" s="468"/>
    </row>
    <row r="181" spans="1:14" ht="15.75" x14ac:dyDescent="0.25">
      <c r="A181" s="376">
        <v>3616</v>
      </c>
      <c r="B181" s="374" t="s">
        <v>572</v>
      </c>
      <c r="C181" s="363">
        <v>59.4</v>
      </c>
      <c r="D181" s="57">
        <v>0.25</v>
      </c>
      <c r="E181" s="58">
        <f t="shared" si="8"/>
        <v>14.85</v>
      </c>
      <c r="F181" s="58"/>
      <c r="G181" s="58">
        <f t="shared" si="7"/>
        <v>14.85</v>
      </c>
      <c r="H181" s="375">
        <v>2298162</v>
      </c>
      <c r="I181" s="374" t="s">
        <v>504</v>
      </c>
      <c r="J181" s="374" t="s">
        <v>188</v>
      </c>
      <c r="K181" s="361"/>
      <c r="L181" s="373" t="s">
        <v>502</v>
      </c>
      <c r="M181" s="468"/>
    </row>
    <row r="182" spans="1:14" ht="15.75" x14ac:dyDescent="0.25">
      <c r="A182" s="376">
        <v>3617</v>
      </c>
      <c r="B182" s="374" t="s">
        <v>571</v>
      </c>
      <c r="C182" s="363">
        <v>60.5</v>
      </c>
      <c r="D182" s="57">
        <v>0.25</v>
      </c>
      <c r="E182" s="58">
        <f t="shared" si="8"/>
        <v>15.125</v>
      </c>
      <c r="F182" s="58"/>
      <c r="G182" s="58">
        <f t="shared" si="7"/>
        <v>15.125</v>
      </c>
      <c r="H182" s="375">
        <v>5454935</v>
      </c>
      <c r="I182" s="374" t="s">
        <v>504</v>
      </c>
      <c r="J182" s="374" t="s">
        <v>188</v>
      </c>
      <c r="K182" s="361"/>
      <c r="L182" s="373" t="s">
        <v>502</v>
      </c>
      <c r="M182" s="468"/>
    </row>
    <row r="183" spans="1:14" ht="15.75" x14ac:dyDescent="0.25">
      <c r="A183" s="376">
        <v>3618</v>
      </c>
      <c r="B183" s="374" t="s">
        <v>570</v>
      </c>
      <c r="C183" s="363">
        <v>77.400000000000006</v>
      </c>
      <c r="D183" s="57">
        <v>0.25</v>
      </c>
      <c r="E183" s="58">
        <f t="shared" si="8"/>
        <v>19.350000000000001</v>
      </c>
      <c r="F183" s="58"/>
      <c r="G183" s="58">
        <f t="shared" si="7"/>
        <v>19.350000000000001</v>
      </c>
      <c r="H183" s="375">
        <v>5016173</v>
      </c>
      <c r="I183" s="374" t="s">
        <v>569</v>
      </c>
      <c r="J183" s="374" t="s">
        <v>188</v>
      </c>
      <c r="K183" s="361"/>
      <c r="L183" s="373" t="s">
        <v>568</v>
      </c>
      <c r="M183" s="468"/>
    </row>
    <row r="184" spans="1:14" s="295" customFormat="1" ht="46.15" customHeight="1" x14ac:dyDescent="0.3">
      <c r="A184" s="358"/>
      <c r="B184" s="359" t="s">
        <v>342</v>
      </c>
      <c r="C184" s="372">
        <f>SUM(C4:C183)</f>
        <v>191459.20000000001</v>
      </c>
      <c r="D184" s="358" t="s">
        <v>341</v>
      </c>
      <c r="E184" s="371">
        <f>SUM(E4:E183)</f>
        <v>47864.800000000003</v>
      </c>
      <c r="F184" s="371">
        <f t="shared" ref="F184:G184" si="9">SUM(F4:F183)</f>
        <v>15443.949999999999</v>
      </c>
      <c r="G184" s="371">
        <f t="shared" si="9"/>
        <v>32420.849999999977</v>
      </c>
      <c r="H184" s="358"/>
      <c r="I184" s="358"/>
      <c r="J184" s="358"/>
      <c r="K184" s="358"/>
      <c r="L184" s="358"/>
      <c r="M184" s="471"/>
      <c r="N184" s="357"/>
    </row>
  </sheetData>
  <autoFilter ref="C1:C120" xr:uid="{72271FBA-A8B0-4A8C-A9B9-B75E9D5422AE}"/>
  <mergeCells count="13">
    <mergeCell ref="K2:K3"/>
    <mergeCell ref="L2:L3"/>
    <mergeCell ref="M2:M3"/>
    <mergeCell ref="A2:A3"/>
    <mergeCell ref="B2:B3"/>
    <mergeCell ref="C2:C3"/>
    <mergeCell ref="F2:F3"/>
    <mergeCell ref="G2:G3"/>
    <mergeCell ref="D2:D3"/>
    <mergeCell ref="E2:E3"/>
    <mergeCell ref="H2:H3"/>
    <mergeCell ref="I2:I3"/>
    <mergeCell ref="J2:J3"/>
  </mergeCells>
  <pageMargins left="0.7" right="0.7" top="0.75" bottom="0.75" header="0.3" footer="0.3"/>
  <pageSetup paperSize="8" scale="50" orientation="landscape" r:id="rId1"/>
  <rowBreaks count="1" manualBreakCount="1">
    <brk id="6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3815F-8A4B-4BF5-B682-8E0E5C19C349}">
  <dimension ref="A1:N192"/>
  <sheetViews>
    <sheetView view="pageBreakPreview" zoomScaleNormal="100" zoomScaleSheetLayoutView="100" workbookViewId="0">
      <pane xSplit="2" ySplit="3" topLeftCell="C4" activePane="bottomRight" state="frozen"/>
      <selection pane="topRight" activeCell="D1" sqref="D1"/>
      <selection pane="bottomLeft" activeCell="A6" sqref="A6"/>
      <selection pane="bottomRight" activeCell="F6" sqref="F6"/>
    </sheetView>
  </sheetViews>
  <sheetFormatPr defaultRowHeight="15" x14ac:dyDescent="0.25"/>
  <cols>
    <col min="1" max="1" width="71.7109375" bestFit="1" customWidth="1"/>
    <col min="2" max="2" width="51.85546875" customWidth="1"/>
    <col min="3" max="3" width="19" style="6" customWidth="1"/>
    <col min="4" max="4" width="20.140625" style="6" customWidth="1"/>
    <col min="5" max="5" width="16" style="6" bestFit="1" customWidth="1"/>
    <col min="6" max="7" width="16" style="6" customWidth="1"/>
    <col min="8" max="8" width="14.28515625" style="44" customWidth="1"/>
    <col min="9" max="9" width="21.42578125" style="41" hidden="1" customWidth="1"/>
    <col min="10" max="10" width="18" style="41" hidden="1" customWidth="1"/>
    <col min="11" max="11" width="16.5703125" style="41" hidden="1" customWidth="1"/>
    <col min="12" max="12" width="12" style="41" hidden="1" customWidth="1"/>
    <col min="13" max="13" width="11" style="43" customWidth="1"/>
  </cols>
  <sheetData>
    <row r="1" spans="1:13" s="8" customFormat="1" ht="30" customHeight="1" x14ac:dyDescent="0.25">
      <c r="A1" s="479" t="s">
        <v>657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7"/>
    </row>
    <row r="2" spans="1:13" s="3" customFormat="1" ht="19.5" customHeight="1" x14ac:dyDescent="0.25">
      <c r="A2" s="487" t="s">
        <v>2</v>
      </c>
      <c r="B2" s="483" t="s">
        <v>3</v>
      </c>
      <c r="C2" s="486" t="s">
        <v>4</v>
      </c>
      <c r="D2" s="487" t="s">
        <v>5</v>
      </c>
      <c r="E2" s="486" t="s">
        <v>6</v>
      </c>
      <c r="F2" s="486"/>
      <c r="G2" s="486" t="s">
        <v>65</v>
      </c>
      <c r="H2" s="488" t="s">
        <v>9</v>
      </c>
      <c r="I2" s="482" t="s">
        <v>10</v>
      </c>
      <c r="J2" s="483" t="s">
        <v>11</v>
      </c>
      <c r="K2" s="482" t="s">
        <v>12</v>
      </c>
      <c r="L2" s="483" t="s">
        <v>13</v>
      </c>
      <c r="M2" s="11"/>
    </row>
    <row r="3" spans="1:13" s="3" customFormat="1" ht="26.25" customHeight="1" x14ac:dyDescent="0.25">
      <c r="A3" s="487"/>
      <c r="B3" s="483"/>
      <c r="C3" s="486"/>
      <c r="D3" s="487"/>
      <c r="E3" s="486"/>
      <c r="F3" s="486"/>
      <c r="G3" s="486"/>
      <c r="H3" s="488"/>
      <c r="I3" s="482"/>
      <c r="J3" s="483"/>
      <c r="K3" s="482"/>
      <c r="L3" s="483"/>
      <c r="M3" s="11"/>
    </row>
    <row r="4" spans="1:13" s="53" customFormat="1" ht="15.75" x14ac:dyDescent="0.25">
      <c r="A4" s="49">
        <v>1007</v>
      </c>
      <c r="B4" s="50" t="s">
        <v>73</v>
      </c>
      <c r="C4" s="56">
        <v>6003.5</v>
      </c>
      <c r="D4" s="57">
        <v>0.25</v>
      </c>
      <c r="E4" s="58">
        <f t="shared" ref="E4:E35" si="0">C4*D4</f>
        <v>1500.875</v>
      </c>
      <c r="F4" s="58"/>
      <c r="G4" s="58">
        <f>E4-F4</f>
        <v>1500.875</v>
      </c>
      <c r="H4" s="51">
        <v>1515504</v>
      </c>
      <c r="I4" s="52" t="s">
        <v>74</v>
      </c>
      <c r="J4" s="51" t="s">
        <v>75</v>
      </c>
      <c r="K4" s="52" t="s">
        <v>76</v>
      </c>
      <c r="L4" s="51">
        <v>91748840</v>
      </c>
      <c r="M4" s="48"/>
    </row>
    <row r="5" spans="1:13" s="53" customFormat="1" ht="15.75" x14ac:dyDescent="0.25">
      <c r="A5" s="49">
        <v>1041</v>
      </c>
      <c r="B5" s="55" t="s">
        <v>77</v>
      </c>
      <c r="C5" s="56">
        <v>2701.1</v>
      </c>
      <c r="D5" s="57">
        <v>0.25</v>
      </c>
      <c r="E5" s="58">
        <f t="shared" si="0"/>
        <v>675.27499999999998</v>
      </c>
      <c r="F5" s="58"/>
      <c r="G5" s="58">
        <f t="shared" ref="G5:G68" si="1">E5-F5</f>
        <v>675.27499999999998</v>
      </c>
      <c r="H5" s="51">
        <v>6827729</v>
      </c>
      <c r="I5" s="52" t="s">
        <v>78</v>
      </c>
      <c r="J5" s="17" t="s">
        <v>40</v>
      </c>
      <c r="K5" s="52" t="s">
        <v>19</v>
      </c>
      <c r="L5" s="51">
        <v>92272935</v>
      </c>
      <c r="M5" s="48"/>
    </row>
    <row r="6" spans="1:13" s="53" customFormat="1" ht="15.75" x14ac:dyDescent="0.25">
      <c r="A6" s="49">
        <v>1125</v>
      </c>
      <c r="B6" s="55" t="s">
        <v>79</v>
      </c>
      <c r="C6" s="56">
        <v>4391</v>
      </c>
      <c r="D6" s="57">
        <v>0.25</v>
      </c>
      <c r="E6" s="58">
        <f t="shared" si="0"/>
        <v>1097.75</v>
      </c>
      <c r="F6" s="58"/>
      <c r="G6" s="58">
        <f t="shared" si="1"/>
        <v>1097.75</v>
      </c>
      <c r="H6" s="51">
        <v>6828774</v>
      </c>
      <c r="I6" s="52" t="s">
        <v>80</v>
      </c>
      <c r="J6" s="17" t="s">
        <v>36</v>
      </c>
      <c r="K6" s="52" t="s">
        <v>37</v>
      </c>
      <c r="L6" s="51">
        <v>91267555</v>
      </c>
      <c r="M6" s="48"/>
    </row>
    <row r="7" spans="1:13" s="53" customFormat="1" ht="15.75" x14ac:dyDescent="0.25">
      <c r="A7" s="85">
        <v>1222</v>
      </c>
      <c r="B7" s="55" t="s">
        <v>81</v>
      </c>
      <c r="C7" s="65"/>
      <c r="D7" s="57">
        <v>0.25</v>
      </c>
      <c r="E7" s="58">
        <f t="shared" si="0"/>
        <v>0</v>
      </c>
      <c r="F7" s="58"/>
      <c r="G7" s="58">
        <f t="shared" si="1"/>
        <v>0</v>
      </c>
      <c r="H7" s="51">
        <v>31221</v>
      </c>
      <c r="I7" s="52" t="s">
        <v>82</v>
      </c>
      <c r="J7" s="51" t="s">
        <v>83</v>
      </c>
      <c r="K7" s="52" t="s">
        <v>84</v>
      </c>
      <c r="L7" s="51"/>
      <c r="M7" s="48"/>
    </row>
    <row r="8" spans="1:13" s="53" customFormat="1" ht="15.75" x14ac:dyDescent="0.25">
      <c r="A8" s="49">
        <v>1286</v>
      </c>
      <c r="B8" s="50" t="s">
        <v>85</v>
      </c>
      <c r="C8" s="56">
        <v>3784.4</v>
      </c>
      <c r="D8" s="57">
        <v>0.25</v>
      </c>
      <c r="E8" s="58">
        <f t="shared" si="0"/>
        <v>946.1</v>
      </c>
      <c r="F8" s="58"/>
      <c r="G8" s="58">
        <f t="shared" si="1"/>
        <v>946.1</v>
      </c>
      <c r="H8" s="51">
        <v>368056</v>
      </c>
      <c r="I8" s="52" t="s">
        <v>86</v>
      </c>
      <c r="J8" s="51" t="s">
        <v>40</v>
      </c>
      <c r="K8" s="52" t="s">
        <v>19</v>
      </c>
      <c r="L8" s="51">
        <v>99494264</v>
      </c>
      <c r="M8" s="48"/>
    </row>
    <row r="9" spans="1:13" s="53" customFormat="1" ht="15.75" x14ac:dyDescent="0.25">
      <c r="A9" s="49">
        <v>1344</v>
      </c>
      <c r="B9" s="50" t="s">
        <v>66</v>
      </c>
      <c r="C9" s="56">
        <v>3104.4</v>
      </c>
      <c r="D9" s="57">
        <v>0.25</v>
      </c>
      <c r="E9" s="58">
        <f t="shared" si="0"/>
        <v>776.1</v>
      </c>
      <c r="F9" s="58"/>
      <c r="G9" s="58">
        <f t="shared" si="1"/>
        <v>776.1</v>
      </c>
      <c r="H9" s="51">
        <v>4014519</v>
      </c>
      <c r="I9" s="52" t="s">
        <v>87</v>
      </c>
      <c r="J9" s="51" t="s">
        <v>88</v>
      </c>
      <c r="K9" s="52" t="s">
        <v>89</v>
      </c>
      <c r="L9" s="51"/>
      <c r="M9" s="48"/>
    </row>
    <row r="10" spans="1:13" s="53" customFormat="1" ht="15.75" x14ac:dyDescent="0.25">
      <c r="A10" s="49">
        <v>1352</v>
      </c>
      <c r="B10" s="50" t="s">
        <v>90</v>
      </c>
      <c r="C10" s="56">
        <v>1103.0999999999999</v>
      </c>
      <c r="D10" s="57">
        <v>0.25</v>
      </c>
      <c r="E10" s="58">
        <f t="shared" si="0"/>
        <v>275.77499999999998</v>
      </c>
      <c r="F10" s="58"/>
      <c r="G10" s="58">
        <f t="shared" si="1"/>
        <v>275.77499999999998</v>
      </c>
      <c r="H10" s="51">
        <v>1627344</v>
      </c>
      <c r="I10" s="52" t="s">
        <v>91</v>
      </c>
      <c r="J10" s="51" t="s">
        <v>40</v>
      </c>
      <c r="K10" s="52" t="s">
        <v>19</v>
      </c>
      <c r="L10" s="51"/>
      <c r="M10" s="48"/>
    </row>
    <row r="11" spans="1:13" s="53" customFormat="1" ht="15.75" x14ac:dyDescent="0.25">
      <c r="A11" s="49">
        <v>1354</v>
      </c>
      <c r="B11" s="55" t="s">
        <v>92</v>
      </c>
      <c r="C11" s="56">
        <v>2086.1</v>
      </c>
      <c r="D11" s="57">
        <v>0.25</v>
      </c>
      <c r="E11" s="58">
        <f t="shared" si="0"/>
        <v>521.52499999999998</v>
      </c>
      <c r="F11" s="58"/>
      <c r="G11" s="58">
        <f t="shared" si="1"/>
        <v>521.52499999999998</v>
      </c>
      <c r="H11" s="51">
        <v>925709</v>
      </c>
      <c r="I11" s="52" t="s">
        <v>93</v>
      </c>
      <c r="J11" s="51" t="s">
        <v>40</v>
      </c>
      <c r="K11" s="52" t="s">
        <v>19</v>
      </c>
      <c r="L11" s="51">
        <v>95187860</v>
      </c>
      <c r="M11" s="48"/>
    </row>
    <row r="12" spans="1:13" s="53" customFormat="1" ht="15.75" x14ac:dyDescent="0.25">
      <c r="A12" s="49">
        <v>1357</v>
      </c>
      <c r="B12" s="55" t="s">
        <v>94</v>
      </c>
      <c r="C12" s="56">
        <v>4488.5</v>
      </c>
      <c r="D12" s="57">
        <v>0.25</v>
      </c>
      <c r="E12" s="58">
        <f t="shared" si="0"/>
        <v>1122.125</v>
      </c>
      <c r="F12" s="58"/>
      <c r="G12" s="58">
        <f t="shared" si="1"/>
        <v>1122.125</v>
      </c>
      <c r="H12" s="51">
        <v>1052276</v>
      </c>
      <c r="I12" s="52" t="s">
        <v>95</v>
      </c>
      <c r="J12" s="17" t="s">
        <v>36</v>
      </c>
      <c r="K12" s="52" t="s">
        <v>37</v>
      </c>
      <c r="L12" s="51">
        <v>95301260</v>
      </c>
      <c r="M12" s="48"/>
    </row>
    <row r="13" spans="1:13" s="53" customFormat="1" ht="15.75" x14ac:dyDescent="0.25">
      <c r="A13" s="49">
        <v>1359</v>
      </c>
      <c r="B13" s="55" t="s">
        <v>96</v>
      </c>
      <c r="C13" s="56">
        <v>3693.3</v>
      </c>
      <c r="D13" s="57">
        <v>0.25</v>
      </c>
      <c r="E13" s="58">
        <f t="shared" si="0"/>
        <v>923.32500000000005</v>
      </c>
      <c r="F13" s="58"/>
      <c r="G13" s="58">
        <f t="shared" si="1"/>
        <v>923.32500000000005</v>
      </c>
      <c r="H13" s="51">
        <v>4812026</v>
      </c>
      <c r="I13" s="52" t="s">
        <v>97</v>
      </c>
      <c r="J13" s="51" t="s">
        <v>83</v>
      </c>
      <c r="K13" s="52" t="s">
        <v>84</v>
      </c>
      <c r="L13" s="51">
        <v>96616558</v>
      </c>
      <c r="M13" s="48"/>
    </row>
    <row r="14" spans="1:13" s="53" customFormat="1" ht="15.75" x14ac:dyDescent="0.25">
      <c r="A14" s="49">
        <v>1367</v>
      </c>
      <c r="B14" s="50" t="s">
        <v>98</v>
      </c>
      <c r="C14" s="56">
        <v>1559.1</v>
      </c>
      <c r="D14" s="57">
        <v>0.25</v>
      </c>
      <c r="E14" s="58">
        <f t="shared" si="0"/>
        <v>389.77499999999998</v>
      </c>
      <c r="F14" s="58"/>
      <c r="G14" s="58">
        <f t="shared" si="1"/>
        <v>389.77499999999998</v>
      </c>
      <c r="H14" s="51">
        <v>6663593</v>
      </c>
      <c r="I14" s="52" t="s">
        <v>99</v>
      </c>
      <c r="J14" s="51" t="s">
        <v>40</v>
      </c>
      <c r="K14" s="52" t="s">
        <v>19</v>
      </c>
      <c r="L14" s="51">
        <v>92817702</v>
      </c>
      <c r="M14" s="48"/>
    </row>
    <row r="15" spans="1:13" s="53" customFormat="1" ht="15.75" x14ac:dyDescent="0.25">
      <c r="A15" s="49">
        <v>1368</v>
      </c>
      <c r="B15" s="337" t="s">
        <v>100</v>
      </c>
      <c r="C15" s="56">
        <v>1676.6</v>
      </c>
      <c r="D15" s="57">
        <v>0.25</v>
      </c>
      <c r="E15" s="58">
        <f t="shared" si="0"/>
        <v>419.15</v>
      </c>
      <c r="F15" s="58"/>
      <c r="G15" s="58">
        <f t="shared" si="1"/>
        <v>419.15</v>
      </c>
      <c r="H15" s="52">
        <v>561902</v>
      </c>
      <c r="I15" s="52" t="s">
        <v>101</v>
      </c>
      <c r="J15" s="17" t="s">
        <v>36</v>
      </c>
      <c r="K15" s="52" t="s">
        <v>37</v>
      </c>
      <c r="L15" s="52">
        <v>99499622</v>
      </c>
      <c r="M15" s="48"/>
    </row>
    <row r="16" spans="1:13" s="53" customFormat="1" ht="15.75" x14ac:dyDescent="0.25">
      <c r="A16" s="49">
        <v>2098</v>
      </c>
      <c r="B16" s="337" t="s">
        <v>324</v>
      </c>
      <c r="C16" s="56">
        <v>556.70000000000005</v>
      </c>
      <c r="D16" s="57">
        <v>0.25</v>
      </c>
      <c r="E16" s="58">
        <f t="shared" si="0"/>
        <v>139.17500000000001</v>
      </c>
      <c r="F16" s="58"/>
      <c r="G16" s="58">
        <f t="shared" si="1"/>
        <v>139.17500000000001</v>
      </c>
      <c r="H16" s="52">
        <v>1065899</v>
      </c>
      <c r="I16" s="52" t="s">
        <v>323</v>
      </c>
      <c r="J16" s="51" t="s">
        <v>40</v>
      </c>
      <c r="K16" s="52" t="s">
        <v>19</v>
      </c>
      <c r="L16" s="52"/>
      <c r="M16" s="48"/>
    </row>
    <row r="17" spans="1:14" s="53" customFormat="1" ht="15.75" x14ac:dyDescent="0.25">
      <c r="A17" s="49">
        <v>2529</v>
      </c>
      <c r="B17" s="337" t="s">
        <v>629</v>
      </c>
      <c r="C17" s="56">
        <v>831.1</v>
      </c>
      <c r="D17" s="57">
        <v>0.25</v>
      </c>
      <c r="E17" s="58">
        <f t="shared" si="0"/>
        <v>207.77500000000001</v>
      </c>
      <c r="F17" s="58"/>
      <c r="G17" s="58">
        <f t="shared" si="1"/>
        <v>207.77500000000001</v>
      </c>
      <c r="H17" s="52" t="s">
        <v>628</v>
      </c>
      <c r="I17" s="52" t="s">
        <v>627</v>
      </c>
      <c r="J17" s="51" t="s">
        <v>40</v>
      </c>
      <c r="K17" s="52" t="s">
        <v>19</v>
      </c>
      <c r="L17" s="52">
        <v>95144359</v>
      </c>
      <c r="M17" s="48"/>
    </row>
    <row r="18" spans="1:14" s="53" customFormat="1" ht="15.75" x14ac:dyDescent="0.25">
      <c r="A18" s="49">
        <v>3002</v>
      </c>
      <c r="B18" s="50" t="s">
        <v>102</v>
      </c>
      <c r="C18" s="56">
        <v>1398.8</v>
      </c>
      <c r="D18" s="57">
        <v>0.25</v>
      </c>
      <c r="E18" s="58">
        <f t="shared" si="0"/>
        <v>349.7</v>
      </c>
      <c r="F18" s="58"/>
      <c r="G18" s="58">
        <f t="shared" si="1"/>
        <v>349.7</v>
      </c>
      <c r="H18" s="51">
        <v>21220177</v>
      </c>
      <c r="I18" s="52" t="s">
        <v>103</v>
      </c>
      <c r="J18" s="51" t="s">
        <v>40</v>
      </c>
      <c r="K18" s="52" t="s">
        <v>19</v>
      </c>
      <c r="L18" s="51">
        <v>99280644</v>
      </c>
      <c r="M18" s="48"/>
    </row>
    <row r="19" spans="1:14" s="53" customFormat="1" ht="15.75" x14ac:dyDescent="0.25">
      <c r="A19" s="85">
        <v>3035</v>
      </c>
      <c r="B19" s="74" t="s">
        <v>104</v>
      </c>
      <c r="C19" s="56">
        <v>539.5</v>
      </c>
      <c r="D19" s="57">
        <v>0.25</v>
      </c>
      <c r="E19" s="58">
        <f t="shared" si="0"/>
        <v>134.875</v>
      </c>
      <c r="F19" s="58"/>
      <c r="G19" s="58">
        <f t="shared" si="1"/>
        <v>134.875</v>
      </c>
      <c r="H19" s="75">
        <v>6725058</v>
      </c>
      <c r="I19" s="52" t="s">
        <v>105</v>
      </c>
      <c r="J19" s="51" t="s">
        <v>36</v>
      </c>
      <c r="K19" s="76" t="s">
        <v>37</v>
      </c>
      <c r="L19" s="75">
        <v>99198121</v>
      </c>
      <c r="M19" s="48"/>
    </row>
    <row r="20" spans="1:14" s="53" customFormat="1" ht="15.75" x14ac:dyDescent="0.25">
      <c r="A20" s="49">
        <v>3057</v>
      </c>
      <c r="B20" s="50" t="s">
        <v>67</v>
      </c>
      <c r="C20" s="56">
        <v>2283.9</v>
      </c>
      <c r="D20" s="57">
        <v>0.25</v>
      </c>
      <c r="E20" s="58">
        <f t="shared" si="0"/>
        <v>570.97500000000002</v>
      </c>
      <c r="F20" s="58"/>
      <c r="G20" s="58">
        <f t="shared" si="1"/>
        <v>570.97500000000002</v>
      </c>
      <c r="H20" s="51">
        <v>626819</v>
      </c>
      <c r="I20" s="52" t="s">
        <v>106</v>
      </c>
      <c r="J20" s="51" t="s">
        <v>40</v>
      </c>
      <c r="K20" s="52" t="s">
        <v>19</v>
      </c>
      <c r="L20" s="51">
        <v>99298522</v>
      </c>
      <c r="M20" s="48"/>
    </row>
    <row r="21" spans="1:14" s="53" customFormat="1" ht="15.75" x14ac:dyDescent="0.25">
      <c r="A21" s="49">
        <v>3062</v>
      </c>
      <c r="B21" s="50" t="s">
        <v>107</v>
      </c>
      <c r="C21" s="56">
        <v>2474.6</v>
      </c>
      <c r="D21" s="57">
        <v>0.25</v>
      </c>
      <c r="E21" s="58">
        <f t="shared" si="0"/>
        <v>618.65</v>
      </c>
      <c r="F21" s="58"/>
      <c r="G21" s="58">
        <f t="shared" si="1"/>
        <v>618.65</v>
      </c>
      <c r="H21" s="51">
        <v>300741</v>
      </c>
      <c r="I21" s="52" t="s">
        <v>108</v>
      </c>
      <c r="J21" s="51" t="s">
        <v>40</v>
      </c>
      <c r="K21" s="52" t="s">
        <v>19</v>
      </c>
      <c r="L21" s="51">
        <v>99008320</v>
      </c>
      <c r="M21" s="48"/>
    </row>
    <row r="22" spans="1:14" s="53" customFormat="1" ht="15.75" x14ac:dyDescent="0.25">
      <c r="A22" s="49">
        <v>3080</v>
      </c>
      <c r="B22" s="50" t="s">
        <v>109</v>
      </c>
      <c r="C22" s="56">
        <v>1621.2</v>
      </c>
      <c r="D22" s="57">
        <v>0.25</v>
      </c>
      <c r="E22" s="58">
        <f t="shared" si="0"/>
        <v>405.3</v>
      </c>
      <c r="F22" s="58"/>
      <c r="G22" s="58">
        <f t="shared" si="1"/>
        <v>405.3</v>
      </c>
      <c r="H22" s="51">
        <v>14301608</v>
      </c>
      <c r="I22" s="52" t="s">
        <v>110</v>
      </c>
      <c r="J22" s="51" t="s">
        <v>40</v>
      </c>
      <c r="K22" s="52" t="s">
        <v>19</v>
      </c>
      <c r="L22" s="51">
        <v>98122611</v>
      </c>
      <c r="M22" s="77"/>
    </row>
    <row r="23" spans="1:14" s="53" customFormat="1" ht="15.75" x14ac:dyDescent="0.25">
      <c r="A23" s="54">
        <v>3086</v>
      </c>
      <c r="B23" s="50" t="s">
        <v>111</v>
      </c>
      <c r="C23" s="56">
        <v>836.3</v>
      </c>
      <c r="D23" s="57">
        <v>0.25</v>
      </c>
      <c r="E23" s="58">
        <f t="shared" si="0"/>
        <v>209.07499999999999</v>
      </c>
      <c r="F23" s="58"/>
      <c r="G23" s="58">
        <f t="shared" si="1"/>
        <v>209.07499999999999</v>
      </c>
      <c r="H23" s="51">
        <v>300033</v>
      </c>
      <c r="I23" s="52" t="s">
        <v>112</v>
      </c>
      <c r="J23" s="51" t="s">
        <v>40</v>
      </c>
      <c r="K23" s="52" t="s">
        <v>19</v>
      </c>
      <c r="L23" s="51"/>
      <c r="M23" s="48"/>
    </row>
    <row r="24" spans="1:14" s="53" customFormat="1" ht="15.75" x14ac:dyDescent="0.25">
      <c r="A24" s="49">
        <v>3132</v>
      </c>
      <c r="B24" s="50" t="s">
        <v>113</v>
      </c>
      <c r="C24" s="56">
        <v>1634</v>
      </c>
      <c r="D24" s="57">
        <v>0.25</v>
      </c>
      <c r="E24" s="58">
        <f t="shared" si="0"/>
        <v>408.5</v>
      </c>
      <c r="F24" s="58"/>
      <c r="G24" s="58">
        <f t="shared" si="1"/>
        <v>408.5</v>
      </c>
      <c r="H24" s="51">
        <v>14606296</v>
      </c>
      <c r="I24" s="52" t="s">
        <v>114</v>
      </c>
      <c r="J24" s="51" t="s">
        <v>40</v>
      </c>
      <c r="K24" s="52" t="s">
        <v>19</v>
      </c>
      <c r="L24" s="51">
        <v>91493522</v>
      </c>
      <c r="M24" s="48"/>
    </row>
    <row r="25" spans="1:14" s="53" customFormat="1" ht="15.75" x14ac:dyDescent="0.25">
      <c r="A25" s="49">
        <v>3134</v>
      </c>
      <c r="B25" s="50" t="s">
        <v>115</v>
      </c>
      <c r="C25" s="56">
        <v>1488.5</v>
      </c>
      <c r="D25" s="57">
        <v>0.25</v>
      </c>
      <c r="E25" s="58">
        <f t="shared" si="0"/>
        <v>372.125</v>
      </c>
      <c r="F25" s="58"/>
      <c r="G25" s="58">
        <f t="shared" si="1"/>
        <v>372.125</v>
      </c>
      <c r="H25" s="51">
        <v>2154413</v>
      </c>
      <c r="I25" s="52" t="s">
        <v>116</v>
      </c>
      <c r="J25" s="51" t="s">
        <v>36</v>
      </c>
      <c r="K25" s="52" t="s">
        <v>37</v>
      </c>
      <c r="L25" s="51">
        <v>99493731</v>
      </c>
      <c r="M25" s="48"/>
    </row>
    <row r="26" spans="1:14" s="53" customFormat="1" ht="15.75" x14ac:dyDescent="0.25">
      <c r="A26" s="49">
        <v>3142</v>
      </c>
      <c r="B26" s="50" t="s">
        <v>117</v>
      </c>
      <c r="C26" s="56">
        <v>4173.7</v>
      </c>
      <c r="D26" s="57">
        <v>0.25</v>
      </c>
      <c r="E26" s="58">
        <f t="shared" si="0"/>
        <v>1043.425</v>
      </c>
      <c r="F26" s="58"/>
      <c r="G26" s="58">
        <f t="shared" si="1"/>
        <v>1043.425</v>
      </c>
      <c r="H26" s="51">
        <v>165497</v>
      </c>
      <c r="I26" s="52" t="s">
        <v>118</v>
      </c>
      <c r="J26" s="51" t="s">
        <v>88</v>
      </c>
      <c r="K26" s="52" t="s">
        <v>89</v>
      </c>
      <c r="L26" s="51">
        <v>99499872</v>
      </c>
      <c r="M26" s="48"/>
    </row>
    <row r="27" spans="1:14" s="53" customFormat="1" ht="15.75" x14ac:dyDescent="0.25">
      <c r="A27" s="49">
        <v>3145</v>
      </c>
      <c r="B27" s="87" t="s">
        <v>119</v>
      </c>
      <c r="C27" s="56">
        <v>2239.1999999999998</v>
      </c>
      <c r="D27" s="57">
        <v>0.25</v>
      </c>
      <c r="E27" s="58">
        <f t="shared" si="0"/>
        <v>559.79999999999995</v>
      </c>
      <c r="F27" s="58"/>
      <c r="G27" s="58">
        <f t="shared" si="1"/>
        <v>559.79999999999995</v>
      </c>
      <c r="H27" s="88">
        <v>1915745</v>
      </c>
      <c r="I27" s="89" t="s">
        <v>120</v>
      </c>
      <c r="J27" s="88" t="s">
        <v>40</v>
      </c>
      <c r="K27" s="89" t="s">
        <v>19</v>
      </c>
      <c r="L27" s="88">
        <v>99489050</v>
      </c>
      <c r="M27" s="48"/>
    </row>
    <row r="28" spans="1:14" s="53" customFormat="1" ht="15.75" x14ac:dyDescent="0.25">
      <c r="A28" s="49">
        <v>3147</v>
      </c>
      <c r="B28" s="50" t="s">
        <v>122</v>
      </c>
      <c r="C28" s="56">
        <v>1598</v>
      </c>
      <c r="D28" s="57">
        <v>0.25</v>
      </c>
      <c r="E28" s="58">
        <f t="shared" si="0"/>
        <v>399.5</v>
      </c>
      <c r="F28" s="58"/>
      <c r="G28" s="58">
        <f t="shared" si="1"/>
        <v>399.5</v>
      </c>
      <c r="H28" s="51">
        <v>1662414</v>
      </c>
      <c r="I28" s="52" t="s">
        <v>123</v>
      </c>
      <c r="J28" s="51" t="s">
        <v>88</v>
      </c>
      <c r="K28" s="52" t="s">
        <v>89</v>
      </c>
      <c r="L28" s="51">
        <v>99282006</v>
      </c>
      <c r="M28" s="48"/>
    </row>
    <row r="29" spans="1:14" s="53" customFormat="1" ht="15.75" x14ac:dyDescent="0.25">
      <c r="A29" s="49">
        <v>3148</v>
      </c>
      <c r="B29" s="50" t="s">
        <v>124</v>
      </c>
      <c r="C29" s="56">
        <v>1642.3</v>
      </c>
      <c r="D29" s="57">
        <v>0.25</v>
      </c>
      <c r="E29" s="58">
        <f t="shared" si="0"/>
        <v>410.57499999999999</v>
      </c>
      <c r="F29" s="58"/>
      <c r="G29" s="58">
        <f t="shared" si="1"/>
        <v>410.57499999999999</v>
      </c>
      <c r="H29" s="51">
        <v>19545736</v>
      </c>
      <c r="I29" s="52" t="s">
        <v>125</v>
      </c>
      <c r="J29" s="51" t="s">
        <v>36</v>
      </c>
      <c r="K29" s="52" t="s">
        <v>37</v>
      </c>
      <c r="L29" s="51"/>
      <c r="M29" s="48"/>
    </row>
    <row r="30" spans="1:14" s="53" customFormat="1" ht="15.75" x14ac:dyDescent="0.25">
      <c r="A30" s="49">
        <v>3149</v>
      </c>
      <c r="B30" s="50" t="s">
        <v>126</v>
      </c>
      <c r="C30" s="56">
        <v>1410.6</v>
      </c>
      <c r="D30" s="57">
        <v>0.25</v>
      </c>
      <c r="E30" s="58">
        <f t="shared" si="0"/>
        <v>352.65</v>
      </c>
      <c r="F30" s="58"/>
      <c r="G30" s="58">
        <f t="shared" si="1"/>
        <v>352.65</v>
      </c>
      <c r="H30" s="51">
        <v>4941095</v>
      </c>
      <c r="I30" s="52" t="s">
        <v>127</v>
      </c>
      <c r="J30" s="51" t="s">
        <v>128</v>
      </c>
      <c r="K30" s="52" t="s">
        <v>129</v>
      </c>
      <c r="L30" s="51">
        <v>93500864</v>
      </c>
      <c r="M30" s="48"/>
    </row>
    <row r="31" spans="1:14" s="53" customFormat="1" ht="16.5" customHeight="1" x14ac:dyDescent="0.25">
      <c r="A31" s="49">
        <v>3150</v>
      </c>
      <c r="B31" s="50" t="s">
        <v>553</v>
      </c>
      <c r="C31" s="56">
        <v>488.3</v>
      </c>
      <c r="D31" s="57">
        <v>0.25</v>
      </c>
      <c r="E31" s="58">
        <f t="shared" si="0"/>
        <v>122.075</v>
      </c>
      <c r="F31" s="58"/>
      <c r="G31" s="58">
        <f t="shared" si="1"/>
        <v>122.075</v>
      </c>
      <c r="H31" s="51">
        <v>18940347</v>
      </c>
      <c r="I31" s="52" t="s">
        <v>552</v>
      </c>
      <c r="J31" s="88" t="s">
        <v>40</v>
      </c>
      <c r="K31" s="89" t="s">
        <v>19</v>
      </c>
      <c r="L31" s="51">
        <v>98905289</v>
      </c>
      <c r="M31" s="48"/>
    </row>
    <row r="32" spans="1:14" s="195" customFormat="1" ht="15.75" x14ac:dyDescent="0.25">
      <c r="A32" s="138">
        <v>3152</v>
      </c>
      <c r="B32" s="139" t="s">
        <v>130</v>
      </c>
      <c r="C32" s="140">
        <v>3040.6</v>
      </c>
      <c r="D32" s="141">
        <v>0.25</v>
      </c>
      <c r="E32" s="142">
        <f t="shared" si="0"/>
        <v>760.15</v>
      </c>
      <c r="F32" s="142">
        <f>0.975+350.4</f>
        <v>351.375</v>
      </c>
      <c r="G32" s="142">
        <f t="shared" si="1"/>
        <v>408.77499999999998</v>
      </c>
      <c r="H32" s="143">
        <v>941993</v>
      </c>
      <c r="I32" s="192" t="s">
        <v>131</v>
      </c>
      <c r="J32" s="143" t="s">
        <v>36</v>
      </c>
      <c r="K32" s="192" t="s">
        <v>37</v>
      </c>
      <c r="L32" s="143">
        <v>99086500</v>
      </c>
      <c r="M32" s="269">
        <v>45727</v>
      </c>
      <c r="N32" s="383" t="s">
        <v>631</v>
      </c>
    </row>
    <row r="33" spans="1:13" s="53" customFormat="1" ht="15.75" x14ac:dyDescent="0.25">
      <c r="A33" s="49">
        <v>3153</v>
      </c>
      <c r="B33" s="50" t="s">
        <v>15</v>
      </c>
      <c r="C33" s="56">
        <v>2433.6</v>
      </c>
      <c r="D33" s="57">
        <v>0.25</v>
      </c>
      <c r="E33" s="58">
        <f t="shared" si="0"/>
        <v>608.4</v>
      </c>
      <c r="F33" s="58"/>
      <c r="G33" s="58">
        <f t="shared" si="1"/>
        <v>608.4</v>
      </c>
      <c r="H33" s="51">
        <v>6989479</v>
      </c>
      <c r="I33" s="52" t="s">
        <v>17</v>
      </c>
      <c r="J33" s="51" t="s">
        <v>18</v>
      </c>
      <c r="K33" s="52" t="s">
        <v>19</v>
      </c>
      <c r="L33" s="51">
        <v>99699500</v>
      </c>
      <c r="M33" s="48"/>
    </row>
    <row r="34" spans="1:13" s="53" customFormat="1" ht="15.75" x14ac:dyDescent="0.25">
      <c r="A34" s="78">
        <v>3155</v>
      </c>
      <c r="B34" s="50" t="s">
        <v>132</v>
      </c>
      <c r="C34" s="56">
        <v>540.79999999999995</v>
      </c>
      <c r="D34" s="57">
        <v>0.25</v>
      </c>
      <c r="E34" s="58">
        <f t="shared" si="0"/>
        <v>135.19999999999999</v>
      </c>
      <c r="F34" s="58"/>
      <c r="G34" s="58">
        <f t="shared" si="1"/>
        <v>135.19999999999999</v>
      </c>
      <c r="H34" s="51">
        <v>19188794</v>
      </c>
      <c r="I34" s="52" t="s">
        <v>133</v>
      </c>
      <c r="J34" s="51" t="s">
        <v>40</v>
      </c>
      <c r="K34" s="52" t="s">
        <v>19</v>
      </c>
      <c r="L34" s="51">
        <v>93215515</v>
      </c>
      <c r="M34" s="48"/>
    </row>
    <row r="35" spans="1:13" s="53" customFormat="1" ht="15.75" x14ac:dyDescent="0.25">
      <c r="A35" s="49">
        <v>3158</v>
      </c>
      <c r="B35" s="50" t="s">
        <v>134</v>
      </c>
      <c r="C35" s="56">
        <v>3186.1</v>
      </c>
      <c r="D35" s="57">
        <v>0.25</v>
      </c>
      <c r="E35" s="58">
        <f t="shared" si="0"/>
        <v>796.52499999999998</v>
      </c>
      <c r="F35" s="58"/>
      <c r="G35" s="58">
        <f t="shared" si="1"/>
        <v>796.52499999999998</v>
      </c>
      <c r="H35" s="51" t="s">
        <v>135</v>
      </c>
      <c r="I35" s="52" t="s">
        <v>136</v>
      </c>
      <c r="J35" s="51" t="s">
        <v>40</v>
      </c>
      <c r="K35" s="52" t="s">
        <v>19</v>
      </c>
      <c r="L35" s="51">
        <v>99694218</v>
      </c>
      <c r="M35" s="48"/>
    </row>
    <row r="36" spans="1:13" s="53" customFormat="1" ht="15.75" x14ac:dyDescent="0.25">
      <c r="A36" s="49">
        <v>3159</v>
      </c>
      <c r="B36" s="50" t="s">
        <v>137</v>
      </c>
      <c r="C36" s="56">
        <v>548.79999999999995</v>
      </c>
      <c r="D36" s="57">
        <v>0.25</v>
      </c>
      <c r="E36" s="58">
        <f t="shared" ref="E36:E67" si="2">C36*D36</f>
        <v>137.19999999999999</v>
      </c>
      <c r="F36" s="58"/>
      <c r="G36" s="58">
        <f t="shared" si="1"/>
        <v>137.19999999999999</v>
      </c>
      <c r="H36" s="51">
        <v>1297478</v>
      </c>
      <c r="I36" s="52" t="s">
        <v>138</v>
      </c>
      <c r="J36" s="51" t="s">
        <v>40</v>
      </c>
      <c r="K36" s="52" t="s">
        <v>19</v>
      </c>
      <c r="L36" s="51">
        <v>99497177</v>
      </c>
      <c r="M36" s="48"/>
    </row>
    <row r="37" spans="1:13" s="53" customFormat="1" ht="15.75" x14ac:dyDescent="0.25">
      <c r="A37" s="49">
        <v>3160</v>
      </c>
      <c r="B37" s="50" t="s">
        <v>139</v>
      </c>
      <c r="C37" s="56">
        <v>1680.7</v>
      </c>
      <c r="D37" s="57">
        <v>0.25</v>
      </c>
      <c r="E37" s="58">
        <f t="shared" si="2"/>
        <v>420.17500000000001</v>
      </c>
      <c r="F37" s="58"/>
      <c r="G37" s="58">
        <f t="shared" si="1"/>
        <v>420.17500000000001</v>
      </c>
      <c r="H37" s="51">
        <v>2837163</v>
      </c>
      <c r="I37" s="52" t="s">
        <v>140</v>
      </c>
      <c r="J37" s="51" t="s">
        <v>46</v>
      </c>
      <c r="K37" s="52" t="s">
        <v>47</v>
      </c>
      <c r="L37" s="51">
        <v>99497455</v>
      </c>
      <c r="M37" s="48"/>
    </row>
    <row r="38" spans="1:13" s="53" customFormat="1" ht="15.75" x14ac:dyDescent="0.25">
      <c r="A38" s="49">
        <v>3162</v>
      </c>
      <c r="B38" s="50" t="s">
        <v>141</v>
      </c>
      <c r="C38" s="56">
        <v>4995</v>
      </c>
      <c r="D38" s="57">
        <v>0.25</v>
      </c>
      <c r="E38" s="58">
        <f t="shared" si="2"/>
        <v>1248.75</v>
      </c>
      <c r="F38" s="58"/>
      <c r="G38" s="58">
        <f t="shared" si="1"/>
        <v>1248.75</v>
      </c>
      <c r="H38" s="51">
        <v>7017227</v>
      </c>
      <c r="I38" s="52" t="s">
        <v>142</v>
      </c>
      <c r="J38" s="51" t="s">
        <v>36</v>
      </c>
      <c r="K38" s="52" t="s">
        <v>37</v>
      </c>
      <c r="L38" s="51">
        <v>99523400</v>
      </c>
      <c r="M38" s="48"/>
    </row>
    <row r="39" spans="1:13" s="53" customFormat="1" ht="15.75" x14ac:dyDescent="0.25">
      <c r="A39" s="49">
        <v>3164</v>
      </c>
      <c r="B39" s="50" t="s">
        <v>143</v>
      </c>
      <c r="C39" s="56">
        <v>2057.1</v>
      </c>
      <c r="D39" s="57">
        <v>0.25</v>
      </c>
      <c r="E39" s="58">
        <f t="shared" si="2"/>
        <v>514.27499999999998</v>
      </c>
      <c r="F39" s="58"/>
      <c r="G39" s="58">
        <f t="shared" si="1"/>
        <v>514.27499999999998</v>
      </c>
      <c r="H39" s="51">
        <v>7466062</v>
      </c>
      <c r="I39" s="52" t="s">
        <v>144</v>
      </c>
      <c r="J39" s="17" t="s">
        <v>145</v>
      </c>
      <c r="K39" s="52" t="s">
        <v>146</v>
      </c>
      <c r="L39" s="51">
        <v>91135005</v>
      </c>
      <c r="M39" s="48"/>
    </row>
    <row r="40" spans="1:13" s="53" customFormat="1" ht="15.75" x14ac:dyDescent="0.25">
      <c r="A40" s="49">
        <v>3165</v>
      </c>
      <c r="B40" s="50" t="s">
        <v>147</v>
      </c>
      <c r="C40" s="56">
        <v>497.9</v>
      </c>
      <c r="D40" s="57">
        <v>0.25</v>
      </c>
      <c r="E40" s="58">
        <f t="shared" si="2"/>
        <v>124.47499999999999</v>
      </c>
      <c r="F40" s="58"/>
      <c r="G40" s="58">
        <f t="shared" si="1"/>
        <v>124.47499999999999</v>
      </c>
      <c r="H40" s="51">
        <v>19029628</v>
      </c>
      <c r="I40" s="52" t="s">
        <v>148</v>
      </c>
      <c r="J40" s="51" t="s">
        <v>36</v>
      </c>
      <c r="K40" s="52" t="s">
        <v>37</v>
      </c>
      <c r="L40" s="51">
        <v>96055446</v>
      </c>
      <c r="M40" s="48"/>
    </row>
    <row r="41" spans="1:13" s="53" customFormat="1" ht="15.75" x14ac:dyDescent="0.25">
      <c r="A41" s="49">
        <v>3169</v>
      </c>
      <c r="B41" s="50" t="s">
        <v>34</v>
      </c>
      <c r="C41" s="56">
        <v>1983.2</v>
      </c>
      <c r="D41" s="57">
        <v>0.25</v>
      </c>
      <c r="E41" s="58">
        <f t="shared" si="2"/>
        <v>495.8</v>
      </c>
      <c r="F41" s="58"/>
      <c r="G41" s="58">
        <f t="shared" si="1"/>
        <v>495.8</v>
      </c>
      <c r="H41" s="51">
        <v>3068756</v>
      </c>
      <c r="I41" s="52" t="s">
        <v>35</v>
      </c>
      <c r="J41" s="51" t="s">
        <v>36</v>
      </c>
      <c r="K41" s="52" t="s">
        <v>37</v>
      </c>
      <c r="L41" s="51">
        <v>99691806</v>
      </c>
      <c r="M41" s="48"/>
    </row>
    <row r="42" spans="1:13" s="53" customFormat="1" ht="15.75" x14ac:dyDescent="0.25">
      <c r="A42" s="49">
        <v>3171</v>
      </c>
      <c r="B42" s="50" t="s">
        <v>149</v>
      </c>
      <c r="C42" s="56">
        <v>915.4</v>
      </c>
      <c r="D42" s="57">
        <v>0.25</v>
      </c>
      <c r="E42" s="58">
        <f t="shared" si="2"/>
        <v>228.85</v>
      </c>
      <c r="F42" s="58"/>
      <c r="G42" s="58">
        <f t="shared" si="1"/>
        <v>228.85</v>
      </c>
      <c r="H42" s="51">
        <v>7239057</v>
      </c>
      <c r="I42" s="52" t="s">
        <v>150</v>
      </c>
      <c r="J42" s="51" t="s">
        <v>88</v>
      </c>
      <c r="K42" s="52" t="s">
        <v>89</v>
      </c>
      <c r="L42" s="51">
        <v>95880860</v>
      </c>
      <c r="M42" s="48"/>
    </row>
    <row r="43" spans="1:13" s="53" customFormat="1" ht="15.75" x14ac:dyDescent="0.25">
      <c r="A43" s="49">
        <v>3172</v>
      </c>
      <c r="B43" s="50" t="s">
        <v>151</v>
      </c>
      <c r="C43" s="56">
        <v>1587.6</v>
      </c>
      <c r="D43" s="57">
        <v>0.25</v>
      </c>
      <c r="E43" s="58">
        <f t="shared" si="2"/>
        <v>396.9</v>
      </c>
      <c r="F43" s="58"/>
      <c r="G43" s="58">
        <f t="shared" si="1"/>
        <v>396.9</v>
      </c>
      <c r="H43" s="51">
        <v>5276984</v>
      </c>
      <c r="I43" s="52" t="s">
        <v>152</v>
      </c>
      <c r="J43" s="51" t="s">
        <v>40</v>
      </c>
      <c r="K43" s="52" t="s">
        <v>19</v>
      </c>
      <c r="L43" s="51">
        <v>99188860</v>
      </c>
      <c r="M43" s="48"/>
    </row>
    <row r="44" spans="1:13" s="53" customFormat="1" ht="15.75" x14ac:dyDescent="0.25">
      <c r="A44" s="49">
        <v>3173</v>
      </c>
      <c r="B44" s="50" t="s">
        <v>153</v>
      </c>
      <c r="C44" s="56">
        <v>658.1</v>
      </c>
      <c r="D44" s="57">
        <v>0.25</v>
      </c>
      <c r="E44" s="58">
        <f t="shared" si="2"/>
        <v>164.52500000000001</v>
      </c>
      <c r="F44" s="58"/>
      <c r="G44" s="58">
        <f t="shared" si="1"/>
        <v>164.52500000000001</v>
      </c>
      <c r="H44" s="51">
        <v>6825655</v>
      </c>
      <c r="I44" s="52" t="s">
        <v>154</v>
      </c>
      <c r="J44" s="51" t="s">
        <v>40</v>
      </c>
      <c r="K44" s="52" t="s">
        <v>19</v>
      </c>
      <c r="L44" s="51">
        <v>98957747</v>
      </c>
      <c r="M44" s="48"/>
    </row>
    <row r="45" spans="1:13" s="53" customFormat="1" ht="15.75" x14ac:dyDescent="0.25">
      <c r="A45" s="49">
        <v>3174</v>
      </c>
      <c r="B45" s="50" t="s">
        <v>155</v>
      </c>
      <c r="C45" s="56">
        <v>1180</v>
      </c>
      <c r="D45" s="57">
        <v>0.25</v>
      </c>
      <c r="E45" s="58">
        <f t="shared" si="2"/>
        <v>295</v>
      </c>
      <c r="F45" s="58"/>
      <c r="G45" s="58">
        <f t="shared" si="1"/>
        <v>295</v>
      </c>
      <c r="H45" s="51">
        <v>7547492</v>
      </c>
      <c r="I45" s="52" t="s">
        <v>156</v>
      </c>
      <c r="J45" s="51" t="s">
        <v>40</v>
      </c>
      <c r="K45" s="52" t="s">
        <v>19</v>
      </c>
      <c r="L45" s="51">
        <v>91790502</v>
      </c>
      <c r="M45" s="48"/>
    </row>
    <row r="46" spans="1:13" s="53" customFormat="1" ht="15.75" x14ac:dyDescent="0.25">
      <c r="A46" s="49">
        <v>3175</v>
      </c>
      <c r="B46" s="50" t="s">
        <v>157</v>
      </c>
      <c r="C46" s="56">
        <v>586.20000000000005</v>
      </c>
      <c r="D46" s="57">
        <v>0.25</v>
      </c>
      <c r="E46" s="58">
        <f t="shared" si="2"/>
        <v>146.55000000000001</v>
      </c>
      <c r="F46" s="58"/>
      <c r="G46" s="58">
        <f t="shared" si="1"/>
        <v>146.55000000000001</v>
      </c>
      <c r="H46" s="51">
        <v>7325076</v>
      </c>
      <c r="I46" s="52" t="s">
        <v>158</v>
      </c>
      <c r="J46" s="51" t="s">
        <v>83</v>
      </c>
      <c r="K46" s="52" t="s">
        <v>84</v>
      </c>
      <c r="L46" s="51">
        <v>92890700</v>
      </c>
      <c r="M46" s="48"/>
    </row>
    <row r="47" spans="1:13" s="53" customFormat="1" ht="15.75" x14ac:dyDescent="0.25">
      <c r="A47" s="49">
        <v>3176</v>
      </c>
      <c r="B47" s="87" t="s">
        <v>159</v>
      </c>
      <c r="C47" s="56">
        <v>355.7</v>
      </c>
      <c r="D47" s="57">
        <v>0.25</v>
      </c>
      <c r="E47" s="58">
        <f t="shared" si="2"/>
        <v>88.924999999999997</v>
      </c>
      <c r="F47" s="58"/>
      <c r="G47" s="58">
        <f t="shared" si="1"/>
        <v>88.924999999999997</v>
      </c>
      <c r="H47" s="88">
        <v>12178145</v>
      </c>
      <c r="I47" s="89" t="s">
        <v>160</v>
      </c>
      <c r="J47" s="88" t="s">
        <v>40</v>
      </c>
      <c r="K47" s="89" t="s">
        <v>19</v>
      </c>
      <c r="L47" s="88">
        <v>93348565</v>
      </c>
      <c r="M47" s="48"/>
    </row>
    <row r="48" spans="1:13" s="53" customFormat="1" ht="15.75" x14ac:dyDescent="0.25">
      <c r="A48" s="49">
        <v>3179</v>
      </c>
      <c r="B48" s="50" t="s">
        <v>161</v>
      </c>
      <c r="C48" s="56">
        <v>2540.4</v>
      </c>
      <c r="D48" s="57">
        <v>0.25</v>
      </c>
      <c r="E48" s="58">
        <f t="shared" si="2"/>
        <v>635.1</v>
      </c>
      <c r="F48" s="58"/>
      <c r="G48" s="58">
        <f t="shared" si="1"/>
        <v>635.1</v>
      </c>
      <c r="H48" s="51">
        <v>1870852</v>
      </c>
      <c r="I48" s="52" t="s">
        <v>162</v>
      </c>
      <c r="J48" s="51" t="s">
        <v>88</v>
      </c>
      <c r="K48" s="52" t="s">
        <v>89</v>
      </c>
      <c r="L48" s="51">
        <v>99050691</v>
      </c>
      <c r="M48" s="48"/>
    </row>
    <row r="49" spans="1:13" s="53" customFormat="1" ht="15.75" x14ac:dyDescent="0.25">
      <c r="A49" s="49">
        <v>3181</v>
      </c>
      <c r="B49" s="50" t="s">
        <v>163</v>
      </c>
      <c r="C49" s="56">
        <v>2205.8000000000002</v>
      </c>
      <c r="D49" s="57">
        <v>0.25</v>
      </c>
      <c r="E49" s="58">
        <f t="shared" si="2"/>
        <v>551.45000000000005</v>
      </c>
      <c r="F49" s="58"/>
      <c r="G49" s="58">
        <f t="shared" si="1"/>
        <v>551.45000000000005</v>
      </c>
      <c r="H49" s="51">
        <v>6116067</v>
      </c>
      <c r="I49" s="52" t="s">
        <v>164</v>
      </c>
      <c r="J49" s="51" t="s">
        <v>88</v>
      </c>
      <c r="K49" s="52" t="s">
        <v>89</v>
      </c>
      <c r="L49" s="51">
        <v>99191102</v>
      </c>
      <c r="M49" s="48"/>
    </row>
    <row r="50" spans="1:13" s="53" customFormat="1" ht="15.75" x14ac:dyDescent="0.25">
      <c r="A50" s="49">
        <v>3183</v>
      </c>
      <c r="B50" s="55" t="s">
        <v>165</v>
      </c>
      <c r="C50" s="56">
        <v>1311.2</v>
      </c>
      <c r="D50" s="57">
        <v>0.25</v>
      </c>
      <c r="E50" s="58">
        <f t="shared" si="2"/>
        <v>327.8</v>
      </c>
      <c r="F50" s="58"/>
      <c r="G50" s="58">
        <f t="shared" si="1"/>
        <v>327.8</v>
      </c>
      <c r="H50" s="51">
        <v>4955092</v>
      </c>
      <c r="I50" s="52" t="s">
        <v>166</v>
      </c>
      <c r="J50" s="17" t="s">
        <v>40</v>
      </c>
      <c r="K50" s="52" t="s">
        <v>19</v>
      </c>
      <c r="L50" s="51">
        <v>98152775</v>
      </c>
      <c r="M50" s="48"/>
    </row>
    <row r="51" spans="1:13" s="53" customFormat="1" ht="15.75" x14ac:dyDescent="0.25">
      <c r="A51" s="49">
        <v>3184</v>
      </c>
      <c r="B51" s="50" t="s">
        <v>69</v>
      </c>
      <c r="C51" s="56">
        <v>2192.9</v>
      </c>
      <c r="D51" s="57">
        <v>0.25</v>
      </c>
      <c r="E51" s="58">
        <f t="shared" si="2"/>
        <v>548.22500000000002</v>
      </c>
      <c r="F51" s="58"/>
      <c r="G51" s="58">
        <f t="shared" si="1"/>
        <v>548.22500000000002</v>
      </c>
      <c r="H51" s="51">
        <v>6701602</v>
      </c>
      <c r="I51" s="52" t="s">
        <v>167</v>
      </c>
      <c r="J51" s="51" t="s">
        <v>36</v>
      </c>
      <c r="K51" s="52" t="s">
        <v>37</v>
      </c>
      <c r="L51" s="51">
        <v>99496161</v>
      </c>
      <c r="M51" s="48"/>
    </row>
    <row r="52" spans="1:13" s="53" customFormat="1" ht="15.75" x14ac:dyDescent="0.25">
      <c r="A52" s="49">
        <v>3185</v>
      </c>
      <c r="B52" s="50" t="s">
        <v>168</v>
      </c>
      <c r="C52" s="56">
        <v>1067.5999999999999</v>
      </c>
      <c r="D52" s="57">
        <v>0.25</v>
      </c>
      <c r="E52" s="58">
        <f t="shared" si="2"/>
        <v>266.89999999999998</v>
      </c>
      <c r="F52" s="58"/>
      <c r="G52" s="58">
        <f t="shared" si="1"/>
        <v>266.89999999999998</v>
      </c>
      <c r="H52" s="51">
        <v>15179209</v>
      </c>
      <c r="I52" s="52" t="s">
        <v>169</v>
      </c>
      <c r="J52" s="51" t="s">
        <v>40</v>
      </c>
      <c r="K52" s="52" t="s">
        <v>19</v>
      </c>
      <c r="L52" s="51">
        <v>94919974</v>
      </c>
      <c r="M52" s="48"/>
    </row>
    <row r="53" spans="1:13" s="53" customFormat="1" ht="15.75" x14ac:dyDescent="0.25">
      <c r="A53" s="49">
        <v>3188</v>
      </c>
      <c r="B53" s="50" t="s">
        <v>170</v>
      </c>
      <c r="C53" s="56">
        <v>1134.5</v>
      </c>
      <c r="D53" s="57">
        <v>0.25</v>
      </c>
      <c r="E53" s="58">
        <f t="shared" si="2"/>
        <v>283.625</v>
      </c>
      <c r="F53" s="58"/>
      <c r="G53" s="58">
        <f t="shared" si="1"/>
        <v>283.625</v>
      </c>
      <c r="H53" s="51">
        <v>19290729</v>
      </c>
      <c r="I53" s="52" t="s">
        <v>171</v>
      </c>
      <c r="J53" s="52" t="s">
        <v>36</v>
      </c>
      <c r="K53" s="52" t="s">
        <v>37</v>
      </c>
      <c r="L53" s="51">
        <v>95606029</v>
      </c>
      <c r="M53" s="48"/>
    </row>
    <row r="54" spans="1:13" s="53" customFormat="1" ht="15.75" x14ac:dyDescent="0.25">
      <c r="A54" s="49">
        <v>3189</v>
      </c>
      <c r="B54" s="50" t="s">
        <v>172</v>
      </c>
      <c r="C54" s="56">
        <v>599.1</v>
      </c>
      <c r="D54" s="57">
        <v>0.25</v>
      </c>
      <c r="E54" s="58">
        <f t="shared" si="2"/>
        <v>149.77500000000001</v>
      </c>
      <c r="F54" s="58"/>
      <c r="G54" s="58">
        <f t="shared" si="1"/>
        <v>149.77500000000001</v>
      </c>
      <c r="H54" s="51">
        <v>2802613</v>
      </c>
      <c r="I54" s="52" t="s">
        <v>173</v>
      </c>
      <c r="J54" s="51" t="s">
        <v>40</v>
      </c>
      <c r="K54" s="52" t="s">
        <v>19</v>
      </c>
      <c r="L54" s="51">
        <v>99480848</v>
      </c>
      <c r="M54" s="48"/>
    </row>
    <row r="55" spans="1:13" s="53" customFormat="1" ht="15.75" x14ac:dyDescent="0.25">
      <c r="A55" s="85">
        <v>3190</v>
      </c>
      <c r="B55" s="50" t="s">
        <v>174</v>
      </c>
      <c r="C55" s="56">
        <v>543.79999999999995</v>
      </c>
      <c r="D55" s="57">
        <v>0.25</v>
      </c>
      <c r="E55" s="58">
        <f t="shared" si="2"/>
        <v>135.94999999999999</v>
      </c>
      <c r="F55" s="58"/>
      <c r="G55" s="58">
        <f t="shared" si="1"/>
        <v>135.94999999999999</v>
      </c>
      <c r="H55" s="51">
        <v>3555896</v>
      </c>
      <c r="I55" s="194" t="s">
        <v>175</v>
      </c>
      <c r="J55" s="51" t="s">
        <v>40</v>
      </c>
      <c r="K55" s="52" t="s">
        <v>19</v>
      </c>
      <c r="L55" s="51">
        <v>92881155</v>
      </c>
      <c r="M55" s="48"/>
    </row>
    <row r="56" spans="1:13" s="53" customFormat="1" ht="15.75" x14ac:dyDescent="0.25">
      <c r="A56" s="85">
        <v>3192</v>
      </c>
      <c r="B56" s="50" t="s">
        <v>38</v>
      </c>
      <c r="C56" s="56">
        <v>788.7</v>
      </c>
      <c r="D56" s="57">
        <v>0.25</v>
      </c>
      <c r="E56" s="58">
        <f t="shared" si="2"/>
        <v>197.17500000000001</v>
      </c>
      <c r="F56" s="58"/>
      <c r="G56" s="58">
        <f t="shared" si="1"/>
        <v>197.17500000000001</v>
      </c>
      <c r="H56" s="51">
        <v>5271448</v>
      </c>
      <c r="I56" s="52" t="s">
        <v>39</v>
      </c>
      <c r="J56" s="51" t="s">
        <v>40</v>
      </c>
      <c r="K56" s="52" t="s">
        <v>19</v>
      </c>
      <c r="L56" s="51">
        <v>99489918</v>
      </c>
      <c r="M56" s="48"/>
    </row>
    <row r="57" spans="1:13" s="92" customFormat="1" ht="15.75" x14ac:dyDescent="0.25">
      <c r="A57" s="49">
        <v>3195</v>
      </c>
      <c r="B57" s="50" t="s">
        <v>176</v>
      </c>
      <c r="C57" s="56">
        <v>532.6</v>
      </c>
      <c r="D57" s="57">
        <v>0.25</v>
      </c>
      <c r="E57" s="58">
        <f t="shared" si="2"/>
        <v>133.15</v>
      </c>
      <c r="F57" s="58"/>
      <c r="G57" s="58">
        <f t="shared" si="1"/>
        <v>133.15</v>
      </c>
      <c r="H57" s="51">
        <v>675849</v>
      </c>
      <c r="I57" s="52" t="s">
        <v>177</v>
      </c>
      <c r="J57" s="51" t="s">
        <v>36</v>
      </c>
      <c r="K57" s="52" t="s">
        <v>37</v>
      </c>
      <c r="L57" s="51">
        <v>99483811</v>
      </c>
      <c r="M57" s="48"/>
    </row>
    <row r="58" spans="1:13" s="92" customFormat="1" ht="15.75" x14ac:dyDescent="0.25">
      <c r="A58" s="49">
        <v>3196</v>
      </c>
      <c r="B58" s="93" t="s">
        <v>178</v>
      </c>
      <c r="C58" s="56">
        <v>536.1</v>
      </c>
      <c r="D58" s="57">
        <v>0.25</v>
      </c>
      <c r="E58" s="58">
        <f t="shared" si="2"/>
        <v>134.02500000000001</v>
      </c>
      <c r="F58" s="58"/>
      <c r="G58" s="58">
        <f t="shared" si="1"/>
        <v>134.02500000000001</v>
      </c>
      <c r="H58" s="51">
        <v>21080217</v>
      </c>
      <c r="I58" s="52" t="s">
        <v>179</v>
      </c>
      <c r="J58" s="51" t="s">
        <v>40</v>
      </c>
      <c r="K58" s="52" t="s">
        <v>19</v>
      </c>
      <c r="L58" s="51">
        <v>95490778</v>
      </c>
      <c r="M58" s="48"/>
    </row>
    <row r="59" spans="1:13" s="92" customFormat="1" ht="15.75" x14ac:dyDescent="0.25">
      <c r="A59" s="49">
        <v>3197</v>
      </c>
      <c r="B59" s="50" t="s">
        <v>180</v>
      </c>
      <c r="C59" s="56">
        <v>1602.7</v>
      </c>
      <c r="D59" s="57">
        <v>0.25</v>
      </c>
      <c r="E59" s="58">
        <f t="shared" si="2"/>
        <v>400.67500000000001</v>
      </c>
      <c r="F59" s="58"/>
      <c r="G59" s="58">
        <f t="shared" si="1"/>
        <v>400.67500000000001</v>
      </c>
      <c r="H59" s="51">
        <v>6479515</v>
      </c>
      <c r="I59" s="52" t="s">
        <v>181</v>
      </c>
      <c r="J59" s="51" t="s">
        <v>40</v>
      </c>
      <c r="K59" s="52" t="s">
        <v>19</v>
      </c>
      <c r="L59" s="51">
        <v>92349032</v>
      </c>
      <c r="M59" s="48"/>
    </row>
    <row r="60" spans="1:13" s="92" customFormat="1" ht="15.75" x14ac:dyDescent="0.25">
      <c r="A60" s="49">
        <v>3198</v>
      </c>
      <c r="B60" s="74" t="s">
        <v>44</v>
      </c>
      <c r="C60" s="56">
        <v>380.5</v>
      </c>
      <c r="D60" s="57">
        <v>0.25</v>
      </c>
      <c r="E60" s="58">
        <f t="shared" si="2"/>
        <v>95.125</v>
      </c>
      <c r="F60" s="58"/>
      <c r="G60" s="58">
        <f t="shared" si="1"/>
        <v>95.125</v>
      </c>
      <c r="H60" s="75">
        <v>6360793</v>
      </c>
      <c r="I60" s="52" t="s">
        <v>45</v>
      </c>
      <c r="J60" s="75" t="s">
        <v>46</v>
      </c>
      <c r="K60" s="76" t="s">
        <v>47</v>
      </c>
      <c r="L60" s="51">
        <v>99336200</v>
      </c>
      <c r="M60" s="48"/>
    </row>
    <row r="61" spans="1:13" s="53" customFormat="1" ht="15.75" x14ac:dyDescent="0.25">
      <c r="A61" s="49">
        <v>3310</v>
      </c>
      <c r="B61" s="50" t="s">
        <v>182</v>
      </c>
      <c r="C61" s="56">
        <v>1110</v>
      </c>
      <c r="D61" s="57">
        <v>0.25</v>
      </c>
      <c r="E61" s="58">
        <f t="shared" si="2"/>
        <v>277.5</v>
      </c>
      <c r="F61" s="58"/>
      <c r="G61" s="58">
        <f t="shared" si="1"/>
        <v>277.5</v>
      </c>
      <c r="H61" s="51">
        <v>1007615</v>
      </c>
      <c r="I61" s="52" t="s">
        <v>183</v>
      </c>
      <c r="J61" s="51" t="s">
        <v>40</v>
      </c>
      <c r="K61" s="52" t="s">
        <v>19</v>
      </c>
      <c r="L61" s="51">
        <v>99056614</v>
      </c>
      <c r="M61" s="48"/>
    </row>
    <row r="62" spans="1:13" s="53" customFormat="1" ht="15.75" x14ac:dyDescent="0.25">
      <c r="A62" s="49">
        <v>3324</v>
      </c>
      <c r="B62" s="51" t="s">
        <v>184</v>
      </c>
      <c r="C62" s="56">
        <v>1640.4</v>
      </c>
      <c r="D62" s="57">
        <v>0.25</v>
      </c>
      <c r="E62" s="58">
        <f t="shared" si="2"/>
        <v>410.1</v>
      </c>
      <c r="F62" s="58"/>
      <c r="G62" s="58">
        <f t="shared" si="1"/>
        <v>410.1</v>
      </c>
      <c r="H62" s="52">
        <v>207402</v>
      </c>
      <c r="I62" s="52" t="s">
        <v>185</v>
      </c>
      <c r="J62" s="52" t="s">
        <v>40</v>
      </c>
      <c r="K62" s="52" t="s">
        <v>19</v>
      </c>
      <c r="L62" s="51">
        <v>99487533</v>
      </c>
      <c r="M62" s="48"/>
    </row>
    <row r="63" spans="1:13" s="53" customFormat="1" ht="15.75" x14ac:dyDescent="0.25">
      <c r="A63" s="49">
        <v>3330</v>
      </c>
      <c r="B63" s="51" t="s">
        <v>186</v>
      </c>
      <c r="C63" s="56">
        <v>1949.1</v>
      </c>
      <c r="D63" s="57">
        <v>0.25</v>
      </c>
      <c r="E63" s="58">
        <f t="shared" si="2"/>
        <v>487.27499999999998</v>
      </c>
      <c r="F63" s="58"/>
      <c r="G63" s="58">
        <f t="shared" si="1"/>
        <v>487.27499999999998</v>
      </c>
      <c r="H63" s="52">
        <v>6375079</v>
      </c>
      <c r="I63" s="52" t="s">
        <v>187</v>
      </c>
      <c r="J63" s="52" t="s">
        <v>188</v>
      </c>
      <c r="K63" s="52" t="s">
        <v>19</v>
      </c>
      <c r="L63" s="51"/>
      <c r="M63" s="48"/>
    </row>
    <row r="64" spans="1:13" s="53" customFormat="1" ht="15.75" x14ac:dyDescent="0.25">
      <c r="A64" s="49">
        <v>3333</v>
      </c>
      <c r="B64" s="51" t="s">
        <v>189</v>
      </c>
      <c r="C64" s="56">
        <v>1685.6</v>
      </c>
      <c r="D64" s="57">
        <v>0.25</v>
      </c>
      <c r="E64" s="58">
        <f t="shared" si="2"/>
        <v>421.4</v>
      </c>
      <c r="F64" s="95"/>
      <c r="G64" s="58">
        <f t="shared" si="1"/>
        <v>421.4</v>
      </c>
      <c r="H64" s="96">
        <v>757601</v>
      </c>
      <c r="I64" s="96" t="s">
        <v>190</v>
      </c>
      <c r="J64" s="96" t="s">
        <v>83</v>
      </c>
      <c r="K64" s="96" t="s">
        <v>84</v>
      </c>
      <c r="L64" s="97"/>
      <c r="M64" s="48"/>
    </row>
    <row r="65" spans="1:13" s="53" customFormat="1" ht="15.75" x14ac:dyDescent="0.25">
      <c r="A65" s="49">
        <v>3339</v>
      </c>
      <c r="B65" s="88" t="s">
        <v>191</v>
      </c>
      <c r="C65" s="56">
        <v>515.79999999999995</v>
      </c>
      <c r="D65" s="57">
        <v>0.25</v>
      </c>
      <c r="E65" s="58">
        <f t="shared" si="2"/>
        <v>128.94999999999999</v>
      </c>
      <c r="F65" s="58"/>
      <c r="G65" s="58">
        <f t="shared" si="1"/>
        <v>128.94999999999999</v>
      </c>
      <c r="H65" s="89">
        <v>12415718</v>
      </c>
      <c r="I65" s="89" t="s">
        <v>192</v>
      </c>
      <c r="J65" s="88" t="s">
        <v>40</v>
      </c>
      <c r="K65" s="89" t="s">
        <v>19</v>
      </c>
      <c r="L65" s="51"/>
      <c r="M65" s="48"/>
    </row>
    <row r="66" spans="1:13" s="53" customFormat="1" ht="15.75" x14ac:dyDescent="0.25">
      <c r="A66" s="49">
        <v>3341</v>
      </c>
      <c r="B66" s="88" t="s">
        <v>328</v>
      </c>
      <c r="C66" s="56">
        <v>581.1</v>
      </c>
      <c r="D66" s="57">
        <v>0.25</v>
      </c>
      <c r="E66" s="58">
        <f t="shared" si="2"/>
        <v>145.27500000000001</v>
      </c>
      <c r="F66" s="58"/>
      <c r="G66" s="58">
        <f t="shared" si="1"/>
        <v>145.27500000000001</v>
      </c>
      <c r="H66" s="89">
        <v>702161</v>
      </c>
      <c r="I66" s="89" t="s">
        <v>329</v>
      </c>
      <c r="J66" s="88" t="s">
        <v>88</v>
      </c>
      <c r="K66" s="89" t="s">
        <v>89</v>
      </c>
      <c r="L66" s="51">
        <v>99290644</v>
      </c>
      <c r="M66" s="48"/>
    </row>
    <row r="67" spans="1:13" s="53" customFormat="1" ht="15.75" x14ac:dyDescent="0.25">
      <c r="A67" s="85">
        <v>3500</v>
      </c>
      <c r="B67" s="51" t="s">
        <v>193</v>
      </c>
      <c r="C67" s="65"/>
      <c r="D67" s="57">
        <v>0.25</v>
      </c>
      <c r="E67" s="58">
        <f t="shared" si="2"/>
        <v>0</v>
      </c>
      <c r="F67" s="58"/>
      <c r="G67" s="58">
        <f t="shared" si="1"/>
        <v>0</v>
      </c>
      <c r="H67" s="52">
        <v>13525845</v>
      </c>
      <c r="I67" s="52" t="s">
        <v>194</v>
      </c>
      <c r="J67" s="51" t="s">
        <v>83</v>
      </c>
      <c r="K67" s="52" t="s">
        <v>84</v>
      </c>
      <c r="L67" s="51">
        <v>93985671</v>
      </c>
      <c r="M67" s="48"/>
    </row>
    <row r="68" spans="1:13" s="53" customFormat="1" ht="15.75" x14ac:dyDescent="0.25">
      <c r="A68" s="49">
        <v>3501</v>
      </c>
      <c r="B68" s="51" t="s">
        <v>195</v>
      </c>
      <c r="C68" s="56">
        <v>1531.9</v>
      </c>
      <c r="D68" s="57">
        <v>0.25</v>
      </c>
      <c r="E68" s="58">
        <f t="shared" ref="E68:E99" si="3">C68*D68</f>
        <v>382.97500000000002</v>
      </c>
      <c r="F68" s="58"/>
      <c r="G68" s="58">
        <f t="shared" si="1"/>
        <v>382.97500000000002</v>
      </c>
      <c r="H68" s="52">
        <v>13525794</v>
      </c>
      <c r="I68" s="52" t="s">
        <v>196</v>
      </c>
      <c r="J68" s="51" t="s">
        <v>40</v>
      </c>
      <c r="K68" s="52" t="s">
        <v>19</v>
      </c>
      <c r="L68" s="51">
        <v>92868004</v>
      </c>
      <c r="M68" s="48"/>
    </row>
    <row r="69" spans="1:13" s="53" customFormat="1" ht="15.75" x14ac:dyDescent="0.25">
      <c r="A69" s="49">
        <v>3502</v>
      </c>
      <c r="B69" s="93" t="s">
        <v>198</v>
      </c>
      <c r="C69" s="56">
        <v>1652.8</v>
      </c>
      <c r="D69" s="57">
        <v>0.25</v>
      </c>
      <c r="E69" s="58">
        <f t="shared" si="3"/>
        <v>413.2</v>
      </c>
      <c r="F69" s="58"/>
      <c r="G69" s="58">
        <f t="shared" ref="G69:G132" si="4">E69-F69</f>
        <v>413.2</v>
      </c>
      <c r="H69" s="52">
        <v>22522336</v>
      </c>
      <c r="I69" s="52" t="s">
        <v>199</v>
      </c>
      <c r="J69" s="51" t="s">
        <v>36</v>
      </c>
      <c r="K69" s="52" t="s">
        <v>37</v>
      </c>
      <c r="L69" s="51"/>
      <c r="M69" s="48"/>
    </row>
    <row r="70" spans="1:13" s="53" customFormat="1" ht="15.75" x14ac:dyDescent="0.25">
      <c r="A70" s="49">
        <v>3503</v>
      </c>
      <c r="B70" s="51" t="s">
        <v>200</v>
      </c>
      <c r="C70" s="56">
        <v>545.4</v>
      </c>
      <c r="D70" s="57">
        <v>0.25</v>
      </c>
      <c r="E70" s="58">
        <f t="shared" si="3"/>
        <v>136.35</v>
      </c>
      <c r="F70" s="58"/>
      <c r="G70" s="58">
        <f t="shared" si="4"/>
        <v>136.35</v>
      </c>
      <c r="H70" s="52">
        <v>9212492</v>
      </c>
      <c r="I70" s="52" t="s">
        <v>201</v>
      </c>
      <c r="J70" s="51" t="s">
        <v>40</v>
      </c>
      <c r="K70" s="52" t="s">
        <v>19</v>
      </c>
      <c r="L70" s="51">
        <v>98080144</v>
      </c>
      <c r="M70" s="48"/>
    </row>
    <row r="71" spans="1:13" s="53" customFormat="1" ht="15.75" x14ac:dyDescent="0.25">
      <c r="A71" s="85">
        <v>3504</v>
      </c>
      <c r="B71" s="51" t="s">
        <v>202</v>
      </c>
      <c r="C71" s="56">
        <v>368.5</v>
      </c>
      <c r="D71" s="57">
        <v>0.25</v>
      </c>
      <c r="E71" s="58">
        <f t="shared" si="3"/>
        <v>92.125</v>
      </c>
      <c r="F71" s="58"/>
      <c r="G71" s="58">
        <f t="shared" si="4"/>
        <v>92.125</v>
      </c>
      <c r="H71" s="52">
        <v>939641</v>
      </c>
      <c r="I71" s="52" t="s">
        <v>203</v>
      </c>
      <c r="J71" s="51" t="s">
        <v>40</v>
      </c>
      <c r="K71" s="52" t="s">
        <v>19</v>
      </c>
      <c r="L71" s="51">
        <v>99588609</v>
      </c>
      <c r="M71" s="48"/>
    </row>
    <row r="72" spans="1:13" s="53" customFormat="1" ht="15.75" x14ac:dyDescent="0.25">
      <c r="A72" s="49">
        <v>3506</v>
      </c>
      <c r="B72" s="51" t="s">
        <v>205</v>
      </c>
      <c r="C72" s="56">
        <v>490.6</v>
      </c>
      <c r="D72" s="57">
        <v>0.25</v>
      </c>
      <c r="E72" s="58">
        <f t="shared" si="3"/>
        <v>122.65</v>
      </c>
      <c r="F72" s="58"/>
      <c r="G72" s="58">
        <f t="shared" si="4"/>
        <v>122.65</v>
      </c>
      <c r="H72" s="52">
        <v>13307752</v>
      </c>
      <c r="I72" s="52" t="s">
        <v>206</v>
      </c>
      <c r="J72" s="51" t="s">
        <v>40</v>
      </c>
      <c r="K72" s="52" t="s">
        <v>19</v>
      </c>
      <c r="L72" s="51">
        <v>99294425</v>
      </c>
      <c r="M72" s="48"/>
    </row>
    <row r="73" spans="1:13" s="53" customFormat="1" ht="15.75" x14ac:dyDescent="0.25">
      <c r="A73" s="49">
        <v>3507</v>
      </c>
      <c r="B73" s="51" t="s">
        <v>207</v>
      </c>
      <c r="C73" s="56">
        <v>958.8</v>
      </c>
      <c r="D73" s="57">
        <v>0.25</v>
      </c>
      <c r="E73" s="58">
        <f t="shared" si="3"/>
        <v>239.7</v>
      </c>
      <c r="F73" s="58"/>
      <c r="G73" s="58">
        <f t="shared" si="4"/>
        <v>239.7</v>
      </c>
      <c r="H73" s="52">
        <v>1184669</v>
      </c>
      <c r="I73" s="52" t="s">
        <v>208</v>
      </c>
      <c r="J73" s="51" t="s">
        <v>36</v>
      </c>
      <c r="K73" s="52" t="s">
        <v>37</v>
      </c>
      <c r="L73" s="51">
        <v>99291928</v>
      </c>
      <c r="M73" s="48"/>
    </row>
    <row r="74" spans="1:13" s="53" customFormat="1" ht="15.75" x14ac:dyDescent="0.25">
      <c r="A74" s="49">
        <v>3508</v>
      </c>
      <c r="B74" s="51" t="s">
        <v>49</v>
      </c>
      <c r="C74" s="56">
        <v>1045.0999999999999</v>
      </c>
      <c r="D74" s="57">
        <v>0.25</v>
      </c>
      <c r="E74" s="58">
        <f t="shared" si="3"/>
        <v>261.27499999999998</v>
      </c>
      <c r="F74" s="58"/>
      <c r="G74" s="58">
        <f t="shared" si="4"/>
        <v>261.27499999999998</v>
      </c>
      <c r="H74" s="52">
        <v>2567166</v>
      </c>
      <c r="I74" s="52" t="s">
        <v>50</v>
      </c>
      <c r="J74" s="51" t="s">
        <v>40</v>
      </c>
      <c r="K74" s="52" t="s">
        <v>19</v>
      </c>
      <c r="L74" s="51">
        <v>92570156</v>
      </c>
      <c r="M74" s="48"/>
    </row>
    <row r="75" spans="1:13" s="53" customFormat="1" ht="15.75" x14ac:dyDescent="0.25">
      <c r="A75" s="49">
        <v>3509</v>
      </c>
      <c r="B75" s="293" t="s">
        <v>209</v>
      </c>
      <c r="C75" s="56">
        <v>522.6</v>
      </c>
      <c r="D75" s="57">
        <v>0.25</v>
      </c>
      <c r="E75" s="58">
        <f t="shared" si="3"/>
        <v>130.65</v>
      </c>
      <c r="F75" s="58"/>
      <c r="G75" s="58">
        <f t="shared" si="4"/>
        <v>130.65</v>
      </c>
      <c r="H75" s="52">
        <v>22760088</v>
      </c>
      <c r="I75" s="52" t="s">
        <v>210</v>
      </c>
      <c r="J75" s="51" t="s">
        <v>88</v>
      </c>
      <c r="K75" s="52" t="s">
        <v>89</v>
      </c>
      <c r="L75" s="51">
        <v>91476443</v>
      </c>
      <c r="M75" s="48"/>
    </row>
    <row r="76" spans="1:13" s="53" customFormat="1" ht="15.75" x14ac:dyDescent="0.25">
      <c r="A76" s="49">
        <v>3510</v>
      </c>
      <c r="B76" s="293" t="s">
        <v>211</v>
      </c>
      <c r="C76" s="56">
        <v>1099.3</v>
      </c>
      <c r="D76" s="57">
        <v>0.25</v>
      </c>
      <c r="E76" s="58">
        <f t="shared" si="3"/>
        <v>274.82499999999999</v>
      </c>
      <c r="F76" s="58"/>
      <c r="G76" s="58">
        <f t="shared" si="4"/>
        <v>274.82499999999999</v>
      </c>
      <c r="H76" s="52">
        <v>6920351</v>
      </c>
      <c r="I76" s="52" t="s">
        <v>212</v>
      </c>
      <c r="J76" s="51" t="s">
        <v>40</v>
      </c>
      <c r="K76" s="52" t="s">
        <v>19</v>
      </c>
      <c r="L76" s="51">
        <v>98933077</v>
      </c>
      <c r="M76" s="48"/>
    </row>
    <row r="77" spans="1:13" s="53" customFormat="1" ht="15.75" x14ac:dyDescent="0.25">
      <c r="A77" s="85">
        <v>3511</v>
      </c>
      <c r="B77" s="98" t="s">
        <v>21</v>
      </c>
      <c r="C77" s="56">
        <v>1661.3</v>
      </c>
      <c r="D77" s="57">
        <v>0.25</v>
      </c>
      <c r="E77" s="58">
        <f t="shared" si="3"/>
        <v>415.32499999999999</v>
      </c>
      <c r="F77" s="95"/>
      <c r="G77" s="58">
        <f t="shared" si="4"/>
        <v>415.32499999999999</v>
      </c>
      <c r="H77" s="96">
        <v>2640016</v>
      </c>
      <c r="I77" s="52" t="s">
        <v>22</v>
      </c>
      <c r="J77" s="51" t="s">
        <v>23</v>
      </c>
      <c r="K77" s="52" t="s">
        <v>24</v>
      </c>
      <c r="L77" s="51">
        <v>92953388</v>
      </c>
      <c r="M77" s="48"/>
    </row>
    <row r="78" spans="1:13" s="53" customFormat="1" ht="15.75" x14ac:dyDescent="0.25">
      <c r="A78" s="85">
        <v>3512</v>
      </c>
      <c r="B78" s="98" t="s">
        <v>213</v>
      </c>
      <c r="C78" s="56">
        <v>659.8</v>
      </c>
      <c r="D78" s="57">
        <v>0.25</v>
      </c>
      <c r="E78" s="58">
        <f t="shared" si="3"/>
        <v>164.95</v>
      </c>
      <c r="F78" s="95"/>
      <c r="G78" s="58">
        <f t="shared" si="4"/>
        <v>164.95</v>
      </c>
      <c r="H78" s="96">
        <v>5514631</v>
      </c>
      <c r="I78" s="52" t="s">
        <v>214</v>
      </c>
      <c r="J78" s="51" t="s">
        <v>36</v>
      </c>
      <c r="K78" s="51" t="s">
        <v>37</v>
      </c>
      <c r="L78" s="51"/>
      <c r="M78" s="48"/>
    </row>
    <row r="79" spans="1:13" s="53" customFormat="1" ht="15.75" x14ac:dyDescent="0.25">
      <c r="A79" s="49">
        <v>3513</v>
      </c>
      <c r="B79" s="98" t="s">
        <v>215</v>
      </c>
      <c r="C79" s="56">
        <v>2726</v>
      </c>
      <c r="D79" s="57">
        <v>0.25</v>
      </c>
      <c r="E79" s="58">
        <f t="shared" si="3"/>
        <v>681.5</v>
      </c>
      <c r="F79" s="95"/>
      <c r="G79" s="58">
        <f t="shared" si="4"/>
        <v>681.5</v>
      </c>
      <c r="H79" s="96">
        <v>7047376</v>
      </c>
      <c r="I79" s="52" t="s">
        <v>216</v>
      </c>
      <c r="J79" s="51" t="s">
        <v>36</v>
      </c>
      <c r="K79" s="52" t="s">
        <v>37</v>
      </c>
      <c r="L79" s="51">
        <v>90106022</v>
      </c>
      <c r="M79" s="48"/>
    </row>
    <row r="80" spans="1:13" s="53" customFormat="1" ht="18" customHeight="1" x14ac:dyDescent="0.25">
      <c r="A80" s="49">
        <v>3514</v>
      </c>
      <c r="B80" s="98" t="s">
        <v>217</v>
      </c>
      <c r="C80" s="56">
        <v>1575.7</v>
      </c>
      <c r="D80" s="57">
        <v>0.25</v>
      </c>
      <c r="E80" s="58">
        <f t="shared" si="3"/>
        <v>393.92500000000001</v>
      </c>
      <c r="F80" s="95"/>
      <c r="G80" s="58">
        <f t="shared" si="4"/>
        <v>393.92500000000001</v>
      </c>
      <c r="H80" s="96">
        <v>440083</v>
      </c>
      <c r="I80" s="52" t="s">
        <v>218</v>
      </c>
      <c r="J80" s="51" t="s">
        <v>188</v>
      </c>
      <c r="K80" s="52" t="s">
        <v>19</v>
      </c>
      <c r="L80" s="97">
        <v>92363355</v>
      </c>
      <c r="M80" s="48"/>
    </row>
    <row r="81" spans="1:13" s="53" customFormat="1" ht="15.75" x14ac:dyDescent="0.25">
      <c r="A81" s="49">
        <v>3515</v>
      </c>
      <c r="B81" s="98" t="s">
        <v>51</v>
      </c>
      <c r="C81" s="56">
        <v>596.5</v>
      </c>
      <c r="D81" s="57">
        <v>0.25</v>
      </c>
      <c r="E81" s="58">
        <f t="shared" si="3"/>
        <v>149.125</v>
      </c>
      <c r="F81" s="95"/>
      <c r="G81" s="58">
        <f t="shared" si="4"/>
        <v>149.125</v>
      </c>
      <c r="H81" s="96">
        <v>6645198</v>
      </c>
      <c r="I81" s="96" t="s">
        <v>52</v>
      </c>
      <c r="J81" s="51" t="s">
        <v>36</v>
      </c>
      <c r="K81" s="52" t="s">
        <v>37</v>
      </c>
      <c r="L81" s="97">
        <v>94411217</v>
      </c>
      <c r="M81" s="48"/>
    </row>
    <row r="82" spans="1:13" s="53" customFormat="1" ht="15.75" x14ac:dyDescent="0.25">
      <c r="A82" s="49">
        <v>3516</v>
      </c>
      <c r="B82" s="98" t="s">
        <v>219</v>
      </c>
      <c r="C82" s="56">
        <v>1594.3</v>
      </c>
      <c r="D82" s="57">
        <v>0.25</v>
      </c>
      <c r="E82" s="58">
        <f t="shared" si="3"/>
        <v>398.57499999999999</v>
      </c>
      <c r="F82" s="95"/>
      <c r="G82" s="58">
        <f t="shared" si="4"/>
        <v>398.57499999999999</v>
      </c>
      <c r="H82" s="96">
        <v>1165877</v>
      </c>
      <c r="I82" s="96" t="s">
        <v>220</v>
      </c>
      <c r="J82" s="98" t="s">
        <v>36</v>
      </c>
      <c r="K82" s="52" t="s">
        <v>37</v>
      </c>
      <c r="L82" s="97"/>
      <c r="M82" s="48"/>
    </row>
    <row r="83" spans="1:13" s="53" customFormat="1" ht="15.75" x14ac:dyDescent="0.25">
      <c r="A83" s="49">
        <v>3517</v>
      </c>
      <c r="B83" s="98" t="s">
        <v>221</v>
      </c>
      <c r="C83" s="56">
        <v>1377.2</v>
      </c>
      <c r="D83" s="57">
        <v>0.25</v>
      </c>
      <c r="E83" s="58">
        <f t="shared" si="3"/>
        <v>344.3</v>
      </c>
      <c r="F83" s="95"/>
      <c r="G83" s="58">
        <f t="shared" si="4"/>
        <v>344.3</v>
      </c>
      <c r="H83" s="96">
        <v>7047081</v>
      </c>
      <c r="I83" s="96" t="s">
        <v>222</v>
      </c>
      <c r="J83" s="98" t="s">
        <v>36</v>
      </c>
      <c r="K83" s="52" t="s">
        <v>37</v>
      </c>
      <c r="L83" s="97"/>
      <c r="M83" s="48"/>
    </row>
    <row r="84" spans="1:13" s="53" customFormat="1" ht="15.75" x14ac:dyDescent="0.25">
      <c r="A84" s="49">
        <v>3518</v>
      </c>
      <c r="B84" s="98" t="s">
        <v>54</v>
      </c>
      <c r="C84" s="56">
        <v>607.79999999999995</v>
      </c>
      <c r="D84" s="57">
        <v>0.25</v>
      </c>
      <c r="E84" s="58">
        <f t="shared" si="3"/>
        <v>151.94999999999999</v>
      </c>
      <c r="F84" s="95"/>
      <c r="G84" s="58">
        <f t="shared" si="4"/>
        <v>151.94999999999999</v>
      </c>
      <c r="H84" s="96">
        <v>20386956</v>
      </c>
      <c r="I84" s="96" t="s">
        <v>55</v>
      </c>
      <c r="J84" s="51" t="s">
        <v>40</v>
      </c>
      <c r="K84" s="52" t="s">
        <v>19</v>
      </c>
      <c r="L84" s="97"/>
      <c r="M84" s="48"/>
    </row>
    <row r="85" spans="1:13" s="53" customFormat="1" ht="15.75" x14ac:dyDescent="0.25">
      <c r="A85" s="49">
        <v>3519</v>
      </c>
      <c r="B85" s="98" t="s">
        <v>223</v>
      </c>
      <c r="C85" s="56">
        <v>1017.5</v>
      </c>
      <c r="D85" s="57">
        <v>0.25</v>
      </c>
      <c r="E85" s="58">
        <f t="shared" si="3"/>
        <v>254.375</v>
      </c>
      <c r="F85" s="95"/>
      <c r="G85" s="58">
        <f t="shared" si="4"/>
        <v>254.375</v>
      </c>
      <c r="H85" s="96">
        <v>7047221</v>
      </c>
      <c r="I85" s="96" t="s">
        <v>224</v>
      </c>
      <c r="J85" s="98" t="s">
        <v>36</v>
      </c>
      <c r="K85" s="52" t="s">
        <v>37</v>
      </c>
      <c r="L85" s="97"/>
      <c r="M85" s="48"/>
    </row>
    <row r="86" spans="1:13" s="53" customFormat="1" ht="15.75" x14ac:dyDescent="0.25">
      <c r="A86" s="49">
        <v>3520</v>
      </c>
      <c r="B86" s="98" t="s">
        <v>225</v>
      </c>
      <c r="C86" s="56">
        <v>781.1</v>
      </c>
      <c r="D86" s="57">
        <v>0.25</v>
      </c>
      <c r="E86" s="58">
        <f t="shared" si="3"/>
        <v>195.27500000000001</v>
      </c>
      <c r="F86" s="95"/>
      <c r="G86" s="58">
        <f t="shared" si="4"/>
        <v>195.27500000000001</v>
      </c>
      <c r="H86" s="96">
        <v>5665362</v>
      </c>
      <c r="I86" s="96" t="s">
        <v>226</v>
      </c>
      <c r="J86" s="98" t="s">
        <v>36</v>
      </c>
      <c r="K86" s="52" t="s">
        <v>37</v>
      </c>
      <c r="L86" s="97"/>
      <c r="M86" s="48"/>
    </row>
    <row r="87" spans="1:13" s="53" customFormat="1" ht="15.75" x14ac:dyDescent="0.25">
      <c r="A87" s="49">
        <v>3521</v>
      </c>
      <c r="B87" s="98" t="s">
        <v>227</v>
      </c>
      <c r="C87" s="56">
        <v>3750.3</v>
      </c>
      <c r="D87" s="57">
        <v>0.25</v>
      </c>
      <c r="E87" s="58">
        <f t="shared" si="3"/>
        <v>937.57500000000005</v>
      </c>
      <c r="F87" s="95"/>
      <c r="G87" s="58">
        <f t="shared" si="4"/>
        <v>937.57500000000005</v>
      </c>
      <c r="H87" s="96">
        <v>7064553</v>
      </c>
      <c r="I87" s="96" t="s">
        <v>228</v>
      </c>
      <c r="J87" s="51" t="s">
        <v>40</v>
      </c>
      <c r="K87" s="52" t="s">
        <v>19</v>
      </c>
      <c r="L87" s="97"/>
      <c r="M87" s="48"/>
    </row>
    <row r="88" spans="1:13" s="53" customFormat="1" ht="15.75" x14ac:dyDescent="0.25">
      <c r="A88" s="49">
        <v>3522</v>
      </c>
      <c r="B88" s="51" t="s">
        <v>229</v>
      </c>
      <c r="C88" s="56">
        <v>351.6</v>
      </c>
      <c r="D88" s="57">
        <v>0.25</v>
      </c>
      <c r="E88" s="58">
        <f t="shared" si="3"/>
        <v>87.9</v>
      </c>
      <c r="F88" s="58"/>
      <c r="G88" s="58">
        <f t="shared" si="4"/>
        <v>87.9</v>
      </c>
      <c r="H88" s="52">
        <v>11365191</v>
      </c>
      <c r="I88" s="52" t="s">
        <v>230</v>
      </c>
      <c r="J88" s="51" t="s">
        <v>36</v>
      </c>
      <c r="K88" s="52" t="s">
        <v>37</v>
      </c>
      <c r="L88" s="51"/>
      <c r="M88" s="48"/>
    </row>
    <row r="89" spans="1:13" ht="15" customHeight="1" x14ac:dyDescent="0.25">
      <c r="A89" s="49">
        <v>3523</v>
      </c>
      <c r="B89" s="337" t="s">
        <v>656</v>
      </c>
      <c r="C89" s="363">
        <v>541.29999999999995</v>
      </c>
      <c r="D89" s="57">
        <v>0.25</v>
      </c>
      <c r="E89" s="58">
        <f t="shared" si="3"/>
        <v>135.32499999999999</v>
      </c>
      <c r="F89" s="58"/>
      <c r="G89" s="58">
        <f t="shared" si="4"/>
        <v>135.32499999999999</v>
      </c>
      <c r="H89" s="88">
        <v>9399193</v>
      </c>
      <c r="I89" s="360" t="s">
        <v>550</v>
      </c>
      <c r="J89" s="361" t="s">
        <v>373</v>
      </c>
      <c r="K89" s="361"/>
      <c r="L89" s="78">
        <v>99298810</v>
      </c>
    </row>
    <row r="90" spans="1:13" ht="15.75" x14ac:dyDescent="0.25">
      <c r="A90" s="49">
        <v>3524</v>
      </c>
      <c r="B90" s="337" t="s">
        <v>548</v>
      </c>
      <c r="C90" s="363">
        <v>527.9</v>
      </c>
      <c r="D90" s="57">
        <v>0.25</v>
      </c>
      <c r="E90" s="58">
        <f t="shared" si="3"/>
        <v>131.97499999999999</v>
      </c>
      <c r="F90" s="58"/>
      <c r="G90" s="58">
        <f t="shared" si="4"/>
        <v>131.97499999999999</v>
      </c>
      <c r="H90" s="88">
        <v>1876659</v>
      </c>
      <c r="I90" s="360" t="s">
        <v>547</v>
      </c>
      <c r="J90" s="361" t="s">
        <v>40</v>
      </c>
      <c r="K90" s="361"/>
      <c r="L90" s="78">
        <v>94800053</v>
      </c>
    </row>
    <row r="91" spans="1:13" ht="15.75" x14ac:dyDescent="0.25">
      <c r="A91" s="49">
        <v>3525</v>
      </c>
      <c r="B91" s="337" t="s">
        <v>545</v>
      </c>
      <c r="C91" s="363">
        <v>394.3</v>
      </c>
      <c r="D91" s="57">
        <v>0.25</v>
      </c>
      <c r="E91" s="58">
        <f t="shared" si="3"/>
        <v>98.575000000000003</v>
      </c>
      <c r="F91" s="58"/>
      <c r="G91" s="58">
        <f t="shared" si="4"/>
        <v>98.575000000000003</v>
      </c>
      <c r="H91" s="88">
        <v>1862864</v>
      </c>
      <c r="I91" s="360" t="s">
        <v>544</v>
      </c>
      <c r="J91" s="361" t="s">
        <v>40</v>
      </c>
      <c r="K91" s="361"/>
      <c r="L91" s="78">
        <v>91418828</v>
      </c>
    </row>
    <row r="92" spans="1:13" ht="15.75" x14ac:dyDescent="0.25">
      <c r="A92" s="49">
        <v>3526</v>
      </c>
      <c r="B92" s="337" t="s">
        <v>542</v>
      </c>
      <c r="C92" s="363">
        <v>445.2</v>
      </c>
      <c r="D92" s="57">
        <v>0.25</v>
      </c>
      <c r="E92" s="58">
        <f t="shared" si="3"/>
        <v>111.3</v>
      </c>
      <c r="F92" s="58"/>
      <c r="G92" s="58">
        <f t="shared" si="4"/>
        <v>111.3</v>
      </c>
      <c r="H92" s="88">
        <v>5349102</v>
      </c>
      <c r="I92" s="360" t="s">
        <v>541</v>
      </c>
      <c r="J92" s="361" t="s">
        <v>503</v>
      </c>
      <c r="K92" s="361"/>
      <c r="L92" s="78">
        <v>93636606</v>
      </c>
    </row>
    <row r="93" spans="1:13" ht="15.75" x14ac:dyDescent="0.25">
      <c r="A93" s="49">
        <v>3527</v>
      </c>
      <c r="B93" s="337" t="s">
        <v>539</v>
      </c>
      <c r="C93" s="363">
        <v>531.4</v>
      </c>
      <c r="D93" s="57">
        <v>0.25</v>
      </c>
      <c r="E93" s="58">
        <f t="shared" si="3"/>
        <v>132.85</v>
      </c>
      <c r="F93" s="58"/>
      <c r="G93" s="58">
        <f t="shared" si="4"/>
        <v>132.85</v>
      </c>
      <c r="H93" s="88">
        <v>6372265</v>
      </c>
      <c r="I93" s="360" t="s">
        <v>538</v>
      </c>
      <c r="J93" s="361" t="s">
        <v>40</v>
      </c>
      <c r="K93" s="361"/>
      <c r="L93" s="78">
        <v>92488144</v>
      </c>
    </row>
    <row r="94" spans="1:13" ht="15.75" x14ac:dyDescent="0.25">
      <c r="A94" s="49">
        <v>3528</v>
      </c>
      <c r="B94" s="337" t="s">
        <v>536</v>
      </c>
      <c r="C94" s="363">
        <v>519.4</v>
      </c>
      <c r="D94" s="57">
        <v>0.25</v>
      </c>
      <c r="E94" s="58">
        <f t="shared" si="3"/>
        <v>129.85</v>
      </c>
      <c r="F94" s="58"/>
      <c r="G94" s="58">
        <f t="shared" si="4"/>
        <v>129.85</v>
      </c>
      <c r="H94" s="88">
        <v>28605923</v>
      </c>
      <c r="I94" s="360" t="s">
        <v>425</v>
      </c>
      <c r="J94" s="361" t="s">
        <v>40</v>
      </c>
      <c r="K94" s="361"/>
      <c r="L94" s="78">
        <v>93233289</v>
      </c>
    </row>
    <row r="95" spans="1:13" ht="15.75" x14ac:dyDescent="0.25">
      <c r="A95" s="49">
        <v>3529</v>
      </c>
      <c r="B95" s="337" t="s">
        <v>535</v>
      </c>
      <c r="C95" s="363">
        <v>539.4</v>
      </c>
      <c r="D95" s="57">
        <v>0.25</v>
      </c>
      <c r="E95" s="58">
        <f t="shared" si="3"/>
        <v>134.85</v>
      </c>
      <c r="F95" s="58"/>
      <c r="G95" s="58">
        <f t="shared" si="4"/>
        <v>134.85</v>
      </c>
      <c r="H95" s="88">
        <v>4702777</v>
      </c>
      <c r="I95" s="360" t="s">
        <v>534</v>
      </c>
      <c r="J95" s="361" t="s">
        <v>40</v>
      </c>
      <c r="K95" s="361"/>
      <c r="L95" s="78">
        <v>92444040</v>
      </c>
    </row>
    <row r="96" spans="1:13" ht="15.75" x14ac:dyDescent="0.25">
      <c r="A96" s="49">
        <v>3530</v>
      </c>
      <c r="B96" s="337" t="s">
        <v>532</v>
      </c>
      <c r="C96" s="363">
        <v>480.4</v>
      </c>
      <c r="D96" s="57">
        <v>0.25</v>
      </c>
      <c r="E96" s="58">
        <f t="shared" si="3"/>
        <v>120.1</v>
      </c>
      <c r="F96" s="58"/>
      <c r="G96" s="58">
        <f t="shared" si="4"/>
        <v>120.1</v>
      </c>
      <c r="H96" s="88">
        <v>1163821</v>
      </c>
      <c r="I96" s="360" t="s">
        <v>531</v>
      </c>
      <c r="J96" s="361" t="s">
        <v>36</v>
      </c>
      <c r="K96" s="361"/>
      <c r="L96" s="78">
        <v>99496955</v>
      </c>
    </row>
    <row r="97" spans="1:13" ht="15.75" x14ac:dyDescent="0.25">
      <c r="A97" s="49">
        <v>3531</v>
      </c>
      <c r="B97" s="337" t="s">
        <v>529</v>
      </c>
      <c r="C97" s="363">
        <v>540</v>
      </c>
      <c r="D97" s="57">
        <v>0.25</v>
      </c>
      <c r="E97" s="58">
        <f t="shared" si="3"/>
        <v>135</v>
      </c>
      <c r="F97" s="58"/>
      <c r="G97" s="58">
        <f t="shared" si="4"/>
        <v>135</v>
      </c>
      <c r="H97" s="88">
        <v>23661829</v>
      </c>
      <c r="I97" s="360" t="s">
        <v>528</v>
      </c>
      <c r="J97" s="361" t="s">
        <v>40</v>
      </c>
      <c r="K97" s="361"/>
      <c r="L97" s="78">
        <v>92379624</v>
      </c>
    </row>
    <row r="98" spans="1:13" s="41" customFormat="1" ht="15.75" x14ac:dyDescent="0.25">
      <c r="A98" s="49">
        <v>3532</v>
      </c>
      <c r="B98" s="337" t="s">
        <v>526</v>
      </c>
      <c r="C98" s="363">
        <v>533.9</v>
      </c>
      <c r="D98" s="57">
        <v>0.25</v>
      </c>
      <c r="E98" s="58">
        <f t="shared" si="3"/>
        <v>133.47499999999999</v>
      </c>
      <c r="F98" s="58"/>
      <c r="G98" s="58">
        <f t="shared" si="4"/>
        <v>133.47499999999999</v>
      </c>
      <c r="H98" s="88">
        <v>26301042</v>
      </c>
      <c r="I98" s="360" t="s">
        <v>525</v>
      </c>
      <c r="J98" s="361" t="s">
        <v>36</v>
      </c>
      <c r="K98" s="361"/>
      <c r="L98" s="78">
        <v>93968161</v>
      </c>
      <c r="M98" s="43"/>
    </row>
    <row r="99" spans="1:13" s="41" customFormat="1" ht="15.75" x14ac:dyDescent="0.25">
      <c r="A99" s="49">
        <v>3533</v>
      </c>
      <c r="B99" s="337" t="s">
        <v>523</v>
      </c>
      <c r="C99" s="363">
        <v>530.4</v>
      </c>
      <c r="D99" s="57">
        <v>0.25</v>
      </c>
      <c r="E99" s="58">
        <f t="shared" si="3"/>
        <v>132.6</v>
      </c>
      <c r="F99" s="58"/>
      <c r="G99" s="58">
        <f t="shared" si="4"/>
        <v>132.6</v>
      </c>
      <c r="H99" s="88">
        <v>22979942</v>
      </c>
      <c r="I99" s="360" t="s">
        <v>522</v>
      </c>
      <c r="J99" s="361" t="s">
        <v>40</v>
      </c>
      <c r="K99" s="361"/>
      <c r="L99" s="78">
        <v>99837335</v>
      </c>
      <c r="M99" s="43"/>
    </row>
    <row r="100" spans="1:13" s="41" customFormat="1" ht="15.75" x14ac:dyDescent="0.25">
      <c r="A100" s="49">
        <v>3534</v>
      </c>
      <c r="B100" s="337" t="s">
        <v>520</v>
      </c>
      <c r="C100" s="363">
        <v>536.5</v>
      </c>
      <c r="D100" s="57">
        <v>0.25</v>
      </c>
      <c r="E100" s="58">
        <f t="shared" ref="E100:E131" si="5">C100*D100</f>
        <v>134.125</v>
      </c>
      <c r="F100" s="58"/>
      <c r="G100" s="58">
        <f t="shared" si="4"/>
        <v>134.125</v>
      </c>
      <c r="H100" s="88">
        <v>14897254</v>
      </c>
      <c r="I100" s="360" t="s">
        <v>519</v>
      </c>
      <c r="J100" s="361" t="s">
        <v>40</v>
      </c>
      <c r="K100" s="361"/>
      <c r="L100" s="78">
        <v>92226297</v>
      </c>
      <c r="M100" s="43"/>
    </row>
    <row r="101" spans="1:13" s="41" customFormat="1" ht="15.75" x14ac:dyDescent="0.25">
      <c r="A101" s="381">
        <v>3535</v>
      </c>
      <c r="B101" s="373" t="s">
        <v>626</v>
      </c>
      <c r="C101" s="363">
        <v>527.6</v>
      </c>
      <c r="D101" s="57">
        <v>0.25</v>
      </c>
      <c r="E101" s="58">
        <f t="shared" si="5"/>
        <v>131.9</v>
      </c>
      <c r="F101" s="382"/>
      <c r="G101" s="58">
        <f t="shared" si="4"/>
        <v>131.9</v>
      </c>
      <c r="H101" s="378">
        <v>1694834</v>
      </c>
      <c r="I101" s="360" t="s">
        <v>625</v>
      </c>
      <c r="J101" s="361" t="s">
        <v>40</v>
      </c>
      <c r="K101" s="361"/>
      <c r="L101" s="438">
        <v>98444454</v>
      </c>
      <c r="M101" s="43"/>
    </row>
    <row r="102" spans="1:13" s="41" customFormat="1" ht="15.75" x14ac:dyDescent="0.25">
      <c r="A102" s="49">
        <v>3536</v>
      </c>
      <c r="B102" s="337" t="s">
        <v>517</v>
      </c>
      <c r="C102" s="363">
        <v>541.79999999999995</v>
      </c>
      <c r="D102" s="57">
        <v>0.25</v>
      </c>
      <c r="E102" s="58">
        <f t="shared" si="5"/>
        <v>135.44999999999999</v>
      </c>
      <c r="F102" s="58"/>
      <c r="G102" s="58">
        <f t="shared" si="4"/>
        <v>135.44999999999999</v>
      </c>
      <c r="H102" s="88">
        <v>19548147</v>
      </c>
      <c r="I102" s="360" t="s">
        <v>516</v>
      </c>
      <c r="J102" s="361" t="s">
        <v>36</v>
      </c>
      <c r="K102" s="361"/>
      <c r="L102" s="78">
        <v>97176909</v>
      </c>
      <c r="M102" s="43"/>
    </row>
    <row r="103" spans="1:13" s="41" customFormat="1" ht="15.75" x14ac:dyDescent="0.25">
      <c r="A103" s="49">
        <v>3537</v>
      </c>
      <c r="B103" s="337" t="s">
        <v>514</v>
      </c>
      <c r="C103" s="363">
        <v>427.9</v>
      </c>
      <c r="D103" s="57">
        <v>0.25</v>
      </c>
      <c r="E103" s="58">
        <f t="shared" si="5"/>
        <v>106.97499999999999</v>
      </c>
      <c r="F103" s="58"/>
      <c r="G103" s="58">
        <f t="shared" si="4"/>
        <v>106.97499999999999</v>
      </c>
      <c r="H103" s="88">
        <v>6104979</v>
      </c>
      <c r="I103" s="360" t="s">
        <v>513</v>
      </c>
      <c r="J103" s="361" t="s">
        <v>40</v>
      </c>
      <c r="K103" s="361"/>
      <c r="L103" s="78">
        <v>98821279</v>
      </c>
      <c r="M103" s="43"/>
    </row>
    <row r="104" spans="1:13" s="41" customFormat="1" ht="15.75" x14ac:dyDescent="0.25">
      <c r="A104" s="49">
        <v>3538</v>
      </c>
      <c r="B104" s="337" t="s">
        <v>511</v>
      </c>
      <c r="C104" s="363">
        <v>526.79999999999995</v>
      </c>
      <c r="D104" s="57">
        <v>0.25</v>
      </c>
      <c r="E104" s="58">
        <f t="shared" si="5"/>
        <v>131.69999999999999</v>
      </c>
      <c r="F104" s="58"/>
      <c r="G104" s="58">
        <f t="shared" si="4"/>
        <v>131.69999999999999</v>
      </c>
      <c r="H104" s="88">
        <v>14897235</v>
      </c>
      <c r="I104" s="360" t="s">
        <v>510</v>
      </c>
      <c r="J104" s="361" t="s">
        <v>40</v>
      </c>
      <c r="K104" s="361"/>
      <c r="L104" s="78">
        <v>93590020</v>
      </c>
      <c r="M104" s="43"/>
    </row>
    <row r="105" spans="1:13" s="41" customFormat="1" ht="15.75" x14ac:dyDescent="0.25">
      <c r="A105" s="49">
        <v>3539</v>
      </c>
      <c r="B105" s="337" t="s">
        <v>508</v>
      </c>
      <c r="C105" s="363">
        <v>438.4</v>
      </c>
      <c r="D105" s="57">
        <v>0.25</v>
      </c>
      <c r="E105" s="58">
        <f t="shared" si="5"/>
        <v>109.6</v>
      </c>
      <c r="F105" s="58"/>
      <c r="G105" s="58">
        <f t="shared" si="4"/>
        <v>109.6</v>
      </c>
      <c r="H105" s="88">
        <v>11314114</v>
      </c>
      <c r="I105" s="360" t="s">
        <v>507</v>
      </c>
      <c r="J105" s="361" t="s">
        <v>40</v>
      </c>
      <c r="K105" s="361"/>
      <c r="L105" s="78">
        <v>99290970</v>
      </c>
      <c r="M105" s="43"/>
    </row>
    <row r="106" spans="1:13" s="41" customFormat="1" ht="15.75" x14ac:dyDescent="0.25">
      <c r="A106" s="49">
        <v>3540</v>
      </c>
      <c r="B106" s="337" t="s">
        <v>505</v>
      </c>
      <c r="C106" s="363">
        <v>540.4</v>
      </c>
      <c r="D106" s="57">
        <v>0.25</v>
      </c>
      <c r="E106" s="58">
        <f t="shared" si="5"/>
        <v>135.1</v>
      </c>
      <c r="F106" s="58"/>
      <c r="G106" s="58">
        <f t="shared" si="4"/>
        <v>135.1</v>
      </c>
      <c r="H106" s="88">
        <v>6787729</v>
      </c>
      <c r="I106" s="360" t="s">
        <v>504</v>
      </c>
      <c r="J106" s="361" t="s">
        <v>503</v>
      </c>
      <c r="K106" s="361"/>
      <c r="L106" s="78">
        <v>93210998</v>
      </c>
      <c r="M106" s="43"/>
    </row>
    <row r="107" spans="1:13" s="41" customFormat="1" ht="15.75" x14ac:dyDescent="0.25">
      <c r="A107" s="49">
        <v>3541</v>
      </c>
      <c r="B107" s="337" t="s">
        <v>501</v>
      </c>
      <c r="C107" s="363">
        <v>403.7</v>
      </c>
      <c r="D107" s="57">
        <v>0.25</v>
      </c>
      <c r="E107" s="58">
        <f t="shared" si="5"/>
        <v>100.925</v>
      </c>
      <c r="F107" s="58"/>
      <c r="G107" s="58">
        <f t="shared" si="4"/>
        <v>100.925</v>
      </c>
      <c r="H107" s="88">
        <v>19520814</v>
      </c>
      <c r="I107" s="360" t="s">
        <v>500</v>
      </c>
      <c r="J107" s="361" t="s">
        <v>88</v>
      </c>
      <c r="K107" s="361"/>
      <c r="L107" s="78">
        <v>94444279</v>
      </c>
      <c r="M107" s="43"/>
    </row>
    <row r="108" spans="1:13" s="41" customFormat="1" ht="15.75" x14ac:dyDescent="0.25">
      <c r="A108" s="49">
        <v>3542</v>
      </c>
      <c r="B108" s="337" t="s">
        <v>498</v>
      </c>
      <c r="C108" s="363">
        <v>492.1</v>
      </c>
      <c r="D108" s="57">
        <v>0.25</v>
      </c>
      <c r="E108" s="58">
        <f t="shared" si="5"/>
        <v>123.02500000000001</v>
      </c>
      <c r="F108" s="58"/>
      <c r="G108" s="58">
        <f t="shared" si="4"/>
        <v>123.02500000000001</v>
      </c>
      <c r="H108" s="88">
        <v>5247401</v>
      </c>
      <c r="I108" s="360" t="s">
        <v>497</v>
      </c>
      <c r="J108" s="361" t="s">
        <v>83</v>
      </c>
      <c r="K108" s="361"/>
      <c r="L108" s="78">
        <v>99709553</v>
      </c>
      <c r="M108" s="43"/>
    </row>
    <row r="109" spans="1:13" s="41" customFormat="1" ht="15.75" x14ac:dyDescent="0.25">
      <c r="A109" s="49">
        <v>3543</v>
      </c>
      <c r="B109" s="337" t="s">
        <v>495</v>
      </c>
      <c r="C109" s="363">
        <v>534.29999999999995</v>
      </c>
      <c r="D109" s="57">
        <v>0.25</v>
      </c>
      <c r="E109" s="58">
        <f t="shared" si="5"/>
        <v>133.57499999999999</v>
      </c>
      <c r="F109" s="58"/>
      <c r="G109" s="58">
        <f t="shared" si="4"/>
        <v>133.57499999999999</v>
      </c>
      <c r="H109" s="88">
        <v>21104469</v>
      </c>
      <c r="I109" s="360" t="s">
        <v>494</v>
      </c>
      <c r="J109" s="361" t="s">
        <v>40</v>
      </c>
      <c r="K109" s="361"/>
      <c r="L109" s="78">
        <v>90633500</v>
      </c>
      <c r="M109" s="43"/>
    </row>
    <row r="110" spans="1:13" s="41" customFormat="1" ht="15.75" x14ac:dyDescent="0.25">
      <c r="A110" s="49">
        <v>3544</v>
      </c>
      <c r="B110" s="337" t="s">
        <v>492</v>
      </c>
      <c r="C110" s="363">
        <v>386.2</v>
      </c>
      <c r="D110" s="57">
        <v>0.25</v>
      </c>
      <c r="E110" s="58">
        <f t="shared" si="5"/>
        <v>96.55</v>
      </c>
      <c r="F110" s="58"/>
      <c r="G110" s="58">
        <f t="shared" si="4"/>
        <v>96.55</v>
      </c>
      <c r="H110" s="88">
        <v>2548974</v>
      </c>
      <c r="I110" s="360" t="s">
        <v>491</v>
      </c>
      <c r="J110" s="361" t="s">
        <v>36</v>
      </c>
      <c r="K110" s="361"/>
      <c r="L110" s="78">
        <v>92400071</v>
      </c>
      <c r="M110" s="43"/>
    </row>
    <row r="111" spans="1:13" s="41" customFormat="1" ht="15.75" x14ac:dyDescent="0.25">
      <c r="A111" s="49">
        <v>3545</v>
      </c>
      <c r="B111" s="337" t="s">
        <v>489</v>
      </c>
      <c r="C111" s="363">
        <v>59.9</v>
      </c>
      <c r="D111" s="57">
        <v>0.25</v>
      </c>
      <c r="E111" s="58">
        <f t="shared" si="5"/>
        <v>14.975</v>
      </c>
      <c r="F111" s="58"/>
      <c r="G111" s="58">
        <f t="shared" si="4"/>
        <v>14.975</v>
      </c>
      <c r="H111" s="88">
        <v>7287174</v>
      </c>
      <c r="I111" s="360" t="s">
        <v>488</v>
      </c>
      <c r="J111" s="361" t="s">
        <v>36</v>
      </c>
      <c r="K111" s="361"/>
      <c r="L111" s="78">
        <v>99673747</v>
      </c>
      <c r="M111" s="43"/>
    </row>
    <row r="112" spans="1:13" s="41" customFormat="1" ht="15.75" x14ac:dyDescent="0.25">
      <c r="A112" s="49">
        <v>3546</v>
      </c>
      <c r="B112" s="337" t="s">
        <v>486</v>
      </c>
      <c r="C112" s="363">
        <v>470.9</v>
      </c>
      <c r="D112" s="57">
        <v>0.25</v>
      </c>
      <c r="E112" s="58">
        <f t="shared" si="5"/>
        <v>117.72499999999999</v>
      </c>
      <c r="F112" s="58"/>
      <c r="G112" s="58">
        <f t="shared" si="4"/>
        <v>117.72499999999999</v>
      </c>
      <c r="H112" s="88">
        <v>6116507</v>
      </c>
      <c r="I112" s="360" t="s">
        <v>485</v>
      </c>
      <c r="J112" s="361" t="s">
        <v>40</v>
      </c>
      <c r="K112" s="361"/>
      <c r="L112" s="78">
        <v>92830096</v>
      </c>
      <c r="M112" s="43"/>
    </row>
    <row r="113" spans="1:13" s="41" customFormat="1" ht="15.75" x14ac:dyDescent="0.25">
      <c r="A113" s="49">
        <v>3547</v>
      </c>
      <c r="B113" s="337" t="s">
        <v>483</v>
      </c>
      <c r="C113" s="363">
        <v>514.5</v>
      </c>
      <c r="D113" s="57">
        <v>0.25</v>
      </c>
      <c r="E113" s="58">
        <f t="shared" si="5"/>
        <v>128.625</v>
      </c>
      <c r="F113" s="58"/>
      <c r="G113" s="58">
        <f t="shared" si="4"/>
        <v>128.625</v>
      </c>
      <c r="H113" s="88">
        <v>22745262</v>
      </c>
      <c r="I113" s="360" t="s">
        <v>482</v>
      </c>
      <c r="J113" s="361" t="s">
        <v>40</v>
      </c>
      <c r="K113" s="361"/>
      <c r="L113" s="78">
        <v>92830490</v>
      </c>
      <c r="M113" s="43"/>
    </row>
    <row r="114" spans="1:13" s="41" customFormat="1" ht="15.75" x14ac:dyDescent="0.25">
      <c r="A114" s="49">
        <v>3548</v>
      </c>
      <c r="B114" s="337" t="s">
        <v>480</v>
      </c>
      <c r="C114" s="363">
        <v>528.1</v>
      </c>
      <c r="D114" s="57">
        <v>0.25</v>
      </c>
      <c r="E114" s="58">
        <f t="shared" si="5"/>
        <v>132.02500000000001</v>
      </c>
      <c r="F114" s="58"/>
      <c r="G114" s="58">
        <f t="shared" si="4"/>
        <v>132.02500000000001</v>
      </c>
      <c r="H114" s="88">
        <v>15107731</v>
      </c>
      <c r="I114" s="360" t="s">
        <v>479</v>
      </c>
      <c r="J114" s="361" t="s">
        <v>40</v>
      </c>
      <c r="K114" s="361"/>
      <c r="L114" s="78">
        <v>92503031</v>
      </c>
      <c r="M114" s="43"/>
    </row>
    <row r="115" spans="1:13" s="41" customFormat="1" ht="15.75" x14ac:dyDescent="0.25">
      <c r="A115" s="49">
        <v>3549</v>
      </c>
      <c r="B115" s="337" t="s">
        <v>477</v>
      </c>
      <c r="C115" s="363">
        <v>529</v>
      </c>
      <c r="D115" s="57">
        <v>0.25</v>
      </c>
      <c r="E115" s="58">
        <f t="shared" si="5"/>
        <v>132.25</v>
      </c>
      <c r="F115" s="58"/>
      <c r="G115" s="58">
        <f t="shared" si="4"/>
        <v>132.25</v>
      </c>
      <c r="H115" s="88">
        <v>24895713</v>
      </c>
      <c r="I115" s="360" t="s">
        <v>476</v>
      </c>
      <c r="J115" s="361" t="s">
        <v>40</v>
      </c>
      <c r="K115" s="361"/>
      <c r="L115" s="78">
        <v>91319444</v>
      </c>
      <c r="M115" s="43"/>
    </row>
    <row r="116" spans="1:13" s="41" customFormat="1" ht="15.75" x14ac:dyDescent="0.25">
      <c r="A116" s="49">
        <v>3550</v>
      </c>
      <c r="B116" s="337" t="s">
        <v>474</v>
      </c>
      <c r="C116" s="363">
        <v>129.69999999999999</v>
      </c>
      <c r="D116" s="57">
        <v>0.25</v>
      </c>
      <c r="E116" s="58">
        <f t="shared" si="5"/>
        <v>32.424999999999997</v>
      </c>
      <c r="F116" s="58"/>
      <c r="G116" s="58">
        <f t="shared" si="4"/>
        <v>32.424999999999997</v>
      </c>
      <c r="H116" s="88">
        <v>5614642</v>
      </c>
      <c r="I116" s="360" t="s">
        <v>473</v>
      </c>
      <c r="J116" s="361" t="s">
        <v>40</v>
      </c>
      <c r="K116" s="361"/>
      <c r="L116" s="78">
        <v>92924188</v>
      </c>
      <c r="M116" s="43"/>
    </row>
    <row r="117" spans="1:13" s="41" customFormat="1" ht="15.75" x14ac:dyDescent="0.25">
      <c r="A117" s="49">
        <v>3551</v>
      </c>
      <c r="B117" s="337" t="s">
        <v>471</v>
      </c>
      <c r="C117" s="363">
        <v>518.79999999999995</v>
      </c>
      <c r="D117" s="57">
        <v>0.25</v>
      </c>
      <c r="E117" s="58">
        <f t="shared" si="5"/>
        <v>129.69999999999999</v>
      </c>
      <c r="F117" s="58"/>
      <c r="G117" s="58">
        <f t="shared" si="4"/>
        <v>129.69999999999999</v>
      </c>
      <c r="H117" s="88">
        <v>14967862</v>
      </c>
      <c r="I117" s="360" t="s">
        <v>470</v>
      </c>
      <c r="J117" s="361" t="s">
        <v>40</v>
      </c>
      <c r="K117" s="361"/>
      <c r="L117" s="78">
        <v>96124466</v>
      </c>
      <c r="M117" s="43"/>
    </row>
    <row r="118" spans="1:13" s="41" customFormat="1" ht="15.75" x14ac:dyDescent="0.25">
      <c r="A118" s="49">
        <v>3552</v>
      </c>
      <c r="B118" s="337" t="s">
        <v>468</v>
      </c>
      <c r="C118" s="363">
        <v>77.900000000000006</v>
      </c>
      <c r="D118" s="57">
        <v>0.25</v>
      </c>
      <c r="E118" s="58">
        <f t="shared" si="5"/>
        <v>19.475000000000001</v>
      </c>
      <c r="F118" s="58"/>
      <c r="G118" s="58">
        <f t="shared" si="4"/>
        <v>19.475000000000001</v>
      </c>
      <c r="H118" s="88">
        <v>5818311</v>
      </c>
      <c r="I118" s="360" t="s">
        <v>467</v>
      </c>
      <c r="J118" s="361" t="s">
        <v>40</v>
      </c>
      <c r="K118" s="361"/>
      <c r="L118" s="78">
        <v>99144926</v>
      </c>
      <c r="M118" s="43"/>
    </row>
    <row r="119" spans="1:13" s="41" customFormat="1" ht="15.75" x14ac:dyDescent="0.25">
      <c r="A119" s="49">
        <v>3553</v>
      </c>
      <c r="B119" s="337" t="s">
        <v>465</v>
      </c>
      <c r="C119" s="363">
        <v>536</v>
      </c>
      <c r="D119" s="57">
        <v>0.25</v>
      </c>
      <c r="E119" s="58">
        <f t="shared" si="5"/>
        <v>134</v>
      </c>
      <c r="F119" s="58"/>
      <c r="G119" s="58">
        <f t="shared" si="4"/>
        <v>134</v>
      </c>
      <c r="H119" s="88">
        <v>25909199</v>
      </c>
      <c r="I119" s="360" t="s">
        <v>464</v>
      </c>
      <c r="J119" s="361" t="s">
        <v>36</v>
      </c>
      <c r="K119" s="361"/>
      <c r="L119" s="78">
        <v>93341190</v>
      </c>
      <c r="M119" s="43"/>
    </row>
    <row r="120" spans="1:13" s="41" customFormat="1" ht="15.75" x14ac:dyDescent="0.25">
      <c r="A120" s="49">
        <v>3554</v>
      </c>
      <c r="B120" s="337" t="s">
        <v>462</v>
      </c>
      <c r="C120" s="363">
        <v>384</v>
      </c>
      <c r="D120" s="57">
        <v>0.25</v>
      </c>
      <c r="E120" s="58">
        <f t="shared" si="5"/>
        <v>96</v>
      </c>
      <c r="F120" s="58"/>
      <c r="G120" s="58">
        <f t="shared" si="4"/>
        <v>96</v>
      </c>
      <c r="H120" s="88">
        <v>5553803</v>
      </c>
      <c r="I120" s="360" t="s">
        <v>461</v>
      </c>
      <c r="J120" s="361" t="s">
        <v>40</v>
      </c>
      <c r="K120" s="361"/>
      <c r="L120" s="78">
        <v>92234456</v>
      </c>
      <c r="M120" s="43"/>
    </row>
    <row r="121" spans="1:13" ht="15.75" x14ac:dyDescent="0.25">
      <c r="A121" s="49">
        <v>3555</v>
      </c>
      <c r="B121" s="337" t="s">
        <v>459</v>
      </c>
      <c r="C121" s="363">
        <v>532.79999999999995</v>
      </c>
      <c r="D121" s="57">
        <v>0.25</v>
      </c>
      <c r="E121" s="58">
        <f t="shared" si="5"/>
        <v>133.19999999999999</v>
      </c>
      <c r="F121" s="58"/>
      <c r="G121" s="58">
        <f t="shared" si="4"/>
        <v>133.19999999999999</v>
      </c>
      <c r="H121" s="88">
        <v>4862996</v>
      </c>
      <c r="I121" s="360" t="s">
        <v>458</v>
      </c>
      <c r="J121" s="361" t="s">
        <v>40</v>
      </c>
      <c r="K121" s="361"/>
      <c r="L121" s="78">
        <v>98829866</v>
      </c>
    </row>
    <row r="122" spans="1:13" ht="15.75" x14ac:dyDescent="0.25">
      <c r="A122" s="49">
        <v>3556</v>
      </c>
      <c r="B122" s="337" t="s">
        <v>456</v>
      </c>
      <c r="C122" s="363">
        <v>521</v>
      </c>
      <c r="D122" s="57">
        <v>0.25</v>
      </c>
      <c r="E122" s="58">
        <f t="shared" si="5"/>
        <v>130.25</v>
      </c>
      <c r="F122" s="58"/>
      <c r="G122" s="58">
        <f t="shared" si="4"/>
        <v>130.25</v>
      </c>
      <c r="H122" s="88">
        <v>6071399</v>
      </c>
      <c r="I122" s="360" t="s">
        <v>455</v>
      </c>
      <c r="J122" s="361" t="s">
        <v>40</v>
      </c>
      <c r="K122" s="361"/>
      <c r="L122" s="78">
        <v>93957559</v>
      </c>
    </row>
    <row r="123" spans="1:13" s="21" customFormat="1" ht="15.75" x14ac:dyDescent="0.25">
      <c r="A123" s="85">
        <v>3557</v>
      </c>
      <c r="B123" s="14" t="s">
        <v>453</v>
      </c>
      <c r="C123" s="15">
        <v>70.7</v>
      </c>
      <c r="D123" s="57">
        <v>0.25</v>
      </c>
      <c r="E123" s="58">
        <f t="shared" si="5"/>
        <v>17.675000000000001</v>
      </c>
      <c r="F123" s="58"/>
      <c r="G123" s="58">
        <f t="shared" si="4"/>
        <v>17.675000000000001</v>
      </c>
      <c r="H123" s="51">
        <v>3560822</v>
      </c>
      <c r="I123" s="380" t="s">
        <v>452</v>
      </c>
      <c r="J123" s="379" t="s">
        <v>40</v>
      </c>
      <c r="K123" s="379"/>
      <c r="L123" s="54">
        <v>92300315</v>
      </c>
      <c r="M123" s="20"/>
    </row>
    <row r="124" spans="1:13" ht="15.75" x14ac:dyDescent="0.25">
      <c r="A124" s="49">
        <v>3558</v>
      </c>
      <c r="B124" s="337" t="s">
        <v>450</v>
      </c>
      <c r="C124" s="363">
        <v>36.799999999999997</v>
      </c>
      <c r="D124" s="57">
        <v>0.25</v>
      </c>
      <c r="E124" s="58">
        <f t="shared" si="5"/>
        <v>9.1999999999999993</v>
      </c>
      <c r="F124" s="58"/>
      <c r="G124" s="58">
        <f t="shared" si="4"/>
        <v>9.1999999999999993</v>
      </c>
      <c r="H124" s="88">
        <v>790841</v>
      </c>
      <c r="I124" s="360" t="s">
        <v>449</v>
      </c>
      <c r="J124" s="361" t="s">
        <v>36</v>
      </c>
      <c r="K124" s="361"/>
      <c r="L124" s="78">
        <v>99679031</v>
      </c>
    </row>
    <row r="125" spans="1:13" s="21" customFormat="1" ht="15.75" x14ac:dyDescent="0.25">
      <c r="A125" s="85">
        <v>3559</v>
      </c>
      <c r="B125" s="14" t="s">
        <v>447</v>
      </c>
      <c r="C125" s="440"/>
      <c r="D125" s="57">
        <v>0.25</v>
      </c>
      <c r="E125" s="58">
        <f t="shared" si="5"/>
        <v>0</v>
      </c>
      <c r="F125" s="58"/>
      <c r="G125" s="58">
        <f t="shared" si="4"/>
        <v>0</v>
      </c>
      <c r="H125" s="51">
        <v>14330314</v>
      </c>
      <c r="I125" s="380" t="s">
        <v>446</v>
      </c>
      <c r="J125" s="379" t="s">
        <v>83</v>
      </c>
      <c r="K125" s="379"/>
      <c r="L125" s="54">
        <v>98044999</v>
      </c>
      <c r="M125" s="20"/>
    </row>
    <row r="126" spans="1:13" ht="15.75" x14ac:dyDescent="0.25">
      <c r="A126" s="49">
        <v>3560</v>
      </c>
      <c r="B126" s="337" t="s">
        <v>444</v>
      </c>
      <c r="C126" s="363">
        <v>525.6</v>
      </c>
      <c r="D126" s="57">
        <v>0.25</v>
      </c>
      <c r="E126" s="58">
        <f t="shared" si="5"/>
        <v>131.4</v>
      </c>
      <c r="F126" s="58"/>
      <c r="G126" s="58">
        <f t="shared" si="4"/>
        <v>131.4</v>
      </c>
      <c r="H126" s="88">
        <v>1975929</v>
      </c>
      <c r="I126" s="360" t="s">
        <v>443</v>
      </c>
      <c r="J126" s="361" t="s">
        <v>40</v>
      </c>
      <c r="K126" s="361"/>
      <c r="L126" s="78">
        <v>99837335</v>
      </c>
    </row>
    <row r="127" spans="1:13" ht="15.75" x14ac:dyDescent="0.25">
      <c r="A127" s="49">
        <v>3561</v>
      </c>
      <c r="B127" s="337" t="s">
        <v>442</v>
      </c>
      <c r="C127" s="363">
        <v>528.1</v>
      </c>
      <c r="D127" s="57">
        <v>0.25</v>
      </c>
      <c r="E127" s="58">
        <f t="shared" si="5"/>
        <v>132.02500000000001</v>
      </c>
      <c r="F127" s="58"/>
      <c r="G127" s="58">
        <f t="shared" si="4"/>
        <v>132.02500000000001</v>
      </c>
      <c r="H127" s="88">
        <v>1234226</v>
      </c>
      <c r="I127" s="360" t="s">
        <v>441</v>
      </c>
      <c r="J127" s="361" t="s">
        <v>373</v>
      </c>
      <c r="K127" s="361"/>
      <c r="L127" s="78">
        <v>99115226</v>
      </c>
    </row>
    <row r="128" spans="1:13" ht="15.75" x14ac:dyDescent="0.25">
      <c r="A128" s="49">
        <v>3562</v>
      </c>
      <c r="B128" s="337" t="s">
        <v>439</v>
      </c>
      <c r="C128" s="363">
        <v>504.2</v>
      </c>
      <c r="D128" s="57">
        <v>0.25</v>
      </c>
      <c r="E128" s="58">
        <f t="shared" si="5"/>
        <v>126.05</v>
      </c>
      <c r="F128" s="58"/>
      <c r="G128" s="58">
        <f t="shared" si="4"/>
        <v>126.05</v>
      </c>
      <c r="H128" s="88">
        <v>14052914</v>
      </c>
      <c r="I128" s="360" t="s">
        <v>438</v>
      </c>
      <c r="J128" s="361" t="s">
        <v>437</v>
      </c>
      <c r="K128" s="361"/>
      <c r="L128" s="78">
        <v>92850111</v>
      </c>
    </row>
    <row r="129" spans="1:13" ht="15.75" x14ac:dyDescent="0.25">
      <c r="A129" s="49">
        <v>3563</v>
      </c>
      <c r="B129" s="337" t="s">
        <v>655</v>
      </c>
      <c r="C129" s="363">
        <v>471.5</v>
      </c>
      <c r="D129" s="57">
        <v>0.25</v>
      </c>
      <c r="E129" s="58">
        <f t="shared" si="5"/>
        <v>117.875</v>
      </c>
      <c r="F129" s="58"/>
      <c r="G129" s="58">
        <f t="shared" si="4"/>
        <v>117.875</v>
      </c>
      <c r="H129" s="88">
        <v>14453238</v>
      </c>
      <c r="I129" s="360" t="s">
        <v>434</v>
      </c>
      <c r="J129" s="361" t="s">
        <v>40</v>
      </c>
      <c r="K129" s="361"/>
      <c r="L129" s="78">
        <v>99298007</v>
      </c>
    </row>
    <row r="130" spans="1:13" s="21" customFormat="1" ht="15.75" x14ac:dyDescent="0.25">
      <c r="A130" s="85">
        <v>3564</v>
      </c>
      <c r="B130" s="14" t="s">
        <v>432</v>
      </c>
      <c r="C130" s="440"/>
      <c r="D130" s="57">
        <v>0.25</v>
      </c>
      <c r="E130" s="58">
        <f t="shared" si="5"/>
        <v>0</v>
      </c>
      <c r="F130" s="58"/>
      <c r="G130" s="58">
        <f t="shared" si="4"/>
        <v>0</v>
      </c>
      <c r="H130" s="51">
        <v>323724</v>
      </c>
      <c r="I130" s="380" t="s">
        <v>431</v>
      </c>
      <c r="J130" s="379" t="s">
        <v>88</v>
      </c>
      <c r="K130" s="379"/>
      <c r="L130" s="54">
        <v>92408550</v>
      </c>
      <c r="M130" s="20"/>
    </row>
    <row r="131" spans="1:13" ht="15.75" x14ac:dyDescent="0.25">
      <c r="A131" s="49">
        <v>3565</v>
      </c>
      <c r="B131" s="337" t="s">
        <v>429</v>
      </c>
      <c r="C131" s="363">
        <v>539.1</v>
      </c>
      <c r="D131" s="57">
        <v>0.25</v>
      </c>
      <c r="E131" s="58">
        <f t="shared" si="5"/>
        <v>134.77500000000001</v>
      </c>
      <c r="F131" s="58"/>
      <c r="G131" s="58">
        <f t="shared" si="4"/>
        <v>134.77500000000001</v>
      </c>
      <c r="H131" s="88">
        <v>19611872</v>
      </c>
      <c r="I131" s="360" t="s">
        <v>428</v>
      </c>
      <c r="J131" s="361" t="s">
        <v>40</v>
      </c>
      <c r="K131" s="361"/>
      <c r="L131" s="78">
        <v>95110225</v>
      </c>
    </row>
    <row r="132" spans="1:13" ht="15.75" x14ac:dyDescent="0.25">
      <c r="A132" s="49">
        <v>3566</v>
      </c>
      <c r="B132" s="337" t="s">
        <v>426</v>
      </c>
      <c r="C132" s="363">
        <v>330.9</v>
      </c>
      <c r="D132" s="57">
        <v>0.25</v>
      </c>
      <c r="E132" s="58">
        <f t="shared" ref="E132:E163" si="6">C132*D132</f>
        <v>82.724999999999994</v>
      </c>
      <c r="F132" s="58"/>
      <c r="G132" s="58">
        <f t="shared" si="4"/>
        <v>82.724999999999994</v>
      </c>
      <c r="H132" s="88">
        <v>6664792</v>
      </c>
      <c r="I132" s="360" t="s">
        <v>425</v>
      </c>
      <c r="J132" s="361" t="s">
        <v>40</v>
      </c>
      <c r="K132" s="361"/>
      <c r="L132" s="78">
        <v>93233289</v>
      </c>
    </row>
    <row r="133" spans="1:13" ht="15.75" x14ac:dyDescent="0.25">
      <c r="A133" s="49">
        <v>3567</v>
      </c>
      <c r="B133" s="337" t="s">
        <v>423</v>
      </c>
      <c r="C133" s="363">
        <v>510.1</v>
      </c>
      <c r="D133" s="57">
        <v>0.25</v>
      </c>
      <c r="E133" s="58">
        <f t="shared" si="6"/>
        <v>127.52500000000001</v>
      </c>
      <c r="F133" s="58"/>
      <c r="G133" s="58">
        <f t="shared" ref="G133:G191" si="7">E133-F133</f>
        <v>127.52500000000001</v>
      </c>
      <c r="H133" s="88">
        <v>6825074</v>
      </c>
      <c r="I133" s="360" t="s">
        <v>422</v>
      </c>
      <c r="J133" s="361" t="s">
        <v>40</v>
      </c>
      <c r="K133" s="361"/>
      <c r="L133" s="78">
        <v>98822664</v>
      </c>
    </row>
    <row r="134" spans="1:13" ht="15.75" x14ac:dyDescent="0.25">
      <c r="A134" s="49">
        <v>3568</v>
      </c>
      <c r="B134" s="337" t="s">
        <v>420</v>
      </c>
      <c r="C134" s="363">
        <v>531.29999999999995</v>
      </c>
      <c r="D134" s="57">
        <v>0.25</v>
      </c>
      <c r="E134" s="58">
        <f t="shared" si="6"/>
        <v>132.82499999999999</v>
      </c>
      <c r="F134" s="58"/>
      <c r="G134" s="58">
        <f t="shared" si="7"/>
        <v>132.82499999999999</v>
      </c>
      <c r="H134" s="88">
        <v>5390889</v>
      </c>
      <c r="I134" s="360" t="s">
        <v>419</v>
      </c>
      <c r="J134" s="361" t="s">
        <v>40</v>
      </c>
      <c r="K134" s="361"/>
      <c r="L134" s="78">
        <v>92050433</v>
      </c>
    </row>
    <row r="135" spans="1:13" ht="15.75" x14ac:dyDescent="0.25">
      <c r="A135" s="49">
        <v>3569</v>
      </c>
      <c r="B135" s="337" t="s">
        <v>418</v>
      </c>
      <c r="C135" s="363">
        <v>523.6</v>
      </c>
      <c r="D135" s="57">
        <v>0.25</v>
      </c>
      <c r="E135" s="58">
        <f t="shared" si="6"/>
        <v>130.9</v>
      </c>
      <c r="F135" s="58"/>
      <c r="G135" s="58">
        <f t="shared" si="7"/>
        <v>130.9</v>
      </c>
      <c r="H135" s="88">
        <v>18628284</v>
      </c>
      <c r="I135" s="360" t="s">
        <v>417</v>
      </c>
      <c r="J135" s="361" t="s">
        <v>40</v>
      </c>
      <c r="K135" s="361"/>
      <c r="L135" s="78">
        <v>92050433</v>
      </c>
    </row>
    <row r="136" spans="1:13" ht="15.75" x14ac:dyDescent="0.25">
      <c r="A136" s="49">
        <v>3570</v>
      </c>
      <c r="B136" s="337" t="s">
        <v>415</v>
      </c>
      <c r="C136" s="363">
        <v>525.9</v>
      </c>
      <c r="D136" s="57">
        <v>0.25</v>
      </c>
      <c r="E136" s="58">
        <f t="shared" si="6"/>
        <v>131.47499999999999</v>
      </c>
      <c r="F136" s="58"/>
      <c r="G136" s="58">
        <f t="shared" si="7"/>
        <v>131.47499999999999</v>
      </c>
      <c r="H136" s="88">
        <v>1932809</v>
      </c>
      <c r="I136" s="360" t="s">
        <v>414</v>
      </c>
      <c r="J136" s="361" t="s">
        <v>40</v>
      </c>
      <c r="K136" s="361"/>
      <c r="L136" s="78">
        <v>99485672</v>
      </c>
    </row>
    <row r="137" spans="1:13" ht="15.75" x14ac:dyDescent="0.25">
      <c r="A137" s="49">
        <v>3571</v>
      </c>
      <c r="B137" s="337" t="s">
        <v>412</v>
      </c>
      <c r="C137" s="363">
        <v>535.70000000000005</v>
      </c>
      <c r="D137" s="57">
        <v>0.25</v>
      </c>
      <c r="E137" s="58">
        <f t="shared" si="6"/>
        <v>133.92500000000001</v>
      </c>
      <c r="F137" s="58"/>
      <c r="G137" s="58">
        <f t="shared" si="7"/>
        <v>133.92500000000001</v>
      </c>
      <c r="H137" s="88">
        <v>24329569</v>
      </c>
      <c r="I137" s="360" t="s">
        <v>411</v>
      </c>
      <c r="J137" s="361" t="s">
        <v>36</v>
      </c>
      <c r="K137" s="361"/>
      <c r="L137" s="78">
        <v>90106022</v>
      </c>
    </row>
    <row r="138" spans="1:13" ht="15.75" x14ac:dyDescent="0.25">
      <c r="A138" s="49">
        <v>3572</v>
      </c>
      <c r="B138" s="337" t="s">
        <v>409</v>
      </c>
      <c r="C138" s="363">
        <v>528.6</v>
      </c>
      <c r="D138" s="57">
        <v>0.25</v>
      </c>
      <c r="E138" s="58">
        <f t="shared" si="6"/>
        <v>132.15</v>
      </c>
      <c r="F138" s="58"/>
      <c r="G138" s="58">
        <f t="shared" si="7"/>
        <v>132.15</v>
      </c>
      <c r="H138" s="88">
        <v>6160288</v>
      </c>
      <c r="I138" s="360" t="s">
        <v>408</v>
      </c>
      <c r="J138" s="361" t="s">
        <v>40</v>
      </c>
      <c r="K138" s="361"/>
      <c r="L138" s="78">
        <v>92559899</v>
      </c>
    </row>
    <row r="139" spans="1:13" s="21" customFormat="1" ht="15.75" x14ac:dyDescent="0.25">
      <c r="A139" s="85">
        <v>3573</v>
      </c>
      <c r="B139" s="14" t="s">
        <v>406</v>
      </c>
      <c r="C139" s="213"/>
      <c r="D139" s="57">
        <v>0.25</v>
      </c>
      <c r="E139" s="58">
        <f t="shared" si="6"/>
        <v>0</v>
      </c>
      <c r="F139" s="58"/>
      <c r="G139" s="58">
        <f t="shared" si="7"/>
        <v>0</v>
      </c>
      <c r="H139" s="51">
        <v>19827505</v>
      </c>
      <c r="I139" s="380" t="s">
        <v>405</v>
      </c>
      <c r="J139" s="379" t="s">
        <v>40</v>
      </c>
      <c r="K139" s="379"/>
      <c r="L139" s="54">
        <v>92911891</v>
      </c>
      <c r="M139" s="20"/>
    </row>
    <row r="140" spans="1:13" ht="15.75" x14ac:dyDescent="0.25">
      <c r="A140" s="49">
        <v>3574</v>
      </c>
      <c r="B140" s="337" t="s">
        <v>403</v>
      </c>
      <c r="C140" s="363">
        <v>366</v>
      </c>
      <c r="D140" s="57">
        <v>0.25</v>
      </c>
      <c r="E140" s="58">
        <f t="shared" si="6"/>
        <v>91.5</v>
      </c>
      <c r="F140" s="58"/>
      <c r="G140" s="58">
        <f t="shared" si="7"/>
        <v>91.5</v>
      </c>
      <c r="H140" s="88">
        <v>24363459</v>
      </c>
      <c r="I140" s="360" t="s">
        <v>402</v>
      </c>
      <c r="J140" s="361" t="s">
        <v>36</v>
      </c>
      <c r="K140" s="361"/>
      <c r="L140" s="78">
        <v>93536753</v>
      </c>
    </row>
    <row r="141" spans="1:13" ht="15.75" x14ac:dyDescent="0.25">
      <c r="A141" s="49">
        <v>3575</v>
      </c>
      <c r="B141" s="337" t="s">
        <v>400</v>
      </c>
      <c r="C141" s="363">
        <v>405.6</v>
      </c>
      <c r="D141" s="57">
        <v>0.25</v>
      </c>
      <c r="E141" s="58">
        <f t="shared" si="6"/>
        <v>101.4</v>
      </c>
      <c r="F141" s="58"/>
      <c r="G141" s="58">
        <f t="shared" si="7"/>
        <v>101.4</v>
      </c>
      <c r="H141" s="88">
        <v>22985669</v>
      </c>
      <c r="I141" s="360" t="s">
        <v>399</v>
      </c>
      <c r="J141" s="361" t="s">
        <v>40</v>
      </c>
      <c r="K141" s="361"/>
      <c r="L141" s="78">
        <v>92821977</v>
      </c>
    </row>
    <row r="142" spans="1:13" ht="15.75" x14ac:dyDescent="0.25">
      <c r="A142" s="49">
        <v>3576</v>
      </c>
      <c r="B142" s="337" t="s">
        <v>397</v>
      </c>
      <c r="C142" s="363">
        <v>335.1</v>
      </c>
      <c r="D142" s="57">
        <v>0.25</v>
      </c>
      <c r="E142" s="58">
        <f t="shared" si="6"/>
        <v>83.775000000000006</v>
      </c>
      <c r="F142" s="58"/>
      <c r="G142" s="58">
        <f t="shared" si="7"/>
        <v>83.775000000000006</v>
      </c>
      <c r="H142" s="88">
        <v>4631242</v>
      </c>
      <c r="I142" s="360" t="s">
        <v>396</v>
      </c>
      <c r="J142" s="361" t="s">
        <v>40</v>
      </c>
      <c r="K142" s="361"/>
      <c r="L142" s="78">
        <v>92868004</v>
      </c>
    </row>
    <row r="143" spans="1:13" ht="15.75" x14ac:dyDescent="0.25">
      <c r="A143" s="49">
        <v>3577</v>
      </c>
      <c r="B143" s="337" t="s">
        <v>394</v>
      </c>
      <c r="C143" s="363">
        <v>500.2</v>
      </c>
      <c r="D143" s="57">
        <v>0.25</v>
      </c>
      <c r="E143" s="58">
        <f t="shared" si="6"/>
        <v>125.05</v>
      </c>
      <c r="F143" s="58"/>
      <c r="G143" s="58">
        <f t="shared" si="7"/>
        <v>125.05</v>
      </c>
      <c r="H143" s="88">
        <v>27770646</v>
      </c>
      <c r="I143" s="360" t="s">
        <v>393</v>
      </c>
      <c r="J143" s="361" t="s">
        <v>40</v>
      </c>
      <c r="K143" s="361"/>
      <c r="L143" s="78">
        <v>98829772</v>
      </c>
    </row>
    <row r="144" spans="1:13" s="21" customFormat="1" ht="15.75" x14ac:dyDescent="0.25">
      <c r="A144" s="85">
        <v>3578</v>
      </c>
      <c r="B144" s="14" t="s">
        <v>391</v>
      </c>
      <c r="C144" s="213"/>
      <c r="D144" s="57">
        <v>0.25</v>
      </c>
      <c r="E144" s="58">
        <f t="shared" si="6"/>
        <v>0</v>
      </c>
      <c r="F144" s="58"/>
      <c r="G144" s="58">
        <f t="shared" si="7"/>
        <v>0</v>
      </c>
      <c r="H144" s="51">
        <v>5818269</v>
      </c>
      <c r="I144" s="380" t="s">
        <v>390</v>
      </c>
      <c r="J144" s="379" t="s">
        <v>40</v>
      </c>
      <c r="K144" s="379"/>
      <c r="L144" s="54">
        <v>90936569</v>
      </c>
      <c r="M144" s="20"/>
    </row>
    <row r="145" spans="1:13" ht="15.75" x14ac:dyDescent="0.25">
      <c r="A145" s="49">
        <v>3579</v>
      </c>
      <c r="B145" s="337" t="s">
        <v>388</v>
      </c>
      <c r="C145" s="363">
        <v>518.69000000000005</v>
      </c>
      <c r="D145" s="57">
        <v>0.25</v>
      </c>
      <c r="E145" s="58">
        <f t="shared" si="6"/>
        <v>129.67250000000001</v>
      </c>
      <c r="F145" s="58"/>
      <c r="G145" s="58">
        <f t="shared" si="7"/>
        <v>129.67250000000001</v>
      </c>
      <c r="H145" s="88">
        <v>10188283</v>
      </c>
      <c r="I145" s="360" t="s">
        <v>387</v>
      </c>
      <c r="J145" s="361" t="s">
        <v>373</v>
      </c>
      <c r="K145" s="361"/>
      <c r="L145" s="78">
        <v>93127450</v>
      </c>
    </row>
    <row r="146" spans="1:13" ht="15.75" x14ac:dyDescent="0.25">
      <c r="A146" s="49">
        <v>3580</v>
      </c>
      <c r="B146" s="337" t="s">
        <v>385</v>
      </c>
      <c r="C146" s="363">
        <v>524.9</v>
      </c>
      <c r="D146" s="57">
        <v>0.25</v>
      </c>
      <c r="E146" s="58">
        <f t="shared" si="6"/>
        <v>131.22499999999999</v>
      </c>
      <c r="F146" s="58"/>
      <c r="G146" s="58">
        <f t="shared" si="7"/>
        <v>131.22499999999999</v>
      </c>
      <c r="H146" s="88">
        <v>24923763</v>
      </c>
      <c r="I146" s="360" t="s">
        <v>384</v>
      </c>
      <c r="J146" s="361" t="s">
        <v>40</v>
      </c>
      <c r="K146" s="361"/>
      <c r="L146" s="78">
        <v>92772234</v>
      </c>
    </row>
    <row r="147" spans="1:13" ht="15.75" x14ac:dyDescent="0.25">
      <c r="A147" s="49">
        <v>3581</v>
      </c>
      <c r="B147" s="337" t="s">
        <v>383</v>
      </c>
      <c r="C147" s="363">
        <v>526.79999999999995</v>
      </c>
      <c r="D147" s="57">
        <v>0.25</v>
      </c>
      <c r="E147" s="58">
        <f t="shared" si="6"/>
        <v>131.69999999999999</v>
      </c>
      <c r="F147" s="58"/>
      <c r="G147" s="58">
        <f t="shared" si="7"/>
        <v>131.69999999999999</v>
      </c>
      <c r="H147" s="88">
        <v>19346473</v>
      </c>
      <c r="I147" s="360" t="s">
        <v>382</v>
      </c>
      <c r="J147" s="361" t="s">
        <v>40</v>
      </c>
      <c r="K147" s="361"/>
      <c r="L147" s="78">
        <v>92772234</v>
      </c>
    </row>
    <row r="148" spans="1:13" ht="15.75" x14ac:dyDescent="0.25">
      <c r="A148" s="49">
        <v>3582</v>
      </c>
      <c r="B148" s="337" t="s">
        <v>380</v>
      </c>
      <c r="C148" s="363">
        <v>406.1</v>
      </c>
      <c r="D148" s="57">
        <v>0.25</v>
      </c>
      <c r="E148" s="58">
        <f t="shared" si="6"/>
        <v>101.52500000000001</v>
      </c>
      <c r="F148" s="58"/>
      <c r="G148" s="58">
        <f t="shared" si="7"/>
        <v>101.52500000000001</v>
      </c>
      <c r="H148" s="88">
        <v>21228878</v>
      </c>
      <c r="I148" s="360" t="s">
        <v>379</v>
      </c>
      <c r="J148" s="361" t="s">
        <v>40</v>
      </c>
      <c r="K148" s="361"/>
      <c r="L148" s="78">
        <v>94444279</v>
      </c>
    </row>
    <row r="149" spans="1:13" ht="15.75" x14ac:dyDescent="0.25">
      <c r="A149" s="49">
        <v>3583</v>
      </c>
      <c r="B149" s="337" t="s">
        <v>378</v>
      </c>
      <c r="C149" s="363">
        <v>542.79999999999995</v>
      </c>
      <c r="D149" s="57">
        <v>0.25</v>
      </c>
      <c r="E149" s="58">
        <f t="shared" si="6"/>
        <v>135.69999999999999</v>
      </c>
      <c r="F149" s="58"/>
      <c r="G149" s="58">
        <f t="shared" si="7"/>
        <v>135.69999999999999</v>
      </c>
      <c r="H149" s="88">
        <v>22777574</v>
      </c>
      <c r="I149" s="360" t="s">
        <v>377</v>
      </c>
      <c r="J149" s="361" t="s">
        <v>40</v>
      </c>
      <c r="K149" s="361"/>
      <c r="L149" s="78">
        <v>91965353</v>
      </c>
    </row>
    <row r="150" spans="1:13" ht="15.75" x14ac:dyDescent="0.25">
      <c r="A150" s="49">
        <v>3584</v>
      </c>
      <c r="B150" s="337" t="s">
        <v>375</v>
      </c>
      <c r="C150" s="363">
        <v>516.20000000000005</v>
      </c>
      <c r="D150" s="57">
        <v>0.25</v>
      </c>
      <c r="E150" s="58">
        <f t="shared" si="6"/>
        <v>129.05000000000001</v>
      </c>
      <c r="F150" s="58"/>
      <c r="G150" s="58">
        <f t="shared" si="7"/>
        <v>129.05000000000001</v>
      </c>
      <c r="H150" s="88">
        <v>4087239</v>
      </c>
      <c r="I150" s="360" t="s">
        <v>374</v>
      </c>
      <c r="J150" s="361" t="s">
        <v>373</v>
      </c>
      <c r="K150" s="361"/>
      <c r="L150" s="78">
        <v>91730077</v>
      </c>
    </row>
    <row r="151" spans="1:13" s="21" customFormat="1" ht="15.75" x14ac:dyDescent="0.25">
      <c r="A151" s="85">
        <v>3586</v>
      </c>
      <c r="B151" s="14" t="s">
        <v>371</v>
      </c>
      <c r="C151" s="213"/>
      <c r="D151" s="57">
        <v>0.25</v>
      </c>
      <c r="E151" s="58">
        <f t="shared" si="6"/>
        <v>0</v>
      </c>
      <c r="F151" s="58"/>
      <c r="G151" s="58">
        <f t="shared" si="7"/>
        <v>0</v>
      </c>
      <c r="H151" s="51">
        <v>775949</v>
      </c>
      <c r="I151" s="380" t="s">
        <v>370</v>
      </c>
      <c r="J151" s="379" t="s">
        <v>188</v>
      </c>
      <c r="K151" s="379"/>
      <c r="L151" s="54">
        <v>99290098</v>
      </c>
      <c r="M151" s="20"/>
    </row>
    <row r="152" spans="1:13" ht="15.75" x14ac:dyDescent="0.25">
      <c r="A152" s="49">
        <v>3587</v>
      </c>
      <c r="B152" s="337" t="s">
        <v>368</v>
      </c>
      <c r="C152" s="363">
        <v>525</v>
      </c>
      <c r="D152" s="57">
        <v>0.25</v>
      </c>
      <c r="E152" s="58">
        <f t="shared" si="6"/>
        <v>131.25</v>
      </c>
      <c r="F152" s="58"/>
      <c r="G152" s="58">
        <f t="shared" si="7"/>
        <v>131.25</v>
      </c>
      <c r="H152" s="88">
        <v>7693695</v>
      </c>
      <c r="I152" s="360" t="s">
        <v>367</v>
      </c>
      <c r="J152" s="361" t="s">
        <v>188</v>
      </c>
      <c r="K152" s="361"/>
      <c r="L152" s="78">
        <v>92708334</v>
      </c>
    </row>
    <row r="153" spans="1:13" s="21" customFormat="1" ht="15.75" x14ac:dyDescent="0.25">
      <c r="A153" s="85">
        <v>3588</v>
      </c>
      <c r="B153" s="14" t="s">
        <v>365</v>
      </c>
      <c r="C153" s="213"/>
      <c r="D153" s="57">
        <v>0.25</v>
      </c>
      <c r="E153" s="58">
        <f t="shared" si="6"/>
        <v>0</v>
      </c>
      <c r="F153" s="58"/>
      <c r="G153" s="58">
        <f t="shared" si="7"/>
        <v>0</v>
      </c>
      <c r="H153" s="51">
        <v>9653943</v>
      </c>
      <c r="I153" s="380" t="s">
        <v>364</v>
      </c>
      <c r="J153" s="379" t="s">
        <v>83</v>
      </c>
      <c r="K153" s="379"/>
      <c r="L153" s="54">
        <v>92749180</v>
      </c>
      <c r="M153" s="20"/>
    </row>
    <row r="154" spans="1:13" s="21" customFormat="1" ht="15.75" x14ac:dyDescent="0.25">
      <c r="A154" s="85">
        <v>3589</v>
      </c>
      <c r="B154" s="14" t="s">
        <v>362</v>
      </c>
      <c r="C154" s="213"/>
      <c r="D154" s="57">
        <v>0.25</v>
      </c>
      <c r="E154" s="58">
        <f t="shared" si="6"/>
        <v>0</v>
      </c>
      <c r="F154" s="58"/>
      <c r="G154" s="58">
        <f t="shared" si="7"/>
        <v>0</v>
      </c>
      <c r="H154" s="51">
        <v>5535821</v>
      </c>
      <c r="I154" s="379"/>
      <c r="J154" s="379"/>
      <c r="K154" s="379"/>
      <c r="L154" s="54">
        <v>92749180</v>
      </c>
      <c r="M154" s="20"/>
    </row>
    <row r="155" spans="1:13" s="21" customFormat="1" ht="15.75" x14ac:dyDescent="0.25">
      <c r="A155" s="85">
        <v>3590</v>
      </c>
      <c r="B155" s="14" t="s">
        <v>359</v>
      </c>
      <c r="C155" s="213"/>
      <c r="D155" s="57">
        <v>0.25</v>
      </c>
      <c r="E155" s="58">
        <f t="shared" si="6"/>
        <v>0</v>
      </c>
      <c r="F155" s="58"/>
      <c r="G155" s="58">
        <f t="shared" si="7"/>
        <v>0</v>
      </c>
      <c r="H155" s="51">
        <v>18197297</v>
      </c>
      <c r="I155" s="380" t="s">
        <v>358</v>
      </c>
      <c r="J155" s="379" t="s">
        <v>357</v>
      </c>
      <c r="K155" s="379"/>
      <c r="L155" s="54">
        <v>98962921</v>
      </c>
      <c r="M155" s="20"/>
    </row>
    <row r="156" spans="1:13" ht="15.75" x14ac:dyDescent="0.25">
      <c r="A156" s="49">
        <v>3591</v>
      </c>
      <c r="B156" s="337" t="s">
        <v>354</v>
      </c>
      <c r="C156" s="363">
        <v>512.70000000000005</v>
      </c>
      <c r="D156" s="57">
        <v>0.25</v>
      </c>
      <c r="E156" s="58">
        <f t="shared" si="6"/>
        <v>128.17500000000001</v>
      </c>
      <c r="F156" s="58"/>
      <c r="G156" s="58">
        <f t="shared" si="7"/>
        <v>128.17500000000001</v>
      </c>
      <c r="H156" s="88">
        <v>2567152</v>
      </c>
      <c r="I156" s="360" t="s">
        <v>353</v>
      </c>
      <c r="J156" s="361" t="s">
        <v>188</v>
      </c>
      <c r="K156" s="361"/>
      <c r="L156" s="78">
        <v>92382151</v>
      </c>
    </row>
    <row r="157" spans="1:13" ht="15.75" x14ac:dyDescent="0.25">
      <c r="A157" s="49">
        <v>3592</v>
      </c>
      <c r="B157" s="337" t="s">
        <v>350</v>
      </c>
      <c r="C157" s="363">
        <v>496.2</v>
      </c>
      <c r="D157" s="57">
        <v>0.25</v>
      </c>
      <c r="E157" s="58">
        <f t="shared" si="6"/>
        <v>124.05</v>
      </c>
      <c r="F157" s="58"/>
      <c r="G157" s="58">
        <f t="shared" si="7"/>
        <v>124.05</v>
      </c>
      <c r="H157" s="88">
        <v>20953759</v>
      </c>
      <c r="I157" s="360" t="s">
        <v>349</v>
      </c>
      <c r="J157" s="361" t="s">
        <v>188</v>
      </c>
      <c r="K157" s="361"/>
      <c r="L157" s="78">
        <v>99693352</v>
      </c>
    </row>
    <row r="158" spans="1:13" ht="15.75" x14ac:dyDescent="0.25">
      <c r="A158" s="49">
        <v>3593</v>
      </c>
      <c r="B158" s="337" t="s">
        <v>346</v>
      </c>
      <c r="C158" s="363">
        <v>497.9</v>
      </c>
      <c r="D158" s="57">
        <v>0.25</v>
      </c>
      <c r="E158" s="58">
        <f t="shared" si="6"/>
        <v>124.47499999999999</v>
      </c>
      <c r="F158" s="58"/>
      <c r="G158" s="58">
        <f t="shared" si="7"/>
        <v>124.47499999999999</v>
      </c>
      <c r="H158" s="362">
        <v>2663534</v>
      </c>
      <c r="I158" s="360" t="s">
        <v>345</v>
      </c>
      <c r="J158" s="361" t="s">
        <v>344</v>
      </c>
      <c r="K158" s="361"/>
      <c r="L158" s="439">
        <v>99295522</v>
      </c>
    </row>
    <row r="159" spans="1:13" ht="15.75" x14ac:dyDescent="0.25">
      <c r="A159" s="376">
        <v>3594</v>
      </c>
      <c r="B159" s="374" t="s">
        <v>624</v>
      </c>
      <c r="C159" s="363">
        <v>517.20000000000005</v>
      </c>
      <c r="D159" s="57">
        <v>0.25</v>
      </c>
      <c r="E159" s="58">
        <f t="shared" si="6"/>
        <v>129.30000000000001</v>
      </c>
      <c r="F159" s="382"/>
      <c r="G159" s="58">
        <f t="shared" si="7"/>
        <v>129.30000000000001</v>
      </c>
      <c r="H159" s="378">
        <v>644971</v>
      </c>
      <c r="I159" s="377" t="s">
        <v>623</v>
      </c>
      <c r="J159" s="361" t="s">
        <v>188</v>
      </c>
      <c r="K159" s="361"/>
      <c r="L159" s="438">
        <v>99585991</v>
      </c>
    </row>
    <row r="160" spans="1:13" ht="15.75" x14ac:dyDescent="0.25">
      <c r="A160" s="376">
        <v>3595</v>
      </c>
      <c r="B160" s="374" t="s">
        <v>621</v>
      </c>
      <c r="C160" s="363">
        <v>535.6</v>
      </c>
      <c r="D160" s="57">
        <v>0.25</v>
      </c>
      <c r="E160" s="58">
        <f t="shared" si="6"/>
        <v>133.9</v>
      </c>
      <c r="F160" s="58"/>
      <c r="G160" s="58">
        <f t="shared" si="7"/>
        <v>133.9</v>
      </c>
      <c r="H160" s="375">
        <v>732815</v>
      </c>
      <c r="I160" s="377" t="s">
        <v>620</v>
      </c>
      <c r="J160" s="361" t="s">
        <v>188</v>
      </c>
      <c r="K160" s="361"/>
      <c r="L160" s="438">
        <v>99499622</v>
      </c>
    </row>
    <row r="161" spans="1:12" ht="15.75" x14ac:dyDescent="0.25">
      <c r="A161" s="376">
        <v>3596</v>
      </c>
      <c r="B161" s="374" t="s">
        <v>618</v>
      </c>
      <c r="C161" s="363">
        <v>534.9</v>
      </c>
      <c r="D161" s="57">
        <v>0.25</v>
      </c>
      <c r="E161" s="58">
        <f t="shared" si="6"/>
        <v>133.72499999999999</v>
      </c>
      <c r="F161" s="58"/>
      <c r="G161" s="58">
        <f t="shared" si="7"/>
        <v>133.72499999999999</v>
      </c>
      <c r="H161" s="375">
        <v>5998887</v>
      </c>
      <c r="I161" s="377" t="s">
        <v>617</v>
      </c>
      <c r="J161" s="374" t="s">
        <v>188</v>
      </c>
      <c r="K161" s="361"/>
      <c r="L161" s="438">
        <v>99099199</v>
      </c>
    </row>
    <row r="162" spans="1:12" ht="15.75" x14ac:dyDescent="0.25">
      <c r="A162" s="376">
        <v>3597</v>
      </c>
      <c r="B162" s="374" t="s">
        <v>616</v>
      </c>
      <c r="C162" s="363">
        <v>538.29999999999995</v>
      </c>
      <c r="D162" s="57">
        <v>0.25</v>
      </c>
      <c r="E162" s="58">
        <f t="shared" si="6"/>
        <v>134.57499999999999</v>
      </c>
      <c r="F162" s="58"/>
      <c r="G162" s="58">
        <f t="shared" si="7"/>
        <v>134.57499999999999</v>
      </c>
      <c r="H162" s="375">
        <v>27870521</v>
      </c>
      <c r="I162" s="377" t="s">
        <v>615</v>
      </c>
      <c r="J162" s="374" t="s">
        <v>188</v>
      </c>
      <c r="K162" s="361"/>
      <c r="L162" s="438">
        <v>99099199</v>
      </c>
    </row>
    <row r="163" spans="1:12" ht="15.75" x14ac:dyDescent="0.25">
      <c r="A163" s="376">
        <v>3598</v>
      </c>
      <c r="B163" s="374" t="s">
        <v>614</v>
      </c>
      <c r="C163" s="363">
        <v>534.20000000000005</v>
      </c>
      <c r="D163" s="57">
        <v>0.25</v>
      </c>
      <c r="E163" s="58">
        <f t="shared" si="6"/>
        <v>133.55000000000001</v>
      </c>
      <c r="F163" s="58"/>
      <c r="G163" s="58">
        <f t="shared" si="7"/>
        <v>133.55000000000001</v>
      </c>
      <c r="H163" s="375">
        <v>5998868</v>
      </c>
      <c r="I163" s="377" t="s">
        <v>613</v>
      </c>
      <c r="J163" s="374" t="s">
        <v>188</v>
      </c>
      <c r="K163" s="361"/>
      <c r="L163" s="438">
        <v>99099199</v>
      </c>
    </row>
    <row r="164" spans="1:12" ht="15.75" x14ac:dyDescent="0.25">
      <c r="A164" s="376">
        <v>3599</v>
      </c>
      <c r="B164" s="374" t="s">
        <v>611</v>
      </c>
      <c r="C164" s="363">
        <v>499</v>
      </c>
      <c r="D164" s="57">
        <v>0.25</v>
      </c>
      <c r="E164" s="58">
        <f t="shared" ref="E164:E191" si="8">C164*D164</f>
        <v>124.75</v>
      </c>
      <c r="F164" s="58"/>
      <c r="G164" s="58">
        <f t="shared" si="7"/>
        <v>124.75</v>
      </c>
      <c r="H164" s="375">
        <v>7374738</v>
      </c>
      <c r="I164" s="377" t="s">
        <v>610</v>
      </c>
      <c r="J164" s="374" t="s">
        <v>188</v>
      </c>
      <c r="K164" s="361"/>
      <c r="L164" s="438">
        <v>92341240</v>
      </c>
    </row>
    <row r="165" spans="1:12" ht="15.75" x14ac:dyDescent="0.25">
      <c r="A165" s="376">
        <v>3600</v>
      </c>
      <c r="B165" s="374" t="s">
        <v>609</v>
      </c>
      <c r="C165" s="363">
        <v>509.5</v>
      </c>
      <c r="D165" s="57">
        <v>0.25</v>
      </c>
      <c r="E165" s="58">
        <f t="shared" si="8"/>
        <v>127.375</v>
      </c>
      <c r="F165" s="58"/>
      <c r="G165" s="58">
        <f t="shared" si="7"/>
        <v>127.375</v>
      </c>
      <c r="H165" s="375">
        <v>11753992</v>
      </c>
      <c r="I165" s="377" t="s">
        <v>608</v>
      </c>
      <c r="J165" s="374" t="s">
        <v>188</v>
      </c>
      <c r="K165" s="361"/>
      <c r="L165" s="438">
        <v>99205960</v>
      </c>
    </row>
    <row r="166" spans="1:12" ht="15.75" x14ac:dyDescent="0.25">
      <c r="A166" s="376">
        <v>3601</v>
      </c>
      <c r="B166" s="374" t="s">
        <v>607</v>
      </c>
      <c r="C166" s="363">
        <v>472.5</v>
      </c>
      <c r="D166" s="57">
        <v>0.25</v>
      </c>
      <c r="E166" s="58">
        <f t="shared" si="8"/>
        <v>118.125</v>
      </c>
      <c r="F166" s="58"/>
      <c r="G166" s="58">
        <f t="shared" si="7"/>
        <v>118.125</v>
      </c>
      <c r="H166" s="375">
        <v>23211984</v>
      </c>
      <c r="I166" s="374" t="s">
        <v>606</v>
      </c>
      <c r="J166" s="374" t="s">
        <v>188</v>
      </c>
      <c r="K166" s="361"/>
      <c r="L166" s="438">
        <v>98905289</v>
      </c>
    </row>
    <row r="167" spans="1:12" ht="15.75" x14ac:dyDescent="0.25">
      <c r="A167" s="376">
        <v>3602</v>
      </c>
      <c r="B167" s="374" t="s">
        <v>605</v>
      </c>
      <c r="C167" s="363">
        <v>501.1</v>
      </c>
      <c r="D167" s="57">
        <v>0.25</v>
      </c>
      <c r="E167" s="58">
        <f t="shared" si="8"/>
        <v>125.27500000000001</v>
      </c>
      <c r="F167" s="58"/>
      <c r="G167" s="58">
        <f t="shared" si="7"/>
        <v>125.27500000000001</v>
      </c>
      <c r="H167" s="375">
        <v>6518124</v>
      </c>
      <c r="I167" s="374" t="s">
        <v>604</v>
      </c>
      <c r="J167" s="374" t="s">
        <v>188</v>
      </c>
      <c r="K167" s="361"/>
      <c r="L167" s="438">
        <v>92511696</v>
      </c>
    </row>
    <row r="168" spans="1:12" ht="15.75" x14ac:dyDescent="0.25">
      <c r="A168" s="376">
        <v>3603</v>
      </c>
      <c r="B168" s="374" t="s">
        <v>603</v>
      </c>
      <c r="C168" s="363">
        <v>503.9</v>
      </c>
      <c r="D168" s="57">
        <v>0.25</v>
      </c>
      <c r="E168" s="58">
        <f t="shared" si="8"/>
        <v>125.97499999999999</v>
      </c>
      <c r="F168" s="58"/>
      <c r="G168" s="58">
        <f t="shared" si="7"/>
        <v>125.97499999999999</v>
      </c>
      <c r="H168" s="375">
        <v>21978977</v>
      </c>
      <c r="I168" s="374" t="s">
        <v>602</v>
      </c>
      <c r="J168" s="374" t="s">
        <v>188</v>
      </c>
      <c r="K168" s="361"/>
      <c r="L168" s="438">
        <v>92511696</v>
      </c>
    </row>
    <row r="169" spans="1:12" ht="15.75" x14ac:dyDescent="0.25">
      <c r="A169" s="376">
        <v>3604</v>
      </c>
      <c r="B169" s="374" t="s">
        <v>601</v>
      </c>
      <c r="C169" s="363">
        <v>531</v>
      </c>
      <c r="D169" s="57">
        <v>0.25</v>
      </c>
      <c r="E169" s="58">
        <f t="shared" si="8"/>
        <v>132.75</v>
      </c>
      <c r="F169" s="58"/>
      <c r="G169" s="58">
        <f t="shared" si="7"/>
        <v>132.75</v>
      </c>
      <c r="H169" s="375">
        <v>5597569</v>
      </c>
      <c r="I169" s="374" t="s">
        <v>600</v>
      </c>
      <c r="J169" s="374" t="s">
        <v>188</v>
      </c>
      <c r="K169" s="361"/>
      <c r="L169" s="438">
        <v>99288681</v>
      </c>
    </row>
    <row r="170" spans="1:12" ht="15.75" x14ac:dyDescent="0.25">
      <c r="A170" s="376">
        <v>3605</v>
      </c>
      <c r="B170" s="374" t="s">
        <v>598</v>
      </c>
      <c r="C170" s="363">
        <v>507.3</v>
      </c>
      <c r="D170" s="57">
        <v>0.25</v>
      </c>
      <c r="E170" s="58">
        <f t="shared" si="8"/>
        <v>126.825</v>
      </c>
      <c r="F170" s="58"/>
      <c r="G170" s="58">
        <f t="shared" si="7"/>
        <v>126.825</v>
      </c>
      <c r="H170" s="375">
        <v>21979046</v>
      </c>
      <c r="I170" s="374" t="s">
        <v>597</v>
      </c>
      <c r="J170" s="374" t="s">
        <v>188</v>
      </c>
      <c r="K170" s="361"/>
      <c r="L170" s="438">
        <v>92511696</v>
      </c>
    </row>
    <row r="171" spans="1:12" ht="15.75" x14ac:dyDescent="0.25">
      <c r="A171" s="376">
        <v>3606</v>
      </c>
      <c r="B171" s="374" t="s">
        <v>595</v>
      </c>
      <c r="C171" s="363">
        <v>506</v>
      </c>
      <c r="D171" s="57">
        <v>0.25</v>
      </c>
      <c r="E171" s="58">
        <f t="shared" si="8"/>
        <v>126.5</v>
      </c>
      <c r="F171" s="58"/>
      <c r="G171" s="58">
        <f t="shared" si="7"/>
        <v>126.5</v>
      </c>
      <c r="H171" s="375">
        <v>5208295</v>
      </c>
      <c r="I171" s="377" t="s">
        <v>594</v>
      </c>
      <c r="J171" s="361" t="s">
        <v>593</v>
      </c>
      <c r="K171" s="361"/>
      <c r="L171" s="438">
        <v>99897717</v>
      </c>
    </row>
    <row r="172" spans="1:12" ht="15.75" x14ac:dyDescent="0.25">
      <c r="A172" s="376">
        <v>3607</v>
      </c>
      <c r="B172" s="374" t="s">
        <v>591</v>
      </c>
      <c r="C172" s="363">
        <v>525.29999999999995</v>
      </c>
      <c r="D172" s="57">
        <v>0.25</v>
      </c>
      <c r="E172" s="58">
        <f t="shared" si="8"/>
        <v>131.32499999999999</v>
      </c>
      <c r="F172" s="58"/>
      <c r="G172" s="58">
        <f t="shared" si="7"/>
        <v>131.32499999999999</v>
      </c>
      <c r="H172" s="375">
        <v>5016098</v>
      </c>
      <c r="I172" s="374" t="s">
        <v>590</v>
      </c>
      <c r="J172" s="374" t="s">
        <v>188</v>
      </c>
      <c r="K172" s="361"/>
      <c r="L172" s="438">
        <v>92417514</v>
      </c>
    </row>
    <row r="173" spans="1:12" ht="15.75" x14ac:dyDescent="0.25">
      <c r="A173" s="376">
        <v>3608</v>
      </c>
      <c r="B173" s="374" t="s">
        <v>588</v>
      </c>
      <c r="C173" s="363">
        <v>521</v>
      </c>
      <c r="D173" s="57">
        <v>0.25</v>
      </c>
      <c r="E173" s="58">
        <f t="shared" si="8"/>
        <v>130.25</v>
      </c>
      <c r="F173" s="58"/>
      <c r="G173" s="58">
        <f t="shared" si="7"/>
        <v>130.25</v>
      </c>
      <c r="H173" s="375">
        <v>4701704</v>
      </c>
      <c r="I173" s="374" t="s">
        <v>587</v>
      </c>
      <c r="J173" s="374" t="s">
        <v>188</v>
      </c>
      <c r="K173" s="361"/>
      <c r="L173" s="438">
        <v>99879922</v>
      </c>
    </row>
    <row r="174" spans="1:12" ht="15.75" x14ac:dyDescent="0.25">
      <c r="A174" s="376">
        <v>3609</v>
      </c>
      <c r="B174" s="374" t="s">
        <v>585</v>
      </c>
      <c r="C174" s="363">
        <v>531.1</v>
      </c>
      <c r="D174" s="57">
        <v>0.25</v>
      </c>
      <c r="E174" s="58">
        <f t="shared" si="8"/>
        <v>132.77500000000001</v>
      </c>
      <c r="F174" s="58"/>
      <c r="G174" s="58">
        <f t="shared" si="7"/>
        <v>132.77500000000001</v>
      </c>
      <c r="H174" s="375">
        <v>14173586</v>
      </c>
      <c r="I174" s="374" t="s">
        <v>584</v>
      </c>
      <c r="J174" s="361" t="s">
        <v>88</v>
      </c>
      <c r="K174" s="361"/>
      <c r="L174" s="438">
        <v>97884322</v>
      </c>
    </row>
    <row r="175" spans="1:12" ht="15.75" x14ac:dyDescent="0.25">
      <c r="A175" s="376">
        <v>3610</v>
      </c>
      <c r="B175" s="374" t="s">
        <v>583</v>
      </c>
      <c r="C175" s="363">
        <v>529.5</v>
      </c>
      <c r="D175" s="57">
        <v>0.25</v>
      </c>
      <c r="E175" s="58">
        <f t="shared" si="8"/>
        <v>132.375</v>
      </c>
      <c r="F175" s="58"/>
      <c r="G175" s="58">
        <f t="shared" si="7"/>
        <v>132.375</v>
      </c>
      <c r="H175" s="375">
        <v>25095823</v>
      </c>
      <c r="I175" s="374" t="s">
        <v>582</v>
      </c>
      <c r="J175" s="361" t="s">
        <v>88</v>
      </c>
      <c r="K175" s="361"/>
      <c r="L175" s="438">
        <v>97884322</v>
      </c>
    </row>
    <row r="176" spans="1:12" ht="15.75" x14ac:dyDescent="0.25">
      <c r="A176" s="376">
        <v>3611</v>
      </c>
      <c r="B176" s="374" t="s">
        <v>580</v>
      </c>
      <c r="C176" s="363">
        <v>458.6</v>
      </c>
      <c r="D176" s="57">
        <v>0.25</v>
      </c>
      <c r="E176" s="58">
        <f t="shared" si="8"/>
        <v>114.65</v>
      </c>
      <c r="F176" s="58"/>
      <c r="G176" s="58">
        <f t="shared" si="7"/>
        <v>114.65</v>
      </c>
      <c r="H176" s="375">
        <v>6376807</v>
      </c>
      <c r="I176" s="374" t="s">
        <v>579</v>
      </c>
      <c r="J176" s="374" t="s">
        <v>188</v>
      </c>
      <c r="K176" s="361"/>
      <c r="L176" s="438">
        <v>99093433</v>
      </c>
    </row>
    <row r="177" spans="1:13" ht="15.75" x14ac:dyDescent="0.25">
      <c r="A177" s="376">
        <v>3612</v>
      </c>
      <c r="B177" s="374" t="s">
        <v>577</v>
      </c>
      <c r="C177" s="363">
        <v>354.5</v>
      </c>
      <c r="D177" s="57">
        <v>0.25</v>
      </c>
      <c r="E177" s="58">
        <f t="shared" si="8"/>
        <v>88.625</v>
      </c>
      <c r="F177" s="58"/>
      <c r="G177" s="58">
        <f t="shared" si="7"/>
        <v>88.625</v>
      </c>
      <c r="H177" s="375">
        <v>732886</v>
      </c>
      <c r="I177" s="374" t="s">
        <v>576</v>
      </c>
      <c r="J177" s="374" t="s">
        <v>83</v>
      </c>
      <c r="K177" s="361"/>
      <c r="L177" s="438">
        <v>92234456</v>
      </c>
    </row>
    <row r="178" spans="1:13" ht="15.75" x14ac:dyDescent="0.25">
      <c r="A178" s="376">
        <v>3613</v>
      </c>
      <c r="B178" s="374" t="s">
        <v>575</v>
      </c>
      <c r="C178" s="363">
        <v>539.5</v>
      </c>
      <c r="D178" s="57">
        <v>0.25</v>
      </c>
      <c r="E178" s="58">
        <f t="shared" si="8"/>
        <v>134.875</v>
      </c>
      <c r="F178" s="58"/>
      <c r="G178" s="58">
        <f t="shared" si="7"/>
        <v>134.875</v>
      </c>
      <c r="H178" s="375">
        <v>3666339</v>
      </c>
      <c r="I178" s="374" t="s">
        <v>504</v>
      </c>
      <c r="J178" s="374" t="s">
        <v>648</v>
      </c>
      <c r="K178" s="361"/>
      <c r="L178" s="438">
        <v>93210998</v>
      </c>
    </row>
    <row r="179" spans="1:13" ht="15.75" x14ac:dyDescent="0.25">
      <c r="A179" s="376">
        <v>3614</v>
      </c>
      <c r="B179" s="374" t="s">
        <v>574</v>
      </c>
      <c r="C179" s="363">
        <v>539.70000000000005</v>
      </c>
      <c r="D179" s="57">
        <v>0.25</v>
      </c>
      <c r="E179" s="58">
        <f t="shared" si="8"/>
        <v>134.92500000000001</v>
      </c>
      <c r="F179" s="58"/>
      <c r="G179" s="58">
        <f t="shared" si="7"/>
        <v>134.92500000000001</v>
      </c>
      <c r="H179" s="375">
        <v>2451154</v>
      </c>
      <c r="I179" s="374" t="s">
        <v>504</v>
      </c>
      <c r="J179" s="374" t="s">
        <v>648</v>
      </c>
      <c r="K179" s="361"/>
      <c r="L179" s="438">
        <v>93210998</v>
      </c>
    </row>
    <row r="180" spans="1:13" ht="15.75" x14ac:dyDescent="0.25">
      <c r="A180" s="376">
        <v>3615</v>
      </c>
      <c r="B180" s="374" t="s">
        <v>573</v>
      </c>
      <c r="C180" s="363">
        <v>539.29999999999995</v>
      </c>
      <c r="D180" s="57">
        <v>0.25</v>
      </c>
      <c r="E180" s="58">
        <f t="shared" si="8"/>
        <v>134.82499999999999</v>
      </c>
      <c r="F180" s="58"/>
      <c r="G180" s="58">
        <f t="shared" si="7"/>
        <v>134.82499999999999</v>
      </c>
      <c r="H180" s="375">
        <v>6787748</v>
      </c>
      <c r="I180" s="377" t="s">
        <v>504</v>
      </c>
      <c r="J180" s="374" t="s">
        <v>648</v>
      </c>
      <c r="K180" s="361"/>
      <c r="L180" s="438">
        <v>93210998</v>
      </c>
    </row>
    <row r="181" spans="1:13" ht="15.75" x14ac:dyDescent="0.25">
      <c r="A181" s="376">
        <v>3616</v>
      </c>
      <c r="B181" s="374" t="s">
        <v>572</v>
      </c>
      <c r="C181" s="363">
        <v>540.20000000000005</v>
      </c>
      <c r="D181" s="57">
        <v>0.25</v>
      </c>
      <c r="E181" s="58">
        <f t="shared" si="8"/>
        <v>135.05000000000001</v>
      </c>
      <c r="F181" s="58"/>
      <c r="G181" s="58">
        <f t="shared" si="7"/>
        <v>135.05000000000001</v>
      </c>
      <c r="H181" s="375">
        <v>2298162</v>
      </c>
      <c r="I181" s="374" t="s">
        <v>504</v>
      </c>
      <c r="J181" s="374" t="s">
        <v>648</v>
      </c>
      <c r="K181" s="361"/>
      <c r="L181" s="438">
        <v>93210998</v>
      </c>
    </row>
    <row r="182" spans="1:13" ht="15.75" x14ac:dyDescent="0.25">
      <c r="A182" s="376">
        <v>3617</v>
      </c>
      <c r="B182" s="374" t="s">
        <v>571</v>
      </c>
      <c r="C182" s="363">
        <v>539.6</v>
      </c>
      <c r="D182" s="57">
        <v>0.25</v>
      </c>
      <c r="E182" s="58">
        <f t="shared" si="8"/>
        <v>134.9</v>
      </c>
      <c r="F182" s="58"/>
      <c r="G182" s="58">
        <f t="shared" si="7"/>
        <v>134.9</v>
      </c>
      <c r="H182" s="375">
        <v>5454935</v>
      </c>
      <c r="I182" s="374" t="s">
        <v>504</v>
      </c>
      <c r="J182" s="374" t="s">
        <v>648</v>
      </c>
      <c r="K182" s="361"/>
      <c r="L182" s="438">
        <v>93210998</v>
      </c>
    </row>
    <row r="183" spans="1:13" ht="15" customHeight="1" x14ac:dyDescent="0.25">
      <c r="A183" s="376">
        <v>3618</v>
      </c>
      <c r="B183" s="374" t="s">
        <v>570</v>
      </c>
      <c r="C183" s="363">
        <v>511.5</v>
      </c>
      <c r="D183" s="57">
        <v>0.25</v>
      </c>
      <c r="E183" s="58">
        <f t="shared" si="8"/>
        <v>127.875</v>
      </c>
      <c r="F183" s="58"/>
      <c r="G183" s="58">
        <f t="shared" si="7"/>
        <v>127.875</v>
      </c>
      <c r="H183" s="375">
        <v>5016173</v>
      </c>
      <c r="I183" s="374" t="s">
        <v>569</v>
      </c>
      <c r="J183" s="374" t="s">
        <v>83</v>
      </c>
      <c r="K183" s="361"/>
      <c r="L183" s="438">
        <v>92987770</v>
      </c>
    </row>
    <row r="184" spans="1:13" ht="15" customHeight="1" x14ac:dyDescent="0.25">
      <c r="A184" s="376">
        <v>3619</v>
      </c>
      <c r="B184" s="337" t="s">
        <v>654</v>
      </c>
      <c r="C184" s="436">
        <v>491.3</v>
      </c>
      <c r="D184" s="57">
        <v>0.25</v>
      </c>
      <c r="E184" s="58">
        <f t="shared" si="8"/>
        <v>122.825</v>
      </c>
      <c r="F184" s="382"/>
      <c r="G184" s="58">
        <f t="shared" si="7"/>
        <v>122.825</v>
      </c>
      <c r="H184" s="435">
        <v>2561482</v>
      </c>
      <c r="I184" s="435" t="s">
        <v>653</v>
      </c>
      <c r="J184" s="374" t="s">
        <v>188</v>
      </c>
      <c r="K184" s="433"/>
      <c r="L184" s="437">
        <v>99589952</v>
      </c>
    </row>
    <row r="185" spans="1:13" ht="15" customHeight="1" x14ac:dyDescent="0.25">
      <c r="A185" s="376">
        <v>3620</v>
      </c>
      <c r="B185" s="337" t="s">
        <v>652</v>
      </c>
      <c r="C185" s="436">
        <v>499.2</v>
      </c>
      <c r="D185" s="57">
        <v>0.25</v>
      </c>
      <c r="E185" s="58">
        <f t="shared" si="8"/>
        <v>124.8</v>
      </c>
      <c r="F185" s="382"/>
      <c r="G185" s="58">
        <f t="shared" si="7"/>
        <v>124.8</v>
      </c>
      <c r="H185" s="435">
        <v>6600228</v>
      </c>
      <c r="I185" s="435" t="s">
        <v>651</v>
      </c>
      <c r="J185" s="374" t="s">
        <v>188</v>
      </c>
      <c r="K185" s="433"/>
      <c r="L185" s="437">
        <v>92071222</v>
      </c>
    </row>
    <row r="186" spans="1:13" ht="15" customHeight="1" x14ac:dyDescent="0.25">
      <c r="A186" s="376">
        <v>3621</v>
      </c>
      <c r="B186" s="337" t="s">
        <v>650</v>
      </c>
      <c r="C186" s="436">
        <v>473.3</v>
      </c>
      <c r="D186" s="57">
        <v>0.25</v>
      </c>
      <c r="E186" s="58">
        <f t="shared" si="8"/>
        <v>118.325</v>
      </c>
      <c r="F186" s="382"/>
      <c r="G186" s="58">
        <f t="shared" si="7"/>
        <v>118.325</v>
      </c>
      <c r="H186" s="435">
        <v>6671914</v>
      </c>
      <c r="I186" s="435" t="s">
        <v>649</v>
      </c>
      <c r="J186" s="374" t="s">
        <v>648</v>
      </c>
      <c r="K186" s="433"/>
      <c r="L186" s="437">
        <v>99897735</v>
      </c>
    </row>
    <row r="187" spans="1:13" ht="15" customHeight="1" x14ac:dyDescent="0.25">
      <c r="A187" s="376">
        <v>3622</v>
      </c>
      <c r="B187" s="337" t="s">
        <v>647</v>
      </c>
      <c r="C187" s="436">
        <v>395.5</v>
      </c>
      <c r="D187" s="57">
        <v>0.25</v>
      </c>
      <c r="E187" s="58">
        <f t="shared" si="8"/>
        <v>98.875</v>
      </c>
      <c r="F187" s="382"/>
      <c r="G187" s="58">
        <f t="shared" si="7"/>
        <v>98.875</v>
      </c>
      <c r="H187" s="435">
        <v>18823801</v>
      </c>
      <c r="I187" s="435" t="s">
        <v>646</v>
      </c>
      <c r="J187" s="374" t="s">
        <v>83</v>
      </c>
      <c r="K187" s="433"/>
      <c r="L187" s="437">
        <v>96448823</v>
      </c>
    </row>
    <row r="188" spans="1:13" ht="15" customHeight="1" x14ac:dyDescent="0.25">
      <c r="A188" s="376">
        <v>3623</v>
      </c>
      <c r="B188" s="337" t="s">
        <v>645</v>
      </c>
      <c r="C188" s="436">
        <v>421.2</v>
      </c>
      <c r="D188" s="57">
        <v>0.25</v>
      </c>
      <c r="E188" s="58">
        <f t="shared" si="8"/>
        <v>105.3</v>
      </c>
      <c r="F188" s="382"/>
      <c r="G188" s="58">
        <f t="shared" si="7"/>
        <v>105.3</v>
      </c>
      <c r="H188" s="435">
        <v>19582375</v>
      </c>
      <c r="I188" s="435" t="s">
        <v>644</v>
      </c>
      <c r="J188" s="374" t="s">
        <v>188</v>
      </c>
      <c r="K188" s="433"/>
      <c r="L188" s="437">
        <v>94540077</v>
      </c>
    </row>
    <row r="189" spans="1:13" ht="15.75" x14ac:dyDescent="0.25">
      <c r="A189" s="376">
        <v>3624</v>
      </c>
      <c r="B189" s="337" t="s">
        <v>643</v>
      </c>
      <c r="C189" s="436">
        <v>72.5</v>
      </c>
      <c r="D189" s="57">
        <v>0.25</v>
      </c>
      <c r="E189" s="58">
        <f t="shared" si="8"/>
        <v>18.125</v>
      </c>
      <c r="F189" s="382"/>
      <c r="G189" s="58">
        <f t="shared" si="7"/>
        <v>18.125</v>
      </c>
      <c r="H189" s="435">
        <v>21827716</v>
      </c>
      <c r="I189" s="435" t="s">
        <v>642</v>
      </c>
      <c r="J189" s="361" t="s">
        <v>357</v>
      </c>
      <c r="K189" s="433"/>
      <c r="L189" s="432">
        <v>96448823</v>
      </c>
    </row>
    <row r="190" spans="1:13" ht="15.75" x14ac:dyDescent="0.25">
      <c r="A190" s="376">
        <v>3625</v>
      </c>
      <c r="B190" s="337" t="s">
        <v>641</v>
      </c>
      <c r="C190" s="436">
        <v>197.6</v>
      </c>
      <c r="D190" s="57">
        <v>0.25</v>
      </c>
      <c r="E190" s="58">
        <f t="shared" si="8"/>
        <v>49.4</v>
      </c>
      <c r="F190" s="382"/>
      <c r="G190" s="58">
        <f t="shared" si="7"/>
        <v>49.4</v>
      </c>
      <c r="H190" s="435">
        <v>4426701</v>
      </c>
      <c r="I190" s="435" t="s">
        <v>640</v>
      </c>
      <c r="J190" s="374" t="s">
        <v>188</v>
      </c>
      <c r="K190" s="433"/>
      <c r="L190" s="432">
        <v>97884322</v>
      </c>
    </row>
    <row r="191" spans="1:13" ht="15.75" x14ac:dyDescent="0.25">
      <c r="A191" s="477">
        <v>3626</v>
      </c>
      <c r="B191" t="s">
        <v>639</v>
      </c>
      <c r="C191" s="436">
        <v>156</v>
      </c>
      <c r="D191" s="57">
        <v>0.25</v>
      </c>
      <c r="E191" s="58">
        <f t="shared" si="8"/>
        <v>39</v>
      </c>
      <c r="F191" s="382"/>
      <c r="G191" s="58">
        <f t="shared" si="7"/>
        <v>39</v>
      </c>
      <c r="H191" s="435">
        <v>21735549</v>
      </c>
      <c r="I191" s="434" t="s">
        <v>638</v>
      </c>
      <c r="J191" s="374" t="s">
        <v>188</v>
      </c>
      <c r="K191" s="433"/>
      <c r="L191" s="432">
        <v>96448823</v>
      </c>
    </row>
    <row r="192" spans="1:13" s="295" customFormat="1" ht="46.15" customHeight="1" x14ac:dyDescent="0.3">
      <c r="A192" s="358"/>
      <c r="B192" s="359" t="s">
        <v>342</v>
      </c>
      <c r="C192" s="372">
        <f>SUM(C4:C191)</f>
        <v>177991.69000000003</v>
      </c>
      <c r="D192" s="358" t="s">
        <v>341</v>
      </c>
      <c r="E192" s="371">
        <f>SUM(E4:E191)</f>
        <v>44497.922500000008</v>
      </c>
      <c r="F192" s="371">
        <f t="shared" ref="F192:G192" si="9">SUM(F4:F191)</f>
        <v>351.375</v>
      </c>
      <c r="G192" s="371">
        <f t="shared" si="9"/>
        <v>44146.547500000008</v>
      </c>
      <c r="H192" s="358"/>
      <c r="I192" s="358"/>
      <c r="J192" s="358"/>
      <c r="K192" s="358"/>
      <c r="L192" s="358"/>
      <c r="M192" s="357"/>
    </row>
  </sheetData>
  <autoFilter ref="C1:C120" xr:uid="{8784AEA8-0E5C-4F65-A34B-7A064E3107E6}"/>
  <mergeCells count="12">
    <mergeCell ref="L2:L3"/>
    <mergeCell ref="A2:A3"/>
    <mergeCell ref="B2:B3"/>
    <mergeCell ref="C2:C3"/>
    <mergeCell ref="F2:F3"/>
    <mergeCell ref="G2:G3"/>
    <mergeCell ref="D2:D3"/>
    <mergeCell ref="E2:E3"/>
    <mergeCell ref="H2:H3"/>
    <mergeCell ref="I2:I3"/>
    <mergeCell ref="J2:J3"/>
    <mergeCell ref="K2:K3"/>
  </mergeCells>
  <pageMargins left="0.7" right="0.7" top="0.75" bottom="0.75" header="0.3" footer="0.3"/>
  <pageSetup paperSize="8" scale="5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D2137-34E1-4E08-837E-9AAC7ED778F7}">
  <dimension ref="A1:N193"/>
  <sheetViews>
    <sheetView view="pageBreakPreview" zoomScaleNormal="100" zoomScaleSheetLayoutView="100" workbookViewId="0">
      <pane xSplit="2" ySplit="3" topLeftCell="C4" activePane="bottomRight" state="frozen"/>
      <selection pane="topRight" activeCell="D1" sqref="D1"/>
      <selection pane="bottomLeft" activeCell="A6" sqref="A6"/>
      <selection pane="bottomRight" activeCell="G6" sqref="G6"/>
    </sheetView>
  </sheetViews>
  <sheetFormatPr defaultRowHeight="15" x14ac:dyDescent="0.25"/>
  <cols>
    <col min="1" max="1" width="71.42578125" bestFit="1" customWidth="1"/>
    <col min="2" max="2" width="36" customWidth="1"/>
    <col min="3" max="3" width="11.85546875" style="6" customWidth="1"/>
    <col min="4" max="4" width="20.140625" style="6" customWidth="1"/>
    <col min="5" max="5" width="16" style="6" bestFit="1" customWidth="1"/>
    <col min="6" max="7" width="16" style="6" customWidth="1"/>
    <col min="8" max="8" width="14.28515625" style="44" customWidth="1"/>
    <col min="9" max="9" width="21.42578125" style="41" bestFit="1" customWidth="1"/>
    <col min="10" max="10" width="18" style="41" customWidth="1"/>
    <col min="11" max="11" width="16.5703125" style="41" bestFit="1" customWidth="1"/>
    <col min="12" max="12" width="12" style="41" bestFit="1" customWidth="1"/>
    <col min="13" max="13" width="28" customWidth="1"/>
    <col min="14" max="14" width="11" style="43" customWidth="1"/>
  </cols>
  <sheetData>
    <row r="1" spans="1:14" s="8" customFormat="1" ht="30" customHeight="1" x14ac:dyDescent="0.25">
      <c r="A1" s="479" t="s">
        <v>766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7"/>
    </row>
    <row r="2" spans="1:14" s="3" customFormat="1" ht="19.5" customHeight="1" x14ac:dyDescent="0.25">
      <c r="A2" s="487" t="s">
        <v>2</v>
      </c>
      <c r="B2" s="483" t="s">
        <v>3</v>
      </c>
      <c r="C2" s="486" t="s">
        <v>4</v>
      </c>
      <c r="D2" s="487" t="s">
        <v>5</v>
      </c>
      <c r="E2" s="501" t="s">
        <v>6</v>
      </c>
      <c r="F2" s="501"/>
      <c r="G2" s="486" t="s">
        <v>65</v>
      </c>
      <c r="H2" s="488" t="s">
        <v>9</v>
      </c>
      <c r="I2" s="482" t="s">
        <v>10</v>
      </c>
      <c r="J2" s="483" t="s">
        <v>11</v>
      </c>
      <c r="K2" s="482" t="s">
        <v>12</v>
      </c>
      <c r="L2" s="483" t="s">
        <v>13</v>
      </c>
      <c r="M2" s="482" t="s">
        <v>14</v>
      </c>
      <c r="N2" s="11"/>
    </row>
    <row r="3" spans="1:14" s="3" customFormat="1" ht="26.25" customHeight="1" x14ac:dyDescent="0.25">
      <c r="A3" s="487"/>
      <c r="B3" s="483"/>
      <c r="C3" s="486"/>
      <c r="D3" s="487"/>
      <c r="E3" s="502"/>
      <c r="F3" s="502"/>
      <c r="G3" s="486"/>
      <c r="H3" s="488"/>
      <c r="I3" s="482"/>
      <c r="J3" s="483"/>
      <c r="K3" s="482"/>
      <c r="L3" s="483"/>
      <c r="M3" s="484"/>
      <c r="N3" s="11"/>
    </row>
    <row r="4" spans="1:14" s="53" customFormat="1" ht="15.75" x14ac:dyDescent="0.25">
      <c r="A4" s="49">
        <v>1007</v>
      </c>
      <c r="B4" s="50" t="s">
        <v>73</v>
      </c>
      <c r="C4" s="56">
        <v>6855.5</v>
      </c>
      <c r="D4" s="57">
        <v>0.25</v>
      </c>
      <c r="E4" s="58">
        <f t="shared" ref="E4:E35" si="0">C4*D4</f>
        <v>1713.875</v>
      </c>
      <c r="F4" s="58"/>
      <c r="G4" s="58">
        <f t="shared" ref="G4:G35" si="1">E4-F4</f>
        <v>1713.875</v>
      </c>
      <c r="H4" s="51">
        <v>1515504</v>
      </c>
      <c r="I4" s="52" t="s">
        <v>74</v>
      </c>
      <c r="J4" s="51" t="s">
        <v>75</v>
      </c>
      <c r="K4" s="52" t="s">
        <v>76</v>
      </c>
      <c r="L4" s="51">
        <v>91748840</v>
      </c>
      <c r="M4" s="59"/>
      <c r="N4" s="48"/>
    </row>
    <row r="5" spans="1:14" s="53" customFormat="1" ht="15.75" x14ac:dyDescent="0.25">
      <c r="A5" s="49">
        <v>1041</v>
      </c>
      <c r="B5" s="55" t="s">
        <v>77</v>
      </c>
      <c r="C5" s="56">
        <v>4091.9</v>
      </c>
      <c r="D5" s="57">
        <v>0.25</v>
      </c>
      <c r="E5" s="58">
        <f t="shared" si="0"/>
        <v>1022.975</v>
      </c>
      <c r="F5" s="58"/>
      <c r="G5" s="58">
        <f t="shared" si="1"/>
        <v>1022.975</v>
      </c>
      <c r="H5" s="51">
        <v>6827729</v>
      </c>
      <c r="I5" s="52" t="s">
        <v>78</v>
      </c>
      <c r="J5" s="17" t="s">
        <v>40</v>
      </c>
      <c r="K5" s="52" t="s">
        <v>19</v>
      </c>
      <c r="L5" s="51">
        <v>92272935</v>
      </c>
      <c r="M5" s="59"/>
      <c r="N5" s="48"/>
    </row>
    <row r="6" spans="1:14" s="53" customFormat="1" ht="15.75" x14ac:dyDescent="0.25">
      <c r="A6" s="49">
        <v>1125</v>
      </c>
      <c r="B6" s="55" t="s">
        <v>79</v>
      </c>
      <c r="C6" s="56">
        <v>5066.3</v>
      </c>
      <c r="D6" s="57">
        <v>0.25</v>
      </c>
      <c r="E6" s="58">
        <f t="shared" si="0"/>
        <v>1266.575</v>
      </c>
      <c r="F6" s="58"/>
      <c r="G6" s="58">
        <f t="shared" si="1"/>
        <v>1266.575</v>
      </c>
      <c r="H6" s="51">
        <v>6828774</v>
      </c>
      <c r="I6" s="52" t="s">
        <v>80</v>
      </c>
      <c r="J6" s="17" t="s">
        <v>36</v>
      </c>
      <c r="K6" s="52" t="s">
        <v>37</v>
      </c>
      <c r="L6" s="51">
        <v>91267555</v>
      </c>
      <c r="M6" s="60"/>
      <c r="N6" s="48"/>
    </row>
    <row r="7" spans="1:14" s="53" customFormat="1" ht="15.75" x14ac:dyDescent="0.25">
      <c r="A7" s="85">
        <v>1222</v>
      </c>
      <c r="B7" s="55" t="s">
        <v>81</v>
      </c>
      <c r="C7" s="65"/>
      <c r="D7" s="57">
        <v>0.25</v>
      </c>
      <c r="E7" s="58">
        <f t="shared" si="0"/>
        <v>0</v>
      </c>
      <c r="F7" s="58"/>
      <c r="G7" s="58">
        <f t="shared" si="1"/>
        <v>0</v>
      </c>
      <c r="H7" s="51">
        <v>31221</v>
      </c>
      <c r="I7" s="52" t="s">
        <v>82</v>
      </c>
      <c r="J7" s="51" t="s">
        <v>83</v>
      </c>
      <c r="K7" s="52" t="s">
        <v>84</v>
      </c>
      <c r="L7" s="51"/>
      <c r="M7" s="60"/>
      <c r="N7" s="48"/>
    </row>
    <row r="8" spans="1:14" s="53" customFormat="1" ht="15.75" x14ac:dyDescent="0.25">
      <c r="A8" s="49">
        <v>1286</v>
      </c>
      <c r="B8" s="50" t="s">
        <v>85</v>
      </c>
      <c r="C8" s="56">
        <v>4451.5</v>
      </c>
      <c r="D8" s="57">
        <v>0.25</v>
      </c>
      <c r="E8" s="58">
        <f t="shared" si="0"/>
        <v>1112.875</v>
      </c>
      <c r="F8" s="58"/>
      <c r="G8" s="58">
        <f t="shared" si="1"/>
        <v>1112.875</v>
      </c>
      <c r="H8" s="51">
        <v>368056</v>
      </c>
      <c r="I8" s="52" t="s">
        <v>86</v>
      </c>
      <c r="J8" s="51" t="s">
        <v>40</v>
      </c>
      <c r="K8" s="52" t="s">
        <v>19</v>
      </c>
      <c r="L8" s="51">
        <v>99494264</v>
      </c>
      <c r="M8" s="61"/>
      <c r="N8" s="48"/>
    </row>
    <row r="9" spans="1:14" s="53" customFormat="1" ht="15.75" x14ac:dyDescent="0.25">
      <c r="A9" s="49">
        <v>1344</v>
      </c>
      <c r="B9" s="50" t="s">
        <v>66</v>
      </c>
      <c r="C9" s="56">
        <v>3510.8</v>
      </c>
      <c r="D9" s="57">
        <v>0.25</v>
      </c>
      <c r="E9" s="58">
        <f t="shared" si="0"/>
        <v>877.7</v>
      </c>
      <c r="F9" s="58"/>
      <c r="G9" s="58">
        <f t="shared" si="1"/>
        <v>877.7</v>
      </c>
      <c r="H9" s="51">
        <v>4014519</v>
      </c>
      <c r="I9" s="52" t="s">
        <v>87</v>
      </c>
      <c r="J9" s="51" t="s">
        <v>88</v>
      </c>
      <c r="K9" s="52" t="s">
        <v>89</v>
      </c>
      <c r="L9" s="51"/>
      <c r="M9" s="59"/>
      <c r="N9" s="48"/>
    </row>
    <row r="10" spans="1:14" s="53" customFormat="1" ht="15.75" x14ac:dyDescent="0.25">
      <c r="A10" s="49">
        <v>1352</v>
      </c>
      <c r="B10" s="50" t="s">
        <v>90</v>
      </c>
      <c r="C10" s="56">
        <v>1246.0999999999999</v>
      </c>
      <c r="D10" s="57">
        <v>0.25</v>
      </c>
      <c r="E10" s="58">
        <f t="shared" si="0"/>
        <v>311.52499999999998</v>
      </c>
      <c r="F10" s="58"/>
      <c r="G10" s="58">
        <f t="shared" si="1"/>
        <v>311.52499999999998</v>
      </c>
      <c r="H10" s="51">
        <v>1627344</v>
      </c>
      <c r="I10" s="52" t="s">
        <v>91</v>
      </c>
      <c r="J10" s="51" t="s">
        <v>40</v>
      </c>
      <c r="K10" s="52" t="s">
        <v>19</v>
      </c>
      <c r="L10" s="51"/>
      <c r="M10" s="59"/>
      <c r="N10" s="48"/>
    </row>
    <row r="11" spans="1:14" s="53" customFormat="1" ht="15.75" x14ac:dyDescent="0.25">
      <c r="A11" s="49">
        <v>1354</v>
      </c>
      <c r="B11" s="55" t="s">
        <v>92</v>
      </c>
      <c r="C11" s="56">
        <v>2404.9</v>
      </c>
      <c r="D11" s="57">
        <v>0.25</v>
      </c>
      <c r="E11" s="58">
        <f t="shared" si="0"/>
        <v>601.22500000000002</v>
      </c>
      <c r="F11" s="58"/>
      <c r="G11" s="58">
        <f t="shared" si="1"/>
        <v>601.22500000000002</v>
      </c>
      <c r="H11" s="51">
        <v>925709</v>
      </c>
      <c r="I11" s="52" t="s">
        <v>93</v>
      </c>
      <c r="J11" s="51" t="s">
        <v>40</v>
      </c>
      <c r="K11" s="52" t="s">
        <v>19</v>
      </c>
      <c r="L11" s="51">
        <v>95187860</v>
      </c>
      <c r="M11" s="71"/>
      <c r="N11" s="48"/>
    </row>
    <row r="12" spans="1:14" s="53" customFormat="1" ht="15.75" x14ac:dyDescent="0.25">
      <c r="A12" s="49">
        <v>1357</v>
      </c>
      <c r="B12" s="55" t="s">
        <v>94</v>
      </c>
      <c r="C12" s="56">
        <v>5121.8</v>
      </c>
      <c r="D12" s="57">
        <v>0.25</v>
      </c>
      <c r="E12" s="58">
        <f t="shared" si="0"/>
        <v>1280.45</v>
      </c>
      <c r="F12" s="58"/>
      <c r="G12" s="58">
        <f t="shared" si="1"/>
        <v>1280.45</v>
      </c>
      <c r="H12" s="51">
        <v>1052276</v>
      </c>
      <c r="I12" s="52" t="s">
        <v>95</v>
      </c>
      <c r="J12" s="17" t="s">
        <v>36</v>
      </c>
      <c r="K12" s="52" t="s">
        <v>37</v>
      </c>
      <c r="L12" s="51">
        <v>95301260</v>
      </c>
      <c r="M12" s="71"/>
      <c r="N12" s="48"/>
    </row>
    <row r="13" spans="1:14" s="53" customFormat="1" ht="15.75" x14ac:dyDescent="0.25">
      <c r="A13" s="49">
        <v>1359</v>
      </c>
      <c r="B13" s="55" t="s">
        <v>96</v>
      </c>
      <c r="C13" s="56">
        <v>3913.4</v>
      </c>
      <c r="D13" s="57">
        <v>0.25</v>
      </c>
      <c r="E13" s="58">
        <f t="shared" si="0"/>
        <v>978.35</v>
      </c>
      <c r="F13" s="58"/>
      <c r="G13" s="58">
        <f t="shared" si="1"/>
        <v>978.35</v>
      </c>
      <c r="H13" s="51">
        <v>4812026</v>
      </c>
      <c r="I13" s="52" t="s">
        <v>97</v>
      </c>
      <c r="J13" s="51" t="s">
        <v>83</v>
      </c>
      <c r="K13" s="52" t="s">
        <v>84</v>
      </c>
      <c r="L13" s="51">
        <v>96616558</v>
      </c>
      <c r="M13" s="71"/>
      <c r="N13" s="48"/>
    </row>
    <row r="14" spans="1:14" s="53" customFormat="1" ht="15.75" x14ac:dyDescent="0.25">
      <c r="A14" s="49">
        <v>1367</v>
      </c>
      <c r="B14" s="50" t="s">
        <v>98</v>
      </c>
      <c r="C14" s="56">
        <v>1862.9</v>
      </c>
      <c r="D14" s="57">
        <v>0.25</v>
      </c>
      <c r="E14" s="58">
        <f t="shared" si="0"/>
        <v>465.72500000000002</v>
      </c>
      <c r="F14" s="58"/>
      <c r="G14" s="58">
        <f t="shared" si="1"/>
        <v>465.72500000000002</v>
      </c>
      <c r="H14" s="51">
        <v>6663593</v>
      </c>
      <c r="I14" s="52" t="s">
        <v>99</v>
      </c>
      <c r="J14" s="51" t="s">
        <v>40</v>
      </c>
      <c r="K14" s="52" t="s">
        <v>19</v>
      </c>
      <c r="L14" s="51">
        <v>92817702</v>
      </c>
      <c r="M14" s="71"/>
      <c r="N14" s="48"/>
    </row>
    <row r="15" spans="1:14" s="53" customFormat="1" ht="15.75" x14ac:dyDescent="0.25">
      <c r="A15" s="49">
        <v>1368</v>
      </c>
      <c r="B15" s="337" t="s">
        <v>100</v>
      </c>
      <c r="C15" s="56">
        <v>1477.4</v>
      </c>
      <c r="D15" s="57">
        <v>0.25</v>
      </c>
      <c r="E15" s="58">
        <f t="shared" si="0"/>
        <v>369.35</v>
      </c>
      <c r="F15" s="58"/>
      <c r="G15" s="58">
        <f t="shared" si="1"/>
        <v>369.35</v>
      </c>
      <c r="H15" s="52">
        <v>561902</v>
      </c>
      <c r="I15" s="52" t="s">
        <v>101</v>
      </c>
      <c r="J15" s="17" t="s">
        <v>36</v>
      </c>
      <c r="K15" s="52" t="s">
        <v>37</v>
      </c>
      <c r="L15" s="52">
        <v>99499622</v>
      </c>
      <c r="M15" s="71"/>
      <c r="N15" s="48"/>
    </row>
    <row r="16" spans="1:14" s="53" customFormat="1" ht="15.75" x14ac:dyDescent="0.25">
      <c r="A16" s="49">
        <v>2098</v>
      </c>
      <c r="B16" s="337" t="s">
        <v>324</v>
      </c>
      <c r="C16" s="56">
        <v>592.70000000000005</v>
      </c>
      <c r="D16" s="57">
        <v>0.25</v>
      </c>
      <c r="E16" s="58">
        <f t="shared" si="0"/>
        <v>148.17500000000001</v>
      </c>
      <c r="F16" s="58"/>
      <c r="G16" s="58">
        <f t="shared" si="1"/>
        <v>148.17500000000001</v>
      </c>
      <c r="H16" s="52">
        <v>1065899</v>
      </c>
      <c r="I16" s="52" t="s">
        <v>323</v>
      </c>
      <c r="J16" s="51" t="s">
        <v>40</v>
      </c>
      <c r="K16" s="52" t="s">
        <v>19</v>
      </c>
      <c r="L16" s="52"/>
      <c r="M16" s="71"/>
      <c r="N16" s="48"/>
    </row>
    <row r="17" spans="1:14" s="53" customFormat="1" ht="15.75" x14ac:dyDescent="0.25">
      <c r="A17" s="49">
        <v>2529</v>
      </c>
      <c r="B17" s="337" t="s">
        <v>629</v>
      </c>
      <c r="C17" s="56">
        <v>760.3</v>
      </c>
      <c r="D17" s="57">
        <v>0.25</v>
      </c>
      <c r="E17" s="58">
        <f t="shared" si="0"/>
        <v>190.07499999999999</v>
      </c>
      <c r="F17" s="58"/>
      <c r="G17" s="58">
        <f t="shared" si="1"/>
        <v>190.07499999999999</v>
      </c>
      <c r="H17" s="52" t="s">
        <v>628</v>
      </c>
      <c r="I17" s="52" t="s">
        <v>627</v>
      </c>
      <c r="J17" s="51" t="s">
        <v>40</v>
      </c>
      <c r="K17" s="52" t="s">
        <v>19</v>
      </c>
      <c r="L17" s="52">
        <v>95144359</v>
      </c>
      <c r="M17" s="71"/>
      <c r="N17" s="48"/>
    </row>
    <row r="18" spans="1:14" s="53" customFormat="1" ht="15.75" x14ac:dyDescent="0.25">
      <c r="A18" s="49">
        <v>3002</v>
      </c>
      <c r="B18" s="50" t="s">
        <v>102</v>
      </c>
      <c r="C18" s="56">
        <v>1139.5999999999999</v>
      </c>
      <c r="D18" s="57">
        <v>0.25</v>
      </c>
      <c r="E18" s="58">
        <f t="shared" si="0"/>
        <v>284.89999999999998</v>
      </c>
      <c r="F18" s="58"/>
      <c r="G18" s="58">
        <f t="shared" si="1"/>
        <v>284.89999999999998</v>
      </c>
      <c r="H18" s="51">
        <v>21220177</v>
      </c>
      <c r="I18" s="52" t="s">
        <v>103</v>
      </c>
      <c r="J18" s="51" t="s">
        <v>40</v>
      </c>
      <c r="K18" s="52" t="s">
        <v>19</v>
      </c>
      <c r="L18" s="51">
        <v>99280644</v>
      </c>
      <c r="M18" s="59"/>
      <c r="N18" s="48"/>
    </row>
    <row r="19" spans="1:14" s="53" customFormat="1" ht="15.75" x14ac:dyDescent="0.25">
      <c r="A19" s="85">
        <v>3035</v>
      </c>
      <c r="B19" s="74" t="s">
        <v>104</v>
      </c>
      <c r="C19" s="56">
        <v>635.20000000000005</v>
      </c>
      <c r="D19" s="57">
        <v>0.25</v>
      </c>
      <c r="E19" s="58">
        <f t="shared" si="0"/>
        <v>158.80000000000001</v>
      </c>
      <c r="F19" s="58"/>
      <c r="G19" s="58">
        <f t="shared" si="1"/>
        <v>158.80000000000001</v>
      </c>
      <c r="H19" s="75">
        <v>6725058</v>
      </c>
      <c r="I19" s="52" t="s">
        <v>105</v>
      </c>
      <c r="J19" s="51" t="s">
        <v>36</v>
      </c>
      <c r="K19" s="76" t="s">
        <v>37</v>
      </c>
      <c r="L19" s="75">
        <v>99198121</v>
      </c>
      <c r="M19" s="59"/>
      <c r="N19" s="48"/>
    </row>
    <row r="20" spans="1:14" s="53" customFormat="1" ht="15.75" x14ac:dyDescent="0.25">
      <c r="A20" s="49">
        <v>3057</v>
      </c>
      <c r="B20" s="50" t="s">
        <v>67</v>
      </c>
      <c r="C20" s="56">
        <v>2993.8</v>
      </c>
      <c r="D20" s="57">
        <v>0.25</v>
      </c>
      <c r="E20" s="58">
        <f t="shared" si="0"/>
        <v>748.45</v>
      </c>
      <c r="F20" s="58"/>
      <c r="G20" s="58">
        <f t="shared" si="1"/>
        <v>748.45</v>
      </c>
      <c r="H20" s="51">
        <v>626819</v>
      </c>
      <c r="I20" s="52" t="s">
        <v>106</v>
      </c>
      <c r="J20" s="51" t="s">
        <v>40</v>
      </c>
      <c r="K20" s="52" t="s">
        <v>19</v>
      </c>
      <c r="L20" s="51">
        <v>99298522</v>
      </c>
      <c r="M20" s="59"/>
      <c r="N20" s="48"/>
    </row>
    <row r="21" spans="1:14" s="53" customFormat="1" ht="15.75" x14ac:dyDescent="0.25">
      <c r="A21" s="49">
        <v>3062</v>
      </c>
      <c r="B21" s="50" t="s">
        <v>107</v>
      </c>
      <c r="C21" s="56">
        <v>2939.3</v>
      </c>
      <c r="D21" s="57">
        <v>0.25</v>
      </c>
      <c r="E21" s="58">
        <f t="shared" si="0"/>
        <v>734.82500000000005</v>
      </c>
      <c r="F21" s="58"/>
      <c r="G21" s="58">
        <f t="shared" si="1"/>
        <v>734.82500000000005</v>
      </c>
      <c r="H21" s="51">
        <v>300741</v>
      </c>
      <c r="I21" s="52" t="s">
        <v>108</v>
      </c>
      <c r="J21" s="51" t="s">
        <v>40</v>
      </c>
      <c r="K21" s="52" t="s">
        <v>19</v>
      </c>
      <c r="L21" s="51">
        <v>99008320</v>
      </c>
      <c r="M21" s="59"/>
      <c r="N21" s="48"/>
    </row>
    <row r="22" spans="1:14" s="53" customFormat="1" ht="15.75" x14ac:dyDescent="0.25">
      <c r="A22" s="49">
        <v>3080</v>
      </c>
      <c r="B22" s="50" t="s">
        <v>109</v>
      </c>
      <c r="C22" s="56">
        <v>1850.4</v>
      </c>
      <c r="D22" s="57">
        <v>0.25</v>
      </c>
      <c r="E22" s="58">
        <f t="shared" si="0"/>
        <v>462.6</v>
      </c>
      <c r="F22" s="58"/>
      <c r="G22" s="58">
        <f t="shared" si="1"/>
        <v>462.6</v>
      </c>
      <c r="H22" s="51">
        <v>14301608</v>
      </c>
      <c r="I22" s="52" t="s">
        <v>110</v>
      </c>
      <c r="J22" s="51" t="s">
        <v>40</v>
      </c>
      <c r="K22" s="52" t="s">
        <v>19</v>
      </c>
      <c r="L22" s="51">
        <v>98122611</v>
      </c>
      <c r="M22" s="59"/>
      <c r="N22" s="77"/>
    </row>
    <row r="23" spans="1:14" s="53" customFormat="1" ht="15.75" x14ac:dyDescent="0.25">
      <c r="A23" s="54">
        <v>3086</v>
      </c>
      <c r="B23" s="50" t="s">
        <v>111</v>
      </c>
      <c r="C23" s="56">
        <v>703.4</v>
      </c>
      <c r="D23" s="57">
        <v>0.25</v>
      </c>
      <c r="E23" s="58">
        <f t="shared" si="0"/>
        <v>175.85</v>
      </c>
      <c r="F23" s="58"/>
      <c r="G23" s="58">
        <f t="shared" si="1"/>
        <v>175.85</v>
      </c>
      <c r="H23" s="51">
        <v>300033</v>
      </c>
      <c r="I23" s="52" t="s">
        <v>112</v>
      </c>
      <c r="J23" s="51" t="s">
        <v>40</v>
      </c>
      <c r="K23" s="52" t="s">
        <v>19</v>
      </c>
      <c r="L23" s="51"/>
      <c r="M23" s="285"/>
      <c r="N23" s="48"/>
    </row>
    <row r="24" spans="1:14" s="53" customFormat="1" ht="15.75" x14ac:dyDescent="0.25">
      <c r="A24" s="49">
        <v>3132</v>
      </c>
      <c r="B24" s="50" t="s">
        <v>113</v>
      </c>
      <c r="C24" s="56">
        <v>1841.5</v>
      </c>
      <c r="D24" s="57">
        <v>0.25</v>
      </c>
      <c r="E24" s="58">
        <f t="shared" si="0"/>
        <v>460.375</v>
      </c>
      <c r="F24" s="58"/>
      <c r="G24" s="58">
        <f t="shared" si="1"/>
        <v>460.375</v>
      </c>
      <c r="H24" s="51">
        <v>14606296</v>
      </c>
      <c r="I24" s="52" t="s">
        <v>114</v>
      </c>
      <c r="J24" s="51" t="s">
        <v>40</v>
      </c>
      <c r="K24" s="52" t="s">
        <v>19</v>
      </c>
      <c r="L24" s="51">
        <v>91493522</v>
      </c>
      <c r="M24" s="59"/>
      <c r="N24" s="48"/>
    </row>
    <row r="25" spans="1:14" s="53" customFormat="1" ht="15.75" x14ac:dyDescent="0.25">
      <c r="A25" s="49">
        <v>3134</v>
      </c>
      <c r="B25" s="50" t="s">
        <v>115</v>
      </c>
      <c r="C25" s="56">
        <v>1559.7</v>
      </c>
      <c r="D25" s="57">
        <v>0.25</v>
      </c>
      <c r="E25" s="58">
        <f t="shared" si="0"/>
        <v>389.92500000000001</v>
      </c>
      <c r="F25" s="58"/>
      <c r="G25" s="58">
        <f t="shared" si="1"/>
        <v>389.92500000000001</v>
      </c>
      <c r="H25" s="51">
        <v>2154413</v>
      </c>
      <c r="I25" s="52" t="s">
        <v>116</v>
      </c>
      <c r="J25" s="51" t="s">
        <v>36</v>
      </c>
      <c r="K25" s="52" t="s">
        <v>37</v>
      </c>
      <c r="L25" s="51">
        <v>99493731</v>
      </c>
      <c r="M25" s="59"/>
      <c r="N25" s="48"/>
    </row>
    <row r="26" spans="1:14" s="53" customFormat="1" ht="15.75" x14ac:dyDescent="0.25">
      <c r="A26" s="49">
        <v>3142</v>
      </c>
      <c r="B26" s="50" t="s">
        <v>117</v>
      </c>
      <c r="C26" s="56">
        <v>4743.3</v>
      </c>
      <c r="D26" s="57">
        <v>0.25</v>
      </c>
      <c r="E26" s="58">
        <f t="shared" si="0"/>
        <v>1185.825</v>
      </c>
      <c r="F26" s="58"/>
      <c r="G26" s="58">
        <f t="shared" si="1"/>
        <v>1185.825</v>
      </c>
      <c r="H26" s="51">
        <v>165497</v>
      </c>
      <c r="I26" s="52" t="s">
        <v>118</v>
      </c>
      <c r="J26" s="51" t="s">
        <v>88</v>
      </c>
      <c r="K26" s="52" t="s">
        <v>89</v>
      </c>
      <c r="L26" s="51">
        <v>99499872</v>
      </c>
      <c r="M26" s="59"/>
      <c r="N26" s="48"/>
    </row>
    <row r="27" spans="1:14" s="53" customFormat="1" ht="15.75" x14ac:dyDescent="0.25">
      <c r="A27" s="49">
        <v>3145</v>
      </c>
      <c r="B27" s="87" t="s">
        <v>119</v>
      </c>
      <c r="C27" s="56">
        <v>2184.6</v>
      </c>
      <c r="D27" s="57">
        <v>0.25</v>
      </c>
      <c r="E27" s="58">
        <f t="shared" si="0"/>
        <v>546.15</v>
      </c>
      <c r="F27" s="58"/>
      <c r="G27" s="58">
        <f t="shared" si="1"/>
        <v>546.15</v>
      </c>
      <c r="H27" s="88">
        <v>1915745</v>
      </c>
      <c r="I27" s="89" t="s">
        <v>120</v>
      </c>
      <c r="J27" s="88" t="s">
        <v>40</v>
      </c>
      <c r="K27" s="89" t="s">
        <v>19</v>
      </c>
      <c r="L27" s="88">
        <v>99489050</v>
      </c>
      <c r="M27" s="59"/>
      <c r="N27" s="48"/>
    </row>
    <row r="28" spans="1:14" s="53" customFormat="1" ht="15.75" x14ac:dyDescent="0.25">
      <c r="A28" s="49">
        <v>3147</v>
      </c>
      <c r="B28" s="50" t="s">
        <v>122</v>
      </c>
      <c r="C28" s="56">
        <v>1740.5</v>
      </c>
      <c r="D28" s="57">
        <v>0.25</v>
      </c>
      <c r="E28" s="58">
        <f t="shared" si="0"/>
        <v>435.125</v>
      </c>
      <c r="F28" s="58"/>
      <c r="G28" s="58">
        <f t="shared" si="1"/>
        <v>435.125</v>
      </c>
      <c r="H28" s="51">
        <v>1662414</v>
      </c>
      <c r="I28" s="52" t="s">
        <v>123</v>
      </c>
      <c r="J28" s="51" t="s">
        <v>88</v>
      </c>
      <c r="K28" s="52" t="s">
        <v>89</v>
      </c>
      <c r="L28" s="51">
        <v>99282006</v>
      </c>
      <c r="M28" s="59"/>
      <c r="N28" s="48"/>
    </row>
    <row r="29" spans="1:14" s="53" customFormat="1" ht="15.75" x14ac:dyDescent="0.25">
      <c r="A29" s="49">
        <v>3148</v>
      </c>
      <c r="B29" s="50" t="s">
        <v>124</v>
      </c>
      <c r="C29" s="56">
        <v>1886.4</v>
      </c>
      <c r="D29" s="57">
        <v>0.25</v>
      </c>
      <c r="E29" s="58">
        <f t="shared" si="0"/>
        <v>471.6</v>
      </c>
      <c r="F29" s="58"/>
      <c r="G29" s="58">
        <f t="shared" si="1"/>
        <v>471.6</v>
      </c>
      <c r="H29" s="51">
        <v>19545736</v>
      </c>
      <c r="I29" s="52" t="s">
        <v>125</v>
      </c>
      <c r="J29" s="51" t="s">
        <v>36</v>
      </c>
      <c r="K29" s="52" t="s">
        <v>37</v>
      </c>
      <c r="L29" s="51"/>
      <c r="M29" s="59"/>
      <c r="N29" s="48"/>
    </row>
    <row r="30" spans="1:14" s="53" customFormat="1" ht="15.75" x14ac:dyDescent="0.25">
      <c r="A30" s="49">
        <v>3149</v>
      </c>
      <c r="B30" s="50" t="s">
        <v>126</v>
      </c>
      <c r="C30" s="56">
        <v>1658</v>
      </c>
      <c r="D30" s="57">
        <v>0.25</v>
      </c>
      <c r="E30" s="58">
        <f t="shared" si="0"/>
        <v>414.5</v>
      </c>
      <c r="F30" s="58"/>
      <c r="G30" s="58">
        <f t="shared" si="1"/>
        <v>414.5</v>
      </c>
      <c r="H30" s="51">
        <v>4941095</v>
      </c>
      <c r="I30" s="52" t="s">
        <v>127</v>
      </c>
      <c r="J30" s="51" t="s">
        <v>128</v>
      </c>
      <c r="K30" s="52" t="s">
        <v>129</v>
      </c>
      <c r="L30" s="51">
        <v>93500864</v>
      </c>
      <c r="M30" s="59"/>
      <c r="N30" s="48"/>
    </row>
    <row r="31" spans="1:14" s="53" customFormat="1" ht="15.75" x14ac:dyDescent="0.25">
      <c r="A31" s="49">
        <v>3150</v>
      </c>
      <c r="B31" s="50" t="s">
        <v>553</v>
      </c>
      <c r="C31" s="56">
        <v>477.2</v>
      </c>
      <c r="D31" s="57">
        <v>0.25</v>
      </c>
      <c r="E31" s="58">
        <f t="shared" si="0"/>
        <v>119.3</v>
      </c>
      <c r="F31" s="58"/>
      <c r="G31" s="58">
        <f t="shared" si="1"/>
        <v>119.3</v>
      </c>
      <c r="H31" s="51">
        <v>18940347</v>
      </c>
      <c r="I31" s="52" t="s">
        <v>552</v>
      </c>
      <c r="J31" s="88" t="s">
        <v>40</v>
      </c>
      <c r="K31" s="89" t="s">
        <v>19</v>
      </c>
      <c r="L31" s="51">
        <v>98905289</v>
      </c>
      <c r="M31" s="59"/>
      <c r="N31" s="48"/>
    </row>
    <row r="32" spans="1:14" s="53" customFormat="1" ht="15.75" x14ac:dyDescent="0.25">
      <c r="A32" s="49">
        <v>3152</v>
      </c>
      <c r="B32" s="50" t="s">
        <v>130</v>
      </c>
      <c r="C32" s="56">
        <v>3082.9</v>
      </c>
      <c r="D32" s="57">
        <v>0.25</v>
      </c>
      <c r="E32" s="58">
        <f t="shared" si="0"/>
        <v>770.72500000000002</v>
      </c>
      <c r="F32" s="58"/>
      <c r="G32" s="58">
        <f t="shared" si="1"/>
        <v>770.72500000000002</v>
      </c>
      <c r="H32" s="51">
        <v>941993</v>
      </c>
      <c r="I32" s="52" t="s">
        <v>131</v>
      </c>
      <c r="J32" s="51" t="s">
        <v>36</v>
      </c>
      <c r="K32" s="52" t="s">
        <v>37</v>
      </c>
      <c r="L32" s="51">
        <v>99086500</v>
      </c>
      <c r="M32" s="59"/>
      <c r="N32" s="48"/>
    </row>
    <row r="33" spans="1:14" s="53" customFormat="1" ht="15.75" x14ac:dyDescent="0.25">
      <c r="A33" s="49">
        <v>3153</v>
      </c>
      <c r="B33" s="50" t="s">
        <v>15</v>
      </c>
      <c r="C33" s="56">
        <v>3099.6</v>
      </c>
      <c r="D33" s="57">
        <v>0.25</v>
      </c>
      <c r="E33" s="58">
        <f t="shared" si="0"/>
        <v>774.9</v>
      </c>
      <c r="F33" s="58"/>
      <c r="G33" s="58">
        <f t="shared" si="1"/>
        <v>774.9</v>
      </c>
      <c r="H33" s="51">
        <v>6989479</v>
      </c>
      <c r="I33" s="52" t="s">
        <v>17</v>
      </c>
      <c r="J33" s="51" t="s">
        <v>18</v>
      </c>
      <c r="K33" s="52" t="s">
        <v>19</v>
      </c>
      <c r="L33" s="51">
        <v>99699500</v>
      </c>
      <c r="M33" s="59"/>
      <c r="N33" s="48"/>
    </row>
    <row r="34" spans="1:14" s="53" customFormat="1" ht="15.75" x14ac:dyDescent="0.25">
      <c r="A34" s="49">
        <v>3154</v>
      </c>
      <c r="B34" s="50" t="s">
        <v>765</v>
      </c>
      <c r="C34" s="56">
        <v>151.5</v>
      </c>
      <c r="D34" s="57" t="s">
        <v>16</v>
      </c>
      <c r="E34" s="58">
        <f t="shared" si="0"/>
        <v>37.875</v>
      </c>
      <c r="F34" s="58"/>
      <c r="G34" s="58">
        <f t="shared" si="1"/>
        <v>37.875</v>
      </c>
      <c r="H34" s="51">
        <v>3078313</v>
      </c>
      <c r="I34" s="52" t="s">
        <v>764</v>
      </c>
      <c r="J34" s="51" t="s">
        <v>83</v>
      </c>
      <c r="K34" s="52" t="s">
        <v>84</v>
      </c>
      <c r="L34" s="51">
        <v>92907237</v>
      </c>
      <c r="M34" s="59"/>
      <c r="N34" s="48"/>
    </row>
    <row r="35" spans="1:14" s="53" customFormat="1" ht="15.75" x14ac:dyDescent="0.25">
      <c r="A35" s="78">
        <v>3155</v>
      </c>
      <c r="B35" s="50" t="s">
        <v>132</v>
      </c>
      <c r="C35" s="56">
        <v>624.9</v>
      </c>
      <c r="D35" s="57">
        <v>0.25</v>
      </c>
      <c r="E35" s="58">
        <f t="shared" si="0"/>
        <v>156.22499999999999</v>
      </c>
      <c r="F35" s="58"/>
      <c r="G35" s="58">
        <f t="shared" si="1"/>
        <v>156.22499999999999</v>
      </c>
      <c r="H35" s="51">
        <v>19188794</v>
      </c>
      <c r="I35" s="52" t="s">
        <v>133</v>
      </c>
      <c r="J35" s="51" t="s">
        <v>40</v>
      </c>
      <c r="K35" s="52" t="s">
        <v>19</v>
      </c>
      <c r="L35" s="51">
        <v>93215515</v>
      </c>
      <c r="M35" s="59"/>
      <c r="N35" s="48"/>
    </row>
    <row r="36" spans="1:14" s="53" customFormat="1" ht="15.75" x14ac:dyDescent="0.25">
      <c r="A36" s="49">
        <v>3158</v>
      </c>
      <c r="B36" s="50" t="s">
        <v>134</v>
      </c>
      <c r="C36" s="56">
        <v>3910.6</v>
      </c>
      <c r="D36" s="57">
        <v>0.25</v>
      </c>
      <c r="E36" s="58">
        <f t="shared" ref="E36:E67" si="2">C36*D36</f>
        <v>977.65</v>
      </c>
      <c r="F36" s="58"/>
      <c r="G36" s="58">
        <f t="shared" ref="G36:G67" si="3">E36-F36</f>
        <v>977.65</v>
      </c>
      <c r="H36" s="51" t="s">
        <v>135</v>
      </c>
      <c r="I36" s="52" t="s">
        <v>136</v>
      </c>
      <c r="J36" s="51" t="s">
        <v>40</v>
      </c>
      <c r="K36" s="52" t="s">
        <v>19</v>
      </c>
      <c r="L36" s="51">
        <v>99694218</v>
      </c>
      <c r="M36" s="59"/>
      <c r="N36" s="48"/>
    </row>
    <row r="37" spans="1:14" s="53" customFormat="1" ht="15.75" x14ac:dyDescent="0.25">
      <c r="A37" s="49">
        <v>3159</v>
      </c>
      <c r="B37" s="50" t="s">
        <v>137</v>
      </c>
      <c r="C37" s="56">
        <v>672.7</v>
      </c>
      <c r="D37" s="57">
        <v>0.25</v>
      </c>
      <c r="E37" s="58">
        <f t="shared" si="2"/>
        <v>168.17500000000001</v>
      </c>
      <c r="F37" s="58"/>
      <c r="G37" s="58">
        <f t="shared" si="3"/>
        <v>168.17500000000001</v>
      </c>
      <c r="H37" s="51">
        <v>1297478</v>
      </c>
      <c r="I37" s="52" t="s">
        <v>138</v>
      </c>
      <c r="J37" s="51" t="s">
        <v>40</v>
      </c>
      <c r="K37" s="52" t="s">
        <v>19</v>
      </c>
      <c r="L37" s="51">
        <v>99497177</v>
      </c>
      <c r="M37" s="59"/>
      <c r="N37" s="48"/>
    </row>
    <row r="38" spans="1:14" s="53" customFormat="1" ht="15.75" x14ac:dyDescent="0.25">
      <c r="A38" s="49">
        <v>3160</v>
      </c>
      <c r="B38" s="50" t="s">
        <v>139</v>
      </c>
      <c r="C38" s="56">
        <v>1815.3</v>
      </c>
      <c r="D38" s="57">
        <v>0.25</v>
      </c>
      <c r="E38" s="58">
        <f t="shared" si="2"/>
        <v>453.82499999999999</v>
      </c>
      <c r="F38" s="58"/>
      <c r="G38" s="58">
        <f t="shared" si="3"/>
        <v>453.82499999999999</v>
      </c>
      <c r="H38" s="51">
        <v>2837163</v>
      </c>
      <c r="I38" s="52" t="s">
        <v>140</v>
      </c>
      <c r="J38" s="51" t="s">
        <v>46</v>
      </c>
      <c r="K38" s="52" t="s">
        <v>47</v>
      </c>
      <c r="L38" s="51">
        <v>99497455</v>
      </c>
      <c r="M38" s="59"/>
      <c r="N38" s="48"/>
    </row>
    <row r="39" spans="1:14" s="53" customFormat="1" ht="15.75" x14ac:dyDescent="0.25">
      <c r="A39" s="49">
        <v>3162</v>
      </c>
      <c r="B39" s="50" t="s">
        <v>141</v>
      </c>
      <c r="C39" s="56">
        <v>5163.3999999999996</v>
      </c>
      <c r="D39" s="57">
        <v>0.25</v>
      </c>
      <c r="E39" s="58">
        <f t="shared" si="2"/>
        <v>1290.8499999999999</v>
      </c>
      <c r="F39" s="58"/>
      <c r="G39" s="58">
        <f t="shared" si="3"/>
        <v>1290.8499999999999</v>
      </c>
      <c r="H39" s="51">
        <v>7017227</v>
      </c>
      <c r="I39" s="52" t="s">
        <v>142</v>
      </c>
      <c r="J39" s="51" t="s">
        <v>36</v>
      </c>
      <c r="K39" s="52" t="s">
        <v>37</v>
      </c>
      <c r="L39" s="51">
        <v>99523400</v>
      </c>
      <c r="M39" s="59"/>
      <c r="N39" s="48"/>
    </row>
    <row r="40" spans="1:14" s="53" customFormat="1" ht="15.75" x14ac:dyDescent="0.25">
      <c r="A40" s="49">
        <v>3164</v>
      </c>
      <c r="B40" s="50" t="s">
        <v>143</v>
      </c>
      <c r="C40" s="56">
        <v>2459.9</v>
      </c>
      <c r="D40" s="57">
        <v>0.25</v>
      </c>
      <c r="E40" s="58">
        <f t="shared" si="2"/>
        <v>614.97500000000002</v>
      </c>
      <c r="F40" s="58"/>
      <c r="G40" s="58">
        <f t="shared" si="3"/>
        <v>614.97500000000002</v>
      </c>
      <c r="H40" s="51">
        <v>7466062</v>
      </c>
      <c r="I40" s="52" t="s">
        <v>144</v>
      </c>
      <c r="J40" s="17" t="s">
        <v>145</v>
      </c>
      <c r="K40" s="52" t="s">
        <v>146</v>
      </c>
      <c r="L40" s="51">
        <v>91135005</v>
      </c>
      <c r="M40" s="59"/>
      <c r="N40" s="48"/>
    </row>
    <row r="41" spans="1:14" s="53" customFormat="1" ht="15.75" x14ac:dyDescent="0.25">
      <c r="A41" s="49">
        <v>3165</v>
      </c>
      <c r="B41" s="50" t="s">
        <v>147</v>
      </c>
      <c r="C41" s="56">
        <v>584.4</v>
      </c>
      <c r="D41" s="57">
        <v>0.25</v>
      </c>
      <c r="E41" s="58">
        <f t="shared" si="2"/>
        <v>146.1</v>
      </c>
      <c r="F41" s="58"/>
      <c r="G41" s="58">
        <f t="shared" si="3"/>
        <v>146.1</v>
      </c>
      <c r="H41" s="51">
        <v>19029628</v>
      </c>
      <c r="I41" s="52" t="s">
        <v>148</v>
      </c>
      <c r="J41" s="51" t="s">
        <v>36</v>
      </c>
      <c r="K41" s="52" t="s">
        <v>37</v>
      </c>
      <c r="L41" s="51">
        <v>96055446</v>
      </c>
      <c r="M41" s="86"/>
      <c r="N41" s="48"/>
    </row>
    <row r="42" spans="1:14" s="53" customFormat="1" ht="15.75" x14ac:dyDescent="0.25">
      <c r="A42" s="49">
        <v>3169</v>
      </c>
      <c r="B42" s="50" t="s">
        <v>34</v>
      </c>
      <c r="C42" s="56">
        <v>1803.7</v>
      </c>
      <c r="D42" s="57">
        <v>0.25</v>
      </c>
      <c r="E42" s="58">
        <f t="shared" si="2"/>
        <v>450.92500000000001</v>
      </c>
      <c r="F42" s="58"/>
      <c r="G42" s="58">
        <f t="shared" si="3"/>
        <v>450.92500000000001</v>
      </c>
      <c r="H42" s="51">
        <v>3068756</v>
      </c>
      <c r="I42" s="52" t="s">
        <v>35</v>
      </c>
      <c r="J42" s="51" t="s">
        <v>36</v>
      </c>
      <c r="K42" s="52" t="s">
        <v>37</v>
      </c>
      <c r="L42" s="51">
        <v>99691806</v>
      </c>
      <c r="M42" s="59"/>
      <c r="N42" s="48"/>
    </row>
    <row r="43" spans="1:14" s="53" customFormat="1" ht="15.75" x14ac:dyDescent="0.25">
      <c r="A43" s="49">
        <v>3171</v>
      </c>
      <c r="B43" s="50" t="s">
        <v>149</v>
      </c>
      <c r="C43" s="56">
        <v>1037.9000000000001</v>
      </c>
      <c r="D43" s="57">
        <v>0.25</v>
      </c>
      <c r="E43" s="58">
        <f t="shared" si="2"/>
        <v>259.47500000000002</v>
      </c>
      <c r="F43" s="58"/>
      <c r="G43" s="58">
        <f t="shared" si="3"/>
        <v>259.47500000000002</v>
      </c>
      <c r="H43" s="51">
        <v>7239057</v>
      </c>
      <c r="I43" s="52" t="s">
        <v>150</v>
      </c>
      <c r="J43" s="51" t="s">
        <v>88</v>
      </c>
      <c r="K43" s="52" t="s">
        <v>89</v>
      </c>
      <c r="L43" s="51">
        <v>95880860</v>
      </c>
      <c r="M43" s="59"/>
      <c r="N43" s="48"/>
    </row>
    <row r="44" spans="1:14" s="53" customFormat="1" ht="15.75" x14ac:dyDescent="0.25">
      <c r="A44" s="49">
        <v>3172</v>
      </c>
      <c r="B44" s="50" t="s">
        <v>151</v>
      </c>
      <c r="C44" s="56">
        <v>1858.6</v>
      </c>
      <c r="D44" s="57">
        <v>0.25</v>
      </c>
      <c r="E44" s="58">
        <f t="shared" si="2"/>
        <v>464.65</v>
      </c>
      <c r="F44" s="58"/>
      <c r="G44" s="58">
        <f t="shared" si="3"/>
        <v>464.65</v>
      </c>
      <c r="H44" s="51">
        <v>5276984</v>
      </c>
      <c r="I44" s="52" t="s">
        <v>152</v>
      </c>
      <c r="J44" s="51" t="s">
        <v>40</v>
      </c>
      <c r="K44" s="52" t="s">
        <v>19</v>
      </c>
      <c r="L44" s="51">
        <v>99188860</v>
      </c>
      <c r="M44" s="59"/>
      <c r="N44" s="48"/>
    </row>
    <row r="45" spans="1:14" s="53" customFormat="1" ht="15.75" x14ac:dyDescent="0.25">
      <c r="A45" s="49">
        <v>3173</v>
      </c>
      <c r="B45" s="50" t="s">
        <v>153</v>
      </c>
      <c r="C45" s="56">
        <v>675.3</v>
      </c>
      <c r="D45" s="57">
        <v>0.25</v>
      </c>
      <c r="E45" s="58">
        <f t="shared" si="2"/>
        <v>168.82499999999999</v>
      </c>
      <c r="F45" s="58"/>
      <c r="G45" s="58">
        <f t="shared" si="3"/>
        <v>168.82499999999999</v>
      </c>
      <c r="H45" s="51">
        <v>6825655</v>
      </c>
      <c r="I45" s="52" t="s">
        <v>154</v>
      </c>
      <c r="J45" s="51" t="s">
        <v>40</v>
      </c>
      <c r="K45" s="52" t="s">
        <v>19</v>
      </c>
      <c r="L45" s="51">
        <v>98957747</v>
      </c>
      <c r="M45" s="59"/>
      <c r="N45" s="48"/>
    </row>
    <row r="46" spans="1:14" s="53" customFormat="1" ht="15.75" x14ac:dyDescent="0.25">
      <c r="A46" s="49">
        <v>3174</v>
      </c>
      <c r="B46" s="50" t="s">
        <v>155</v>
      </c>
      <c r="C46" s="56">
        <v>1512.9</v>
      </c>
      <c r="D46" s="57">
        <v>0.25</v>
      </c>
      <c r="E46" s="58">
        <f t="shared" si="2"/>
        <v>378.22500000000002</v>
      </c>
      <c r="F46" s="58"/>
      <c r="G46" s="58">
        <f t="shared" si="3"/>
        <v>378.22500000000002</v>
      </c>
      <c r="H46" s="51">
        <v>7547492</v>
      </c>
      <c r="I46" s="52" t="s">
        <v>156</v>
      </c>
      <c r="J46" s="51" t="s">
        <v>40</v>
      </c>
      <c r="K46" s="52" t="s">
        <v>19</v>
      </c>
      <c r="L46" s="51">
        <v>91790502</v>
      </c>
      <c r="M46" s="59"/>
      <c r="N46" s="48"/>
    </row>
    <row r="47" spans="1:14" s="53" customFormat="1" ht="15.75" x14ac:dyDescent="0.25">
      <c r="A47" s="49">
        <v>3175</v>
      </c>
      <c r="B47" s="50" t="s">
        <v>157</v>
      </c>
      <c r="C47" s="56">
        <v>550</v>
      </c>
      <c r="D47" s="57">
        <v>0.25</v>
      </c>
      <c r="E47" s="58">
        <f t="shared" si="2"/>
        <v>137.5</v>
      </c>
      <c r="F47" s="58"/>
      <c r="G47" s="58">
        <f t="shared" si="3"/>
        <v>137.5</v>
      </c>
      <c r="H47" s="51">
        <v>7325076</v>
      </c>
      <c r="I47" s="52" t="s">
        <v>158</v>
      </c>
      <c r="J47" s="51" t="s">
        <v>83</v>
      </c>
      <c r="K47" s="52" t="s">
        <v>84</v>
      </c>
      <c r="L47" s="51">
        <v>92890700</v>
      </c>
      <c r="M47" s="59"/>
      <c r="N47" s="48"/>
    </row>
    <row r="48" spans="1:14" s="53" customFormat="1" ht="15.75" x14ac:dyDescent="0.25">
      <c r="A48" s="49">
        <v>3176</v>
      </c>
      <c r="B48" s="87" t="s">
        <v>159</v>
      </c>
      <c r="C48" s="56">
        <v>351.2</v>
      </c>
      <c r="D48" s="57">
        <v>0.25</v>
      </c>
      <c r="E48" s="58">
        <f t="shared" si="2"/>
        <v>87.8</v>
      </c>
      <c r="F48" s="58"/>
      <c r="G48" s="58">
        <f t="shared" si="3"/>
        <v>87.8</v>
      </c>
      <c r="H48" s="88">
        <v>12178145</v>
      </c>
      <c r="I48" s="89" t="s">
        <v>160</v>
      </c>
      <c r="J48" s="88" t="s">
        <v>40</v>
      </c>
      <c r="K48" s="89" t="s">
        <v>19</v>
      </c>
      <c r="L48" s="88">
        <v>93348565</v>
      </c>
      <c r="M48" s="59"/>
      <c r="N48" s="48"/>
    </row>
    <row r="49" spans="1:14" s="53" customFormat="1" ht="15.75" x14ac:dyDescent="0.25">
      <c r="A49" s="49">
        <v>3179</v>
      </c>
      <c r="B49" s="50" t="s">
        <v>161</v>
      </c>
      <c r="C49" s="56">
        <v>2973.4</v>
      </c>
      <c r="D49" s="57">
        <v>0.25</v>
      </c>
      <c r="E49" s="58">
        <f t="shared" si="2"/>
        <v>743.35</v>
      </c>
      <c r="F49" s="58"/>
      <c r="G49" s="58">
        <f t="shared" si="3"/>
        <v>743.35</v>
      </c>
      <c r="H49" s="51">
        <v>1870852</v>
      </c>
      <c r="I49" s="52" t="s">
        <v>162</v>
      </c>
      <c r="J49" s="51" t="s">
        <v>88</v>
      </c>
      <c r="K49" s="52" t="s">
        <v>89</v>
      </c>
      <c r="L49" s="51">
        <v>99050691</v>
      </c>
      <c r="M49" s="59"/>
      <c r="N49" s="48"/>
    </row>
    <row r="50" spans="1:14" s="53" customFormat="1" ht="15.75" x14ac:dyDescent="0.25">
      <c r="A50" s="49">
        <v>3181</v>
      </c>
      <c r="B50" s="50" t="s">
        <v>163</v>
      </c>
      <c r="C50" s="56">
        <v>2559.6999999999998</v>
      </c>
      <c r="D50" s="57">
        <v>0.25</v>
      </c>
      <c r="E50" s="58">
        <f t="shared" si="2"/>
        <v>639.92499999999995</v>
      </c>
      <c r="F50" s="58"/>
      <c r="G50" s="58">
        <f t="shared" si="3"/>
        <v>639.92499999999995</v>
      </c>
      <c r="H50" s="51">
        <v>6116067</v>
      </c>
      <c r="I50" s="52" t="s">
        <v>164</v>
      </c>
      <c r="J50" s="51" t="s">
        <v>88</v>
      </c>
      <c r="K50" s="52" t="s">
        <v>89</v>
      </c>
      <c r="L50" s="51">
        <v>99191102</v>
      </c>
      <c r="M50" s="59"/>
      <c r="N50" s="48"/>
    </row>
    <row r="51" spans="1:14" s="53" customFormat="1" ht="15.75" x14ac:dyDescent="0.25">
      <c r="A51" s="49">
        <v>3183</v>
      </c>
      <c r="B51" s="55" t="s">
        <v>165</v>
      </c>
      <c r="C51" s="56">
        <v>1570</v>
      </c>
      <c r="D51" s="57">
        <v>0.25</v>
      </c>
      <c r="E51" s="58">
        <f t="shared" si="2"/>
        <v>392.5</v>
      </c>
      <c r="F51" s="58"/>
      <c r="G51" s="58">
        <f t="shared" si="3"/>
        <v>392.5</v>
      </c>
      <c r="H51" s="51">
        <v>4955092</v>
      </c>
      <c r="I51" s="52" t="s">
        <v>166</v>
      </c>
      <c r="J51" s="17" t="s">
        <v>40</v>
      </c>
      <c r="K51" s="52" t="s">
        <v>19</v>
      </c>
      <c r="L51" s="51">
        <v>98152775</v>
      </c>
      <c r="M51" s="59"/>
      <c r="N51" s="48"/>
    </row>
    <row r="52" spans="1:14" s="53" customFormat="1" ht="15.75" x14ac:dyDescent="0.25">
      <c r="A52" s="49">
        <v>3184</v>
      </c>
      <c r="B52" s="50" t="s">
        <v>69</v>
      </c>
      <c r="C52" s="56">
        <v>2528.1999999999998</v>
      </c>
      <c r="D52" s="57">
        <v>0.25</v>
      </c>
      <c r="E52" s="58">
        <f t="shared" si="2"/>
        <v>632.04999999999995</v>
      </c>
      <c r="F52" s="58"/>
      <c r="G52" s="58">
        <f t="shared" si="3"/>
        <v>632.04999999999995</v>
      </c>
      <c r="H52" s="51">
        <v>6701602</v>
      </c>
      <c r="I52" s="52" t="s">
        <v>167</v>
      </c>
      <c r="J52" s="51" t="s">
        <v>36</v>
      </c>
      <c r="K52" s="52" t="s">
        <v>37</v>
      </c>
      <c r="L52" s="51">
        <v>99496161</v>
      </c>
      <c r="M52" s="59"/>
      <c r="N52" s="48"/>
    </row>
    <row r="53" spans="1:14" s="53" customFormat="1" ht="15.75" x14ac:dyDescent="0.25">
      <c r="A53" s="49">
        <v>3185</v>
      </c>
      <c r="B53" s="50" t="s">
        <v>168</v>
      </c>
      <c r="C53" s="56">
        <v>1224</v>
      </c>
      <c r="D53" s="57">
        <v>0.25</v>
      </c>
      <c r="E53" s="58">
        <f t="shared" si="2"/>
        <v>306</v>
      </c>
      <c r="F53" s="58"/>
      <c r="G53" s="58">
        <f t="shared" si="3"/>
        <v>306</v>
      </c>
      <c r="H53" s="51">
        <v>15179209</v>
      </c>
      <c r="I53" s="52" t="s">
        <v>169</v>
      </c>
      <c r="J53" s="51" t="s">
        <v>40</v>
      </c>
      <c r="K53" s="52" t="s">
        <v>19</v>
      </c>
      <c r="L53" s="51">
        <v>94919974</v>
      </c>
      <c r="M53" s="59"/>
      <c r="N53" s="48"/>
    </row>
    <row r="54" spans="1:14" s="53" customFormat="1" ht="15.75" x14ac:dyDescent="0.25">
      <c r="A54" s="49">
        <v>3188</v>
      </c>
      <c r="B54" s="50" t="s">
        <v>170</v>
      </c>
      <c r="C54" s="56">
        <v>1568.5</v>
      </c>
      <c r="D54" s="57">
        <v>0.25</v>
      </c>
      <c r="E54" s="58">
        <f t="shared" si="2"/>
        <v>392.125</v>
      </c>
      <c r="F54" s="58"/>
      <c r="G54" s="58">
        <f t="shared" si="3"/>
        <v>392.125</v>
      </c>
      <c r="H54" s="51">
        <v>19290729</v>
      </c>
      <c r="I54" s="52" t="s">
        <v>171</v>
      </c>
      <c r="J54" s="52" t="s">
        <v>36</v>
      </c>
      <c r="K54" s="52" t="s">
        <v>37</v>
      </c>
      <c r="L54" s="51">
        <v>95606029</v>
      </c>
      <c r="M54" s="59"/>
      <c r="N54" s="48"/>
    </row>
    <row r="55" spans="1:14" s="53" customFormat="1" ht="15.75" x14ac:dyDescent="0.25">
      <c r="A55" s="49">
        <v>3189</v>
      </c>
      <c r="B55" s="50" t="s">
        <v>172</v>
      </c>
      <c r="C55" s="56">
        <v>784.1</v>
      </c>
      <c r="D55" s="57">
        <v>0.25</v>
      </c>
      <c r="E55" s="58">
        <f t="shared" si="2"/>
        <v>196.02500000000001</v>
      </c>
      <c r="F55" s="58"/>
      <c r="G55" s="58">
        <f t="shared" si="3"/>
        <v>196.02500000000001</v>
      </c>
      <c r="H55" s="51">
        <v>2802613</v>
      </c>
      <c r="I55" s="52" t="s">
        <v>173</v>
      </c>
      <c r="J55" s="51" t="s">
        <v>40</v>
      </c>
      <c r="K55" s="52" t="s">
        <v>19</v>
      </c>
      <c r="L55" s="51">
        <v>99480848</v>
      </c>
      <c r="M55" s="59"/>
      <c r="N55" s="48"/>
    </row>
    <row r="56" spans="1:14" s="53" customFormat="1" ht="15.75" x14ac:dyDescent="0.25">
      <c r="A56" s="85">
        <v>3190</v>
      </c>
      <c r="B56" s="50" t="s">
        <v>174</v>
      </c>
      <c r="C56" s="56">
        <v>793.9</v>
      </c>
      <c r="D56" s="57">
        <v>0.25</v>
      </c>
      <c r="E56" s="58">
        <f t="shared" si="2"/>
        <v>198.47499999999999</v>
      </c>
      <c r="F56" s="58"/>
      <c r="G56" s="58">
        <f t="shared" si="3"/>
        <v>198.47499999999999</v>
      </c>
      <c r="H56" s="51">
        <v>3555896</v>
      </c>
      <c r="I56" s="194" t="s">
        <v>175</v>
      </c>
      <c r="J56" s="51" t="s">
        <v>40</v>
      </c>
      <c r="K56" s="52" t="s">
        <v>19</v>
      </c>
      <c r="L56" s="51">
        <v>92881155</v>
      </c>
      <c r="M56" s="59"/>
      <c r="N56" s="48"/>
    </row>
    <row r="57" spans="1:14" s="53" customFormat="1" ht="15.75" x14ac:dyDescent="0.25">
      <c r="A57" s="85">
        <v>3192</v>
      </c>
      <c r="B57" s="50" t="s">
        <v>38</v>
      </c>
      <c r="C57" s="56">
        <v>1205</v>
      </c>
      <c r="D57" s="57">
        <v>0.25</v>
      </c>
      <c r="E57" s="58">
        <f t="shared" si="2"/>
        <v>301.25</v>
      </c>
      <c r="F57" s="58"/>
      <c r="G57" s="58">
        <f t="shared" si="3"/>
        <v>301.25</v>
      </c>
      <c r="H57" s="51">
        <v>5271448</v>
      </c>
      <c r="I57" s="52" t="s">
        <v>39</v>
      </c>
      <c r="J57" s="51" t="s">
        <v>40</v>
      </c>
      <c r="K57" s="52" t="s">
        <v>19</v>
      </c>
      <c r="L57" s="51">
        <v>99489918</v>
      </c>
      <c r="M57" s="59"/>
      <c r="N57" s="48"/>
    </row>
    <row r="58" spans="1:14" s="92" customFormat="1" ht="15.75" x14ac:dyDescent="0.25">
      <c r="A58" s="49">
        <v>3195</v>
      </c>
      <c r="B58" s="50" t="s">
        <v>176</v>
      </c>
      <c r="C58" s="56">
        <v>624.5</v>
      </c>
      <c r="D58" s="57">
        <v>0.25</v>
      </c>
      <c r="E58" s="58">
        <f t="shared" si="2"/>
        <v>156.125</v>
      </c>
      <c r="F58" s="58"/>
      <c r="G58" s="58">
        <f t="shared" si="3"/>
        <v>156.125</v>
      </c>
      <c r="H58" s="51">
        <v>675849</v>
      </c>
      <c r="I58" s="52" t="s">
        <v>177</v>
      </c>
      <c r="J58" s="51" t="s">
        <v>36</v>
      </c>
      <c r="K58" s="52" t="s">
        <v>37</v>
      </c>
      <c r="L58" s="51">
        <v>99483811</v>
      </c>
      <c r="M58" s="59"/>
      <c r="N58" s="48"/>
    </row>
    <row r="59" spans="1:14" s="92" customFormat="1" ht="15.75" x14ac:dyDescent="0.25">
      <c r="A59" s="49">
        <v>3196</v>
      </c>
      <c r="B59" s="93" t="s">
        <v>178</v>
      </c>
      <c r="C59" s="56">
        <v>606.20000000000005</v>
      </c>
      <c r="D59" s="57">
        <v>0.25</v>
      </c>
      <c r="E59" s="58">
        <f t="shared" si="2"/>
        <v>151.55000000000001</v>
      </c>
      <c r="F59" s="58"/>
      <c r="G59" s="58">
        <f t="shared" si="3"/>
        <v>151.55000000000001</v>
      </c>
      <c r="H59" s="51">
        <v>21080217</v>
      </c>
      <c r="I59" s="52" t="s">
        <v>179</v>
      </c>
      <c r="J59" s="51" t="s">
        <v>40</v>
      </c>
      <c r="K59" s="52" t="s">
        <v>19</v>
      </c>
      <c r="L59" s="51">
        <v>95490778</v>
      </c>
      <c r="M59" s="59"/>
      <c r="N59" s="48"/>
    </row>
    <row r="60" spans="1:14" s="92" customFormat="1" ht="15.75" x14ac:dyDescent="0.25">
      <c r="A60" s="49">
        <v>3197</v>
      </c>
      <c r="B60" s="50" t="s">
        <v>180</v>
      </c>
      <c r="C60" s="56">
        <v>1852.6</v>
      </c>
      <c r="D60" s="57">
        <v>0.25</v>
      </c>
      <c r="E60" s="58">
        <f t="shared" si="2"/>
        <v>463.15</v>
      </c>
      <c r="F60" s="58"/>
      <c r="G60" s="58">
        <f t="shared" si="3"/>
        <v>463.15</v>
      </c>
      <c r="H60" s="51">
        <v>6479515</v>
      </c>
      <c r="I60" s="52" t="s">
        <v>181</v>
      </c>
      <c r="J60" s="51" t="s">
        <v>40</v>
      </c>
      <c r="K60" s="52" t="s">
        <v>19</v>
      </c>
      <c r="L60" s="51">
        <v>92349032</v>
      </c>
      <c r="M60" s="59"/>
      <c r="N60" s="48"/>
    </row>
    <row r="61" spans="1:14" s="92" customFormat="1" ht="15.75" x14ac:dyDescent="0.25">
      <c r="A61" s="49">
        <v>3198</v>
      </c>
      <c r="B61" s="74" t="s">
        <v>44</v>
      </c>
      <c r="C61" s="56">
        <v>265.10000000000002</v>
      </c>
      <c r="D61" s="57">
        <v>0.25</v>
      </c>
      <c r="E61" s="58">
        <f t="shared" si="2"/>
        <v>66.275000000000006</v>
      </c>
      <c r="F61" s="58"/>
      <c r="G61" s="58">
        <f t="shared" si="3"/>
        <v>66.275000000000006</v>
      </c>
      <c r="H61" s="75">
        <v>6360793</v>
      </c>
      <c r="I61" s="52" t="s">
        <v>45</v>
      </c>
      <c r="J61" s="75" t="s">
        <v>46</v>
      </c>
      <c r="K61" s="76" t="s">
        <v>47</v>
      </c>
      <c r="L61" s="51">
        <v>99336200</v>
      </c>
      <c r="M61" s="59"/>
      <c r="N61" s="48"/>
    </row>
    <row r="62" spans="1:14" s="53" customFormat="1" ht="15.75" x14ac:dyDescent="0.25">
      <c r="A62" s="49">
        <v>3310</v>
      </c>
      <c r="B62" s="50" t="s">
        <v>182</v>
      </c>
      <c r="C62" s="56">
        <v>1275.5</v>
      </c>
      <c r="D62" s="57">
        <v>0.25</v>
      </c>
      <c r="E62" s="58">
        <f t="shared" si="2"/>
        <v>318.875</v>
      </c>
      <c r="F62" s="58"/>
      <c r="G62" s="58">
        <f t="shared" si="3"/>
        <v>318.875</v>
      </c>
      <c r="H62" s="51">
        <v>1007615</v>
      </c>
      <c r="I62" s="52" t="s">
        <v>183</v>
      </c>
      <c r="J62" s="51" t="s">
        <v>40</v>
      </c>
      <c r="K62" s="52" t="s">
        <v>19</v>
      </c>
      <c r="L62" s="51">
        <v>99056614</v>
      </c>
      <c r="M62" s="289"/>
      <c r="N62" s="48"/>
    </row>
    <row r="63" spans="1:14" s="53" customFormat="1" ht="15.75" x14ac:dyDescent="0.25">
      <c r="A63" s="49">
        <v>3324</v>
      </c>
      <c r="B63" s="51" t="s">
        <v>184</v>
      </c>
      <c r="C63" s="56">
        <v>1857.8</v>
      </c>
      <c r="D63" s="57">
        <v>0.25</v>
      </c>
      <c r="E63" s="58">
        <f t="shared" si="2"/>
        <v>464.45</v>
      </c>
      <c r="F63" s="58"/>
      <c r="G63" s="58">
        <f t="shared" si="3"/>
        <v>464.45</v>
      </c>
      <c r="H63" s="52">
        <v>207402</v>
      </c>
      <c r="I63" s="52" t="s">
        <v>185</v>
      </c>
      <c r="J63" s="52" t="s">
        <v>40</v>
      </c>
      <c r="K63" s="52" t="s">
        <v>19</v>
      </c>
      <c r="L63" s="51">
        <v>99487533</v>
      </c>
      <c r="M63" s="59"/>
      <c r="N63" s="48"/>
    </row>
    <row r="64" spans="1:14" s="53" customFormat="1" ht="15.75" x14ac:dyDescent="0.25">
      <c r="A64" s="49">
        <v>3330</v>
      </c>
      <c r="B64" s="51" t="s">
        <v>186</v>
      </c>
      <c r="C64" s="56">
        <v>2266</v>
      </c>
      <c r="D64" s="57">
        <v>0.25</v>
      </c>
      <c r="E64" s="58">
        <f t="shared" si="2"/>
        <v>566.5</v>
      </c>
      <c r="F64" s="58"/>
      <c r="G64" s="58">
        <f t="shared" si="3"/>
        <v>566.5</v>
      </c>
      <c r="H64" s="52">
        <v>6375079</v>
      </c>
      <c r="I64" s="52" t="s">
        <v>187</v>
      </c>
      <c r="J64" s="52" t="s">
        <v>188</v>
      </c>
      <c r="K64" s="52" t="s">
        <v>19</v>
      </c>
      <c r="L64" s="51"/>
      <c r="M64" s="94"/>
      <c r="N64" s="48"/>
    </row>
    <row r="65" spans="1:14" s="53" customFormat="1" ht="15.75" x14ac:dyDescent="0.25">
      <c r="A65" s="49">
        <v>3333</v>
      </c>
      <c r="B65" s="51" t="s">
        <v>189</v>
      </c>
      <c r="C65" s="56">
        <v>2426</v>
      </c>
      <c r="D65" s="57">
        <v>0.25</v>
      </c>
      <c r="E65" s="58">
        <f t="shared" si="2"/>
        <v>606.5</v>
      </c>
      <c r="F65" s="95"/>
      <c r="G65" s="58">
        <f t="shared" si="3"/>
        <v>606.5</v>
      </c>
      <c r="H65" s="96">
        <v>757601</v>
      </c>
      <c r="I65" s="96" t="s">
        <v>190</v>
      </c>
      <c r="J65" s="96" t="s">
        <v>83</v>
      </c>
      <c r="K65" s="96" t="s">
        <v>84</v>
      </c>
      <c r="L65" s="97"/>
      <c r="M65" s="94"/>
      <c r="N65" s="48"/>
    </row>
    <row r="66" spans="1:14" s="53" customFormat="1" ht="15.75" x14ac:dyDescent="0.25">
      <c r="A66" s="49">
        <v>3339</v>
      </c>
      <c r="B66" s="88" t="s">
        <v>191</v>
      </c>
      <c r="C66" s="56">
        <v>742.3</v>
      </c>
      <c r="D66" s="57">
        <v>0.25</v>
      </c>
      <c r="E66" s="58">
        <f t="shared" si="2"/>
        <v>185.57499999999999</v>
      </c>
      <c r="F66" s="58"/>
      <c r="G66" s="58">
        <f t="shared" si="3"/>
        <v>185.57499999999999</v>
      </c>
      <c r="H66" s="89">
        <v>12415718</v>
      </c>
      <c r="I66" s="89" t="s">
        <v>192</v>
      </c>
      <c r="J66" s="88" t="s">
        <v>40</v>
      </c>
      <c r="K66" s="89" t="s">
        <v>19</v>
      </c>
      <c r="L66" s="51"/>
      <c r="M66" s="94"/>
      <c r="N66" s="48"/>
    </row>
    <row r="67" spans="1:14" s="53" customFormat="1" ht="15.75" x14ac:dyDescent="0.25">
      <c r="A67" s="49">
        <v>3341</v>
      </c>
      <c r="B67" s="88" t="s">
        <v>328</v>
      </c>
      <c r="C67" s="56">
        <v>758.3</v>
      </c>
      <c r="D67" s="57">
        <v>0.25</v>
      </c>
      <c r="E67" s="58">
        <f t="shared" si="2"/>
        <v>189.57499999999999</v>
      </c>
      <c r="F67" s="58"/>
      <c r="G67" s="58">
        <f t="shared" si="3"/>
        <v>189.57499999999999</v>
      </c>
      <c r="H67" s="89">
        <v>702161</v>
      </c>
      <c r="I67" s="89" t="s">
        <v>329</v>
      </c>
      <c r="J67" s="88" t="s">
        <v>88</v>
      </c>
      <c r="K67" s="89" t="s">
        <v>89</v>
      </c>
      <c r="L67" s="51">
        <v>99290644</v>
      </c>
      <c r="M67" s="94"/>
      <c r="N67" s="48"/>
    </row>
    <row r="68" spans="1:14" s="53" customFormat="1" ht="15.75" x14ac:dyDescent="0.25">
      <c r="A68" s="85">
        <v>3500</v>
      </c>
      <c r="B68" s="51" t="s">
        <v>193</v>
      </c>
      <c r="C68" s="65"/>
      <c r="D68" s="57">
        <v>0.25</v>
      </c>
      <c r="E68" s="58">
        <f t="shared" ref="E68:E99" si="4">C68*D68</f>
        <v>0</v>
      </c>
      <c r="F68" s="58"/>
      <c r="G68" s="58">
        <f t="shared" ref="G68:G99" si="5">E68-F68</f>
        <v>0</v>
      </c>
      <c r="H68" s="52">
        <v>13525845</v>
      </c>
      <c r="I68" s="52" t="s">
        <v>194</v>
      </c>
      <c r="J68" s="51" t="s">
        <v>83</v>
      </c>
      <c r="K68" s="52" t="s">
        <v>84</v>
      </c>
      <c r="L68" s="51">
        <v>93985671</v>
      </c>
      <c r="M68" s="26"/>
      <c r="N68" s="48"/>
    </row>
    <row r="69" spans="1:14" s="53" customFormat="1" ht="15.75" x14ac:dyDescent="0.25">
      <c r="A69" s="49">
        <v>3501</v>
      </c>
      <c r="B69" s="51" t="s">
        <v>195</v>
      </c>
      <c r="C69" s="56">
        <v>1447</v>
      </c>
      <c r="D69" s="57">
        <v>0.25</v>
      </c>
      <c r="E69" s="58">
        <f t="shared" si="4"/>
        <v>361.75</v>
      </c>
      <c r="F69" s="58"/>
      <c r="G69" s="58">
        <f t="shared" si="5"/>
        <v>361.75</v>
      </c>
      <c r="H69" s="52">
        <v>13525794</v>
      </c>
      <c r="I69" s="52" t="s">
        <v>196</v>
      </c>
      <c r="J69" s="51" t="s">
        <v>40</v>
      </c>
      <c r="K69" s="52" t="s">
        <v>19</v>
      </c>
      <c r="L69" s="51">
        <v>92868004</v>
      </c>
      <c r="M69" s="26"/>
      <c r="N69" s="48"/>
    </row>
    <row r="70" spans="1:14" s="53" customFormat="1" ht="15.75" x14ac:dyDescent="0.25">
      <c r="A70" s="49">
        <v>3502</v>
      </c>
      <c r="B70" s="93" t="s">
        <v>198</v>
      </c>
      <c r="C70" s="56">
        <v>1874.4</v>
      </c>
      <c r="D70" s="57">
        <v>0.25</v>
      </c>
      <c r="E70" s="58">
        <f t="shared" si="4"/>
        <v>468.6</v>
      </c>
      <c r="F70" s="58"/>
      <c r="G70" s="58">
        <f t="shared" si="5"/>
        <v>468.6</v>
      </c>
      <c r="H70" s="52">
        <v>22522336</v>
      </c>
      <c r="I70" s="52" t="s">
        <v>199</v>
      </c>
      <c r="J70" s="51" t="s">
        <v>36</v>
      </c>
      <c r="K70" s="52" t="s">
        <v>37</v>
      </c>
      <c r="L70" s="51"/>
      <c r="M70" s="26"/>
      <c r="N70" s="48"/>
    </row>
    <row r="71" spans="1:14" s="53" customFormat="1" ht="15.75" x14ac:dyDescent="0.25">
      <c r="A71" s="49">
        <v>3503</v>
      </c>
      <c r="B71" s="51" t="s">
        <v>200</v>
      </c>
      <c r="C71" s="56">
        <v>165.2</v>
      </c>
      <c r="D71" s="57">
        <v>0.25</v>
      </c>
      <c r="E71" s="58">
        <f t="shared" si="4"/>
        <v>41.3</v>
      </c>
      <c r="F71" s="58"/>
      <c r="G71" s="58">
        <f t="shared" si="5"/>
        <v>41.3</v>
      </c>
      <c r="H71" s="52">
        <v>9212492</v>
      </c>
      <c r="I71" s="52" t="s">
        <v>201</v>
      </c>
      <c r="J71" s="51" t="s">
        <v>40</v>
      </c>
      <c r="K71" s="52" t="s">
        <v>19</v>
      </c>
      <c r="L71" s="51">
        <v>98080144</v>
      </c>
      <c r="M71" s="26"/>
      <c r="N71" s="48"/>
    </row>
    <row r="72" spans="1:14" s="53" customFormat="1" ht="15.75" x14ac:dyDescent="0.25">
      <c r="A72" s="85">
        <v>3504</v>
      </c>
      <c r="B72" s="51" t="s">
        <v>202</v>
      </c>
      <c r="C72" s="56">
        <v>1216.0999999999999</v>
      </c>
      <c r="D72" s="57">
        <v>0.25</v>
      </c>
      <c r="E72" s="58">
        <f t="shared" si="4"/>
        <v>304.02499999999998</v>
      </c>
      <c r="F72" s="58"/>
      <c r="G72" s="58">
        <f t="shared" si="5"/>
        <v>304.02499999999998</v>
      </c>
      <c r="H72" s="52">
        <v>939641</v>
      </c>
      <c r="I72" s="52" t="s">
        <v>203</v>
      </c>
      <c r="J72" s="51" t="s">
        <v>40</v>
      </c>
      <c r="K72" s="52" t="s">
        <v>19</v>
      </c>
      <c r="L72" s="51">
        <v>99588609</v>
      </c>
      <c r="M72" s="26"/>
      <c r="N72" s="48"/>
    </row>
    <row r="73" spans="1:14" s="53" customFormat="1" ht="15.75" x14ac:dyDescent="0.25">
      <c r="A73" s="49">
        <v>3506</v>
      </c>
      <c r="B73" s="51" t="s">
        <v>205</v>
      </c>
      <c r="C73" s="56">
        <v>595.20000000000005</v>
      </c>
      <c r="D73" s="57">
        <v>0.25</v>
      </c>
      <c r="E73" s="58">
        <f t="shared" si="4"/>
        <v>148.80000000000001</v>
      </c>
      <c r="F73" s="58"/>
      <c r="G73" s="58">
        <f t="shared" si="5"/>
        <v>148.80000000000001</v>
      </c>
      <c r="H73" s="52">
        <v>13307752</v>
      </c>
      <c r="I73" s="52" t="s">
        <v>206</v>
      </c>
      <c r="J73" s="51" t="s">
        <v>40</v>
      </c>
      <c r="K73" s="52" t="s">
        <v>19</v>
      </c>
      <c r="L73" s="51">
        <v>99294425</v>
      </c>
      <c r="M73" s="26"/>
      <c r="N73" s="48"/>
    </row>
    <row r="74" spans="1:14" s="53" customFormat="1" ht="15.75" x14ac:dyDescent="0.25">
      <c r="A74" s="49">
        <v>3507</v>
      </c>
      <c r="B74" s="51" t="s">
        <v>207</v>
      </c>
      <c r="C74" s="56">
        <v>1237.5</v>
      </c>
      <c r="D74" s="57">
        <v>0.25</v>
      </c>
      <c r="E74" s="58">
        <f t="shared" si="4"/>
        <v>309.375</v>
      </c>
      <c r="F74" s="58"/>
      <c r="G74" s="58">
        <f t="shared" si="5"/>
        <v>309.375</v>
      </c>
      <c r="H74" s="52">
        <v>1184669</v>
      </c>
      <c r="I74" s="52" t="s">
        <v>208</v>
      </c>
      <c r="J74" s="51" t="s">
        <v>36</v>
      </c>
      <c r="K74" s="52" t="s">
        <v>37</v>
      </c>
      <c r="L74" s="51">
        <v>99291928</v>
      </c>
      <c r="M74" s="26"/>
      <c r="N74" s="48"/>
    </row>
    <row r="75" spans="1:14" s="53" customFormat="1" ht="15.75" x14ac:dyDescent="0.25">
      <c r="A75" s="49">
        <v>3508</v>
      </c>
      <c r="B75" s="51" t="s">
        <v>49</v>
      </c>
      <c r="C75" s="56">
        <v>833.7</v>
      </c>
      <c r="D75" s="57">
        <v>0.25</v>
      </c>
      <c r="E75" s="58">
        <f t="shared" si="4"/>
        <v>208.42500000000001</v>
      </c>
      <c r="F75" s="58"/>
      <c r="G75" s="58">
        <f t="shared" si="5"/>
        <v>208.42500000000001</v>
      </c>
      <c r="H75" s="52">
        <v>2567166</v>
      </c>
      <c r="I75" s="52" t="s">
        <v>50</v>
      </c>
      <c r="J75" s="51" t="s">
        <v>40</v>
      </c>
      <c r="K75" s="52" t="s">
        <v>19</v>
      </c>
      <c r="L75" s="51">
        <v>92570156</v>
      </c>
      <c r="M75" s="26"/>
      <c r="N75" s="48"/>
    </row>
    <row r="76" spans="1:14" s="53" customFormat="1" ht="15.75" x14ac:dyDescent="0.25">
      <c r="A76" s="49">
        <v>3509</v>
      </c>
      <c r="B76" s="293" t="s">
        <v>209</v>
      </c>
      <c r="C76" s="56">
        <v>588.1</v>
      </c>
      <c r="D76" s="57">
        <v>0.25</v>
      </c>
      <c r="E76" s="58">
        <f t="shared" si="4"/>
        <v>147.02500000000001</v>
      </c>
      <c r="F76" s="58"/>
      <c r="G76" s="58">
        <f t="shared" si="5"/>
        <v>147.02500000000001</v>
      </c>
      <c r="H76" s="52">
        <v>22760088</v>
      </c>
      <c r="I76" s="52" t="s">
        <v>210</v>
      </c>
      <c r="J76" s="51" t="s">
        <v>88</v>
      </c>
      <c r="K76" s="52" t="s">
        <v>89</v>
      </c>
      <c r="L76" s="51">
        <v>91476443</v>
      </c>
      <c r="M76" s="26"/>
      <c r="N76" s="48"/>
    </row>
    <row r="77" spans="1:14" s="53" customFormat="1" ht="15.75" x14ac:dyDescent="0.25">
      <c r="A77" s="49">
        <v>3510</v>
      </c>
      <c r="B77" s="293" t="s">
        <v>211</v>
      </c>
      <c r="C77" s="56">
        <v>1209.5999999999999</v>
      </c>
      <c r="D77" s="57">
        <v>0.25</v>
      </c>
      <c r="E77" s="58">
        <f t="shared" si="4"/>
        <v>302.39999999999998</v>
      </c>
      <c r="F77" s="58"/>
      <c r="G77" s="58">
        <f t="shared" si="5"/>
        <v>302.39999999999998</v>
      </c>
      <c r="H77" s="52">
        <v>6920351</v>
      </c>
      <c r="I77" s="52" t="s">
        <v>212</v>
      </c>
      <c r="J77" s="51" t="s">
        <v>40</v>
      </c>
      <c r="K77" s="52" t="s">
        <v>19</v>
      </c>
      <c r="L77" s="51">
        <v>98933077</v>
      </c>
      <c r="M77" s="26"/>
      <c r="N77" s="48"/>
    </row>
    <row r="78" spans="1:14" s="53" customFormat="1" ht="15.75" x14ac:dyDescent="0.25">
      <c r="A78" s="85">
        <v>3511</v>
      </c>
      <c r="B78" s="98" t="s">
        <v>21</v>
      </c>
      <c r="C78" s="56">
        <v>1890.4</v>
      </c>
      <c r="D78" s="57">
        <v>0.25</v>
      </c>
      <c r="E78" s="58">
        <f t="shared" si="4"/>
        <v>472.6</v>
      </c>
      <c r="F78" s="95"/>
      <c r="G78" s="58">
        <f t="shared" si="5"/>
        <v>472.6</v>
      </c>
      <c r="H78" s="96">
        <v>2640016</v>
      </c>
      <c r="I78" s="52" t="s">
        <v>22</v>
      </c>
      <c r="J78" s="51" t="s">
        <v>23</v>
      </c>
      <c r="K78" s="52" t="s">
        <v>24</v>
      </c>
      <c r="L78" s="51">
        <v>92953388</v>
      </c>
      <c r="M78" s="26"/>
      <c r="N78" s="48"/>
    </row>
    <row r="79" spans="1:14" s="53" customFormat="1" ht="15.75" x14ac:dyDescent="0.25">
      <c r="A79" s="85">
        <v>3512</v>
      </c>
      <c r="B79" s="98" t="s">
        <v>213</v>
      </c>
      <c r="C79" s="56">
        <v>1018.7</v>
      </c>
      <c r="D79" s="57">
        <v>0.25</v>
      </c>
      <c r="E79" s="58">
        <f t="shared" si="4"/>
        <v>254.67500000000001</v>
      </c>
      <c r="F79" s="95"/>
      <c r="G79" s="58">
        <f t="shared" si="5"/>
        <v>254.67500000000001</v>
      </c>
      <c r="H79" s="96">
        <v>5514631</v>
      </c>
      <c r="I79" s="52" t="s">
        <v>214</v>
      </c>
      <c r="J79" s="51" t="s">
        <v>36</v>
      </c>
      <c r="K79" s="51" t="s">
        <v>37</v>
      </c>
      <c r="L79" s="51"/>
      <c r="M79" s="26"/>
      <c r="N79" s="48"/>
    </row>
    <row r="80" spans="1:14" s="53" customFormat="1" ht="15.75" x14ac:dyDescent="0.25">
      <c r="A80" s="49">
        <v>3513</v>
      </c>
      <c r="B80" s="98" t="s">
        <v>215</v>
      </c>
      <c r="C80" s="56">
        <v>3081.2</v>
      </c>
      <c r="D80" s="57">
        <v>0.25</v>
      </c>
      <c r="E80" s="58">
        <f t="shared" si="4"/>
        <v>770.3</v>
      </c>
      <c r="F80" s="95"/>
      <c r="G80" s="58">
        <f t="shared" si="5"/>
        <v>770.3</v>
      </c>
      <c r="H80" s="96">
        <v>7047376</v>
      </c>
      <c r="I80" s="52" t="s">
        <v>216</v>
      </c>
      <c r="J80" s="51" t="s">
        <v>36</v>
      </c>
      <c r="K80" s="52" t="s">
        <v>37</v>
      </c>
      <c r="L80" s="51">
        <v>90106022</v>
      </c>
      <c r="M80" s="26"/>
      <c r="N80" s="48"/>
    </row>
    <row r="81" spans="1:14" s="53" customFormat="1" ht="18" customHeight="1" x14ac:dyDescent="0.25">
      <c r="A81" s="49">
        <v>3514</v>
      </c>
      <c r="B81" s="98" t="s">
        <v>217</v>
      </c>
      <c r="C81" s="56">
        <v>1830.3</v>
      </c>
      <c r="D81" s="57">
        <v>0.25</v>
      </c>
      <c r="E81" s="58">
        <f t="shared" si="4"/>
        <v>457.57499999999999</v>
      </c>
      <c r="F81" s="95"/>
      <c r="G81" s="58">
        <f t="shared" si="5"/>
        <v>457.57499999999999</v>
      </c>
      <c r="H81" s="96">
        <v>440083</v>
      </c>
      <c r="I81" s="52" t="s">
        <v>218</v>
      </c>
      <c r="J81" s="51" t="s">
        <v>188</v>
      </c>
      <c r="K81" s="52" t="s">
        <v>19</v>
      </c>
      <c r="L81" s="97">
        <v>92363355</v>
      </c>
      <c r="M81" s="26"/>
      <c r="N81" s="48"/>
    </row>
    <row r="82" spans="1:14" s="53" customFormat="1" ht="15.75" x14ac:dyDescent="0.25">
      <c r="A82" s="49">
        <v>3515</v>
      </c>
      <c r="B82" s="98" t="s">
        <v>51</v>
      </c>
      <c r="C82" s="56">
        <v>1233.5</v>
      </c>
      <c r="D82" s="57">
        <v>0.25</v>
      </c>
      <c r="E82" s="58">
        <f t="shared" si="4"/>
        <v>308.375</v>
      </c>
      <c r="F82" s="95"/>
      <c r="G82" s="58">
        <f t="shared" si="5"/>
        <v>308.375</v>
      </c>
      <c r="H82" s="96">
        <v>6645198</v>
      </c>
      <c r="I82" s="96" t="s">
        <v>52</v>
      </c>
      <c r="J82" s="51" t="s">
        <v>36</v>
      </c>
      <c r="K82" s="52" t="s">
        <v>37</v>
      </c>
      <c r="L82" s="97">
        <v>94411217</v>
      </c>
      <c r="M82" s="26"/>
      <c r="N82" s="48"/>
    </row>
    <row r="83" spans="1:14" s="53" customFormat="1" ht="15.75" x14ac:dyDescent="0.25">
      <c r="A83" s="49">
        <v>3516</v>
      </c>
      <c r="B83" s="98" t="s">
        <v>219</v>
      </c>
      <c r="C83" s="56">
        <v>1740.6</v>
      </c>
      <c r="D83" s="57">
        <v>0.25</v>
      </c>
      <c r="E83" s="58">
        <f t="shared" si="4"/>
        <v>435.15</v>
      </c>
      <c r="F83" s="95"/>
      <c r="G83" s="58">
        <f t="shared" si="5"/>
        <v>435.15</v>
      </c>
      <c r="H83" s="96">
        <v>1165877</v>
      </c>
      <c r="I83" s="96" t="s">
        <v>220</v>
      </c>
      <c r="J83" s="98" t="s">
        <v>36</v>
      </c>
      <c r="K83" s="52" t="s">
        <v>37</v>
      </c>
      <c r="L83" s="97"/>
      <c r="M83" s="26"/>
      <c r="N83" s="48"/>
    </row>
    <row r="84" spans="1:14" s="53" customFormat="1" ht="15.75" x14ac:dyDescent="0.25">
      <c r="A84" s="49">
        <v>3517</v>
      </c>
      <c r="B84" s="98" t="s">
        <v>221</v>
      </c>
      <c r="C84" s="56">
        <v>1689</v>
      </c>
      <c r="D84" s="57">
        <v>0.25</v>
      </c>
      <c r="E84" s="58">
        <f t="shared" si="4"/>
        <v>422.25</v>
      </c>
      <c r="F84" s="95"/>
      <c r="G84" s="58">
        <f t="shared" si="5"/>
        <v>422.25</v>
      </c>
      <c r="H84" s="96">
        <v>7047081</v>
      </c>
      <c r="I84" s="96" t="s">
        <v>222</v>
      </c>
      <c r="J84" s="98" t="s">
        <v>36</v>
      </c>
      <c r="K84" s="52" t="s">
        <v>37</v>
      </c>
      <c r="L84" s="97"/>
      <c r="M84" s="26"/>
      <c r="N84" s="48"/>
    </row>
    <row r="85" spans="1:14" s="53" customFormat="1" ht="15.75" x14ac:dyDescent="0.25">
      <c r="A85" s="49">
        <v>3518</v>
      </c>
      <c r="B85" s="98" t="s">
        <v>54</v>
      </c>
      <c r="C85" s="56">
        <v>132.4</v>
      </c>
      <c r="D85" s="57">
        <v>0.25</v>
      </c>
      <c r="E85" s="58">
        <f t="shared" si="4"/>
        <v>33.1</v>
      </c>
      <c r="F85" s="95"/>
      <c r="G85" s="58">
        <f t="shared" si="5"/>
        <v>33.1</v>
      </c>
      <c r="H85" s="96">
        <v>20386956</v>
      </c>
      <c r="I85" s="96" t="s">
        <v>55</v>
      </c>
      <c r="J85" s="51" t="s">
        <v>40</v>
      </c>
      <c r="K85" s="52" t="s">
        <v>19</v>
      </c>
      <c r="L85" s="97"/>
      <c r="M85" s="26"/>
      <c r="N85" s="48"/>
    </row>
    <row r="86" spans="1:14" s="53" customFormat="1" ht="15.75" x14ac:dyDescent="0.25">
      <c r="A86" s="49">
        <v>3519</v>
      </c>
      <c r="B86" s="98" t="s">
        <v>223</v>
      </c>
      <c r="C86" s="56">
        <v>1130.8</v>
      </c>
      <c r="D86" s="57">
        <v>0.25</v>
      </c>
      <c r="E86" s="58">
        <f t="shared" si="4"/>
        <v>282.7</v>
      </c>
      <c r="F86" s="95"/>
      <c r="G86" s="58">
        <f t="shared" si="5"/>
        <v>282.7</v>
      </c>
      <c r="H86" s="96">
        <v>7047221</v>
      </c>
      <c r="I86" s="96" t="s">
        <v>224</v>
      </c>
      <c r="J86" s="98" t="s">
        <v>36</v>
      </c>
      <c r="K86" s="52" t="s">
        <v>37</v>
      </c>
      <c r="L86" s="97"/>
      <c r="M86" s="26"/>
      <c r="N86" s="48"/>
    </row>
    <row r="87" spans="1:14" s="53" customFormat="1" ht="15.75" x14ac:dyDescent="0.25">
      <c r="A87" s="49">
        <v>3520</v>
      </c>
      <c r="B87" s="98" t="s">
        <v>225</v>
      </c>
      <c r="C87" s="56">
        <v>833.1</v>
      </c>
      <c r="D87" s="57">
        <v>0.25</v>
      </c>
      <c r="E87" s="58">
        <f t="shared" si="4"/>
        <v>208.27500000000001</v>
      </c>
      <c r="F87" s="95"/>
      <c r="G87" s="58">
        <f t="shared" si="5"/>
        <v>208.27500000000001</v>
      </c>
      <c r="H87" s="96">
        <v>5665362</v>
      </c>
      <c r="I87" s="96" t="s">
        <v>226</v>
      </c>
      <c r="J87" s="98" t="s">
        <v>36</v>
      </c>
      <c r="K87" s="52" t="s">
        <v>37</v>
      </c>
      <c r="L87" s="97"/>
      <c r="N87" s="48"/>
    </row>
    <row r="88" spans="1:14" s="53" customFormat="1" ht="15.75" x14ac:dyDescent="0.25">
      <c r="A88" s="49">
        <v>3521</v>
      </c>
      <c r="B88" s="98" t="s">
        <v>227</v>
      </c>
      <c r="C88" s="56">
        <v>4345.3</v>
      </c>
      <c r="D88" s="57">
        <v>0.25</v>
      </c>
      <c r="E88" s="58">
        <f t="shared" si="4"/>
        <v>1086.325</v>
      </c>
      <c r="F88" s="95"/>
      <c r="G88" s="58">
        <f t="shared" si="5"/>
        <v>1086.325</v>
      </c>
      <c r="H88" s="96">
        <v>7064553</v>
      </c>
      <c r="I88" s="96" t="s">
        <v>228</v>
      </c>
      <c r="J88" s="51" t="s">
        <v>40</v>
      </c>
      <c r="K88" s="52" t="s">
        <v>19</v>
      </c>
      <c r="L88" s="97"/>
      <c r="M88" s="26"/>
      <c r="N88" s="48"/>
    </row>
    <row r="89" spans="1:14" s="53" customFormat="1" ht="15.75" x14ac:dyDescent="0.25">
      <c r="A89" s="49">
        <v>3522</v>
      </c>
      <c r="B89" s="51" t="s">
        <v>229</v>
      </c>
      <c r="C89" s="56">
        <v>352</v>
      </c>
      <c r="D89" s="57">
        <v>0.25</v>
      </c>
      <c r="E89" s="58">
        <f t="shared" si="4"/>
        <v>88</v>
      </c>
      <c r="F89" s="58"/>
      <c r="G89" s="58">
        <f t="shared" si="5"/>
        <v>88</v>
      </c>
      <c r="H89" s="52">
        <v>11365191</v>
      </c>
      <c r="I89" s="52" t="s">
        <v>230</v>
      </c>
      <c r="J89" s="51" t="s">
        <v>36</v>
      </c>
      <c r="K89" s="52" t="s">
        <v>37</v>
      </c>
      <c r="L89" s="51"/>
      <c r="M89" s="364"/>
      <c r="N89" s="48"/>
    </row>
    <row r="90" spans="1:14" ht="15" customHeight="1" x14ac:dyDescent="0.25">
      <c r="A90" s="49" t="s">
        <v>763</v>
      </c>
      <c r="B90" s="337" t="s">
        <v>656</v>
      </c>
      <c r="C90" s="363">
        <v>585.70000000000005</v>
      </c>
      <c r="D90" s="57">
        <v>0.25</v>
      </c>
      <c r="E90" s="58">
        <f t="shared" si="4"/>
        <v>146.42500000000001</v>
      </c>
      <c r="F90" s="58"/>
      <c r="G90" s="58">
        <f t="shared" si="5"/>
        <v>146.42500000000001</v>
      </c>
      <c r="H90" s="88">
        <v>9399193</v>
      </c>
      <c r="I90" s="360" t="s">
        <v>550</v>
      </c>
      <c r="J90" s="361" t="s">
        <v>373</v>
      </c>
      <c r="K90" s="361"/>
      <c r="L90" s="78">
        <v>99298810</v>
      </c>
      <c r="M90" s="337"/>
    </row>
    <row r="91" spans="1:14" ht="15.75" x14ac:dyDescent="0.25">
      <c r="A91" s="49" t="s">
        <v>762</v>
      </c>
      <c r="B91" s="337" t="s">
        <v>548</v>
      </c>
      <c r="C91" s="363">
        <v>599.9</v>
      </c>
      <c r="D91" s="57">
        <v>0.25</v>
      </c>
      <c r="E91" s="58">
        <f t="shared" si="4"/>
        <v>149.97499999999999</v>
      </c>
      <c r="F91" s="58"/>
      <c r="G91" s="58">
        <f t="shared" si="5"/>
        <v>149.97499999999999</v>
      </c>
      <c r="H91" s="88">
        <v>1876659</v>
      </c>
      <c r="I91" s="360" t="s">
        <v>547</v>
      </c>
      <c r="J91" s="361" t="s">
        <v>40</v>
      </c>
      <c r="K91" s="361"/>
      <c r="L91" s="78">
        <v>94800053</v>
      </c>
      <c r="M91" s="337"/>
    </row>
    <row r="92" spans="1:14" ht="15.75" x14ac:dyDescent="0.25">
      <c r="A92" s="49" t="s">
        <v>761</v>
      </c>
      <c r="B92" s="337" t="s">
        <v>545</v>
      </c>
      <c r="C92" s="363">
        <v>417.6</v>
      </c>
      <c r="D92" s="57">
        <v>0.25</v>
      </c>
      <c r="E92" s="58">
        <f t="shared" si="4"/>
        <v>104.4</v>
      </c>
      <c r="F92" s="58"/>
      <c r="G92" s="58">
        <f t="shared" si="5"/>
        <v>104.4</v>
      </c>
      <c r="H92" s="88">
        <v>1862864</v>
      </c>
      <c r="I92" s="360" t="s">
        <v>544</v>
      </c>
      <c r="J92" s="361" t="s">
        <v>40</v>
      </c>
      <c r="K92" s="361"/>
      <c r="L92" s="78">
        <v>91418828</v>
      </c>
      <c r="M92" s="337"/>
    </row>
    <row r="93" spans="1:14" ht="15.75" x14ac:dyDescent="0.25">
      <c r="A93" s="49" t="s">
        <v>760</v>
      </c>
      <c r="B93" s="337" t="s">
        <v>542</v>
      </c>
      <c r="C93" s="363">
        <v>603</v>
      </c>
      <c r="D93" s="57">
        <v>0.25</v>
      </c>
      <c r="E93" s="58">
        <f t="shared" si="4"/>
        <v>150.75</v>
      </c>
      <c r="F93" s="58"/>
      <c r="G93" s="58">
        <f t="shared" si="5"/>
        <v>150.75</v>
      </c>
      <c r="H93" s="88">
        <v>5349102</v>
      </c>
      <c r="I93" s="360" t="s">
        <v>541</v>
      </c>
      <c r="J93" s="361" t="s">
        <v>503</v>
      </c>
      <c r="K93" s="361"/>
      <c r="L93" s="78">
        <v>93636606</v>
      </c>
      <c r="M93" s="337"/>
    </row>
    <row r="94" spans="1:14" ht="15.75" x14ac:dyDescent="0.25">
      <c r="A94" s="49" t="s">
        <v>759</v>
      </c>
      <c r="B94" s="337" t="s">
        <v>539</v>
      </c>
      <c r="C94" s="363">
        <v>609.20000000000005</v>
      </c>
      <c r="D94" s="57">
        <v>0.25</v>
      </c>
      <c r="E94" s="58">
        <f t="shared" si="4"/>
        <v>152.30000000000001</v>
      </c>
      <c r="F94" s="58"/>
      <c r="G94" s="58">
        <f t="shared" si="5"/>
        <v>152.30000000000001</v>
      </c>
      <c r="H94" s="88">
        <v>6372265</v>
      </c>
      <c r="I94" s="360" t="s">
        <v>538</v>
      </c>
      <c r="J94" s="361" t="s">
        <v>40</v>
      </c>
      <c r="K94" s="361"/>
      <c r="L94" s="78">
        <v>92488144</v>
      </c>
      <c r="M94" s="337"/>
    </row>
    <row r="95" spans="1:14" ht="15.75" x14ac:dyDescent="0.25">
      <c r="A95" s="49" t="s">
        <v>758</v>
      </c>
      <c r="B95" s="337" t="s">
        <v>536</v>
      </c>
      <c r="C95" s="363">
        <v>613.20000000000005</v>
      </c>
      <c r="D95" s="57">
        <v>0.25</v>
      </c>
      <c r="E95" s="58">
        <f t="shared" si="4"/>
        <v>153.30000000000001</v>
      </c>
      <c r="F95" s="58"/>
      <c r="G95" s="58">
        <f t="shared" si="5"/>
        <v>153.30000000000001</v>
      </c>
      <c r="H95" s="88">
        <v>28605923</v>
      </c>
      <c r="I95" s="360" t="s">
        <v>425</v>
      </c>
      <c r="J95" s="361" t="s">
        <v>40</v>
      </c>
      <c r="K95" s="361"/>
      <c r="L95" s="78">
        <v>93233289</v>
      </c>
      <c r="M95" s="337"/>
    </row>
    <row r="96" spans="1:14" ht="15.75" x14ac:dyDescent="0.25">
      <c r="A96" s="49" t="s">
        <v>757</v>
      </c>
      <c r="B96" s="337" t="s">
        <v>535</v>
      </c>
      <c r="C96" s="363">
        <v>609.70000000000005</v>
      </c>
      <c r="D96" s="57">
        <v>0.25</v>
      </c>
      <c r="E96" s="58">
        <f t="shared" si="4"/>
        <v>152.42500000000001</v>
      </c>
      <c r="F96" s="58"/>
      <c r="G96" s="58">
        <f t="shared" si="5"/>
        <v>152.42500000000001</v>
      </c>
      <c r="H96" s="88">
        <v>4702777</v>
      </c>
      <c r="I96" s="360" t="s">
        <v>534</v>
      </c>
      <c r="J96" s="361" t="s">
        <v>40</v>
      </c>
      <c r="K96" s="361"/>
      <c r="L96" s="78">
        <v>92444040</v>
      </c>
      <c r="M96" s="337"/>
    </row>
    <row r="97" spans="1:14" ht="15.75" x14ac:dyDescent="0.25">
      <c r="A97" s="49" t="s">
        <v>756</v>
      </c>
      <c r="B97" s="337" t="s">
        <v>532</v>
      </c>
      <c r="C97" s="363">
        <v>310.7</v>
      </c>
      <c r="D97" s="57">
        <v>0.25</v>
      </c>
      <c r="E97" s="58">
        <f t="shared" si="4"/>
        <v>77.674999999999997</v>
      </c>
      <c r="F97" s="58"/>
      <c r="G97" s="58">
        <f t="shared" si="5"/>
        <v>77.674999999999997</v>
      </c>
      <c r="H97" s="88">
        <v>1163821</v>
      </c>
      <c r="I97" s="360" t="s">
        <v>531</v>
      </c>
      <c r="J97" s="361" t="s">
        <v>36</v>
      </c>
      <c r="K97" s="361"/>
      <c r="L97" s="78">
        <v>99496955</v>
      </c>
      <c r="M97" s="337"/>
    </row>
    <row r="98" spans="1:14" ht="15.75" x14ac:dyDescent="0.25">
      <c r="A98" s="49" t="s">
        <v>755</v>
      </c>
      <c r="B98" s="337" t="s">
        <v>529</v>
      </c>
      <c r="C98" s="363">
        <v>615.70000000000005</v>
      </c>
      <c r="D98" s="57">
        <v>0.25</v>
      </c>
      <c r="E98" s="58">
        <f t="shared" si="4"/>
        <v>153.92500000000001</v>
      </c>
      <c r="F98" s="58"/>
      <c r="G98" s="58">
        <f t="shared" si="5"/>
        <v>153.92500000000001</v>
      </c>
      <c r="H98" s="88">
        <v>23661829</v>
      </c>
      <c r="I98" s="360" t="s">
        <v>528</v>
      </c>
      <c r="J98" s="361" t="s">
        <v>40</v>
      </c>
      <c r="K98" s="361"/>
      <c r="L98" s="78">
        <v>92379624</v>
      </c>
      <c r="M98" s="337"/>
    </row>
    <row r="99" spans="1:14" s="41" customFormat="1" ht="15.75" x14ac:dyDescent="0.25">
      <c r="A99" s="49" t="s">
        <v>754</v>
      </c>
      <c r="B99" s="337" t="s">
        <v>526</v>
      </c>
      <c r="C99" s="363">
        <v>576.29999999999995</v>
      </c>
      <c r="D99" s="57">
        <v>0.25</v>
      </c>
      <c r="E99" s="58">
        <f t="shared" si="4"/>
        <v>144.07499999999999</v>
      </c>
      <c r="F99" s="58"/>
      <c r="G99" s="58">
        <f t="shared" si="5"/>
        <v>144.07499999999999</v>
      </c>
      <c r="H99" s="88">
        <v>26301042</v>
      </c>
      <c r="I99" s="360" t="s">
        <v>525</v>
      </c>
      <c r="J99" s="361" t="s">
        <v>36</v>
      </c>
      <c r="K99" s="361"/>
      <c r="L99" s="78">
        <v>93968161</v>
      </c>
      <c r="M99" s="337"/>
      <c r="N99" s="43"/>
    </row>
    <row r="100" spans="1:14" s="41" customFormat="1" ht="15.75" x14ac:dyDescent="0.25">
      <c r="A100" s="49" t="s">
        <v>753</v>
      </c>
      <c r="B100" s="337" t="s">
        <v>523</v>
      </c>
      <c r="C100" s="363">
        <v>614.9</v>
      </c>
      <c r="D100" s="57">
        <v>0.25</v>
      </c>
      <c r="E100" s="58">
        <f t="shared" ref="E100:E131" si="6">C100*D100</f>
        <v>153.72499999999999</v>
      </c>
      <c r="F100" s="58"/>
      <c r="G100" s="58">
        <f t="shared" ref="G100:G131" si="7">E100-F100</f>
        <v>153.72499999999999</v>
      </c>
      <c r="H100" s="88">
        <v>22979942</v>
      </c>
      <c r="I100" s="360" t="s">
        <v>522</v>
      </c>
      <c r="J100" s="361" t="s">
        <v>40</v>
      </c>
      <c r="K100" s="361"/>
      <c r="L100" s="78">
        <v>99837335</v>
      </c>
      <c r="M100" s="337"/>
      <c r="N100" s="43"/>
    </row>
    <row r="101" spans="1:14" s="41" customFormat="1" ht="15.75" x14ac:dyDescent="0.25">
      <c r="A101" s="49" t="s">
        <v>752</v>
      </c>
      <c r="B101" s="337" t="s">
        <v>520</v>
      </c>
      <c r="C101" s="363">
        <v>571.6</v>
      </c>
      <c r="D101" s="57">
        <v>0.25</v>
      </c>
      <c r="E101" s="58">
        <f t="shared" si="6"/>
        <v>142.9</v>
      </c>
      <c r="F101" s="58"/>
      <c r="G101" s="58">
        <f t="shared" si="7"/>
        <v>142.9</v>
      </c>
      <c r="H101" s="88">
        <v>14897254</v>
      </c>
      <c r="I101" s="360" t="s">
        <v>519</v>
      </c>
      <c r="J101" s="361" t="s">
        <v>40</v>
      </c>
      <c r="K101" s="361"/>
      <c r="L101" s="78">
        <v>92226297</v>
      </c>
      <c r="M101" s="337"/>
      <c r="N101" s="43"/>
    </row>
    <row r="102" spans="1:14" s="41" customFormat="1" ht="15.75" x14ac:dyDescent="0.25">
      <c r="A102" s="381" t="s">
        <v>751</v>
      </c>
      <c r="B102" s="373" t="s">
        <v>626</v>
      </c>
      <c r="C102" s="363">
        <v>596.20000000000005</v>
      </c>
      <c r="D102" s="57">
        <v>0.25</v>
      </c>
      <c r="E102" s="58">
        <f t="shared" si="6"/>
        <v>149.05000000000001</v>
      </c>
      <c r="F102" s="382"/>
      <c r="G102" s="58">
        <f t="shared" si="7"/>
        <v>149.05000000000001</v>
      </c>
      <c r="H102" s="378">
        <v>1694834</v>
      </c>
      <c r="I102" s="360" t="s">
        <v>625</v>
      </c>
      <c r="J102" s="361" t="s">
        <v>40</v>
      </c>
      <c r="K102" s="361"/>
      <c r="L102" s="438">
        <v>98444454</v>
      </c>
      <c r="M102" s="337"/>
      <c r="N102" s="43"/>
    </row>
    <row r="103" spans="1:14" s="41" customFormat="1" ht="15.75" x14ac:dyDescent="0.25">
      <c r="A103" s="49" t="s">
        <v>750</v>
      </c>
      <c r="B103" s="337" t="s">
        <v>517</v>
      </c>
      <c r="C103" s="363">
        <v>607</v>
      </c>
      <c r="D103" s="57">
        <v>0.25</v>
      </c>
      <c r="E103" s="58">
        <f t="shared" si="6"/>
        <v>151.75</v>
      </c>
      <c r="F103" s="58"/>
      <c r="G103" s="58">
        <f t="shared" si="7"/>
        <v>151.75</v>
      </c>
      <c r="H103" s="88">
        <v>19548147</v>
      </c>
      <c r="I103" s="360" t="s">
        <v>516</v>
      </c>
      <c r="J103" s="361" t="s">
        <v>36</v>
      </c>
      <c r="K103" s="361"/>
      <c r="L103" s="78">
        <v>97176909</v>
      </c>
      <c r="M103" s="337"/>
      <c r="N103" s="43"/>
    </row>
    <row r="104" spans="1:14" s="41" customFormat="1" ht="15.75" x14ac:dyDescent="0.25">
      <c r="A104" s="49" t="s">
        <v>749</v>
      </c>
      <c r="B104" s="337" t="s">
        <v>514</v>
      </c>
      <c r="C104" s="363">
        <v>431.1</v>
      </c>
      <c r="D104" s="57">
        <v>0.25</v>
      </c>
      <c r="E104" s="58">
        <f t="shared" si="6"/>
        <v>107.77500000000001</v>
      </c>
      <c r="F104" s="58"/>
      <c r="G104" s="58">
        <f t="shared" si="7"/>
        <v>107.77500000000001</v>
      </c>
      <c r="H104" s="88">
        <v>6104979</v>
      </c>
      <c r="I104" s="360" t="s">
        <v>513</v>
      </c>
      <c r="J104" s="361" t="s">
        <v>40</v>
      </c>
      <c r="K104" s="361"/>
      <c r="L104" s="78">
        <v>98821279</v>
      </c>
      <c r="M104" s="337"/>
      <c r="N104" s="43"/>
    </row>
    <row r="105" spans="1:14" s="41" customFormat="1" ht="15.75" x14ac:dyDescent="0.25">
      <c r="A105" s="49" t="s">
        <v>748</v>
      </c>
      <c r="B105" s="337" t="s">
        <v>511</v>
      </c>
      <c r="C105" s="363">
        <v>565.5</v>
      </c>
      <c r="D105" s="57">
        <v>0.25</v>
      </c>
      <c r="E105" s="58">
        <f t="shared" si="6"/>
        <v>141.375</v>
      </c>
      <c r="F105" s="58"/>
      <c r="G105" s="58">
        <f t="shared" si="7"/>
        <v>141.375</v>
      </c>
      <c r="H105" s="88">
        <v>14897235</v>
      </c>
      <c r="I105" s="360" t="s">
        <v>510</v>
      </c>
      <c r="J105" s="361" t="s">
        <v>40</v>
      </c>
      <c r="K105" s="361"/>
      <c r="L105" s="78">
        <v>93590020</v>
      </c>
      <c r="M105" s="337"/>
      <c r="N105" s="43"/>
    </row>
    <row r="106" spans="1:14" s="41" customFormat="1" ht="15.75" x14ac:dyDescent="0.25">
      <c r="A106" s="49" t="s">
        <v>747</v>
      </c>
      <c r="B106" s="337" t="s">
        <v>508</v>
      </c>
      <c r="C106" s="363">
        <v>421.6</v>
      </c>
      <c r="D106" s="57">
        <v>0.25</v>
      </c>
      <c r="E106" s="58">
        <f t="shared" si="6"/>
        <v>105.4</v>
      </c>
      <c r="F106" s="58"/>
      <c r="G106" s="58">
        <f t="shared" si="7"/>
        <v>105.4</v>
      </c>
      <c r="H106" s="88">
        <v>11314114</v>
      </c>
      <c r="I106" s="360" t="s">
        <v>507</v>
      </c>
      <c r="J106" s="361" t="s">
        <v>40</v>
      </c>
      <c r="K106" s="361"/>
      <c r="L106" s="78">
        <v>99290970</v>
      </c>
      <c r="M106" s="337"/>
      <c r="N106" s="43"/>
    </row>
    <row r="107" spans="1:14" s="41" customFormat="1" ht="15.75" x14ac:dyDescent="0.25">
      <c r="A107" s="49" t="s">
        <v>746</v>
      </c>
      <c r="B107" s="337" t="s">
        <v>505</v>
      </c>
      <c r="C107" s="363">
        <v>615.9</v>
      </c>
      <c r="D107" s="57">
        <v>0.25</v>
      </c>
      <c r="E107" s="58">
        <f t="shared" si="6"/>
        <v>153.97499999999999</v>
      </c>
      <c r="F107" s="58"/>
      <c r="G107" s="58">
        <f t="shared" si="7"/>
        <v>153.97499999999999</v>
      </c>
      <c r="H107" s="88">
        <v>6787729</v>
      </c>
      <c r="I107" s="360" t="s">
        <v>504</v>
      </c>
      <c r="J107" s="361" t="s">
        <v>503</v>
      </c>
      <c r="K107" s="361"/>
      <c r="L107" s="78">
        <v>93210998</v>
      </c>
      <c r="M107" s="337"/>
      <c r="N107" s="43"/>
    </row>
    <row r="108" spans="1:14" s="41" customFormat="1" ht="15.75" x14ac:dyDescent="0.25">
      <c r="A108" s="49" t="s">
        <v>745</v>
      </c>
      <c r="B108" s="337" t="s">
        <v>501</v>
      </c>
      <c r="C108" s="363">
        <v>511.6</v>
      </c>
      <c r="D108" s="57">
        <v>0.25</v>
      </c>
      <c r="E108" s="58">
        <f t="shared" si="6"/>
        <v>127.9</v>
      </c>
      <c r="F108" s="58"/>
      <c r="G108" s="58">
        <f t="shared" si="7"/>
        <v>127.9</v>
      </c>
      <c r="H108" s="88">
        <v>19520814</v>
      </c>
      <c r="I108" s="360" t="s">
        <v>500</v>
      </c>
      <c r="J108" s="361" t="s">
        <v>88</v>
      </c>
      <c r="K108" s="361"/>
      <c r="L108" s="78">
        <v>94444279</v>
      </c>
      <c r="M108" s="337"/>
      <c r="N108" s="43"/>
    </row>
    <row r="109" spans="1:14" s="41" customFormat="1" ht="15.75" x14ac:dyDescent="0.25">
      <c r="A109" s="49" t="s">
        <v>744</v>
      </c>
      <c r="B109" s="337" t="s">
        <v>498</v>
      </c>
      <c r="C109" s="363">
        <v>545.5</v>
      </c>
      <c r="D109" s="57">
        <v>0.25</v>
      </c>
      <c r="E109" s="58">
        <f t="shared" si="6"/>
        <v>136.375</v>
      </c>
      <c r="F109" s="58"/>
      <c r="G109" s="58">
        <f t="shared" si="7"/>
        <v>136.375</v>
      </c>
      <c r="H109" s="88">
        <v>5247401</v>
      </c>
      <c r="I109" s="360" t="s">
        <v>497</v>
      </c>
      <c r="J109" s="361" t="s">
        <v>83</v>
      </c>
      <c r="K109" s="361"/>
      <c r="L109" s="78">
        <v>99709553</v>
      </c>
      <c r="M109" s="337"/>
      <c r="N109" s="43"/>
    </row>
    <row r="110" spans="1:14" s="41" customFormat="1" ht="15.75" x14ac:dyDescent="0.25">
      <c r="A110" s="49" t="s">
        <v>743</v>
      </c>
      <c r="B110" s="337" t="s">
        <v>495</v>
      </c>
      <c r="C110" s="363">
        <v>610.70000000000005</v>
      </c>
      <c r="D110" s="57">
        <v>0.25</v>
      </c>
      <c r="E110" s="58">
        <f t="shared" si="6"/>
        <v>152.67500000000001</v>
      </c>
      <c r="F110" s="58"/>
      <c r="G110" s="58">
        <f t="shared" si="7"/>
        <v>152.67500000000001</v>
      </c>
      <c r="H110" s="88">
        <v>21104469</v>
      </c>
      <c r="I110" s="360" t="s">
        <v>494</v>
      </c>
      <c r="J110" s="361" t="s">
        <v>40</v>
      </c>
      <c r="K110" s="361"/>
      <c r="L110" s="78">
        <v>90633500</v>
      </c>
      <c r="M110" s="337"/>
      <c r="N110" s="43"/>
    </row>
    <row r="111" spans="1:14" s="41" customFormat="1" ht="15.75" x14ac:dyDescent="0.25">
      <c r="A111" s="49" t="s">
        <v>742</v>
      </c>
      <c r="B111" s="337" t="s">
        <v>492</v>
      </c>
      <c r="C111" s="363">
        <v>340.5</v>
      </c>
      <c r="D111" s="57">
        <v>0.25</v>
      </c>
      <c r="E111" s="58">
        <f t="shared" si="6"/>
        <v>85.125</v>
      </c>
      <c r="F111" s="58"/>
      <c r="G111" s="58">
        <f t="shared" si="7"/>
        <v>85.125</v>
      </c>
      <c r="H111" s="88">
        <v>2548974</v>
      </c>
      <c r="I111" s="360" t="s">
        <v>491</v>
      </c>
      <c r="J111" s="361" t="s">
        <v>36</v>
      </c>
      <c r="K111" s="361"/>
      <c r="L111" s="78">
        <v>92400071</v>
      </c>
      <c r="M111" s="337"/>
      <c r="N111" s="43"/>
    </row>
    <row r="112" spans="1:14" s="41" customFormat="1" ht="15.75" x14ac:dyDescent="0.25">
      <c r="A112" s="49" t="s">
        <v>741</v>
      </c>
      <c r="B112" s="337" t="s">
        <v>489</v>
      </c>
      <c r="C112" s="363">
        <v>62.2</v>
      </c>
      <c r="D112" s="57">
        <v>0.25</v>
      </c>
      <c r="E112" s="58">
        <f t="shared" si="6"/>
        <v>15.55</v>
      </c>
      <c r="F112" s="58"/>
      <c r="G112" s="58">
        <f t="shared" si="7"/>
        <v>15.55</v>
      </c>
      <c r="H112" s="88">
        <v>7287174</v>
      </c>
      <c r="I112" s="360" t="s">
        <v>488</v>
      </c>
      <c r="J112" s="361" t="s">
        <v>36</v>
      </c>
      <c r="K112" s="361"/>
      <c r="L112" s="78">
        <v>99673747</v>
      </c>
      <c r="M112" s="337"/>
      <c r="N112" s="43"/>
    </row>
    <row r="113" spans="1:14" s="41" customFormat="1" ht="15.75" x14ac:dyDescent="0.25">
      <c r="A113" s="49" t="s">
        <v>740</v>
      </c>
      <c r="B113" s="337" t="s">
        <v>486</v>
      </c>
      <c r="C113" s="363">
        <v>425.9</v>
      </c>
      <c r="D113" s="57">
        <v>0.25</v>
      </c>
      <c r="E113" s="58">
        <f t="shared" si="6"/>
        <v>106.47499999999999</v>
      </c>
      <c r="F113" s="58"/>
      <c r="G113" s="58">
        <f t="shared" si="7"/>
        <v>106.47499999999999</v>
      </c>
      <c r="H113" s="88">
        <v>6116507</v>
      </c>
      <c r="I113" s="360" t="s">
        <v>485</v>
      </c>
      <c r="J113" s="361" t="s">
        <v>40</v>
      </c>
      <c r="K113" s="361"/>
      <c r="L113" s="78">
        <v>92830096</v>
      </c>
      <c r="M113" s="337"/>
      <c r="N113" s="43"/>
    </row>
    <row r="114" spans="1:14" s="41" customFormat="1" ht="15.75" x14ac:dyDescent="0.25">
      <c r="A114" s="49" t="s">
        <v>739</v>
      </c>
      <c r="B114" s="337" t="s">
        <v>483</v>
      </c>
      <c r="C114" s="363">
        <v>542.70000000000005</v>
      </c>
      <c r="D114" s="57">
        <v>0.25</v>
      </c>
      <c r="E114" s="58">
        <f t="shared" si="6"/>
        <v>135.67500000000001</v>
      </c>
      <c r="F114" s="58"/>
      <c r="G114" s="58">
        <f t="shared" si="7"/>
        <v>135.67500000000001</v>
      </c>
      <c r="H114" s="88">
        <v>22745262</v>
      </c>
      <c r="I114" s="360" t="s">
        <v>482</v>
      </c>
      <c r="J114" s="361" t="s">
        <v>40</v>
      </c>
      <c r="K114" s="361"/>
      <c r="L114" s="78">
        <v>92830490</v>
      </c>
      <c r="M114" s="337"/>
      <c r="N114" s="43"/>
    </row>
    <row r="115" spans="1:14" s="41" customFormat="1" ht="15.75" x14ac:dyDescent="0.25">
      <c r="A115" s="49" t="s">
        <v>738</v>
      </c>
      <c r="B115" s="337" t="s">
        <v>480</v>
      </c>
      <c r="C115" s="363">
        <v>600.4</v>
      </c>
      <c r="D115" s="57">
        <v>0.25</v>
      </c>
      <c r="E115" s="58">
        <f t="shared" si="6"/>
        <v>150.1</v>
      </c>
      <c r="F115" s="58"/>
      <c r="G115" s="58">
        <f t="shared" si="7"/>
        <v>150.1</v>
      </c>
      <c r="H115" s="88">
        <v>15107731</v>
      </c>
      <c r="I115" s="360" t="s">
        <v>479</v>
      </c>
      <c r="J115" s="361" t="s">
        <v>40</v>
      </c>
      <c r="K115" s="361"/>
      <c r="L115" s="78">
        <v>92503031</v>
      </c>
      <c r="M115" s="337"/>
      <c r="N115" s="43"/>
    </row>
    <row r="116" spans="1:14" s="41" customFormat="1" ht="15.75" x14ac:dyDescent="0.25">
      <c r="A116" s="49" t="s">
        <v>737</v>
      </c>
      <c r="B116" s="337" t="s">
        <v>477</v>
      </c>
      <c r="C116" s="363">
        <v>583.70000000000005</v>
      </c>
      <c r="D116" s="57">
        <v>0.25</v>
      </c>
      <c r="E116" s="58">
        <f t="shared" si="6"/>
        <v>145.92500000000001</v>
      </c>
      <c r="F116" s="58"/>
      <c r="G116" s="58">
        <f t="shared" si="7"/>
        <v>145.92500000000001</v>
      </c>
      <c r="H116" s="88">
        <v>24895713</v>
      </c>
      <c r="I116" s="360" t="s">
        <v>476</v>
      </c>
      <c r="J116" s="361" t="s">
        <v>40</v>
      </c>
      <c r="K116" s="361"/>
      <c r="L116" s="78">
        <v>91319444</v>
      </c>
      <c r="M116" s="337"/>
      <c r="N116" s="43"/>
    </row>
    <row r="117" spans="1:14" s="41" customFormat="1" ht="15.75" x14ac:dyDescent="0.25">
      <c r="A117" s="49" t="s">
        <v>736</v>
      </c>
      <c r="B117" s="337" t="s">
        <v>474</v>
      </c>
      <c r="C117" s="363">
        <v>522.70000000000005</v>
      </c>
      <c r="D117" s="57">
        <v>0.25</v>
      </c>
      <c r="E117" s="58">
        <f t="shared" si="6"/>
        <v>130.67500000000001</v>
      </c>
      <c r="F117" s="58"/>
      <c r="G117" s="58">
        <f t="shared" si="7"/>
        <v>130.67500000000001</v>
      </c>
      <c r="H117" s="88">
        <v>5614642</v>
      </c>
      <c r="I117" s="360" t="s">
        <v>473</v>
      </c>
      <c r="J117" s="361" t="s">
        <v>40</v>
      </c>
      <c r="K117" s="361"/>
      <c r="L117" s="78">
        <v>92924188</v>
      </c>
      <c r="M117" s="337"/>
      <c r="N117" s="43"/>
    </row>
    <row r="118" spans="1:14" s="41" customFormat="1" ht="15.75" x14ac:dyDescent="0.25">
      <c r="A118" s="49" t="s">
        <v>735</v>
      </c>
      <c r="B118" s="337" t="s">
        <v>471</v>
      </c>
      <c r="C118" s="363">
        <v>575.79999999999995</v>
      </c>
      <c r="D118" s="57">
        <v>0.25</v>
      </c>
      <c r="E118" s="58">
        <f t="shared" si="6"/>
        <v>143.94999999999999</v>
      </c>
      <c r="F118" s="58"/>
      <c r="G118" s="58">
        <f t="shared" si="7"/>
        <v>143.94999999999999</v>
      </c>
      <c r="H118" s="88">
        <v>14967862</v>
      </c>
      <c r="I118" s="360" t="s">
        <v>470</v>
      </c>
      <c r="J118" s="361" t="s">
        <v>40</v>
      </c>
      <c r="K118" s="361"/>
      <c r="L118" s="78">
        <v>96124466</v>
      </c>
      <c r="M118" s="337"/>
      <c r="N118" s="43"/>
    </row>
    <row r="119" spans="1:14" s="41" customFormat="1" ht="15.75" x14ac:dyDescent="0.25">
      <c r="A119" s="49" t="s">
        <v>734</v>
      </c>
      <c r="B119" s="337" t="s">
        <v>468</v>
      </c>
      <c r="C119" s="213"/>
      <c r="D119" s="57">
        <v>0.25</v>
      </c>
      <c r="E119" s="58">
        <f t="shared" si="6"/>
        <v>0</v>
      </c>
      <c r="F119" s="58"/>
      <c r="G119" s="58">
        <f t="shared" si="7"/>
        <v>0</v>
      </c>
      <c r="H119" s="88">
        <v>5818311</v>
      </c>
      <c r="I119" s="360" t="s">
        <v>467</v>
      </c>
      <c r="J119" s="361" t="s">
        <v>40</v>
      </c>
      <c r="K119" s="361"/>
      <c r="L119" s="78">
        <v>99144926</v>
      </c>
      <c r="M119" s="337"/>
      <c r="N119" s="43"/>
    </row>
    <row r="120" spans="1:14" s="41" customFormat="1" ht="15.75" x14ac:dyDescent="0.25">
      <c r="A120" s="49" t="s">
        <v>733</v>
      </c>
      <c r="B120" s="337" t="s">
        <v>465</v>
      </c>
      <c r="C120" s="363">
        <v>613.29999999999995</v>
      </c>
      <c r="D120" s="57">
        <v>0.25</v>
      </c>
      <c r="E120" s="58">
        <f t="shared" si="6"/>
        <v>153.32499999999999</v>
      </c>
      <c r="F120" s="58"/>
      <c r="G120" s="58">
        <f t="shared" si="7"/>
        <v>153.32499999999999</v>
      </c>
      <c r="H120" s="88">
        <v>25909199</v>
      </c>
      <c r="I120" s="360" t="s">
        <v>464</v>
      </c>
      <c r="J120" s="361" t="s">
        <v>36</v>
      </c>
      <c r="K120" s="361"/>
      <c r="L120" s="78">
        <v>93341190</v>
      </c>
      <c r="M120" s="337"/>
      <c r="N120" s="43"/>
    </row>
    <row r="121" spans="1:14" s="41" customFormat="1" ht="15.75" x14ac:dyDescent="0.25">
      <c r="A121" s="49" t="s">
        <v>732</v>
      </c>
      <c r="B121" s="337" t="s">
        <v>462</v>
      </c>
      <c r="C121" s="363">
        <v>415.1</v>
      </c>
      <c r="D121" s="57">
        <v>0.25</v>
      </c>
      <c r="E121" s="58">
        <f t="shared" si="6"/>
        <v>103.77500000000001</v>
      </c>
      <c r="F121" s="58"/>
      <c r="G121" s="58">
        <f t="shared" si="7"/>
        <v>103.77500000000001</v>
      </c>
      <c r="H121" s="88">
        <v>5553803</v>
      </c>
      <c r="I121" s="360" t="s">
        <v>461</v>
      </c>
      <c r="J121" s="361" t="s">
        <v>40</v>
      </c>
      <c r="K121" s="361"/>
      <c r="L121" s="78">
        <v>92234456</v>
      </c>
      <c r="M121" s="337"/>
      <c r="N121" s="43"/>
    </row>
    <row r="122" spans="1:14" ht="15.75" x14ac:dyDescent="0.25">
      <c r="A122" s="49" t="s">
        <v>731</v>
      </c>
      <c r="B122" s="337" t="s">
        <v>459</v>
      </c>
      <c r="C122" s="363">
        <v>594</v>
      </c>
      <c r="D122" s="57">
        <v>0.25</v>
      </c>
      <c r="E122" s="58">
        <f t="shared" si="6"/>
        <v>148.5</v>
      </c>
      <c r="F122" s="58"/>
      <c r="G122" s="58">
        <f t="shared" si="7"/>
        <v>148.5</v>
      </c>
      <c r="H122" s="88">
        <v>4862996</v>
      </c>
      <c r="I122" s="360" t="s">
        <v>458</v>
      </c>
      <c r="J122" s="361" t="s">
        <v>40</v>
      </c>
      <c r="K122" s="361"/>
      <c r="L122" s="78">
        <v>98829866</v>
      </c>
      <c r="M122" s="337"/>
    </row>
    <row r="123" spans="1:14" ht="15.75" x14ac:dyDescent="0.25">
      <c r="A123" s="49" t="s">
        <v>730</v>
      </c>
      <c r="B123" s="337" t="s">
        <v>456</v>
      </c>
      <c r="C123" s="363">
        <v>514.79999999999995</v>
      </c>
      <c r="D123" s="57">
        <v>0.25</v>
      </c>
      <c r="E123" s="58">
        <f t="shared" si="6"/>
        <v>128.69999999999999</v>
      </c>
      <c r="F123" s="58"/>
      <c r="G123" s="58">
        <f t="shared" si="7"/>
        <v>128.69999999999999</v>
      </c>
      <c r="H123" s="88">
        <v>6071399</v>
      </c>
      <c r="I123" s="360" t="s">
        <v>455</v>
      </c>
      <c r="J123" s="361" t="s">
        <v>40</v>
      </c>
      <c r="K123" s="361"/>
      <c r="L123" s="78">
        <v>93957559</v>
      </c>
      <c r="M123" s="337"/>
    </row>
    <row r="124" spans="1:14" s="21" customFormat="1" ht="15.75" x14ac:dyDescent="0.25">
      <c r="A124" s="85" t="s">
        <v>729</v>
      </c>
      <c r="B124" s="14" t="s">
        <v>453</v>
      </c>
      <c r="C124" s="15">
        <v>414.6</v>
      </c>
      <c r="D124" s="57">
        <v>0.25</v>
      </c>
      <c r="E124" s="58">
        <f t="shared" si="6"/>
        <v>103.65</v>
      </c>
      <c r="F124" s="58"/>
      <c r="G124" s="58">
        <f t="shared" si="7"/>
        <v>103.65</v>
      </c>
      <c r="H124" s="51">
        <v>3560822</v>
      </c>
      <c r="I124" s="380" t="s">
        <v>452</v>
      </c>
      <c r="J124" s="379" t="s">
        <v>40</v>
      </c>
      <c r="K124" s="379"/>
      <c r="L124" s="54">
        <v>92300315</v>
      </c>
      <c r="M124" s="14"/>
      <c r="N124" s="20"/>
    </row>
    <row r="125" spans="1:14" ht="15.75" x14ac:dyDescent="0.25">
      <c r="A125" s="49" t="s">
        <v>728</v>
      </c>
      <c r="B125" s="337" t="s">
        <v>450</v>
      </c>
      <c r="C125" s="363">
        <v>545</v>
      </c>
      <c r="D125" s="57">
        <v>0.25</v>
      </c>
      <c r="E125" s="58">
        <f t="shared" si="6"/>
        <v>136.25</v>
      </c>
      <c r="F125" s="58"/>
      <c r="G125" s="58">
        <f t="shared" si="7"/>
        <v>136.25</v>
      </c>
      <c r="H125" s="88">
        <v>790841</v>
      </c>
      <c r="I125" s="360" t="s">
        <v>449</v>
      </c>
      <c r="J125" s="361" t="s">
        <v>36</v>
      </c>
      <c r="K125" s="361"/>
      <c r="L125" s="78">
        <v>99679031</v>
      </c>
      <c r="M125" s="337"/>
    </row>
    <row r="126" spans="1:14" s="21" customFormat="1" ht="15.75" x14ac:dyDescent="0.25">
      <c r="A126" s="85" t="s">
        <v>727</v>
      </c>
      <c r="B126" s="14" t="s">
        <v>447</v>
      </c>
      <c r="C126" s="478">
        <v>421.6</v>
      </c>
      <c r="D126" s="57">
        <v>0.25</v>
      </c>
      <c r="E126" s="58">
        <f t="shared" si="6"/>
        <v>105.4</v>
      </c>
      <c r="F126" s="58"/>
      <c r="G126" s="58">
        <f t="shared" si="7"/>
        <v>105.4</v>
      </c>
      <c r="H126" s="51">
        <v>14330314</v>
      </c>
      <c r="I126" s="380" t="s">
        <v>446</v>
      </c>
      <c r="J126" s="379" t="s">
        <v>83</v>
      </c>
      <c r="K126" s="379"/>
      <c r="L126" s="54">
        <v>98044999</v>
      </c>
      <c r="M126" s="14"/>
      <c r="N126" s="20"/>
    </row>
    <row r="127" spans="1:14" ht="15.75" x14ac:dyDescent="0.25">
      <c r="A127" s="49" t="s">
        <v>726</v>
      </c>
      <c r="B127" s="337" t="s">
        <v>444</v>
      </c>
      <c r="C127" s="363">
        <v>607.29999999999995</v>
      </c>
      <c r="D127" s="57">
        <v>0.25</v>
      </c>
      <c r="E127" s="58">
        <f t="shared" si="6"/>
        <v>151.82499999999999</v>
      </c>
      <c r="F127" s="58"/>
      <c r="G127" s="58">
        <f t="shared" si="7"/>
        <v>151.82499999999999</v>
      </c>
      <c r="H127" s="88">
        <v>1975929</v>
      </c>
      <c r="I127" s="360" t="s">
        <v>443</v>
      </c>
      <c r="J127" s="361" t="s">
        <v>40</v>
      </c>
      <c r="K127" s="361"/>
      <c r="L127" s="78">
        <v>99837335</v>
      </c>
      <c r="M127" s="337"/>
    </row>
    <row r="128" spans="1:14" ht="15.75" x14ac:dyDescent="0.25">
      <c r="A128" s="49" t="s">
        <v>725</v>
      </c>
      <c r="B128" s="337" t="s">
        <v>442</v>
      </c>
      <c r="C128" s="363">
        <v>609.4</v>
      </c>
      <c r="D128" s="57">
        <v>0.25</v>
      </c>
      <c r="E128" s="58">
        <f t="shared" si="6"/>
        <v>152.35</v>
      </c>
      <c r="F128" s="58"/>
      <c r="G128" s="58">
        <f t="shared" si="7"/>
        <v>152.35</v>
      </c>
      <c r="H128" s="88">
        <v>1234226</v>
      </c>
      <c r="I128" s="360" t="s">
        <v>441</v>
      </c>
      <c r="J128" s="361" t="s">
        <v>373</v>
      </c>
      <c r="K128" s="361"/>
      <c r="L128" s="78">
        <v>99115226</v>
      </c>
      <c r="M128" s="337"/>
    </row>
    <row r="129" spans="1:14" ht="15.75" x14ac:dyDescent="0.25">
      <c r="A129" s="49" t="s">
        <v>724</v>
      </c>
      <c r="B129" s="337" t="s">
        <v>439</v>
      </c>
      <c r="C129" s="363">
        <v>601</v>
      </c>
      <c r="D129" s="57">
        <v>0.25</v>
      </c>
      <c r="E129" s="58">
        <f t="shared" si="6"/>
        <v>150.25</v>
      </c>
      <c r="F129" s="58"/>
      <c r="G129" s="58">
        <f t="shared" si="7"/>
        <v>150.25</v>
      </c>
      <c r="H129" s="88">
        <v>14052914</v>
      </c>
      <c r="I129" s="360" t="s">
        <v>438</v>
      </c>
      <c r="J129" s="361" t="s">
        <v>437</v>
      </c>
      <c r="K129" s="361"/>
      <c r="L129" s="78">
        <v>92850111</v>
      </c>
      <c r="M129" s="337"/>
    </row>
    <row r="130" spans="1:14" ht="15.75" x14ac:dyDescent="0.25">
      <c r="A130" s="49" t="s">
        <v>723</v>
      </c>
      <c r="B130" s="337" t="s">
        <v>655</v>
      </c>
      <c r="C130" s="363">
        <v>588.6</v>
      </c>
      <c r="D130" s="57">
        <v>0.25</v>
      </c>
      <c r="E130" s="58">
        <f t="shared" si="6"/>
        <v>147.15</v>
      </c>
      <c r="F130" s="58"/>
      <c r="G130" s="58">
        <f t="shared" si="7"/>
        <v>147.15</v>
      </c>
      <c r="H130" s="88">
        <v>14453238</v>
      </c>
      <c r="I130" s="360" t="s">
        <v>434</v>
      </c>
      <c r="J130" s="361" t="s">
        <v>40</v>
      </c>
      <c r="K130" s="361"/>
      <c r="L130" s="78">
        <v>99298007</v>
      </c>
      <c r="M130" s="337"/>
    </row>
    <row r="131" spans="1:14" s="21" customFormat="1" ht="15.75" x14ac:dyDescent="0.25">
      <c r="A131" s="85" t="s">
        <v>722</v>
      </c>
      <c r="B131" s="14" t="s">
        <v>432</v>
      </c>
      <c r="C131" s="440"/>
      <c r="D131" s="57">
        <v>0.25</v>
      </c>
      <c r="E131" s="58">
        <f t="shared" si="6"/>
        <v>0</v>
      </c>
      <c r="F131" s="58"/>
      <c r="G131" s="58">
        <f t="shared" si="7"/>
        <v>0</v>
      </c>
      <c r="H131" s="51">
        <v>323724</v>
      </c>
      <c r="I131" s="380" t="s">
        <v>431</v>
      </c>
      <c r="J131" s="379" t="s">
        <v>88</v>
      </c>
      <c r="K131" s="379"/>
      <c r="L131" s="54">
        <v>92408550</v>
      </c>
      <c r="M131" s="14"/>
      <c r="N131" s="20"/>
    </row>
    <row r="132" spans="1:14" ht="15.75" x14ac:dyDescent="0.25">
      <c r="A132" s="49" t="s">
        <v>721</v>
      </c>
      <c r="B132" s="337" t="s">
        <v>429</v>
      </c>
      <c r="C132" s="363">
        <v>556.79999999999995</v>
      </c>
      <c r="D132" s="57">
        <v>0.25</v>
      </c>
      <c r="E132" s="58">
        <f t="shared" ref="E132:E163" si="8">C132*D132</f>
        <v>139.19999999999999</v>
      </c>
      <c r="F132" s="58"/>
      <c r="G132" s="58">
        <f t="shared" ref="G132:G163" si="9">E132-F132</f>
        <v>139.19999999999999</v>
      </c>
      <c r="H132" s="88">
        <v>19611872</v>
      </c>
      <c r="I132" s="360" t="s">
        <v>428</v>
      </c>
      <c r="J132" s="361" t="s">
        <v>40</v>
      </c>
      <c r="K132" s="361"/>
      <c r="L132" s="78">
        <v>95110225</v>
      </c>
      <c r="M132" s="337"/>
    </row>
    <row r="133" spans="1:14" ht="15.75" x14ac:dyDescent="0.25">
      <c r="A133" s="49" t="s">
        <v>720</v>
      </c>
      <c r="B133" s="337" t="s">
        <v>426</v>
      </c>
      <c r="C133" s="363">
        <v>202.3</v>
      </c>
      <c r="D133" s="57">
        <v>0.25</v>
      </c>
      <c r="E133" s="58">
        <f t="shared" si="8"/>
        <v>50.575000000000003</v>
      </c>
      <c r="F133" s="58"/>
      <c r="G133" s="58">
        <f t="shared" si="9"/>
        <v>50.575000000000003</v>
      </c>
      <c r="H133" s="88">
        <v>6664792</v>
      </c>
      <c r="I133" s="360" t="s">
        <v>425</v>
      </c>
      <c r="J133" s="361" t="s">
        <v>40</v>
      </c>
      <c r="K133" s="361"/>
      <c r="L133" s="78">
        <v>93233289</v>
      </c>
      <c r="M133" s="337"/>
    </row>
    <row r="134" spans="1:14" ht="15.75" x14ac:dyDescent="0.25">
      <c r="A134" s="49" t="s">
        <v>719</v>
      </c>
      <c r="B134" s="337" t="s">
        <v>423</v>
      </c>
      <c r="C134" s="363">
        <v>611.70000000000005</v>
      </c>
      <c r="D134" s="57">
        <v>0.25</v>
      </c>
      <c r="E134" s="58">
        <f t="shared" si="8"/>
        <v>152.92500000000001</v>
      </c>
      <c r="F134" s="58"/>
      <c r="G134" s="58">
        <f t="shared" si="9"/>
        <v>152.92500000000001</v>
      </c>
      <c r="H134" s="88">
        <v>6825074</v>
      </c>
      <c r="I134" s="360" t="s">
        <v>422</v>
      </c>
      <c r="J134" s="361" t="s">
        <v>40</v>
      </c>
      <c r="K134" s="361"/>
      <c r="L134" s="78">
        <v>98822664</v>
      </c>
      <c r="M134" s="337"/>
    </row>
    <row r="135" spans="1:14" ht="15.75" x14ac:dyDescent="0.25">
      <c r="A135" s="49" t="s">
        <v>718</v>
      </c>
      <c r="B135" s="337" t="s">
        <v>420</v>
      </c>
      <c r="C135" s="363">
        <v>589.6</v>
      </c>
      <c r="D135" s="57">
        <v>0.25</v>
      </c>
      <c r="E135" s="58">
        <f t="shared" si="8"/>
        <v>147.4</v>
      </c>
      <c r="F135" s="58"/>
      <c r="G135" s="58">
        <f t="shared" si="9"/>
        <v>147.4</v>
      </c>
      <c r="H135" s="88">
        <v>5390889</v>
      </c>
      <c r="I135" s="360" t="s">
        <v>419</v>
      </c>
      <c r="J135" s="361" t="s">
        <v>40</v>
      </c>
      <c r="K135" s="361"/>
      <c r="L135" s="78">
        <v>92050433</v>
      </c>
      <c r="M135" s="337"/>
    </row>
    <row r="136" spans="1:14" ht="15.75" x14ac:dyDescent="0.25">
      <c r="A136" s="49" t="s">
        <v>717</v>
      </c>
      <c r="B136" s="337" t="s">
        <v>418</v>
      </c>
      <c r="C136" s="363">
        <v>603.1</v>
      </c>
      <c r="D136" s="57">
        <v>0.25</v>
      </c>
      <c r="E136" s="58">
        <f t="shared" si="8"/>
        <v>150.77500000000001</v>
      </c>
      <c r="F136" s="58"/>
      <c r="G136" s="58">
        <f t="shared" si="9"/>
        <v>150.77500000000001</v>
      </c>
      <c r="H136" s="88">
        <v>18628284</v>
      </c>
      <c r="I136" s="360" t="s">
        <v>417</v>
      </c>
      <c r="J136" s="361" t="s">
        <v>40</v>
      </c>
      <c r="K136" s="361"/>
      <c r="L136" s="78">
        <v>92050433</v>
      </c>
      <c r="M136" s="337"/>
    </row>
    <row r="137" spans="1:14" ht="15.75" x14ac:dyDescent="0.25">
      <c r="A137" s="49" t="s">
        <v>716</v>
      </c>
      <c r="B137" s="337" t="s">
        <v>415</v>
      </c>
      <c r="C137" s="363">
        <v>610</v>
      </c>
      <c r="D137" s="57">
        <v>0.25</v>
      </c>
      <c r="E137" s="58">
        <f t="shared" si="8"/>
        <v>152.5</v>
      </c>
      <c r="F137" s="58"/>
      <c r="G137" s="58">
        <f t="shared" si="9"/>
        <v>152.5</v>
      </c>
      <c r="H137" s="88">
        <v>1932809</v>
      </c>
      <c r="I137" s="360" t="s">
        <v>414</v>
      </c>
      <c r="J137" s="361" t="s">
        <v>40</v>
      </c>
      <c r="K137" s="361"/>
      <c r="L137" s="78">
        <v>99485672</v>
      </c>
      <c r="M137" s="337"/>
    </row>
    <row r="138" spans="1:14" ht="15.75" x14ac:dyDescent="0.25">
      <c r="A138" s="49" t="s">
        <v>715</v>
      </c>
      <c r="B138" s="337" t="s">
        <v>412</v>
      </c>
      <c r="C138" s="363">
        <v>571.6</v>
      </c>
      <c r="D138" s="57">
        <v>0.25</v>
      </c>
      <c r="E138" s="58">
        <f t="shared" si="8"/>
        <v>142.9</v>
      </c>
      <c r="F138" s="58"/>
      <c r="G138" s="58">
        <f t="shared" si="9"/>
        <v>142.9</v>
      </c>
      <c r="H138" s="88">
        <v>24329569</v>
      </c>
      <c r="I138" s="360" t="s">
        <v>411</v>
      </c>
      <c r="J138" s="361" t="s">
        <v>36</v>
      </c>
      <c r="K138" s="361"/>
      <c r="L138" s="78">
        <v>90106022</v>
      </c>
      <c r="M138" s="337"/>
    </row>
    <row r="139" spans="1:14" ht="15.75" x14ac:dyDescent="0.25">
      <c r="A139" s="49" t="s">
        <v>714</v>
      </c>
      <c r="B139" s="337" t="s">
        <v>409</v>
      </c>
      <c r="C139" s="363">
        <v>588.5</v>
      </c>
      <c r="D139" s="57">
        <v>0.25</v>
      </c>
      <c r="E139" s="58">
        <f t="shared" si="8"/>
        <v>147.125</v>
      </c>
      <c r="F139" s="58"/>
      <c r="G139" s="58">
        <f t="shared" si="9"/>
        <v>147.125</v>
      </c>
      <c r="H139" s="88">
        <v>6160288</v>
      </c>
      <c r="I139" s="360" t="s">
        <v>408</v>
      </c>
      <c r="J139" s="361" t="s">
        <v>40</v>
      </c>
      <c r="K139" s="361"/>
      <c r="L139" s="78">
        <v>92559899</v>
      </c>
      <c r="M139" s="337"/>
    </row>
    <row r="140" spans="1:14" s="21" customFormat="1" ht="15.75" x14ac:dyDescent="0.25">
      <c r="A140" s="85" t="s">
        <v>713</v>
      </c>
      <c r="B140" s="14" t="s">
        <v>406</v>
      </c>
      <c r="C140" s="213"/>
      <c r="D140" s="57">
        <v>0.25</v>
      </c>
      <c r="E140" s="58">
        <f t="shared" si="8"/>
        <v>0</v>
      </c>
      <c r="F140" s="58"/>
      <c r="G140" s="58">
        <f t="shared" si="9"/>
        <v>0</v>
      </c>
      <c r="H140" s="51">
        <v>19827505</v>
      </c>
      <c r="I140" s="380" t="s">
        <v>405</v>
      </c>
      <c r="J140" s="379" t="s">
        <v>40</v>
      </c>
      <c r="K140" s="379"/>
      <c r="L140" s="54">
        <v>92911891</v>
      </c>
      <c r="M140" s="14"/>
      <c r="N140" s="20"/>
    </row>
    <row r="141" spans="1:14" ht="15.75" x14ac:dyDescent="0.25">
      <c r="A141" s="49" t="s">
        <v>712</v>
      </c>
      <c r="B141" s="337" t="s">
        <v>403</v>
      </c>
      <c r="C141" s="363">
        <v>429.1</v>
      </c>
      <c r="D141" s="57">
        <v>0.25</v>
      </c>
      <c r="E141" s="58">
        <f t="shared" si="8"/>
        <v>107.27500000000001</v>
      </c>
      <c r="F141" s="58"/>
      <c r="G141" s="58">
        <f t="shared" si="9"/>
        <v>107.27500000000001</v>
      </c>
      <c r="H141" s="88">
        <v>24363459</v>
      </c>
      <c r="I141" s="360" t="s">
        <v>402</v>
      </c>
      <c r="J141" s="361" t="s">
        <v>36</v>
      </c>
      <c r="K141" s="361"/>
      <c r="L141" s="78">
        <v>93536753</v>
      </c>
      <c r="M141" s="337"/>
    </row>
    <row r="142" spans="1:14" ht="15.75" x14ac:dyDescent="0.25">
      <c r="A142" s="49" t="s">
        <v>711</v>
      </c>
      <c r="B142" s="337" t="s">
        <v>400</v>
      </c>
      <c r="C142" s="363">
        <v>422.1</v>
      </c>
      <c r="D142" s="57">
        <v>0.25</v>
      </c>
      <c r="E142" s="58">
        <f t="shared" si="8"/>
        <v>105.52500000000001</v>
      </c>
      <c r="F142" s="58"/>
      <c r="G142" s="58">
        <f t="shared" si="9"/>
        <v>105.52500000000001</v>
      </c>
      <c r="H142" s="88">
        <v>22985669</v>
      </c>
      <c r="I142" s="360" t="s">
        <v>399</v>
      </c>
      <c r="J142" s="361" t="s">
        <v>40</v>
      </c>
      <c r="K142" s="361"/>
      <c r="L142" s="78">
        <v>92821977</v>
      </c>
      <c r="M142" s="337"/>
    </row>
    <row r="143" spans="1:14" ht="15.75" x14ac:dyDescent="0.25">
      <c r="A143" s="49" t="s">
        <v>710</v>
      </c>
      <c r="B143" s="337" t="s">
        <v>397</v>
      </c>
      <c r="C143" s="363">
        <v>293.5</v>
      </c>
      <c r="D143" s="57">
        <v>0.25</v>
      </c>
      <c r="E143" s="58">
        <f t="shared" si="8"/>
        <v>73.375</v>
      </c>
      <c r="F143" s="58"/>
      <c r="G143" s="58">
        <f t="shared" si="9"/>
        <v>73.375</v>
      </c>
      <c r="H143" s="88">
        <v>4631242</v>
      </c>
      <c r="I143" s="360" t="s">
        <v>396</v>
      </c>
      <c r="J143" s="361" t="s">
        <v>40</v>
      </c>
      <c r="K143" s="361"/>
      <c r="L143" s="78">
        <v>92868004</v>
      </c>
      <c r="M143" s="337"/>
    </row>
    <row r="144" spans="1:14" ht="15.75" x14ac:dyDescent="0.25">
      <c r="A144" s="49" t="s">
        <v>709</v>
      </c>
      <c r="B144" s="337" t="s">
        <v>394</v>
      </c>
      <c r="C144" s="363">
        <v>605.6</v>
      </c>
      <c r="D144" s="57">
        <v>0.25</v>
      </c>
      <c r="E144" s="58">
        <f t="shared" si="8"/>
        <v>151.4</v>
      </c>
      <c r="F144" s="58"/>
      <c r="G144" s="58">
        <f t="shared" si="9"/>
        <v>151.4</v>
      </c>
      <c r="H144" s="88">
        <v>27770646</v>
      </c>
      <c r="I144" s="360" t="s">
        <v>393</v>
      </c>
      <c r="J144" s="361" t="s">
        <v>40</v>
      </c>
      <c r="K144" s="361"/>
      <c r="L144" s="78">
        <v>98829772</v>
      </c>
      <c r="M144" s="337"/>
    </row>
    <row r="145" spans="1:14" s="21" customFormat="1" ht="15.75" x14ac:dyDescent="0.25">
      <c r="A145" s="85" t="s">
        <v>708</v>
      </c>
      <c r="B145" s="14" t="s">
        <v>391</v>
      </c>
      <c r="C145" s="213"/>
      <c r="D145" s="57">
        <v>0.25</v>
      </c>
      <c r="E145" s="58">
        <f t="shared" si="8"/>
        <v>0</v>
      </c>
      <c r="F145" s="58"/>
      <c r="G145" s="58">
        <f t="shared" si="9"/>
        <v>0</v>
      </c>
      <c r="H145" s="51">
        <v>5818269</v>
      </c>
      <c r="I145" s="380" t="s">
        <v>390</v>
      </c>
      <c r="J145" s="379" t="s">
        <v>40</v>
      </c>
      <c r="K145" s="379"/>
      <c r="L145" s="54">
        <v>90936569</v>
      </c>
      <c r="M145" s="14"/>
      <c r="N145" s="20"/>
    </row>
    <row r="146" spans="1:14" ht="15.75" x14ac:dyDescent="0.25">
      <c r="A146" s="49" t="s">
        <v>707</v>
      </c>
      <c r="B146" s="337" t="s">
        <v>388</v>
      </c>
      <c r="C146" s="363">
        <v>593.1</v>
      </c>
      <c r="D146" s="57">
        <v>0.25</v>
      </c>
      <c r="E146" s="58">
        <f t="shared" si="8"/>
        <v>148.27500000000001</v>
      </c>
      <c r="F146" s="58"/>
      <c r="G146" s="58">
        <f t="shared" si="9"/>
        <v>148.27500000000001</v>
      </c>
      <c r="H146" s="88">
        <v>10188283</v>
      </c>
      <c r="I146" s="360" t="s">
        <v>387</v>
      </c>
      <c r="J146" s="361" t="s">
        <v>373</v>
      </c>
      <c r="K146" s="361"/>
      <c r="L146" s="78">
        <v>93127450</v>
      </c>
      <c r="M146" s="337"/>
    </row>
    <row r="147" spans="1:14" ht="15.75" x14ac:dyDescent="0.25">
      <c r="A147" s="49" t="s">
        <v>706</v>
      </c>
      <c r="B147" s="337" t="s">
        <v>385</v>
      </c>
      <c r="C147" s="363">
        <v>594.29999999999995</v>
      </c>
      <c r="D147" s="57">
        <v>0.25</v>
      </c>
      <c r="E147" s="58">
        <f t="shared" si="8"/>
        <v>148.57499999999999</v>
      </c>
      <c r="F147" s="58"/>
      <c r="G147" s="58">
        <f t="shared" si="9"/>
        <v>148.57499999999999</v>
      </c>
      <c r="H147" s="88">
        <v>24923763</v>
      </c>
      <c r="I147" s="360" t="s">
        <v>384</v>
      </c>
      <c r="J147" s="361" t="s">
        <v>40</v>
      </c>
      <c r="K147" s="361"/>
      <c r="L147" s="78">
        <v>92772234</v>
      </c>
      <c r="M147" s="337"/>
    </row>
    <row r="148" spans="1:14" ht="15.75" x14ac:dyDescent="0.25">
      <c r="A148" s="49" t="s">
        <v>705</v>
      </c>
      <c r="B148" s="337" t="s">
        <v>383</v>
      </c>
      <c r="C148" s="363">
        <v>598.5</v>
      </c>
      <c r="D148" s="57">
        <v>0.25</v>
      </c>
      <c r="E148" s="58">
        <f t="shared" si="8"/>
        <v>149.625</v>
      </c>
      <c r="F148" s="58"/>
      <c r="G148" s="58">
        <f t="shared" si="9"/>
        <v>149.625</v>
      </c>
      <c r="H148" s="88">
        <v>19346473</v>
      </c>
      <c r="I148" s="360" t="s">
        <v>382</v>
      </c>
      <c r="J148" s="361" t="s">
        <v>40</v>
      </c>
      <c r="K148" s="361"/>
      <c r="L148" s="78">
        <v>92772234</v>
      </c>
      <c r="M148" s="337"/>
    </row>
    <row r="149" spans="1:14" ht="15.75" x14ac:dyDescent="0.25">
      <c r="A149" s="49" t="s">
        <v>704</v>
      </c>
      <c r="B149" s="337" t="s">
        <v>380</v>
      </c>
      <c r="C149" s="363">
        <v>182.6</v>
      </c>
      <c r="D149" s="57">
        <v>0.25</v>
      </c>
      <c r="E149" s="58">
        <f t="shared" si="8"/>
        <v>45.65</v>
      </c>
      <c r="F149" s="58"/>
      <c r="G149" s="58">
        <f t="shared" si="9"/>
        <v>45.65</v>
      </c>
      <c r="H149" s="88">
        <v>21228878</v>
      </c>
      <c r="I149" s="360" t="s">
        <v>379</v>
      </c>
      <c r="J149" s="361" t="s">
        <v>40</v>
      </c>
      <c r="K149" s="361"/>
      <c r="L149" s="78">
        <v>94444279</v>
      </c>
      <c r="M149" s="337"/>
    </row>
    <row r="150" spans="1:14" ht="15.75" x14ac:dyDescent="0.25">
      <c r="A150" s="49" t="s">
        <v>703</v>
      </c>
      <c r="B150" s="337" t="s">
        <v>378</v>
      </c>
      <c r="C150" s="363">
        <v>621</v>
      </c>
      <c r="D150" s="57">
        <v>0.25</v>
      </c>
      <c r="E150" s="58">
        <f t="shared" si="8"/>
        <v>155.25</v>
      </c>
      <c r="F150" s="58"/>
      <c r="G150" s="58">
        <f t="shared" si="9"/>
        <v>155.25</v>
      </c>
      <c r="H150" s="88">
        <v>22777574</v>
      </c>
      <c r="I150" s="360" t="s">
        <v>377</v>
      </c>
      <c r="J150" s="361" t="s">
        <v>40</v>
      </c>
      <c r="K150" s="361"/>
      <c r="L150" s="78">
        <v>91965353</v>
      </c>
      <c r="M150" s="337"/>
    </row>
    <row r="151" spans="1:14" ht="15.75" x14ac:dyDescent="0.25">
      <c r="A151" s="49" t="s">
        <v>702</v>
      </c>
      <c r="B151" s="337" t="s">
        <v>375</v>
      </c>
      <c r="C151" s="363">
        <v>585.29999999999995</v>
      </c>
      <c r="D151" s="57">
        <v>0.25</v>
      </c>
      <c r="E151" s="58">
        <f t="shared" si="8"/>
        <v>146.32499999999999</v>
      </c>
      <c r="F151" s="58"/>
      <c r="G151" s="58">
        <f t="shared" si="9"/>
        <v>146.32499999999999</v>
      </c>
      <c r="H151" s="88">
        <v>4087239</v>
      </c>
      <c r="I151" s="360" t="s">
        <v>374</v>
      </c>
      <c r="J151" s="361" t="s">
        <v>373</v>
      </c>
      <c r="K151" s="361"/>
      <c r="L151" s="78">
        <v>91730077</v>
      </c>
      <c r="M151" s="337"/>
    </row>
    <row r="152" spans="1:14" s="21" customFormat="1" ht="15.75" x14ac:dyDescent="0.25">
      <c r="A152" s="85" t="s">
        <v>701</v>
      </c>
      <c r="B152" s="14" t="s">
        <v>371</v>
      </c>
      <c r="C152" s="213"/>
      <c r="D152" s="57">
        <v>0.25</v>
      </c>
      <c r="E152" s="58">
        <f t="shared" si="8"/>
        <v>0</v>
      </c>
      <c r="F152" s="58"/>
      <c r="G152" s="58">
        <f t="shared" si="9"/>
        <v>0</v>
      </c>
      <c r="H152" s="51">
        <v>775949</v>
      </c>
      <c r="I152" s="380" t="s">
        <v>370</v>
      </c>
      <c r="J152" s="379" t="s">
        <v>188</v>
      </c>
      <c r="K152" s="379"/>
      <c r="L152" s="54">
        <v>99290098</v>
      </c>
      <c r="M152" s="14"/>
      <c r="N152" s="20"/>
    </row>
    <row r="153" spans="1:14" ht="15.75" x14ac:dyDescent="0.25">
      <c r="A153" s="49" t="s">
        <v>700</v>
      </c>
      <c r="B153" s="337" t="s">
        <v>368</v>
      </c>
      <c r="C153" s="363">
        <v>610.29999999999995</v>
      </c>
      <c r="D153" s="57">
        <v>0.25</v>
      </c>
      <c r="E153" s="58">
        <f t="shared" si="8"/>
        <v>152.57499999999999</v>
      </c>
      <c r="F153" s="58"/>
      <c r="G153" s="58">
        <f t="shared" si="9"/>
        <v>152.57499999999999</v>
      </c>
      <c r="H153" s="88">
        <v>7693695</v>
      </c>
      <c r="I153" s="360" t="s">
        <v>367</v>
      </c>
      <c r="J153" s="361" t="s">
        <v>188</v>
      </c>
      <c r="K153" s="361"/>
      <c r="L153" s="78">
        <v>92708334</v>
      </c>
      <c r="M153" s="337"/>
    </row>
    <row r="154" spans="1:14" s="21" customFormat="1" ht="15.75" x14ac:dyDescent="0.25">
      <c r="A154" s="85" t="s">
        <v>699</v>
      </c>
      <c r="B154" s="14" t="s">
        <v>365</v>
      </c>
      <c r="C154" s="213"/>
      <c r="D154" s="57">
        <v>0.25</v>
      </c>
      <c r="E154" s="58">
        <f t="shared" si="8"/>
        <v>0</v>
      </c>
      <c r="F154" s="58"/>
      <c r="G154" s="58">
        <f t="shared" si="9"/>
        <v>0</v>
      </c>
      <c r="H154" s="51">
        <v>9653943</v>
      </c>
      <c r="I154" s="380" t="s">
        <v>364</v>
      </c>
      <c r="J154" s="379" t="s">
        <v>83</v>
      </c>
      <c r="K154" s="379"/>
      <c r="L154" s="54">
        <v>92749180</v>
      </c>
      <c r="M154" s="14"/>
      <c r="N154" s="20"/>
    </row>
    <row r="155" spans="1:14" s="21" customFormat="1" ht="15.75" x14ac:dyDescent="0.25">
      <c r="A155" s="85" t="s">
        <v>363</v>
      </c>
      <c r="B155" s="14" t="s">
        <v>362</v>
      </c>
      <c r="C155" s="213"/>
      <c r="D155" s="57">
        <v>0.25</v>
      </c>
      <c r="E155" s="58">
        <f t="shared" si="8"/>
        <v>0</v>
      </c>
      <c r="F155" s="58"/>
      <c r="G155" s="58">
        <f t="shared" si="9"/>
        <v>0</v>
      </c>
      <c r="H155" s="51">
        <v>5535821</v>
      </c>
      <c r="I155" s="379"/>
      <c r="J155" s="379"/>
      <c r="K155" s="379"/>
      <c r="L155" s="54">
        <v>92749180</v>
      </c>
      <c r="M155" s="14"/>
      <c r="N155" s="20"/>
    </row>
    <row r="156" spans="1:14" s="21" customFormat="1" ht="15.75" x14ac:dyDescent="0.25">
      <c r="A156" s="85" t="s">
        <v>360</v>
      </c>
      <c r="B156" s="14" t="s">
        <v>359</v>
      </c>
      <c r="C156" s="213"/>
      <c r="D156" s="57">
        <v>0.25</v>
      </c>
      <c r="E156" s="58">
        <f t="shared" si="8"/>
        <v>0</v>
      </c>
      <c r="F156" s="58"/>
      <c r="G156" s="58">
        <f t="shared" si="9"/>
        <v>0</v>
      </c>
      <c r="H156" s="51">
        <v>18197297</v>
      </c>
      <c r="I156" s="380" t="s">
        <v>358</v>
      </c>
      <c r="J156" s="379" t="s">
        <v>357</v>
      </c>
      <c r="K156" s="379"/>
      <c r="L156" s="54">
        <v>98962921</v>
      </c>
      <c r="M156" s="14"/>
      <c r="N156" s="20"/>
    </row>
    <row r="157" spans="1:14" ht="15.75" x14ac:dyDescent="0.25">
      <c r="A157" s="49" t="s">
        <v>355</v>
      </c>
      <c r="B157" s="337" t="s">
        <v>354</v>
      </c>
      <c r="C157" s="363">
        <v>577</v>
      </c>
      <c r="D157" s="57">
        <v>0.25</v>
      </c>
      <c r="E157" s="58">
        <f t="shared" si="8"/>
        <v>144.25</v>
      </c>
      <c r="F157" s="58"/>
      <c r="G157" s="58">
        <f t="shared" si="9"/>
        <v>144.25</v>
      </c>
      <c r="H157" s="88">
        <v>2567152</v>
      </c>
      <c r="I157" s="360" t="s">
        <v>353</v>
      </c>
      <c r="J157" s="361" t="s">
        <v>188</v>
      </c>
      <c r="K157" s="361"/>
      <c r="L157" s="78">
        <v>92382151</v>
      </c>
      <c r="M157" s="337"/>
    </row>
    <row r="158" spans="1:14" ht="15.75" x14ac:dyDescent="0.25">
      <c r="A158" s="49" t="s">
        <v>351</v>
      </c>
      <c r="B158" s="337" t="s">
        <v>350</v>
      </c>
      <c r="C158" s="363">
        <v>562.5</v>
      </c>
      <c r="D158" s="57">
        <v>0.25</v>
      </c>
      <c r="E158" s="58">
        <f t="shared" si="8"/>
        <v>140.625</v>
      </c>
      <c r="F158" s="58"/>
      <c r="G158" s="58">
        <f t="shared" si="9"/>
        <v>140.625</v>
      </c>
      <c r="H158" s="88">
        <v>20953759</v>
      </c>
      <c r="I158" s="360" t="s">
        <v>349</v>
      </c>
      <c r="J158" s="361" t="s">
        <v>188</v>
      </c>
      <c r="K158" s="361"/>
      <c r="L158" s="78">
        <v>99693352</v>
      </c>
      <c r="M158" s="337"/>
    </row>
    <row r="159" spans="1:14" ht="15.75" x14ac:dyDescent="0.25">
      <c r="A159" s="49" t="s">
        <v>347</v>
      </c>
      <c r="B159" s="337" t="s">
        <v>346</v>
      </c>
      <c r="C159" s="363">
        <v>599.5</v>
      </c>
      <c r="D159" s="57">
        <v>0.25</v>
      </c>
      <c r="E159" s="58">
        <f t="shared" si="8"/>
        <v>149.875</v>
      </c>
      <c r="F159" s="58"/>
      <c r="G159" s="58">
        <f t="shared" si="9"/>
        <v>149.875</v>
      </c>
      <c r="H159" s="362">
        <v>2663534</v>
      </c>
      <c r="I159" s="360" t="s">
        <v>345</v>
      </c>
      <c r="J159" s="361" t="s">
        <v>344</v>
      </c>
      <c r="K159" s="361"/>
      <c r="L159" s="439">
        <v>99295522</v>
      </c>
      <c r="M159" s="337"/>
    </row>
    <row r="160" spans="1:14" ht="15.75" x14ac:dyDescent="0.25">
      <c r="A160" s="376" t="s">
        <v>698</v>
      </c>
      <c r="B160" s="374" t="s">
        <v>624</v>
      </c>
      <c r="C160" s="363">
        <v>577</v>
      </c>
      <c r="D160" s="57">
        <v>0.25</v>
      </c>
      <c r="E160" s="58">
        <f t="shared" si="8"/>
        <v>144.25</v>
      </c>
      <c r="F160" s="382"/>
      <c r="G160" s="58">
        <f t="shared" si="9"/>
        <v>144.25</v>
      </c>
      <c r="H160" s="378">
        <v>644971</v>
      </c>
      <c r="I160" s="377" t="s">
        <v>623</v>
      </c>
      <c r="J160" s="361" t="s">
        <v>188</v>
      </c>
      <c r="K160" s="361"/>
      <c r="L160" s="438">
        <v>99585991</v>
      </c>
      <c r="M160" s="337"/>
    </row>
    <row r="161" spans="1:13" ht="15.75" x14ac:dyDescent="0.25">
      <c r="A161" s="376" t="s">
        <v>697</v>
      </c>
      <c r="B161" s="374" t="s">
        <v>621</v>
      </c>
      <c r="C161" s="363">
        <v>617.29999999999995</v>
      </c>
      <c r="D161" s="57">
        <v>0.25</v>
      </c>
      <c r="E161" s="58">
        <f t="shared" si="8"/>
        <v>154.32499999999999</v>
      </c>
      <c r="F161" s="58"/>
      <c r="G161" s="58">
        <f t="shared" si="9"/>
        <v>154.32499999999999</v>
      </c>
      <c r="H161" s="375">
        <v>732815</v>
      </c>
      <c r="I161" s="377" t="s">
        <v>620</v>
      </c>
      <c r="J161" s="361" t="s">
        <v>188</v>
      </c>
      <c r="K161" s="361"/>
      <c r="L161" s="438">
        <v>99499622</v>
      </c>
      <c r="M161" s="337"/>
    </row>
    <row r="162" spans="1:13" ht="15.75" x14ac:dyDescent="0.25">
      <c r="A162" s="376" t="s">
        <v>696</v>
      </c>
      <c r="B162" s="374" t="s">
        <v>618</v>
      </c>
      <c r="C162" s="363">
        <v>605.79999999999995</v>
      </c>
      <c r="D162" s="57">
        <v>0.25</v>
      </c>
      <c r="E162" s="58">
        <f t="shared" si="8"/>
        <v>151.44999999999999</v>
      </c>
      <c r="F162" s="58"/>
      <c r="G162" s="58">
        <f t="shared" si="9"/>
        <v>151.44999999999999</v>
      </c>
      <c r="H162" s="375">
        <v>5998887</v>
      </c>
      <c r="I162" s="377" t="s">
        <v>617</v>
      </c>
      <c r="J162" s="374" t="s">
        <v>188</v>
      </c>
      <c r="K162" s="361"/>
      <c r="L162" s="438">
        <v>99099199</v>
      </c>
      <c r="M162" s="337"/>
    </row>
    <row r="163" spans="1:13" ht="15.75" x14ac:dyDescent="0.25">
      <c r="A163" s="376" t="s">
        <v>695</v>
      </c>
      <c r="B163" s="374" t="s">
        <v>616</v>
      </c>
      <c r="C163" s="363">
        <v>595.29999999999995</v>
      </c>
      <c r="D163" s="57">
        <v>0.25</v>
      </c>
      <c r="E163" s="58">
        <f t="shared" si="8"/>
        <v>148.82499999999999</v>
      </c>
      <c r="F163" s="58"/>
      <c r="G163" s="58">
        <f t="shared" si="9"/>
        <v>148.82499999999999</v>
      </c>
      <c r="H163" s="375">
        <v>27870521</v>
      </c>
      <c r="I163" s="377" t="s">
        <v>615</v>
      </c>
      <c r="J163" s="374" t="s">
        <v>188</v>
      </c>
      <c r="K163" s="361"/>
      <c r="L163" s="438">
        <v>99099199</v>
      </c>
      <c r="M163" s="337"/>
    </row>
    <row r="164" spans="1:13" ht="15.75" x14ac:dyDescent="0.25">
      <c r="A164" s="376" t="s">
        <v>694</v>
      </c>
      <c r="B164" s="374" t="s">
        <v>614</v>
      </c>
      <c r="C164" s="363">
        <v>614.1</v>
      </c>
      <c r="D164" s="57">
        <v>0.25</v>
      </c>
      <c r="E164" s="58">
        <f t="shared" ref="E164:E192" si="10">C164*D164</f>
        <v>153.52500000000001</v>
      </c>
      <c r="F164" s="58"/>
      <c r="G164" s="58">
        <f t="shared" ref="G164:G192" si="11">E164-F164</f>
        <v>153.52500000000001</v>
      </c>
      <c r="H164" s="375">
        <v>5998868</v>
      </c>
      <c r="I164" s="377" t="s">
        <v>613</v>
      </c>
      <c r="J164" s="374" t="s">
        <v>188</v>
      </c>
      <c r="K164" s="361"/>
      <c r="L164" s="438">
        <v>99099199</v>
      </c>
      <c r="M164" s="337"/>
    </row>
    <row r="165" spans="1:13" ht="15.75" x14ac:dyDescent="0.25">
      <c r="A165" s="376" t="s">
        <v>693</v>
      </c>
      <c r="B165" s="374" t="s">
        <v>611</v>
      </c>
      <c r="C165" s="363">
        <v>551.29999999999995</v>
      </c>
      <c r="D165" s="57">
        <v>0.25</v>
      </c>
      <c r="E165" s="58">
        <f t="shared" si="10"/>
        <v>137.82499999999999</v>
      </c>
      <c r="F165" s="58"/>
      <c r="G165" s="58">
        <f t="shared" si="11"/>
        <v>137.82499999999999</v>
      </c>
      <c r="H165" s="375">
        <v>7374738</v>
      </c>
      <c r="I165" s="377" t="s">
        <v>610</v>
      </c>
      <c r="J165" s="374" t="s">
        <v>188</v>
      </c>
      <c r="K165" s="361"/>
      <c r="L165" s="438">
        <v>92341240</v>
      </c>
      <c r="M165" s="337"/>
    </row>
    <row r="166" spans="1:13" ht="15.75" x14ac:dyDescent="0.25">
      <c r="A166" s="376" t="s">
        <v>692</v>
      </c>
      <c r="B166" s="374" t="s">
        <v>609</v>
      </c>
      <c r="C166" s="363">
        <v>572.20000000000005</v>
      </c>
      <c r="D166" s="57">
        <v>0.25</v>
      </c>
      <c r="E166" s="58">
        <f t="shared" si="10"/>
        <v>143.05000000000001</v>
      </c>
      <c r="F166" s="58"/>
      <c r="G166" s="58">
        <f t="shared" si="11"/>
        <v>143.05000000000001</v>
      </c>
      <c r="H166" s="375">
        <v>11753992</v>
      </c>
      <c r="I166" s="377" t="s">
        <v>608</v>
      </c>
      <c r="J166" s="374" t="s">
        <v>188</v>
      </c>
      <c r="K166" s="361"/>
      <c r="L166" s="438">
        <v>99205960</v>
      </c>
      <c r="M166" s="337"/>
    </row>
    <row r="167" spans="1:13" ht="15.75" x14ac:dyDescent="0.25">
      <c r="A167" s="376" t="s">
        <v>691</v>
      </c>
      <c r="B167" s="374" t="s">
        <v>607</v>
      </c>
      <c r="C167" s="363">
        <v>478.8</v>
      </c>
      <c r="D167" s="57">
        <v>0.25</v>
      </c>
      <c r="E167" s="58">
        <f t="shared" si="10"/>
        <v>119.7</v>
      </c>
      <c r="F167" s="58"/>
      <c r="G167" s="58">
        <f t="shared" si="11"/>
        <v>119.7</v>
      </c>
      <c r="H167" s="375">
        <v>23211984</v>
      </c>
      <c r="I167" s="374" t="s">
        <v>606</v>
      </c>
      <c r="J167" s="374" t="s">
        <v>188</v>
      </c>
      <c r="K167" s="361"/>
      <c r="L167" s="438">
        <v>98905289</v>
      </c>
      <c r="M167" s="337"/>
    </row>
    <row r="168" spans="1:13" ht="15.75" x14ac:dyDescent="0.25">
      <c r="A168" s="376" t="s">
        <v>690</v>
      </c>
      <c r="B168" s="374" t="s">
        <v>605</v>
      </c>
      <c r="C168" s="363">
        <v>559.79999999999995</v>
      </c>
      <c r="D168" s="57">
        <v>0.25</v>
      </c>
      <c r="E168" s="58">
        <f t="shared" si="10"/>
        <v>139.94999999999999</v>
      </c>
      <c r="F168" s="58"/>
      <c r="G168" s="58">
        <f t="shared" si="11"/>
        <v>139.94999999999999</v>
      </c>
      <c r="H168" s="375">
        <v>6518124</v>
      </c>
      <c r="I168" s="374" t="s">
        <v>604</v>
      </c>
      <c r="J168" s="374" t="s">
        <v>188</v>
      </c>
      <c r="K168" s="361"/>
      <c r="L168" s="438">
        <v>92511696</v>
      </c>
      <c r="M168" s="337"/>
    </row>
    <row r="169" spans="1:13" ht="15.75" x14ac:dyDescent="0.25">
      <c r="A169" s="376" t="s">
        <v>689</v>
      </c>
      <c r="B169" s="374" t="s">
        <v>603</v>
      </c>
      <c r="C169" s="363">
        <v>598.1</v>
      </c>
      <c r="D169" s="57">
        <v>0.25</v>
      </c>
      <c r="E169" s="58">
        <f t="shared" si="10"/>
        <v>149.52500000000001</v>
      </c>
      <c r="F169" s="58"/>
      <c r="G169" s="58">
        <f t="shared" si="11"/>
        <v>149.52500000000001</v>
      </c>
      <c r="H169" s="375">
        <v>21978977</v>
      </c>
      <c r="I169" s="374" t="s">
        <v>602</v>
      </c>
      <c r="J169" s="374" t="s">
        <v>188</v>
      </c>
      <c r="K169" s="361"/>
      <c r="L169" s="438">
        <v>92511696</v>
      </c>
      <c r="M169" s="337"/>
    </row>
    <row r="170" spans="1:13" ht="15.75" x14ac:dyDescent="0.25">
      <c r="A170" s="376" t="s">
        <v>688</v>
      </c>
      <c r="B170" s="374" t="s">
        <v>601</v>
      </c>
      <c r="C170" s="363">
        <v>612.1</v>
      </c>
      <c r="D170" s="57">
        <v>0.25</v>
      </c>
      <c r="E170" s="58">
        <f t="shared" si="10"/>
        <v>153.02500000000001</v>
      </c>
      <c r="F170" s="58"/>
      <c r="G170" s="58">
        <f t="shared" si="11"/>
        <v>153.02500000000001</v>
      </c>
      <c r="H170" s="375">
        <v>5597569</v>
      </c>
      <c r="I170" s="374" t="s">
        <v>600</v>
      </c>
      <c r="J170" s="374" t="s">
        <v>188</v>
      </c>
      <c r="K170" s="361"/>
      <c r="L170" s="438">
        <v>99288681</v>
      </c>
      <c r="M170" s="337"/>
    </row>
    <row r="171" spans="1:13" ht="15.75" x14ac:dyDescent="0.25">
      <c r="A171" s="376" t="s">
        <v>687</v>
      </c>
      <c r="B171" s="374" t="s">
        <v>598</v>
      </c>
      <c r="C171" s="363">
        <v>587.79999999999995</v>
      </c>
      <c r="D171" s="57">
        <v>0.25</v>
      </c>
      <c r="E171" s="58">
        <f t="shared" si="10"/>
        <v>146.94999999999999</v>
      </c>
      <c r="F171" s="58"/>
      <c r="G171" s="58">
        <f t="shared" si="11"/>
        <v>146.94999999999999</v>
      </c>
      <c r="H171" s="375">
        <v>21979046</v>
      </c>
      <c r="I171" s="374" t="s">
        <v>597</v>
      </c>
      <c r="J171" s="374" t="s">
        <v>188</v>
      </c>
      <c r="K171" s="361"/>
      <c r="L171" s="438">
        <v>92511696</v>
      </c>
      <c r="M171" s="337"/>
    </row>
    <row r="172" spans="1:13" ht="15.75" x14ac:dyDescent="0.25">
      <c r="A172" s="376" t="s">
        <v>686</v>
      </c>
      <c r="B172" s="374" t="s">
        <v>595</v>
      </c>
      <c r="C172" s="363">
        <v>599.29999999999995</v>
      </c>
      <c r="D172" s="57">
        <v>0.25</v>
      </c>
      <c r="E172" s="58">
        <f t="shared" si="10"/>
        <v>149.82499999999999</v>
      </c>
      <c r="F172" s="58"/>
      <c r="G172" s="58">
        <f t="shared" si="11"/>
        <v>149.82499999999999</v>
      </c>
      <c r="H172" s="375">
        <v>5208295</v>
      </c>
      <c r="I172" s="377" t="s">
        <v>594</v>
      </c>
      <c r="J172" s="361" t="s">
        <v>593</v>
      </c>
      <c r="K172" s="361"/>
      <c r="L172" s="438">
        <v>99897717</v>
      </c>
      <c r="M172" s="337"/>
    </row>
    <row r="173" spans="1:13" ht="15.75" x14ac:dyDescent="0.25">
      <c r="A173" s="376" t="s">
        <v>685</v>
      </c>
      <c r="B173" s="374" t="s">
        <v>591</v>
      </c>
      <c r="C173" s="363">
        <v>602.1</v>
      </c>
      <c r="D173" s="57">
        <v>0.25</v>
      </c>
      <c r="E173" s="58">
        <f t="shared" si="10"/>
        <v>150.52500000000001</v>
      </c>
      <c r="F173" s="58"/>
      <c r="G173" s="58">
        <f t="shared" si="11"/>
        <v>150.52500000000001</v>
      </c>
      <c r="H173" s="375">
        <v>5016098</v>
      </c>
      <c r="I173" s="374" t="s">
        <v>590</v>
      </c>
      <c r="J173" s="374" t="s">
        <v>188</v>
      </c>
      <c r="K173" s="361"/>
      <c r="L173" s="438">
        <v>92417514</v>
      </c>
      <c r="M173" s="337"/>
    </row>
    <row r="174" spans="1:13" ht="15.75" x14ac:dyDescent="0.25">
      <c r="A174" s="376" t="s">
        <v>684</v>
      </c>
      <c r="B174" s="374" t="s">
        <v>588</v>
      </c>
      <c r="C174" s="363">
        <v>592.6</v>
      </c>
      <c r="D174" s="57">
        <v>0.25</v>
      </c>
      <c r="E174" s="58">
        <f t="shared" si="10"/>
        <v>148.15</v>
      </c>
      <c r="F174" s="58"/>
      <c r="G174" s="58">
        <f t="shared" si="11"/>
        <v>148.15</v>
      </c>
      <c r="H174" s="375">
        <v>4701704</v>
      </c>
      <c r="I174" s="374" t="s">
        <v>587</v>
      </c>
      <c r="J174" s="374" t="s">
        <v>188</v>
      </c>
      <c r="K174" s="361"/>
      <c r="L174" s="438">
        <v>99879922</v>
      </c>
      <c r="M174" s="337"/>
    </row>
    <row r="175" spans="1:13" ht="15.75" x14ac:dyDescent="0.25">
      <c r="A175" s="376" t="s">
        <v>683</v>
      </c>
      <c r="B175" s="374" t="s">
        <v>585</v>
      </c>
      <c r="C175" s="363">
        <v>621.5</v>
      </c>
      <c r="D175" s="57">
        <v>0.25</v>
      </c>
      <c r="E175" s="58">
        <f t="shared" si="10"/>
        <v>155.375</v>
      </c>
      <c r="F175" s="58"/>
      <c r="G175" s="58">
        <f t="shared" si="11"/>
        <v>155.375</v>
      </c>
      <c r="H175" s="375">
        <v>14173586</v>
      </c>
      <c r="I175" s="374" t="s">
        <v>584</v>
      </c>
      <c r="J175" s="361" t="s">
        <v>88</v>
      </c>
      <c r="K175" s="361"/>
      <c r="L175" s="438">
        <v>97884322</v>
      </c>
      <c r="M175" s="337"/>
    </row>
    <row r="176" spans="1:13" ht="15.75" x14ac:dyDescent="0.25">
      <c r="A176" s="376" t="s">
        <v>682</v>
      </c>
      <c r="B176" s="374" t="s">
        <v>583</v>
      </c>
      <c r="C176" s="363">
        <v>614.70000000000005</v>
      </c>
      <c r="D176" s="57">
        <v>0.25</v>
      </c>
      <c r="E176" s="58">
        <f t="shared" si="10"/>
        <v>153.67500000000001</v>
      </c>
      <c r="F176" s="58"/>
      <c r="G176" s="58">
        <f t="shared" si="11"/>
        <v>153.67500000000001</v>
      </c>
      <c r="H176" s="375">
        <v>25095823</v>
      </c>
      <c r="I176" s="374" t="s">
        <v>582</v>
      </c>
      <c r="J176" s="361" t="s">
        <v>88</v>
      </c>
      <c r="K176" s="361"/>
      <c r="L176" s="438">
        <v>97884322</v>
      </c>
      <c r="M176" s="337"/>
    </row>
    <row r="177" spans="1:13" ht="15.75" x14ac:dyDescent="0.25">
      <c r="A177" s="376" t="s">
        <v>681</v>
      </c>
      <c r="B177" s="374" t="s">
        <v>580</v>
      </c>
      <c r="C177" s="363">
        <v>413.5</v>
      </c>
      <c r="D177" s="57">
        <v>0.25</v>
      </c>
      <c r="E177" s="58">
        <f t="shared" si="10"/>
        <v>103.375</v>
      </c>
      <c r="F177" s="58"/>
      <c r="G177" s="58">
        <f t="shared" si="11"/>
        <v>103.375</v>
      </c>
      <c r="H177" s="375">
        <v>6376807</v>
      </c>
      <c r="I177" s="374" t="s">
        <v>579</v>
      </c>
      <c r="J177" s="374" t="s">
        <v>188</v>
      </c>
      <c r="K177" s="361"/>
      <c r="L177" s="438">
        <v>99093433</v>
      </c>
      <c r="M177" s="337"/>
    </row>
    <row r="178" spans="1:13" ht="15.75" x14ac:dyDescent="0.25">
      <c r="A178" s="376" t="s">
        <v>680</v>
      </c>
      <c r="B178" s="374" t="s">
        <v>577</v>
      </c>
      <c r="C178" s="363">
        <v>407.2</v>
      </c>
      <c r="D178" s="57">
        <v>0.25</v>
      </c>
      <c r="E178" s="58">
        <f t="shared" si="10"/>
        <v>101.8</v>
      </c>
      <c r="F178" s="58"/>
      <c r="G178" s="58">
        <f t="shared" si="11"/>
        <v>101.8</v>
      </c>
      <c r="H178" s="375">
        <v>732886</v>
      </c>
      <c r="I178" s="374" t="s">
        <v>576</v>
      </c>
      <c r="J178" s="374" t="s">
        <v>83</v>
      </c>
      <c r="K178" s="361"/>
      <c r="L178" s="438">
        <v>92234456</v>
      </c>
      <c r="M178" s="337"/>
    </row>
    <row r="179" spans="1:13" ht="15.75" x14ac:dyDescent="0.25">
      <c r="A179" s="376" t="s">
        <v>679</v>
      </c>
      <c r="B179" s="374" t="s">
        <v>575</v>
      </c>
      <c r="C179" s="363">
        <v>618.29999999999995</v>
      </c>
      <c r="D179" s="57">
        <v>0.25</v>
      </c>
      <c r="E179" s="58">
        <f t="shared" si="10"/>
        <v>154.57499999999999</v>
      </c>
      <c r="F179" s="58"/>
      <c r="G179" s="58">
        <f t="shared" si="11"/>
        <v>154.57499999999999</v>
      </c>
      <c r="H179" s="375">
        <v>3666339</v>
      </c>
      <c r="I179" s="374" t="s">
        <v>504</v>
      </c>
      <c r="J179" s="374" t="s">
        <v>648</v>
      </c>
      <c r="K179" s="361"/>
      <c r="L179" s="438">
        <v>93210998</v>
      </c>
      <c r="M179" s="337"/>
    </row>
    <row r="180" spans="1:13" ht="15.75" x14ac:dyDescent="0.25">
      <c r="A180" s="376" t="s">
        <v>678</v>
      </c>
      <c r="B180" s="374" t="s">
        <v>574</v>
      </c>
      <c r="C180" s="363">
        <v>618.1</v>
      </c>
      <c r="D180" s="57">
        <v>0.25</v>
      </c>
      <c r="E180" s="58">
        <f t="shared" si="10"/>
        <v>154.52500000000001</v>
      </c>
      <c r="F180" s="58"/>
      <c r="G180" s="58">
        <f t="shared" si="11"/>
        <v>154.52500000000001</v>
      </c>
      <c r="H180" s="375">
        <v>2451154</v>
      </c>
      <c r="I180" s="374" t="s">
        <v>504</v>
      </c>
      <c r="J180" s="374" t="s">
        <v>648</v>
      </c>
      <c r="K180" s="361"/>
      <c r="L180" s="438">
        <v>93210998</v>
      </c>
      <c r="M180" s="337"/>
    </row>
    <row r="181" spans="1:13" ht="15.75" x14ac:dyDescent="0.25">
      <c r="A181" s="376" t="s">
        <v>677</v>
      </c>
      <c r="B181" s="374" t="s">
        <v>573</v>
      </c>
      <c r="C181" s="363">
        <v>598.6</v>
      </c>
      <c r="D181" s="57">
        <v>0.25</v>
      </c>
      <c r="E181" s="58">
        <f t="shared" si="10"/>
        <v>149.65</v>
      </c>
      <c r="F181" s="58"/>
      <c r="G181" s="58">
        <f t="shared" si="11"/>
        <v>149.65</v>
      </c>
      <c r="H181" s="375">
        <v>6787748</v>
      </c>
      <c r="I181" s="377" t="s">
        <v>504</v>
      </c>
      <c r="J181" s="374" t="s">
        <v>648</v>
      </c>
      <c r="K181" s="361"/>
      <c r="L181" s="438">
        <v>93210998</v>
      </c>
      <c r="M181" s="337"/>
    </row>
    <row r="182" spans="1:13" ht="15.75" x14ac:dyDescent="0.25">
      <c r="A182" s="376" t="s">
        <v>676</v>
      </c>
      <c r="B182" s="374" t="s">
        <v>572</v>
      </c>
      <c r="C182" s="363">
        <v>618.4</v>
      </c>
      <c r="D182" s="57">
        <v>0.25</v>
      </c>
      <c r="E182" s="58">
        <f t="shared" si="10"/>
        <v>154.6</v>
      </c>
      <c r="F182" s="58"/>
      <c r="G182" s="58">
        <f t="shared" si="11"/>
        <v>154.6</v>
      </c>
      <c r="H182" s="375">
        <v>2298162</v>
      </c>
      <c r="I182" s="374" t="s">
        <v>504</v>
      </c>
      <c r="J182" s="374" t="s">
        <v>648</v>
      </c>
      <c r="K182" s="361"/>
      <c r="L182" s="438">
        <v>93210998</v>
      </c>
      <c r="M182" s="337"/>
    </row>
    <row r="183" spans="1:13" ht="15.75" x14ac:dyDescent="0.25">
      <c r="A183" s="376" t="s">
        <v>675</v>
      </c>
      <c r="B183" s="374" t="s">
        <v>571</v>
      </c>
      <c r="C183" s="363">
        <v>617.4</v>
      </c>
      <c r="D183" s="57">
        <v>0.25</v>
      </c>
      <c r="E183" s="58">
        <f t="shared" si="10"/>
        <v>154.35</v>
      </c>
      <c r="F183" s="58"/>
      <c r="G183" s="58">
        <f t="shared" si="11"/>
        <v>154.35</v>
      </c>
      <c r="H183" s="375">
        <v>5454935</v>
      </c>
      <c r="I183" s="374" t="s">
        <v>504</v>
      </c>
      <c r="J183" s="374" t="s">
        <v>648</v>
      </c>
      <c r="K183" s="361"/>
      <c r="L183" s="438">
        <v>93210998</v>
      </c>
      <c r="M183" s="337"/>
    </row>
    <row r="184" spans="1:13" ht="15" customHeight="1" x14ac:dyDescent="0.25">
      <c r="A184" s="376" t="s">
        <v>674</v>
      </c>
      <c r="B184" s="374" t="s">
        <v>570</v>
      </c>
      <c r="C184" s="363">
        <v>435.7</v>
      </c>
      <c r="D184" s="57">
        <v>0.25</v>
      </c>
      <c r="E184" s="58">
        <f t="shared" si="10"/>
        <v>108.925</v>
      </c>
      <c r="F184" s="58"/>
      <c r="G184" s="58">
        <f t="shared" si="11"/>
        <v>108.925</v>
      </c>
      <c r="H184" s="375">
        <v>5016173</v>
      </c>
      <c r="I184" s="374" t="s">
        <v>569</v>
      </c>
      <c r="J184" s="374" t="s">
        <v>83</v>
      </c>
      <c r="K184" s="361"/>
      <c r="L184" s="438">
        <v>92987770</v>
      </c>
      <c r="M184" s="337"/>
    </row>
    <row r="185" spans="1:13" ht="15" customHeight="1" x14ac:dyDescent="0.25">
      <c r="A185" s="376" t="s">
        <v>673</v>
      </c>
      <c r="B185" s="337" t="s">
        <v>654</v>
      </c>
      <c r="C185" s="436">
        <v>566.4</v>
      </c>
      <c r="D185" s="57">
        <v>0.25</v>
      </c>
      <c r="E185" s="58">
        <f t="shared" si="10"/>
        <v>141.6</v>
      </c>
      <c r="F185" s="382"/>
      <c r="G185" s="58">
        <f t="shared" si="11"/>
        <v>141.6</v>
      </c>
      <c r="H185" s="435">
        <v>2561482</v>
      </c>
      <c r="I185" s="435" t="s">
        <v>653</v>
      </c>
      <c r="J185" s="374" t="s">
        <v>188</v>
      </c>
      <c r="K185" s="433"/>
      <c r="L185" s="437">
        <v>99589952</v>
      </c>
      <c r="M185" s="337"/>
    </row>
    <row r="186" spans="1:13" ht="15" customHeight="1" x14ac:dyDescent="0.25">
      <c r="A186" s="376" t="s">
        <v>672</v>
      </c>
      <c r="B186" s="337" t="s">
        <v>652</v>
      </c>
      <c r="C186" s="436">
        <v>456.4</v>
      </c>
      <c r="D186" s="57">
        <v>0.25</v>
      </c>
      <c r="E186" s="58">
        <f t="shared" si="10"/>
        <v>114.1</v>
      </c>
      <c r="F186" s="382"/>
      <c r="G186" s="58">
        <f t="shared" si="11"/>
        <v>114.1</v>
      </c>
      <c r="H186" s="435">
        <v>6600228</v>
      </c>
      <c r="I186" s="435" t="s">
        <v>651</v>
      </c>
      <c r="J186" s="374" t="s">
        <v>188</v>
      </c>
      <c r="K186" s="433"/>
      <c r="L186" s="437">
        <v>92071222</v>
      </c>
      <c r="M186" s="337"/>
    </row>
    <row r="187" spans="1:13" ht="15" customHeight="1" x14ac:dyDescent="0.25">
      <c r="A187" s="376" t="s">
        <v>671</v>
      </c>
      <c r="B187" s="337" t="s">
        <v>650</v>
      </c>
      <c r="C187" s="436">
        <v>599.5</v>
      </c>
      <c r="D187" s="57">
        <v>0.25</v>
      </c>
      <c r="E187" s="58">
        <f t="shared" si="10"/>
        <v>149.875</v>
      </c>
      <c r="F187" s="382"/>
      <c r="G187" s="58">
        <f t="shared" si="11"/>
        <v>149.875</v>
      </c>
      <c r="H187" s="435">
        <v>6671914</v>
      </c>
      <c r="I187" s="435" t="s">
        <v>649</v>
      </c>
      <c r="J187" s="374" t="s">
        <v>648</v>
      </c>
      <c r="K187" s="433"/>
      <c r="L187" s="437">
        <v>99897735</v>
      </c>
      <c r="M187" s="337"/>
    </row>
    <row r="188" spans="1:13" ht="15" customHeight="1" x14ac:dyDescent="0.25">
      <c r="A188" s="376" t="s">
        <v>670</v>
      </c>
      <c r="B188" s="337" t="s">
        <v>647</v>
      </c>
      <c r="C188" s="436">
        <v>496.8</v>
      </c>
      <c r="D188" s="57">
        <v>0.25</v>
      </c>
      <c r="E188" s="58">
        <f t="shared" si="10"/>
        <v>124.2</v>
      </c>
      <c r="F188" s="382"/>
      <c r="G188" s="58">
        <f t="shared" si="11"/>
        <v>124.2</v>
      </c>
      <c r="H188" s="435">
        <v>18823801</v>
      </c>
      <c r="I188" s="435" t="s">
        <v>646</v>
      </c>
      <c r="J188" s="374" t="s">
        <v>83</v>
      </c>
      <c r="K188" s="433"/>
      <c r="L188" s="437">
        <v>96448823</v>
      </c>
      <c r="M188" s="337"/>
    </row>
    <row r="189" spans="1:13" ht="15" customHeight="1" x14ac:dyDescent="0.25">
      <c r="A189" s="376" t="s">
        <v>669</v>
      </c>
      <c r="B189" s="337" t="s">
        <v>645</v>
      </c>
      <c r="C189" s="436">
        <v>514.29999999999995</v>
      </c>
      <c r="D189" s="57">
        <v>0.25</v>
      </c>
      <c r="E189" s="58">
        <f t="shared" si="10"/>
        <v>128.57499999999999</v>
      </c>
      <c r="F189" s="382"/>
      <c r="G189" s="58">
        <f t="shared" si="11"/>
        <v>128.57499999999999</v>
      </c>
      <c r="H189" s="435">
        <v>19582375</v>
      </c>
      <c r="I189" s="435" t="s">
        <v>644</v>
      </c>
      <c r="J189" s="374" t="s">
        <v>188</v>
      </c>
      <c r="K189" s="433"/>
      <c r="L189" s="437">
        <v>94540077</v>
      </c>
      <c r="M189" s="337"/>
    </row>
    <row r="190" spans="1:13" ht="15.75" x14ac:dyDescent="0.25">
      <c r="A190" s="376" t="s">
        <v>668</v>
      </c>
      <c r="B190" s="337" t="s">
        <v>643</v>
      </c>
      <c r="C190" s="436">
        <v>518.6</v>
      </c>
      <c r="D190" s="57">
        <v>0.25</v>
      </c>
      <c r="E190" s="58">
        <f t="shared" si="10"/>
        <v>129.65</v>
      </c>
      <c r="F190" s="382"/>
      <c r="G190" s="58">
        <f t="shared" si="11"/>
        <v>129.65</v>
      </c>
      <c r="H190" s="435">
        <v>21827716</v>
      </c>
      <c r="I190" s="435" t="s">
        <v>642</v>
      </c>
      <c r="J190" s="361" t="s">
        <v>357</v>
      </c>
      <c r="K190" s="433"/>
      <c r="L190" s="432">
        <v>96448823</v>
      </c>
      <c r="M190" s="337"/>
    </row>
    <row r="191" spans="1:13" ht="15.75" x14ac:dyDescent="0.25">
      <c r="A191" s="376" t="s">
        <v>667</v>
      </c>
      <c r="B191" s="337" t="s">
        <v>641</v>
      </c>
      <c r="C191" s="436">
        <v>610.1</v>
      </c>
      <c r="D191" s="57">
        <v>0.25</v>
      </c>
      <c r="E191" s="58">
        <f t="shared" si="10"/>
        <v>152.52500000000001</v>
      </c>
      <c r="F191" s="382"/>
      <c r="G191" s="58">
        <f t="shared" si="11"/>
        <v>152.52500000000001</v>
      </c>
      <c r="H191" s="435">
        <v>4426701</v>
      </c>
      <c r="I191" s="435" t="s">
        <v>640</v>
      </c>
      <c r="J191" s="374" t="s">
        <v>188</v>
      </c>
      <c r="K191" s="433"/>
      <c r="L191" s="432">
        <v>97884322</v>
      </c>
      <c r="M191" s="337"/>
    </row>
    <row r="192" spans="1:13" ht="15.75" x14ac:dyDescent="0.25">
      <c r="A192" s="477" t="s">
        <v>666</v>
      </c>
      <c r="B192" t="s">
        <v>639</v>
      </c>
      <c r="C192" s="436">
        <v>506.3</v>
      </c>
      <c r="D192" s="57">
        <v>0.25</v>
      </c>
      <c r="E192" s="58">
        <f t="shared" si="10"/>
        <v>126.575</v>
      </c>
      <c r="F192" s="382"/>
      <c r="G192" s="58">
        <f t="shared" si="11"/>
        <v>126.575</v>
      </c>
      <c r="H192" s="435">
        <v>21735549</v>
      </c>
      <c r="I192" s="434" t="s">
        <v>638</v>
      </c>
      <c r="J192" s="374" t="s">
        <v>188</v>
      </c>
      <c r="K192" s="433"/>
      <c r="L192" s="432">
        <v>96448823</v>
      </c>
      <c r="M192" s="337"/>
    </row>
    <row r="193" spans="1:14" s="295" customFormat="1" ht="46.15" customHeight="1" x14ac:dyDescent="0.3">
      <c r="A193" s="358"/>
      <c r="B193" s="359" t="s">
        <v>342</v>
      </c>
      <c r="C193" s="372">
        <f>SUM(C4:C192)</f>
        <v>204803</v>
      </c>
      <c r="D193" s="358" t="s">
        <v>341</v>
      </c>
      <c r="E193" s="371">
        <f>SUM(E4:E192)</f>
        <v>51200.75</v>
      </c>
      <c r="F193" s="371">
        <f>SUM(F4:F192)</f>
        <v>0</v>
      </c>
      <c r="G193" s="371">
        <f>SUM(G4:G192)</f>
        <v>51200.75</v>
      </c>
      <c r="H193" s="358"/>
      <c r="I193" s="358"/>
      <c r="J193" s="358"/>
      <c r="K193" s="358"/>
      <c r="L193" s="358"/>
      <c r="M193" s="358"/>
      <c r="N193" s="357"/>
    </row>
  </sheetData>
  <autoFilter ref="C1:C121" xr:uid="{E097B3A2-95F5-44D2-ACC1-DFD39CC1589C}"/>
  <mergeCells count="13">
    <mergeCell ref="L2:L3"/>
    <mergeCell ref="M2:M3"/>
    <mergeCell ref="A2:A3"/>
    <mergeCell ref="B2:B3"/>
    <mergeCell ref="C2:C3"/>
    <mergeCell ref="F2:F3"/>
    <mergeCell ref="G2:G3"/>
    <mergeCell ref="D2:D3"/>
    <mergeCell ref="E2:E3"/>
    <mergeCell ref="H2:H3"/>
    <mergeCell ref="I2:I3"/>
    <mergeCell ref="J2:J3"/>
    <mergeCell ref="K2:K3"/>
  </mergeCells>
  <pageMargins left="0.7" right="0.7" top="0.75" bottom="0.75" header="0.3" footer="0.3"/>
  <pageSetup paperSize="8" scale="5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28E89-E67C-4108-88B2-E1ED8906D733}">
  <sheetPr codeName="Sheet13"/>
  <dimension ref="A6:O38"/>
  <sheetViews>
    <sheetView showGridLines="0" view="pageBreakPreview" topLeftCell="A8" zoomScale="106" zoomScaleNormal="100" zoomScaleSheetLayoutView="106" workbookViewId="0">
      <selection activeCell="B16" sqref="B16"/>
    </sheetView>
  </sheetViews>
  <sheetFormatPr defaultRowHeight="15" x14ac:dyDescent="0.25"/>
  <cols>
    <col min="1" max="1" width="24.5703125" customWidth="1"/>
    <col min="2" max="2" width="29.7109375" bestFit="1" customWidth="1"/>
    <col min="3" max="3" width="18.5703125" bestFit="1" customWidth="1"/>
    <col min="4" max="4" width="23.28515625" bestFit="1" customWidth="1"/>
    <col min="5" max="5" width="26.42578125" bestFit="1" customWidth="1"/>
    <col min="6" max="6" width="28.42578125" bestFit="1" customWidth="1"/>
  </cols>
  <sheetData>
    <row r="6" spans="1:7" ht="18.75" x14ac:dyDescent="0.3">
      <c r="A6" s="504" t="s">
        <v>283</v>
      </c>
      <c r="B6" s="504"/>
      <c r="C6" s="504"/>
      <c r="D6" s="504"/>
      <c r="E6" s="504"/>
    </row>
    <row r="7" spans="1:7" ht="18.75" x14ac:dyDescent="0.3">
      <c r="A7" s="504" t="s">
        <v>284</v>
      </c>
      <c r="B7" s="504"/>
      <c r="C7" s="504"/>
      <c r="D7" s="504"/>
      <c r="E7" s="504"/>
    </row>
    <row r="8" spans="1:7" ht="18.75" x14ac:dyDescent="0.3">
      <c r="A8" s="504" t="s">
        <v>285</v>
      </c>
      <c r="B8" s="504"/>
      <c r="C8" s="504"/>
      <c r="D8" s="504"/>
      <c r="E8" s="504"/>
    </row>
    <row r="9" spans="1:7" ht="18.75" x14ac:dyDescent="0.3">
      <c r="A9" s="504" t="s">
        <v>286</v>
      </c>
      <c r="B9" s="504"/>
      <c r="C9" s="504"/>
      <c r="D9" s="504"/>
      <c r="E9" s="504"/>
    </row>
    <row r="10" spans="1:7" ht="18.75" x14ac:dyDescent="0.3">
      <c r="A10" s="504" t="s">
        <v>287</v>
      </c>
      <c r="B10" s="504"/>
      <c r="C10" s="504"/>
      <c r="D10" s="504"/>
      <c r="E10" s="504"/>
    </row>
    <row r="11" spans="1:7" ht="18.75" x14ac:dyDescent="0.3">
      <c r="A11" s="295"/>
      <c r="B11" s="295"/>
      <c r="C11" s="295"/>
      <c r="D11" s="295"/>
      <c r="E11" s="295"/>
    </row>
    <row r="12" spans="1:7" ht="18.75" x14ac:dyDescent="0.3">
      <c r="A12" s="504" t="s">
        <v>288</v>
      </c>
      <c r="B12" s="504"/>
      <c r="C12" s="504"/>
      <c r="D12" s="504"/>
      <c r="E12" s="504"/>
    </row>
    <row r="13" spans="1:7" x14ac:dyDescent="0.25">
      <c r="A13" s="296"/>
      <c r="B13" s="296"/>
      <c r="C13" s="296"/>
      <c r="D13" s="296"/>
      <c r="E13" s="296"/>
    </row>
    <row r="14" spans="1:7" ht="18.75" x14ac:dyDescent="0.3">
      <c r="A14" s="297" t="s">
        <v>289</v>
      </c>
      <c r="B14" s="298" t="str">
        <f>IFERROR(VLOOKUP(B15,#REF!, 2, FALSE), "")</f>
        <v/>
      </c>
      <c r="C14" s="298"/>
      <c r="D14" s="299" t="s">
        <v>290</v>
      </c>
      <c r="E14" s="300" t="s">
        <v>291</v>
      </c>
      <c r="F14" s="301"/>
      <c r="G14" s="302"/>
    </row>
    <row r="15" spans="1:7" ht="18.75" x14ac:dyDescent="0.3">
      <c r="A15" s="297" t="s">
        <v>2</v>
      </c>
      <c r="B15" s="303">
        <v>2098</v>
      </c>
      <c r="C15" s="5"/>
      <c r="D15" s="299" t="s">
        <v>292</v>
      </c>
      <c r="E15" s="304">
        <f ca="1">TODAY()</f>
        <v>46033</v>
      </c>
      <c r="F15" s="301"/>
      <c r="G15" s="302"/>
    </row>
    <row r="16" spans="1:7" ht="18.75" x14ac:dyDescent="0.3">
      <c r="A16" s="297" t="s">
        <v>293</v>
      </c>
      <c r="B16" s="305" t="str">
        <f>IFERROR(VLOOKUP(B15,#REF!, 8, FALSE), "")</f>
        <v/>
      </c>
      <c r="C16" s="5"/>
      <c r="D16" s="5"/>
      <c r="E16" s="5"/>
      <c r="F16" s="301"/>
      <c r="G16" s="302"/>
    </row>
    <row r="17" spans="1:15" ht="18.75" x14ac:dyDescent="0.3">
      <c r="A17" s="5"/>
      <c r="B17" s="5"/>
      <c r="C17" s="5"/>
      <c r="D17" s="5"/>
      <c r="E17" s="5"/>
      <c r="F17" s="301"/>
      <c r="G17" s="302"/>
    </row>
    <row r="18" spans="1:15" ht="28.15" customHeight="1" x14ac:dyDescent="0.3">
      <c r="A18" s="306" t="s">
        <v>294</v>
      </c>
      <c r="B18" s="307" t="s">
        <v>295</v>
      </c>
      <c r="C18" s="307" t="s">
        <v>296</v>
      </c>
      <c r="D18" s="307" t="s">
        <v>297</v>
      </c>
      <c r="E18" s="307" t="s">
        <v>298</v>
      </c>
      <c r="F18" s="301"/>
      <c r="G18" s="302"/>
    </row>
    <row r="19" spans="1:15" ht="37.5" x14ac:dyDescent="0.3">
      <c r="A19" s="308" t="s">
        <v>299</v>
      </c>
      <c r="B19" s="309">
        <v>50</v>
      </c>
      <c r="C19" s="310">
        <v>6.25</v>
      </c>
      <c r="D19" s="311">
        <v>0</v>
      </c>
      <c r="E19" s="310">
        <f t="shared" ref="E19:E25" si="0">C19*D19</f>
        <v>0</v>
      </c>
      <c r="F19" s="301" t="str">
        <f>IFERROR(VLOOKUP(B15,#REF!,7,FALSE),"")</f>
        <v/>
      </c>
      <c r="G19" s="312">
        <v>1</v>
      </c>
      <c r="I19" t="str">
        <f>IFERROR(VLOOKUP(B15,#REF!,3,FALSE),"")</f>
        <v/>
      </c>
      <c r="K19" t="s">
        <v>300</v>
      </c>
    </row>
    <row r="20" spans="1:15" ht="37.5" x14ac:dyDescent="0.3">
      <c r="A20" s="308" t="s">
        <v>299</v>
      </c>
      <c r="B20" s="309">
        <v>40</v>
      </c>
      <c r="C20" s="310">
        <v>4.8499999999999996</v>
      </c>
      <c r="D20" s="311">
        <v>0</v>
      </c>
      <c r="E20" s="310">
        <f t="shared" si="0"/>
        <v>0</v>
      </c>
      <c r="F20" s="301" t="str">
        <f>IFERROR(VLOOKUP(B15,#REF!,7,FALSE),"")</f>
        <v/>
      </c>
      <c r="G20" s="312">
        <v>2</v>
      </c>
      <c r="H20" s="313"/>
      <c r="I20" t="str">
        <f>IFERROR(VLOOKUP(B15,#REF!,3,FALSE),"")</f>
        <v/>
      </c>
    </row>
    <row r="21" spans="1:15" ht="37.5" x14ac:dyDescent="0.3">
      <c r="A21" s="308" t="s">
        <v>301</v>
      </c>
      <c r="B21" s="309">
        <v>40</v>
      </c>
      <c r="C21" s="310">
        <v>4.75</v>
      </c>
      <c r="D21" s="311">
        <v>0</v>
      </c>
      <c r="E21" s="310">
        <f t="shared" si="0"/>
        <v>0</v>
      </c>
      <c r="F21" s="301" t="str">
        <f>IFERROR(VLOOKUP(B15,#REF!,7,FALSE),"")</f>
        <v/>
      </c>
      <c r="G21" s="312">
        <v>3</v>
      </c>
      <c r="I21" t="str">
        <f>IFERROR(VLOOKUP(B15,#REF!,3,FALSE),"")</f>
        <v/>
      </c>
    </row>
    <row r="22" spans="1:15" ht="37.5" x14ac:dyDescent="0.3">
      <c r="A22" s="308" t="s">
        <v>302</v>
      </c>
      <c r="B22" s="309">
        <v>50</v>
      </c>
      <c r="C22" s="310">
        <v>6.85</v>
      </c>
      <c r="D22" s="311">
        <v>0</v>
      </c>
      <c r="E22" s="310">
        <f t="shared" si="0"/>
        <v>0</v>
      </c>
      <c r="F22" s="301" t="str">
        <f>IFERROR(VLOOKUP(B15,#REF!,7,FALSE),"")</f>
        <v/>
      </c>
      <c r="G22" s="312">
        <v>4</v>
      </c>
      <c r="I22" t="str">
        <f>IFERROR(VLOOKUP(B15,#REF!,3,FALSE),"")</f>
        <v/>
      </c>
    </row>
    <row r="23" spans="1:15" ht="37.5" x14ac:dyDescent="0.3">
      <c r="A23" s="308" t="s">
        <v>303</v>
      </c>
      <c r="B23" s="309">
        <v>40</v>
      </c>
      <c r="C23" s="310">
        <v>5.35</v>
      </c>
      <c r="D23" s="311">
        <v>0</v>
      </c>
      <c r="E23" s="310">
        <f t="shared" si="0"/>
        <v>0</v>
      </c>
      <c r="F23" s="344" t="str">
        <f>IFERROR(VLOOKUP(B15,#REF!,7,FALSE),"")</f>
        <v/>
      </c>
      <c r="G23" s="344">
        <v>5</v>
      </c>
      <c r="H23" s="345"/>
      <c r="I23" s="345" t="str">
        <f>IFERROR(VLOOKUP(B15,#REF!,3,FALSE),"")</f>
        <v/>
      </c>
      <c r="O23" t="s">
        <v>304</v>
      </c>
    </row>
    <row r="24" spans="1:15" ht="37.5" x14ac:dyDescent="0.3">
      <c r="A24" s="308" t="s">
        <v>305</v>
      </c>
      <c r="B24" s="309">
        <v>45</v>
      </c>
      <c r="C24" s="310">
        <v>4.1500000000000004</v>
      </c>
      <c r="D24" s="311">
        <v>0</v>
      </c>
      <c r="E24" s="310">
        <f t="shared" si="0"/>
        <v>0</v>
      </c>
      <c r="F24" s="301">
        <f>SUM(F19:F23)</f>
        <v>0</v>
      </c>
      <c r="G24" s="312" t="s">
        <v>259</v>
      </c>
    </row>
    <row r="25" spans="1:15" ht="56.25" x14ac:dyDescent="0.3">
      <c r="A25" s="308" t="s">
        <v>306</v>
      </c>
      <c r="B25" s="309">
        <v>50</v>
      </c>
      <c r="C25" s="310">
        <v>7.25</v>
      </c>
      <c r="D25" s="311">
        <v>0</v>
      </c>
      <c r="E25" s="310">
        <f t="shared" si="0"/>
        <v>0</v>
      </c>
      <c r="F25" s="314" t="s">
        <v>325</v>
      </c>
      <c r="G25" s="315" t="s">
        <v>307</v>
      </c>
      <c r="H25" s="313"/>
    </row>
    <row r="26" spans="1:15" ht="25.5" x14ac:dyDescent="0.35">
      <c r="A26" s="316" t="s">
        <v>308</v>
      </c>
      <c r="B26" s="317"/>
      <c r="C26" s="317"/>
      <c r="D26" s="318"/>
      <c r="E26" s="319">
        <f>SUM(E19:E25)</f>
        <v>0</v>
      </c>
      <c r="F26" s="320" t="e">
        <f>IF(TRIM(F25)="1",
VLOOKUP(B15,#REF!,7,FALSE)-E26,
IF(TRIM(F25)="2",
VLOOKUP(B15,#REF!,7,FALSE)-E26,
IF(TRIM(F25)="1,2",
VLOOKUP(B15,#REF!,7,FALSE)+VLOOKUP(B15,#REF!,7,FALSE)-E26,
IF(TRIM(F25)="1,2,3",
VLOOKUP(B15,#REF!,7,FALSE)+VLOOKUP(B15,#REF!,7,FALSE)+VLOOKUP(B15,#REF!,7,FALSE)-E26,
IF(TRIM(F25)="2,3",
VLOOKUP(B15,#REF!,7,FALSE)+VLOOKUP(B15,#REF!,7,FALSE)-E26,
IF(TRIM(F25)="3",
VLOOKUP(B15,#REF!,7,FALSE)-E26,
""))))))</f>
        <v>#REF!</v>
      </c>
      <c r="H26" s="313"/>
      <c r="I26" s="313"/>
    </row>
    <row r="28" spans="1:15" x14ac:dyDescent="0.25">
      <c r="H28" s="313"/>
    </row>
    <row r="29" spans="1:15" ht="18.75" x14ac:dyDescent="0.3">
      <c r="D29" s="295"/>
      <c r="E29" s="295"/>
      <c r="H29" s="313"/>
      <c r="I29" s="313"/>
    </row>
    <row r="30" spans="1:15" ht="21" x14ac:dyDescent="0.3">
      <c r="A30" s="321"/>
      <c r="B30" s="295"/>
      <c r="C30" s="295"/>
      <c r="D30" s="503"/>
      <c r="E30" s="503"/>
    </row>
    <row r="31" spans="1:15" ht="21" x14ac:dyDescent="0.3">
      <c r="A31" s="322" t="s">
        <v>309</v>
      </c>
      <c r="B31" s="295"/>
      <c r="C31" s="295"/>
      <c r="D31" s="295"/>
      <c r="E31" s="295"/>
    </row>
    <row r="32" spans="1:15" ht="18.75" x14ac:dyDescent="0.3">
      <c r="A32" s="295"/>
      <c r="B32" s="295"/>
      <c r="C32" s="295"/>
      <c r="D32" s="504"/>
      <c r="E32" s="504"/>
    </row>
    <row r="33" spans="1:5" ht="18.75" x14ac:dyDescent="0.3">
      <c r="A33" s="294" t="s">
        <v>310</v>
      </c>
      <c r="B33" s="295"/>
      <c r="C33" s="295"/>
      <c r="D33" s="295"/>
      <c r="E33" s="295"/>
    </row>
    <row r="34" spans="1:5" ht="18.75" x14ac:dyDescent="0.3">
      <c r="A34" s="295"/>
      <c r="B34" s="295"/>
      <c r="C34" s="295"/>
    </row>
    <row r="35" spans="1:5" x14ac:dyDescent="0.25">
      <c r="A35" s="3" t="s">
        <v>26</v>
      </c>
    </row>
    <row r="36" spans="1:5" ht="18.75" x14ac:dyDescent="0.3">
      <c r="D36" s="294"/>
      <c r="E36" s="294"/>
    </row>
    <row r="37" spans="1:5" ht="18.75" x14ac:dyDescent="0.3">
      <c r="A37" s="504" t="s">
        <v>311</v>
      </c>
      <c r="B37" s="504"/>
      <c r="C37" s="504"/>
      <c r="D37" s="504"/>
      <c r="E37" s="504"/>
    </row>
    <row r="38" spans="1:5" ht="15.75" x14ac:dyDescent="0.25">
      <c r="A38" s="505" t="s">
        <v>312</v>
      </c>
      <c r="B38" s="505"/>
      <c r="C38" s="505"/>
      <c r="D38" s="505"/>
      <c r="E38" s="505"/>
    </row>
  </sheetData>
  <mergeCells count="10">
    <mergeCell ref="D30:E30"/>
    <mergeCell ref="D32:E32"/>
    <mergeCell ref="A37:E37"/>
    <mergeCell ref="A38:E38"/>
    <mergeCell ref="A6:E6"/>
    <mergeCell ref="A7:E7"/>
    <mergeCell ref="A8:E8"/>
    <mergeCell ref="A9:E9"/>
    <mergeCell ref="A10:E10"/>
    <mergeCell ref="A12:E12"/>
  </mergeCells>
  <pageMargins left="0.7" right="0.7" top="0.75" bottom="0.75" header="0.3" footer="0.3"/>
  <pageSetup scale="73" orientation="portrait" r:id="rId1"/>
  <colBreaks count="1" manualBreakCount="1">
    <brk id="5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D1644-0BD9-4438-BAA6-0ED14159C28B}">
  <sheetPr codeName="Sheet14"/>
  <dimension ref="A1:G38"/>
  <sheetViews>
    <sheetView showGridLines="0" view="pageBreakPreview" topLeftCell="A4" zoomScale="112" zoomScaleNormal="100" zoomScaleSheetLayoutView="112" workbookViewId="0">
      <selection activeCell="B16" sqref="B16"/>
    </sheetView>
  </sheetViews>
  <sheetFormatPr defaultRowHeight="15" x14ac:dyDescent="0.25"/>
  <cols>
    <col min="1" max="1" width="16.28515625" customWidth="1"/>
    <col min="2" max="2" width="32" customWidth="1"/>
    <col min="3" max="3" width="38.42578125" customWidth="1"/>
    <col min="4" max="4" width="24.42578125" bestFit="1" customWidth="1"/>
  </cols>
  <sheetData>
    <row r="1" spans="1:4" x14ac:dyDescent="0.25">
      <c r="D1" t="s">
        <v>26</v>
      </c>
    </row>
    <row r="6" spans="1:4" ht="18.75" x14ac:dyDescent="0.3">
      <c r="A6" s="504" t="s">
        <v>283</v>
      </c>
      <c r="B6" s="504"/>
      <c r="C6" s="504"/>
      <c r="D6" s="504"/>
    </row>
    <row r="7" spans="1:4" ht="18.75" x14ac:dyDescent="0.3">
      <c r="A7" s="504" t="s">
        <v>284</v>
      </c>
      <c r="B7" s="504"/>
      <c r="C7" s="504"/>
      <c r="D7" s="504"/>
    </row>
    <row r="8" spans="1:4" ht="18.75" x14ac:dyDescent="0.3">
      <c r="A8" s="504" t="s">
        <v>285</v>
      </c>
      <c r="B8" s="504"/>
      <c r="C8" s="504"/>
      <c r="D8" s="504"/>
    </row>
    <row r="9" spans="1:4" ht="18.75" x14ac:dyDescent="0.3">
      <c r="A9" s="504" t="s">
        <v>286</v>
      </c>
      <c r="B9" s="504"/>
      <c r="C9" s="504"/>
      <c r="D9" s="504"/>
    </row>
    <row r="10" spans="1:4" ht="18.75" x14ac:dyDescent="0.3">
      <c r="A10" s="504" t="s">
        <v>287</v>
      </c>
      <c r="B10" s="504"/>
      <c r="C10" s="504"/>
      <c r="D10" s="504"/>
    </row>
    <row r="11" spans="1:4" ht="18.75" x14ac:dyDescent="0.3">
      <c r="A11" s="295"/>
      <c r="B11" s="295"/>
      <c r="C11" s="295"/>
      <c r="D11" s="295"/>
    </row>
    <row r="12" spans="1:4" ht="21" x14ac:dyDescent="0.45">
      <c r="A12" s="506" t="s">
        <v>288</v>
      </c>
      <c r="B12" s="504"/>
      <c r="C12" s="504"/>
      <c r="D12" s="504"/>
    </row>
    <row r="13" spans="1:4" x14ac:dyDescent="0.25">
      <c r="A13" s="296"/>
      <c r="B13" s="296"/>
      <c r="C13" s="296"/>
      <c r="D13" s="296"/>
    </row>
    <row r="14" spans="1:4" ht="18.75" x14ac:dyDescent="0.3">
      <c r="A14" s="297" t="s">
        <v>289</v>
      </c>
      <c r="B14" s="323" t="str">
        <f>'Purchase Request'!B14</f>
        <v/>
      </c>
      <c r="C14" s="324" t="s">
        <v>290</v>
      </c>
      <c r="D14" s="300" t="str">
        <f>'Purchase Request'!E14</f>
        <v>AMDC/H025-670</v>
      </c>
    </row>
    <row r="15" spans="1:4" ht="18.75" x14ac:dyDescent="0.3">
      <c r="A15" s="297" t="s">
        <v>2</v>
      </c>
      <c r="B15" s="303">
        <v>1342</v>
      </c>
      <c r="C15" s="325" t="s">
        <v>313</v>
      </c>
      <c r="D15" s="326">
        <f ca="1">TODAY()</f>
        <v>46033</v>
      </c>
    </row>
    <row r="16" spans="1:4" ht="18.75" x14ac:dyDescent="0.3">
      <c r="A16" s="297" t="s">
        <v>293</v>
      </c>
      <c r="B16" s="305" t="str">
        <f>'Purchase Request'!B16</f>
        <v/>
      </c>
      <c r="C16" s="5"/>
    </row>
    <row r="17" spans="1:7" ht="15.75" x14ac:dyDescent="0.25">
      <c r="A17" s="5"/>
      <c r="B17" s="5"/>
      <c r="C17" s="5"/>
    </row>
    <row r="18" spans="1:7" ht="22.5" x14ac:dyDescent="0.25">
      <c r="A18" s="306" t="s">
        <v>314</v>
      </c>
      <c r="B18" s="306" t="s">
        <v>294</v>
      </c>
      <c r="C18" s="307" t="s">
        <v>295</v>
      </c>
      <c r="D18" s="307" t="s">
        <v>297</v>
      </c>
    </row>
    <row r="19" spans="1:7" ht="37.5" x14ac:dyDescent="0.3">
      <c r="A19" s="327">
        <v>1</v>
      </c>
      <c r="B19" s="308" t="s">
        <v>299</v>
      </c>
      <c r="C19" s="309">
        <v>50</v>
      </c>
      <c r="D19" s="328">
        <f>'Purchase Request'!D19</f>
        <v>0</v>
      </c>
      <c r="G19" s="6"/>
    </row>
    <row r="20" spans="1:7" ht="37.5" x14ac:dyDescent="0.3">
      <c r="A20" s="327">
        <v>2</v>
      </c>
      <c r="B20" s="308" t="s">
        <v>299</v>
      </c>
      <c r="C20" s="309">
        <v>40</v>
      </c>
      <c r="D20" s="328">
        <f>'Purchase Request'!D20</f>
        <v>0</v>
      </c>
    </row>
    <row r="21" spans="1:7" ht="37.5" x14ac:dyDescent="0.3">
      <c r="A21" s="327">
        <v>3</v>
      </c>
      <c r="B21" s="308" t="s">
        <v>301</v>
      </c>
      <c r="C21" s="309">
        <v>40</v>
      </c>
      <c r="D21" s="328">
        <f>'Purchase Request'!D21</f>
        <v>0</v>
      </c>
    </row>
    <row r="22" spans="1:7" ht="37.5" x14ac:dyDescent="0.3">
      <c r="A22" s="327">
        <v>4</v>
      </c>
      <c r="B22" s="308" t="s">
        <v>302</v>
      </c>
      <c r="C22" s="309">
        <v>50</v>
      </c>
      <c r="D22" s="328">
        <f>'Purchase Request'!D22</f>
        <v>0</v>
      </c>
    </row>
    <row r="23" spans="1:7" ht="37.5" x14ac:dyDescent="0.3">
      <c r="A23" s="327">
        <v>5</v>
      </c>
      <c r="B23" s="308" t="s">
        <v>303</v>
      </c>
      <c r="C23" s="309">
        <v>40</v>
      </c>
      <c r="D23" s="328">
        <f>'Purchase Request'!D23</f>
        <v>0</v>
      </c>
    </row>
    <row r="24" spans="1:7" ht="48" customHeight="1" x14ac:dyDescent="0.3">
      <c r="A24" s="327">
        <v>6</v>
      </c>
      <c r="B24" s="308" t="s">
        <v>305</v>
      </c>
      <c r="C24" s="309">
        <v>45</v>
      </c>
      <c r="D24" s="328">
        <f>'Purchase Request'!D24</f>
        <v>0</v>
      </c>
      <c r="G24" s="329"/>
    </row>
    <row r="25" spans="1:7" ht="37.5" x14ac:dyDescent="0.3">
      <c r="A25" s="327">
        <v>7</v>
      </c>
      <c r="B25" s="308" t="s">
        <v>306</v>
      </c>
      <c r="C25" s="309">
        <v>50</v>
      </c>
      <c r="D25" s="328">
        <f>'Purchase Request'!D25</f>
        <v>0</v>
      </c>
    </row>
    <row r="27" spans="1:7" ht="20.25" x14ac:dyDescent="0.3">
      <c r="A27" s="507"/>
      <c r="B27" s="507"/>
      <c r="C27" s="507"/>
      <c r="D27" s="507"/>
    </row>
    <row r="28" spans="1:7" ht="20.25" x14ac:dyDescent="0.3">
      <c r="A28" s="507"/>
      <c r="B28" s="507"/>
      <c r="C28" s="507"/>
      <c r="D28" s="507"/>
    </row>
    <row r="29" spans="1:7" ht="18.75" x14ac:dyDescent="0.3">
      <c r="A29" s="330" t="s">
        <v>315</v>
      </c>
      <c r="B29" s="331"/>
      <c r="C29" s="331"/>
      <c r="D29" s="331" t="s">
        <v>316</v>
      </c>
    </row>
    <row r="30" spans="1:7" ht="33.75" customHeight="1" x14ac:dyDescent="0.25">
      <c r="A30" s="508" t="s">
        <v>317</v>
      </c>
      <c r="B30" s="508"/>
      <c r="C30" s="509" t="s">
        <v>318</v>
      </c>
      <c r="D30" s="509"/>
    </row>
    <row r="31" spans="1:7" ht="36" customHeight="1" x14ac:dyDescent="0.25">
      <c r="A31" s="510" t="s">
        <v>319</v>
      </c>
      <c r="B31" s="510"/>
      <c r="C31" s="511" t="s">
        <v>320</v>
      </c>
      <c r="D31" s="511"/>
    </row>
    <row r="32" spans="1:7" ht="18.75" x14ac:dyDescent="0.3">
      <c r="A32" s="330"/>
      <c r="B32" s="331"/>
      <c r="C32" s="331"/>
      <c r="D32" s="331"/>
    </row>
    <row r="34" spans="1:4" x14ac:dyDescent="0.25">
      <c r="A34" s="332"/>
    </row>
    <row r="35" spans="1:4" ht="18.75" x14ac:dyDescent="0.25">
      <c r="A35" s="301" t="s">
        <v>321</v>
      </c>
    </row>
    <row r="36" spans="1:4" ht="18.75" x14ac:dyDescent="0.25">
      <c r="A36" s="333" t="s">
        <v>322</v>
      </c>
      <c r="C36" s="334" t="s">
        <v>26</v>
      </c>
      <c r="D36" t="s">
        <v>26</v>
      </c>
    </row>
    <row r="38" spans="1:4" x14ac:dyDescent="0.25">
      <c r="D38" t="s">
        <v>26</v>
      </c>
    </row>
  </sheetData>
  <mergeCells count="12">
    <mergeCell ref="A27:D27"/>
    <mergeCell ref="A28:D28"/>
    <mergeCell ref="A30:B30"/>
    <mergeCell ref="C30:D30"/>
    <mergeCell ref="A31:B31"/>
    <mergeCell ref="C31:D31"/>
    <mergeCell ref="A12:D12"/>
    <mergeCell ref="A6:D6"/>
    <mergeCell ref="A7:D7"/>
    <mergeCell ref="A8:D8"/>
    <mergeCell ref="A9:D9"/>
    <mergeCell ref="A10:D10"/>
  </mergeCells>
  <pageMargins left="0.7" right="0.7" top="0.75" bottom="0.75" header="0.3" footer="0.3"/>
  <pageSetup paperSize="9" scale="78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33F77-8557-4DEE-B3A3-E01F68F8EEE5}">
  <sheetPr codeName="Sheet16"/>
  <dimension ref="A2:E9"/>
  <sheetViews>
    <sheetView workbookViewId="0">
      <selection activeCell="C11" sqref="C11"/>
    </sheetView>
  </sheetViews>
  <sheetFormatPr defaultRowHeight="15" x14ac:dyDescent="0.25"/>
  <cols>
    <col min="1" max="1" width="22" bestFit="1" customWidth="1"/>
    <col min="2" max="2" width="17" bestFit="1" customWidth="1"/>
    <col min="3" max="3" width="26" bestFit="1" customWidth="1"/>
    <col min="4" max="4" width="10.5703125" bestFit="1" customWidth="1"/>
    <col min="5" max="5" width="23.7109375" bestFit="1" customWidth="1"/>
  </cols>
  <sheetData>
    <row r="2" spans="1:5" ht="26.25" x14ac:dyDescent="0.4">
      <c r="A2" s="512" t="s">
        <v>260</v>
      </c>
      <c r="B2" s="512"/>
      <c r="C2" s="512"/>
      <c r="D2" s="512"/>
      <c r="E2" s="512"/>
    </row>
    <row r="3" spans="1:5" ht="24" x14ac:dyDescent="0.4">
      <c r="A3" s="1" t="s">
        <v>261</v>
      </c>
      <c r="B3" s="1" t="s">
        <v>262</v>
      </c>
      <c r="C3" s="1" t="s">
        <v>263</v>
      </c>
      <c r="D3" s="1" t="s">
        <v>264</v>
      </c>
      <c r="E3" s="1" t="s">
        <v>265</v>
      </c>
    </row>
    <row r="4" spans="1:5" ht="24" x14ac:dyDescent="0.4">
      <c r="A4" s="1" t="s">
        <v>266</v>
      </c>
      <c r="B4" s="1">
        <v>50</v>
      </c>
      <c r="C4" s="4">
        <v>6.45</v>
      </c>
      <c r="D4" s="2">
        <v>0.4</v>
      </c>
      <c r="E4" s="2">
        <v>6.05</v>
      </c>
    </row>
    <row r="5" spans="1:5" ht="24" x14ac:dyDescent="0.4">
      <c r="A5" s="1" t="s">
        <v>266</v>
      </c>
      <c r="B5" s="1">
        <v>40</v>
      </c>
      <c r="C5" s="4">
        <v>5.16</v>
      </c>
      <c r="D5" s="2">
        <v>0.4</v>
      </c>
      <c r="E5" s="2">
        <v>4.76</v>
      </c>
    </row>
    <row r="6" spans="1:5" ht="24" x14ac:dyDescent="0.4">
      <c r="A6" s="1" t="s">
        <v>267</v>
      </c>
      <c r="B6" s="1">
        <v>40</v>
      </c>
      <c r="C6" s="4">
        <v>5</v>
      </c>
      <c r="D6" s="2">
        <v>0.4</v>
      </c>
      <c r="E6" s="2">
        <v>4.5999999999999996</v>
      </c>
    </row>
    <row r="7" spans="1:5" ht="24" x14ac:dyDescent="0.4">
      <c r="A7" s="1" t="s">
        <v>268</v>
      </c>
      <c r="B7" s="1">
        <v>50</v>
      </c>
      <c r="C7" s="4">
        <v>7.1</v>
      </c>
      <c r="D7" s="2">
        <v>0.5</v>
      </c>
      <c r="E7" s="2">
        <v>6.6</v>
      </c>
    </row>
    <row r="8" spans="1:5" ht="24" x14ac:dyDescent="0.4">
      <c r="A8" s="1" t="s">
        <v>268</v>
      </c>
      <c r="B8" s="1">
        <v>40</v>
      </c>
      <c r="C8" s="4">
        <v>5.7</v>
      </c>
      <c r="D8" s="2">
        <v>0.5</v>
      </c>
      <c r="E8" s="2">
        <v>5.2</v>
      </c>
    </row>
    <row r="9" spans="1:5" ht="24" x14ac:dyDescent="0.4">
      <c r="A9" s="1" t="s">
        <v>269</v>
      </c>
      <c r="B9" s="1">
        <v>50</v>
      </c>
      <c r="C9" s="4">
        <v>7.6</v>
      </c>
      <c r="D9" s="2">
        <v>0.5</v>
      </c>
      <c r="E9" s="2">
        <v>7.1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15</vt:i4>
      </vt:variant>
    </vt:vector>
  </HeadingPairs>
  <TitlesOfParts>
    <vt:vector size="32" baseType="lpstr">
      <vt:lpstr>center-April</vt:lpstr>
      <vt:lpstr>center-May</vt:lpstr>
      <vt:lpstr>center-June</vt:lpstr>
      <vt:lpstr>center-Aug</vt:lpstr>
      <vt:lpstr>Center-Sept</vt:lpstr>
      <vt:lpstr>Center-Oct</vt:lpstr>
      <vt:lpstr>Center-Nov</vt:lpstr>
      <vt:lpstr>Center-dec</vt:lpstr>
      <vt:lpstr>July 25</vt:lpstr>
      <vt:lpstr>Aug 25</vt:lpstr>
      <vt:lpstr>SEP-25</vt:lpstr>
      <vt:lpstr>oct25</vt:lpstr>
      <vt:lpstr>nov-25</vt:lpstr>
      <vt:lpstr>Dec-25</vt:lpstr>
      <vt:lpstr>Purchase Request</vt:lpstr>
      <vt:lpstr>Farmer Document</vt:lpstr>
      <vt:lpstr>ONLD price</vt:lpstr>
      <vt:lpstr>'Aug 25'!Print_Area</vt:lpstr>
      <vt:lpstr>'center-April'!Print_Area</vt:lpstr>
      <vt:lpstr>'center-Aug'!Print_Area</vt:lpstr>
      <vt:lpstr>'Center-dec'!Print_Area</vt:lpstr>
      <vt:lpstr>'center-June'!Print_Area</vt:lpstr>
      <vt:lpstr>'center-May'!Print_Area</vt:lpstr>
      <vt:lpstr>'Center-Nov'!Print_Area</vt:lpstr>
      <vt:lpstr>'Center-Oct'!Print_Area</vt:lpstr>
      <vt:lpstr>'Center-Sept'!Print_Area</vt:lpstr>
      <vt:lpstr>'Dec-25'!Print_Area</vt:lpstr>
      <vt:lpstr>'Farmer Document'!Print_Area</vt:lpstr>
      <vt:lpstr>'July 25'!Print_Area</vt:lpstr>
      <vt:lpstr>'nov-25'!Print_Area</vt:lpstr>
      <vt:lpstr>'Purchase Request'!Print_Area</vt:lpstr>
      <vt:lpstr>'SEP-25'!Print_Area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 Morroj dairy co</dc:creator>
  <cp:keywords/>
  <dc:description/>
  <cp:lastModifiedBy>YASIR KASHOOB</cp:lastModifiedBy>
  <cp:revision/>
  <cp:lastPrinted>2026-01-04T06:55:58Z</cp:lastPrinted>
  <dcterms:created xsi:type="dcterms:W3CDTF">2024-07-24T14:41:30Z</dcterms:created>
  <dcterms:modified xsi:type="dcterms:W3CDTF">2026-01-11T06:39:23Z</dcterms:modified>
  <cp:category/>
  <cp:contentStatus/>
</cp:coreProperties>
</file>