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478396b7721b53/Desktop/جميع الملفات/"/>
    </mc:Choice>
  </mc:AlternateContent>
  <xr:revisionPtr revIDLastSave="9" documentId="13_ncr:1_{EDB34114-F6E2-474E-B4E1-2EAEE3A9819C}" xr6:coauthVersionLast="47" xr6:coauthVersionMax="47" xr10:uidLastSave="{2FBD7DDC-7627-4EF8-9321-32F44C725103}"/>
  <bookViews>
    <workbookView xWindow="-120" yWindow="-120" windowWidth="29040" windowHeight="15720" tabRatio="669" firstSheet="9" activeTab="13" xr2:uid="{98B979DE-0370-4696-AEB9-509298284302}"/>
  </bookViews>
  <sheets>
    <sheet name="center-April" sheetId="7" state="hidden" r:id="rId1"/>
    <sheet name="05-25" sheetId="8" state="hidden" r:id="rId2"/>
    <sheet name="center-06-24" sheetId="9" state="hidden" r:id="rId3"/>
    <sheet name="center-July" sheetId="13" state="hidden" r:id="rId4"/>
    <sheet name="center-Aug" sheetId="14" state="hidden" r:id="rId5"/>
    <sheet name="center-Sept" sheetId="15" state="hidden" r:id="rId6"/>
    <sheet name="Center-oct" sheetId="17" state="hidden" r:id="rId7"/>
    <sheet name="Center-Nov" sheetId="18" state="hidden" r:id="rId8"/>
    <sheet name="center-dec" sheetId="19" state="hidden" r:id="rId9"/>
    <sheet name="Aug 25" sheetId="33" r:id="rId10"/>
    <sheet name="SEP-25" sheetId="34" r:id="rId11"/>
    <sheet name="oct25" sheetId="35" r:id="rId12"/>
    <sheet name="nov-25" sheetId="36" r:id="rId13"/>
    <sheet name="Dec-25" sheetId="37" r:id="rId14"/>
    <sheet name="Purcahse Request" sheetId="21" state="hidden" r:id="rId15"/>
    <sheet name="Farmer Document" sheetId="22" state="hidden" r:id="rId16"/>
    <sheet name="ONLD price" sheetId="2" state="hidden" r:id="rId17"/>
  </sheets>
  <definedNames>
    <definedName name="_xlnm._FilterDatabase" localSheetId="1" hidden="1">'05-25'!$A$2:$N$27</definedName>
    <definedName name="_xlnm._FilterDatabase" localSheetId="9" hidden="1">'Aug 25'!$A$2:$X$224</definedName>
    <definedName name="_xlnm._FilterDatabase" localSheetId="2" hidden="1">'center-06-24'!$A$2:$N$49</definedName>
    <definedName name="_xlnm._FilterDatabase" localSheetId="0" hidden="1">'center-April'!$A$2:$J$6</definedName>
    <definedName name="_xlnm._FilterDatabase" localSheetId="4" hidden="1">'center-Aug'!$A$2:$J$224</definedName>
    <definedName name="_xlnm._FilterDatabase" localSheetId="3" hidden="1">'center-July'!$A$2:$T$224</definedName>
    <definedName name="_xlnm._FilterDatabase" localSheetId="6" hidden="1">'Center-oct'!$A$2:$J$2</definedName>
    <definedName name="_xlnm._FilterDatabase" localSheetId="5" hidden="1">'center-Sept'!$A$2:$K$224</definedName>
    <definedName name="_xlnm.Print_Area" localSheetId="9">'Aug 25'!$A$1:$M$233</definedName>
    <definedName name="_xlnm.Print_Area" localSheetId="2">'center-06-24'!$A$1:$Z$63</definedName>
    <definedName name="_xlnm.Print_Area" localSheetId="0">'center-April'!$A$1:$T$5</definedName>
    <definedName name="_xlnm.Print_Area" localSheetId="4">'center-Aug'!$A$1:$J$224</definedName>
    <definedName name="_xlnm.Print_Area" localSheetId="8">'center-dec'!$A$1:$N$234</definedName>
    <definedName name="_xlnm.Print_Area" localSheetId="3">'center-July'!$A$1:$N$238</definedName>
    <definedName name="_xlnm.Print_Area" localSheetId="7">'Center-Nov'!$A$1:$N$233</definedName>
    <definedName name="_xlnm.Print_Area" localSheetId="6">'Center-oct'!$A$1:$K$226</definedName>
    <definedName name="_xlnm.Print_Area" localSheetId="5">'center-Sept'!$A$1:$L$224</definedName>
    <definedName name="_xlnm.Print_Area" localSheetId="15">'Farmer Document'!$A$1:$D$43</definedName>
    <definedName name="_xlnm.Print_Area" localSheetId="11">'oct25'!$A$1:$M$231</definedName>
    <definedName name="_xlnm.Print_Area" localSheetId="14">'Purcahse Request'!$A$1:$E$38</definedName>
    <definedName name="_xlnm.Print_Area" localSheetId="10">'SEP-25'!$A$1:$M$228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7" l="1"/>
  <c r="G3" i="37" s="1"/>
  <c r="E4" i="37"/>
  <c r="G4" i="37" s="1"/>
  <c r="E5" i="37"/>
  <c r="G5" i="37" s="1"/>
  <c r="E6" i="37"/>
  <c r="G6" i="37" s="1"/>
  <c r="E7" i="37"/>
  <c r="G7" i="37" s="1"/>
  <c r="E8" i="37"/>
  <c r="G8" i="37" s="1"/>
  <c r="E9" i="37"/>
  <c r="G9" i="37"/>
  <c r="E10" i="37"/>
  <c r="G10" i="37" s="1"/>
  <c r="E11" i="37"/>
  <c r="G11" i="37" s="1"/>
  <c r="E12" i="37"/>
  <c r="G12" i="37" s="1"/>
  <c r="E13" i="37"/>
  <c r="G13" i="37" s="1"/>
  <c r="E14" i="37"/>
  <c r="G14" i="37" s="1"/>
  <c r="E15" i="37"/>
  <c r="G15" i="37" s="1"/>
  <c r="E16" i="37"/>
  <c r="G16" i="37" s="1"/>
  <c r="E17" i="37"/>
  <c r="G17" i="37" s="1"/>
  <c r="E18" i="37"/>
  <c r="G18" i="37" s="1"/>
  <c r="E19" i="37"/>
  <c r="G19" i="37" s="1"/>
  <c r="E20" i="37"/>
  <c r="G20" i="37" s="1"/>
  <c r="E21" i="37"/>
  <c r="G21" i="37" s="1"/>
  <c r="E22" i="37"/>
  <c r="G22" i="37" s="1"/>
  <c r="E23" i="37"/>
  <c r="G23" i="37" s="1"/>
  <c r="E24" i="37"/>
  <c r="G24" i="37"/>
  <c r="E25" i="37"/>
  <c r="G25" i="37" s="1"/>
  <c r="E26" i="37"/>
  <c r="G26" i="37" s="1"/>
  <c r="E27" i="37"/>
  <c r="G27" i="37" s="1"/>
  <c r="E28" i="37"/>
  <c r="G28" i="37" s="1"/>
  <c r="E29" i="37"/>
  <c r="G29" i="37" s="1"/>
  <c r="E30" i="37"/>
  <c r="G30" i="37" s="1"/>
  <c r="E31" i="37"/>
  <c r="G31" i="37" s="1"/>
  <c r="E32" i="37"/>
  <c r="G32" i="37" s="1"/>
  <c r="E33" i="37"/>
  <c r="G33" i="37"/>
  <c r="E34" i="37"/>
  <c r="G34" i="37" s="1"/>
  <c r="E35" i="37"/>
  <c r="G35" i="37" s="1"/>
  <c r="E36" i="37"/>
  <c r="G36" i="37" s="1"/>
  <c r="E37" i="37"/>
  <c r="G37" i="37" s="1"/>
  <c r="E38" i="37"/>
  <c r="G38" i="37" s="1"/>
  <c r="E39" i="37"/>
  <c r="G39" i="37" s="1"/>
  <c r="E40" i="37"/>
  <c r="G40" i="37" s="1"/>
  <c r="E41" i="37"/>
  <c r="G41" i="37"/>
  <c r="E42" i="37"/>
  <c r="G42" i="37" s="1"/>
  <c r="E43" i="37"/>
  <c r="G43" i="37" s="1"/>
  <c r="E44" i="37"/>
  <c r="G44" i="37" s="1"/>
  <c r="E45" i="37"/>
  <c r="G45" i="37" s="1"/>
  <c r="E46" i="37"/>
  <c r="G46" i="37" s="1"/>
  <c r="E47" i="37"/>
  <c r="G47" i="37" s="1"/>
  <c r="E48" i="37"/>
  <c r="G48" i="37" s="1"/>
  <c r="E49" i="37"/>
  <c r="G49" i="37"/>
  <c r="E50" i="37"/>
  <c r="G50" i="37" s="1"/>
  <c r="E51" i="37"/>
  <c r="G51" i="37" s="1"/>
  <c r="E52" i="37"/>
  <c r="G52" i="37" s="1"/>
  <c r="E53" i="37"/>
  <c r="G53" i="37" s="1"/>
  <c r="E54" i="37"/>
  <c r="G54" i="37"/>
  <c r="E55" i="37"/>
  <c r="G55" i="37"/>
  <c r="E56" i="37"/>
  <c r="G56" i="37" s="1"/>
  <c r="E57" i="37"/>
  <c r="G57" i="37"/>
  <c r="E58" i="37"/>
  <c r="G58" i="37" s="1"/>
  <c r="E59" i="37"/>
  <c r="G59" i="37" s="1"/>
  <c r="E60" i="37"/>
  <c r="G60" i="37" s="1"/>
  <c r="E61" i="37"/>
  <c r="G61" i="37" s="1"/>
  <c r="E62" i="37"/>
  <c r="G62" i="37" s="1"/>
  <c r="E63" i="37"/>
  <c r="G63" i="37" s="1"/>
  <c r="E64" i="37"/>
  <c r="G64" i="37"/>
  <c r="E65" i="37"/>
  <c r="G65" i="37"/>
  <c r="E66" i="37"/>
  <c r="G66" i="37" s="1"/>
  <c r="E67" i="37"/>
  <c r="G67" i="37" s="1"/>
  <c r="E68" i="37"/>
  <c r="G68" i="37"/>
  <c r="E69" i="37"/>
  <c r="G69" i="37"/>
  <c r="E70" i="37"/>
  <c r="G70" i="37" s="1"/>
  <c r="E71" i="37"/>
  <c r="G71" i="37" s="1"/>
  <c r="E72" i="37"/>
  <c r="G72" i="37" s="1"/>
  <c r="E73" i="37"/>
  <c r="G73" i="37"/>
  <c r="E74" i="37"/>
  <c r="G74" i="37" s="1"/>
  <c r="E75" i="37"/>
  <c r="G75" i="37" s="1"/>
  <c r="E76" i="37"/>
  <c r="G76" i="37" s="1"/>
  <c r="E77" i="37"/>
  <c r="G77" i="37" s="1"/>
  <c r="E78" i="37"/>
  <c r="G78" i="37"/>
  <c r="E79" i="37"/>
  <c r="G79" i="37" s="1"/>
  <c r="E80" i="37"/>
  <c r="G80" i="37" s="1"/>
  <c r="E81" i="37"/>
  <c r="G81" i="37"/>
  <c r="E82" i="37"/>
  <c r="G82" i="37" s="1"/>
  <c r="E83" i="37"/>
  <c r="G83" i="37" s="1"/>
  <c r="E84" i="37"/>
  <c r="G84" i="37" s="1"/>
  <c r="E85" i="37"/>
  <c r="G85" i="37" s="1"/>
  <c r="E86" i="37"/>
  <c r="G86" i="37"/>
  <c r="E87" i="37"/>
  <c r="G87" i="37" s="1"/>
  <c r="E88" i="37"/>
  <c r="G88" i="37" s="1"/>
  <c r="E89" i="37"/>
  <c r="G89" i="37"/>
  <c r="E90" i="37"/>
  <c r="G90" i="37" s="1"/>
  <c r="E91" i="37"/>
  <c r="G91" i="37" s="1"/>
  <c r="E92" i="37"/>
  <c r="G92" i="37" s="1"/>
  <c r="E93" i="37"/>
  <c r="G93" i="37" s="1"/>
  <c r="E94" i="37"/>
  <c r="G94" i="37"/>
  <c r="E95" i="37"/>
  <c r="G95" i="37" s="1"/>
  <c r="E96" i="37"/>
  <c r="G96" i="37" s="1"/>
  <c r="E97" i="37"/>
  <c r="G97" i="37" s="1"/>
  <c r="E98" i="37"/>
  <c r="G98" i="37" s="1"/>
  <c r="E99" i="37"/>
  <c r="G99" i="37" s="1"/>
  <c r="E100" i="37"/>
  <c r="G100" i="37" s="1"/>
  <c r="E101" i="37"/>
  <c r="G101" i="37" s="1"/>
  <c r="E102" i="37"/>
  <c r="G102" i="37" s="1"/>
  <c r="E103" i="37"/>
  <c r="G103" i="37"/>
  <c r="E104" i="37"/>
  <c r="G104" i="37" s="1"/>
  <c r="E105" i="37"/>
  <c r="G105" i="37"/>
  <c r="E106" i="37"/>
  <c r="G106" i="37" s="1"/>
  <c r="E107" i="37"/>
  <c r="G107" i="37" s="1"/>
  <c r="E108" i="37"/>
  <c r="G108" i="37" s="1"/>
  <c r="E109" i="37"/>
  <c r="G109" i="37" s="1"/>
  <c r="E110" i="37"/>
  <c r="G110" i="37" s="1"/>
  <c r="E111" i="37"/>
  <c r="G111" i="37" s="1"/>
  <c r="E112" i="37"/>
  <c r="G112" i="37" s="1"/>
  <c r="E113" i="37"/>
  <c r="G113" i="37" s="1"/>
  <c r="E114" i="37"/>
  <c r="G114" i="37" s="1"/>
  <c r="E115" i="37"/>
  <c r="G115" i="37" s="1"/>
  <c r="E116" i="37"/>
  <c r="G116" i="37" s="1"/>
  <c r="E117" i="37"/>
  <c r="G117" i="37"/>
  <c r="E118" i="37"/>
  <c r="G118" i="37" s="1"/>
  <c r="E119" i="37"/>
  <c r="G119" i="37" s="1"/>
  <c r="E120" i="37"/>
  <c r="G120" i="37" s="1"/>
  <c r="E121" i="37"/>
  <c r="G121" i="37" s="1"/>
  <c r="E122" i="37"/>
  <c r="G122" i="37" s="1"/>
  <c r="E123" i="37"/>
  <c r="G123" i="37" s="1"/>
  <c r="E124" i="37"/>
  <c r="G124" i="37" s="1"/>
  <c r="E125" i="37"/>
  <c r="G125" i="37" s="1"/>
  <c r="E126" i="37"/>
  <c r="G126" i="37" s="1"/>
  <c r="E127" i="37"/>
  <c r="G127" i="37" s="1"/>
  <c r="E128" i="37"/>
  <c r="G128" i="37" s="1"/>
  <c r="E129" i="37"/>
  <c r="G129" i="37"/>
  <c r="E130" i="37"/>
  <c r="G130" i="37" s="1"/>
  <c r="E131" i="37"/>
  <c r="G131" i="37" s="1"/>
  <c r="E132" i="37"/>
  <c r="G132" i="37" s="1"/>
  <c r="E133" i="37"/>
  <c r="G133" i="37" s="1"/>
  <c r="E134" i="37"/>
  <c r="G134" i="37" s="1"/>
  <c r="E135" i="37"/>
  <c r="G135" i="37" s="1"/>
  <c r="E136" i="37"/>
  <c r="G136" i="37" s="1"/>
  <c r="E137" i="37"/>
  <c r="G137" i="37" s="1"/>
  <c r="E138" i="37"/>
  <c r="G138" i="37" s="1"/>
  <c r="E139" i="37"/>
  <c r="G139" i="37" s="1"/>
  <c r="E140" i="37"/>
  <c r="G140" i="37" s="1"/>
  <c r="E141" i="37"/>
  <c r="G141" i="37" s="1"/>
  <c r="E142" i="37"/>
  <c r="G142" i="37"/>
  <c r="E143" i="37"/>
  <c r="G143" i="37" s="1"/>
  <c r="E144" i="37"/>
  <c r="G144" i="37" s="1"/>
  <c r="E145" i="37"/>
  <c r="G145" i="37"/>
  <c r="E146" i="37"/>
  <c r="G146" i="37" s="1"/>
  <c r="E147" i="37"/>
  <c r="G147" i="37" s="1"/>
  <c r="E148" i="37"/>
  <c r="G148" i="37"/>
  <c r="E149" i="37"/>
  <c r="G149" i="37" s="1"/>
  <c r="E150" i="37"/>
  <c r="G150" i="37" s="1"/>
  <c r="E151" i="37"/>
  <c r="G151" i="37" s="1"/>
  <c r="E152" i="37"/>
  <c r="G152" i="37" s="1"/>
  <c r="E153" i="37"/>
  <c r="G153" i="37"/>
  <c r="E154" i="37"/>
  <c r="G154" i="37" s="1"/>
  <c r="E155" i="37"/>
  <c r="G155" i="37" s="1"/>
  <c r="E156" i="37"/>
  <c r="G156" i="37" s="1"/>
  <c r="E157" i="37"/>
  <c r="G157" i="37"/>
  <c r="E158" i="37"/>
  <c r="G158" i="37"/>
  <c r="E159" i="37"/>
  <c r="G159" i="37" s="1"/>
  <c r="E160" i="37"/>
  <c r="G160" i="37" s="1"/>
  <c r="E161" i="37"/>
  <c r="G161" i="37"/>
  <c r="E162" i="37"/>
  <c r="G162" i="37" s="1"/>
  <c r="E163" i="37"/>
  <c r="G163" i="37" s="1"/>
  <c r="E164" i="37"/>
  <c r="G164" i="37" s="1"/>
  <c r="E165" i="37"/>
  <c r="G165" i="37" s="1"/>
  <c r="E166" i="37"/>
  <c r="G166" i="37" s="1"/>
  <c r="E167" i="37"/>
  <c r="G167" i="37" s="1"/>
  <c r="E168" i="37"/>
  <c r="G168" i="37"/>
  <c r="E169" i="37"/>
  <c r="G169" i="37"/>
  <c r="E170" i="37"/>
  <c r="G170" i="37" s="1"/>
  <c r="E171" i="37"/>
  <c r="G171" i="37" s="1"/>
  <c r="E172" i="37"/>
  <c r="G172" i="37" s="1"/>
  <c r="E173" i="37"/>
  <c r="G173" i="37" s="1"/>
  <c r="E174" i="37"/>
  <c r="G174" i="37" s="1"/>
  <c r="E175" i="37"/>
  <c r="G175" i="37" s="1"/>
  <c r="E176" i="37"/>
  <c r="G176" i="37" s="1"/>
  <c r="E177" i="37"/>
  <c r="G177" i="37" s="1"/>
  <c r="E178" i="37"/>
  <c r="G178" i="37" s="1"/>
  <c r="E179" i="37"/>
  <c r="G179" i="37" s="1"/>
  <c r="E180" i="37"/>
  <c r="G180" i="37"/>
  <c r="E181" i="37"/>
  <c r="G181" i="37" s="1"/>
  <c r="E182" i="37"/>
  <c r="G182" i="37" s="1"/>
  <c r="E183" i="37"/>
  <c r="G183" i="37" s="1"/>
  <c r="E184" i="37"/>
  <c r="G184" i="37" s="1"/>
  <c r="E185" i="37"/>
  <c r="G185" i="37"/>
  <c r="E186" i="37"/>
  <c r="G186" i="37" s="1"/>
  <c r="E187" i="37"/>
  <c r="G187" i="37" s="1"/>
  <c r="E188" i="37"/>
  <c r="G188" i="37" s="1"/>
  <c r="E189" i="37"/>
  <c r="G189" i="37" s="1"/>
  <c r="E190" i="37"/>
  <c r="G190" i="37"/>
  <c r="E191" i="37"/>
  <c r="G191" i="37" s="1"/>
  <c r="E192" i="37"/>
  <c r="G192" i="37" s="1"/>
  <c r="E193" i="37"/>
  <c r="G193" i="37" s="1"/>
  <c r="E194" i="37"/>
  <c r="G194" i="37" s="1"/>
  <c r="E195" i="37"/>
  <c r="G195" i="37" s="1"/>
  <c r="E196" i="37"/>
  <c r="G196" i="37" s="1"/>
  <c r="E197" i="37"/>
  <c r="G197" i="37" s="1"/>
  <c r="E198" i="37"/>
  <c r="G198" i="37" s="1"/>
  <c r="E199" i="37"/>
  <c r="G199" i="37" s="1"/>
  <c r="E200" i="37"/>
  <c r="G200" i="37" s="1"/>
  <c r="E201" i="37"/>
  <c r="G201" i="37" s="1"/>
  <c r="E202" i="37"/>
  <c r="G202" i="37" s="1"/>
  <c r="E203" i="37"/>
  <c r="G203" i="37" s="1"/>
  <c r="E204" i="37"/>
  <c r="G204" i="37" s="1"/>
  <c r="E205" i="37"/>
  <c r="G205" i="37" s="1"/>
  <c r="E206" i="37"/>
  <c r="G206" i="37" s="1"/>
  <c r="E207" i="37"/>
  <c r="G207" i="37" s="1"/>
  <c r="E208" i="37"/>
  <c r="G208" i="37" s="1"/>
  <c r="E209" i="37"/>
  <c r="G209" i="37"/>
  <c r="E210" i="37"/>
  <c r="G210" i="37" s="1"/>
  <c r="E211" i="37"/>
  <c r="G211" i="37" s="1"/>
  <c r="E212" i="37"/>
  <c r="G212" i="37" s="1"/>
  <c r="E213" i="37"/>
  <c r="G213" i="37" s="1"/>
  <c r="E214" i="37"/>
  <c r="G214" i="37"/>
  <c r="E215" i="37"/>
  <c r="G215" i="37" s="1"/>
  <c r="E216" i="37"/>
  <c r="G216" i="37" s="1"/>
  <c r="E217" i="37"/>
  <c r="G217" i="37" s="1"/>
  <c r="E218" i="37"/>
  <c r="G218" i="37" s="1"/>
  <c r="E219" i="37"/>
  <c r="G219" i="37" s="1"/>
  <c r="E220" i="37"/>
  <c r="G220" i="37" s="1"/>
  <c r="E221" i="37"/>
  <c r="G221" i="37" s="1"/>
  <c r="E222" i="37"/>
  <c r="G222" i="37" s="1"/>
  <c r="E223" i="37"/>
  <c r="G223" i="37" s="1"/>
  <c r="E224" i="37"/>
  <c r="G224" i="37"/>
  <c r="E225" i="37"/>
  <c r="G225" i="37"/>
  <c r="C226" i="37"/>
  <c r="F226" i="37"/>
  <c r="G226" i="37" l="1"/>
  <c r="E226" i="37"/>
  <c r="F134" i="36"/>
  <c r="F64" i="34"/>
  <c r="F82" i="34"/>
  <c r="F163" i="36" l="1"/>
  <c r="F4" i="34"/>
  <c r="F142" i="34"/>
  <c r="F4" i="35"/>
  <c r="F143" i="35"/>
  <c r="F102" i="35"/>
  <c r="F56" i="34"/>
  <c r="F156" i="34"/>
  <c r="F42" i="34"/>
  <c r="F107" i="34"/>
  <c r="F221" i="34" l="1"/>
  <c r="F210" i="34" l="1"/>
  <c r="F5" i="34"/>
  <c r="F165" i="34"/>
  <c r="F99" i="34"/>
  <c r="F220" i="35" l="1"/>
  <c r="F226" i="36"/>
  <c r="E3" i="36"/>
  <c r="G3" i="36" s="1"/>
  <c r="E4" i="36"/>
  <c r="G4" i="36" s="1"/>
  <c r="E5" i="36"/>
  <c r="G5" i="36" s="1"/>
  <c r="E6" i="36"/>
  <c r="G6" i="36" s="1"/>
  <c r="E7" i="36"/>
  <c r="G7" i="36" s="1"/>
  <c r="E8" i="36"/>
  <c r="G8" i="36" s="1"/>
  <c r="E9" i="36"/>
  <c r="G9" i="36" s="1"/>
  <c r="E10" i="36"/>
  <c r="G10" i="36" s="1"/>
  <c r="E11" i="36"/>
  <c r="G11" i="36" s="1"/>
  <c r="E12" i="36"/>
  <c r="G12" i="36" s="1"/>
  <c r="E13" i="36"/>
  <c r="G13" i="36" s="1"/>
  <c r="E14" i="36"/>
  <c r="G14" i="36" s="1"/>
  <c r="E15" i="36"/>
  <c r="G15" i="36" s="1"/>
  <c r="E16" i="36"/>
  <c r="G16" i="36" s="1"/>
  <c r="E17" i="36"/>
  <c r="G17" i="36" s="1"/>
  <c r="E18" i="36"/>
  <c r="G18" i="36" s="1"/>
  <c r="E19" i="36"/>
  <c r="G19" i="36" s="1"/>
  <c r="E20" i="36"/>
  <c r="G20" i="36" s="1"/>
  <c r="E21" i="36"/>
  <c r="G21" i="36" s="1"/>
  <c r="E22" i="36"/>
  <c r="G22" i="36" s="1"/>
  <c r="E23" i="36"/>
  <c r="G23" i="36" s="1"/>
  <c r="E24" i="36"/>
  <c r="G24" i="36" s="1"/>
  <c r="E25" i="36"/>
  <c r="G25" i="36" s="1"/>
  <c r="E26" i="36"/>
  <c r="G26" i="36" s="1"/>
  <c r="E27" i="36"/>
  <c r="G27" i="36" s="1"/>
  <c r="E28" i="36"/>
  <c r="G28" i="36" s="1"/>
  <c r="E29" i="36"/>
  <c r="G29" i="36" s="1"/>
  <c r="E30" i="36"/>
  <c r="G30" i="36" s="1"/>
  <c r="E31" i="36"/>
  <c r="G31" i="36" s="1"/>
  <c r="E32" i="36"/>
  <c r="G32" i="36" s="1"/>
  <c r="E33" i="36"/>
  <c r="G33" i="36" s="1"/>
  <c r="E34" i="36"/>
  <c r="G34" i="36" s="1"/>
  <c r="E35" i="36"/>
  <c r="G35" i="36" s="1"/>
  <c r="E36" i="36"/>
  <c r="G36" i="36" s="1"/>
  <c r="E37" i="36"/>
  <c r="G37" i="36" s="1"/>
  <c r="E38" i="36"/>
  <c r="G38" i="36" s="1"/>
  <c r="E39" i="36"/>
  <c r="G39" i="36" s="1"/>
  <c r="E40" i="36"/>
  <c r="G40" i="36" s="1"/>
  <c r="E41" i="36"/>
  <c r="G41" i="36" s="1"/>
  <c r="E42" i="36"/>
  <c r="G42" i="36" s="1"/>
  <c r="E43" i="36"/>
  <c r="G43" i="36" s="1"/>
  <c r="E44" i="36"/>
  <c r="G44" i="36" s="1"/>
  <c r="E45" i="36"/>
  <c r="G45" i="36" s="1"/>
  <c r="E46" i="36"/>
  <c r="G46" i="36" s="1"/>
  <c r="E47" i="36"/>
  <c r="G47" i="36" s="1"/>
  <c r="E48" i="36"/>
  <c r="G48" i="36" s="1"/>
  <c r="E49" i="36"/>
  <c r="G49" i="36" s="1"/>
  <c r="E50" i="36"/>
  <c r="G50" i="36" s="1"/>
  <c r="E51" i="36"/>
  <c r="G51" i="36" s="1"/>
  <c r="E52" i="36"/>
  <c r="G52" i="36" s="1"/>
  <c r="E53" i="36"/>
  <c r="G53" i="36" s="1"/>
  <c r="E54" i="36"/>
  <c r="G54" i="36" s="1"/>
  <c r="E55" i="36"/>
  <c r="G55" i="36" s="1"/>
  <c r="E56" i="36"/>
  <c r="G56" i="36" s="1"/>
  <c r="E57" i="36"/>
  <c r="G57" i="36" s="1"/>
  <c r="E58" i="36"/>
  <c r="G58" i="36" s="1"/>
  <c r="E59" i="36"/>
  <c r="G59" i="36" s="1"/>
  <c r="E60" i="36"/>
  <c r="G60" i="36" s="1"/>
  <c r="E61" i="36"/>
  <c r="G61" i="36" s="1"/>
  <c r="E62" i="36"/>
  <c r="G62" i="36" s="1"/>
  <c r="E63" i="36"/>
  <c r="G63" i="36" s="1"/>
  <c r="E64" i="36"/>
  <c r="G64" i="36" s="1"/>
  <c r="E65" i="36"/>
  <c r="G65" i="36" s="1"/>
  <c r="E66" i="36"/>
  <c r="G66" i="36" s="1"/>
  <c r="E67" i="36"/>
  <c r="G67" i="36" s="1"/>
  <c r="E68" i="36"/>
  <c r="G68" i="36" s="1"/>
  <c r="E69" i="36"/>
  <c r="G69" i="36" s="1"/>
  <c r="E70" i="36"/>
  <c r="G70" i="36" s="1"/>
  <c r="E71" i="36"/>
  <c r="G71" i="36" s="1"/>
  <c r="E72" i="36"/>
  <c r="G72" i="36" s="1"/>
  <c r="E73" i="36"/>
  <c r="G73" i="36" s="1"/>
  <c r="E74" i="36"/>
  <c r="G74" i="36" s="1"/>
  <c r="E75" i="36"/>
  <c r="G75" i="36" s="1"/>
  <c r="E76" i="36"/>
  <c r="G76" i="36" s="1"/>
  <c r="E77" i="36"/>
  <c r="G77" i="36" s="1"/>
  <c r="E78" i="36"/>
  <c r="G78" i="36" s="1"/>
  <c r="E79" i="36"/>
  <c r="G79" i="36" s="1"/>
  <c r="E80" i="36"/>
  <c r="G80" i="36" s="1"/>
  <c r="E81" i="36"/>
  <c r="G81" i="36" s="1"/>
  <c r="E82" i="36"/>
  <c r="G82" i="36" s="1"/>
  <c r="E83" i="36"/>
  <c r="G83" i="36" s="1"/>
  <c r="E84" i="36"/>
  <c r="G84" i="36" s="1"/>
  <c r="E85" i="36"/>
  <c r="G85" i="36" s="1"/>
  <c r="E86" i="36"/>
  <c r="G86" i="36" s="1"/>
  <c r="E87" i="36"/>
  <c r="G87" i="36" s="1"/>
  <c r="E88" i="36"/>
  <c r="G88" i="36" s="1"/>
  <c r="E89" i="36"/>
  <c r="G89" i="36" s="1"/>
  <c r="E90" i="36"/>
  <c r="G90" i="36" s="1"/>
  <c r="E91" i="36"/>
  <c r="G91" i="36" s="1"/>
  <c r="E92" i="36"/>
  <c r="G92" i="36" s="1"/>
  <c r="E93" i="36"/>
  <c r="G93" i="36" s="1"/>
  <c r="E94" i="36"/>
  <c r="G94" i="36" s="1"/>
  <c r="E95" i="36"/>
  <c r="G95" i="36" s="1"/>
  <c r="E96" i="36"/>
  <c r="G96" i="36" s="1"/>
  <c r="E97" i="36"/>
  <c r="G97" i="36" s="1"/>
  <c r="E98" i="36"/>
  <c r="G98" i="36" s="1"/>
  <c r="E99" i="36"/>
  <c r="G99" i="36" s="1"/>
  <c r="E100" i="36"/>
  <c r="G100" i="36" s="1"/>
  <c r="E101" i="36"/>
  <c r="G101" i="36" s="1"/>
  <c r="E102" i="36"/>
  <c r="G102" i="36" s="1"/>
  <c r="E103" i="36"/>
  <c r="G103" i="36" s="1"/>
  <c r="E104" i="36"/>
  <c r="G104" i="36" s="1"/>
  <c r="E105" i="36"/>
  <c r="G105" i="36" s="1"/>
  <c r="E106" i="36"/>
  <c r="G106" i="36" s="1"/>
  <c r="E107" i="36"/>
  <c r="G107" i="36" s="1"/>
  <c r="E108" i="36"/>
  <c r="G108" i="36" s="1"/>
  <c r="E109" i="36"/>
  <c r="G109" i="36" s="1"/>
  <c r="E110" i="36"/>
  <c r="G110" i="36" s="1"/>
  <c r="E111" i="36"/>
  <c r="G111" i="36" s="1"/>
  <c r="E112" i="36"/>
  <c r="G112" i="36" s="1"/>
  <c r="E113" i="36"/>
  <c r="G113" i="36" s="1"/>
  <c r="E114" i="36"/>
  <c r="G114" i="36" s="1"/>
  <c r="E115" i="36"/>
  <c r="G115" i="36" s="1"/>
  <c r="E116" i="36"/>
  <c r="G116" i="36" s="1"/>
  <c r="E117" i="36"/>
  <c r="G117" i="36" s="1"/>
  <c r="E118" i="36"/>
  <c r="G118" i="36" s="1"/>
  <c r="E119" i="36"/>
  <c r="G119" i="36" s="1"/>
  <c r="E120" i="36"/>
  <c r="G120" i="36" s="1"/>
  <c r="E121" i="36"/>
  <c r="G121" i="36" s="1"/>
  <c r="E122" i="36"/>
  <c r="G122" i="36" s="1"/>
  <c r="E123" i="36"/>
  <c r="G123" i="36" s="1"/>
  <c r="E124" i="36"/>
  <c r="G124" i="36" s="1"/>
  <c r="E125" i="36"/>
  <c r="G125" i="36" s="1"/>
  <c r="E126" i="36"/>
  <c r="G126" i="36" s="1"/>
  <c r="E127" i="36"/>
  <c r="G127" i="36" s="1"/>
  <c r="E128" i="36"/>
  <c r="G128" i="36" s="1"/>
  <c r="E129" i="36"/>
  <c r="G129" i="36" s="1"/>
  <c r="E130" i="36"/>
  <c r="G130" i="36" s="1"/>
  <c r="E131" i="36"/>
  <c r="G131" i="36" s="1"/>
  <c r="E132" i="36"/>
  <c r="G132" i="36" s="1"/>
  <c r="E133" i="36"/>
  <c r="G133" i="36" s="1"/>
  <c r="E134" i="36"/>
  <c r="G134" i="36" s="1"/>
  <c r="E135" i="36"/>
  <c r="G135" i="36" s="1"/>
  <c r="E136" i="36"/>
  <c r="G136" i="36" s="1"/>
  <c r="E137" i="36"/>
  <c r="G137" i="36" s="1"/>
  <c r="E138" i="36"/>
  <c r="G138" i="36" s="1"/>
  <c r="E139" i="36"/>
  <c r="G139" i="36" s="1"/>
  <c r="E140" i="36"/>
  <c r="G140" i="36" s="1"/>
  <c r="E141" i="36"/>
  <c r="G141" i="36" s="1"/>
  <c r="E142" i="36"/>
  <c r="G142" i="36" s="1"/>
  <c r="E143" i="36"/>
  <c r="G143" i="36" s="1"/>
  <c r="E144" i="36"/>
  <c r="G144" i="36" s="1"/>
  <c r="E145" i="36"/>
  <c r="G145" i="36" s="1"/>
  <c r="E146" i="36"/>
  <c r="G146" i="36" s="1"/>
  <c r="E147" i="36"/>
  <c r="G147" i="36" s="1"/>
  <c r="E148" i="36"/>
  <c r="G148" i="36" s="1"/>
  <c r="E149" i="36"/>
  <c r="G149" i="36" s="1"/>
  <c r="E150" i="36"/>
  <c r="G150" i="36" s="1"/>
  <c r="E151" i="36"/>
  <c r="G151" i="36" s="1"/>
  <c r="E152" i="36"/>
  <c r="G152" i="36" s="1"/>
  <c r="E153" i="36"/>
  <c r="G153" i="36" s="1"/>
  <c r="E154" i="36"/>
  <c r="G154" i="36" s="1"/>
  <c r="E155" i="36"/>
  <c r="G155" i="36" s="1"/>
  <c r="E156" i="36"/>
  <c r="G156" i="36" s="1"/>
  <c r="E157" i="36"/>
  <c r="G157" i="36" s="1"/>
  <c r="E158" i="36"/>
  <c r="G158" i="36" s="1"/>
  <c r="E159" i="36"/>
  <c r="G159" i="36" s="1"/>
  <c r="E160" i="36"/>
  <c r="G160" i="36" s="1"/>
  <c r="E161" i="36"/>
  <c r="G161" i="36" s="1"/>
  <c r="E162" i="36"/>
  <c r="G162" i="36" s="1"/>
  <c r="E163" i="36"/>
  <c r="G163" i="36" s="1"/>
  <c r="E164" i="36"/>
  <c r="G164" i="36" s="1"/>
  <c r="E165" i="36"/>
  <c r="G165" i="36" s="1"/>
  <c r="E166" i="36"/>
  <c r="G166" i="36" s="1"/>
  <c r="E167" i="36"/>
  <c r="G167" i="36" s="1"/>
  <c r="E168" i="36"/>
  <c r="G168" i="36" s="1"/>
  <c r="E169" i="36"/>
  <c r="G169" i="36" s="1"/>
  <c r="E170" i="36"/>
  <c r="G170" i="36" s="1"/>
  <c r="E171" i="36"/>
  <c r="G171" i="36" s="1"/>
  <c r="E172" i="36"/>
  <c r="G172" i="36" s="1"/>
  <c r="E173" i="36"/>
  <c r="G173" i="36" s="1"/>
  <c r="E174" i="36"/>
  <c r="G174" i="36" s="1"/>
  <c r="E175" i="36"/>
  <c r="G175" i="36" s="1"/>
  <c r="E176" i="36"/>
  <c r="G176" i="36" s="1"/>
  <c r="E177" i="36"/>
  <c r="G177" i="36" s="1"/>
  <c r="E178" i="36"/>
  <c r="G178" i="36" s="1"/>
  <c r="E179" i="36"/>
  <c r="G179" i="36" s="1"/>
  <c r="E180" i="36"/>
  <c r="G180" i="36" s="1"/>
  <c r="E181" i="36"/>
  <c r="G181" i="36" s="1"/>
  <c r="E182" i="36"/>
  <c r="G182" i="36" s="1"/>
  <c r="E183" i="36"/>
  <c r="G183" i="36" s="1"/>
  <c r="E184" i="36"/>
  <c r="G184" i="36" s="1"/>
  <c r="E185" i="36"/>
  <c r="G185" i="36" s="1"/>
  <c r="E186" i="36"/>
  <c r="G186" i="36" s="1"/>
  <c r="E187" i="36"/>
  <c r="G187" i="36" s="1"/>
  <c r="E188" i="36"/>
  <c r="G188" i="36" s="1"/>
  <c r="E189" i="36"/>
  <c r="G189" i="36" s="1"/>
  <c r="E190" i="36"/>
  <c r="G190" i="36" s="1"/>
  <c r="E191" i="36"/>
  <c r="G191" i="36" s="1"/>
  <c r="E192" i="36"/>
  <c r="G192" i="36" s="1"/>
  <c r="E193" i="36"/>
  <c r="G193" i="36" s="1"/>
  <c r="E194" i="36"/>
  <c r="G194" i="36" s="1"/>
  <c r="E195" i="36"/>
  <c r="G195" i="36" s="1"/>
  <c r="E196" i="36"/>
  <c r="G196" i="36" s="1"/>
  <c r="E197" i="36"/>
  <c r="G197" i="36" s="1"/>
  <c r="E198" i="36"/>
  <c r="G198" i="36" s="1"/>
  <c r="E199" i="36"/>
  <c r="G199" i="36" s="1"/>
  <c r="E200" i="36"/>
  <c r="G200" i="36" s="1"/>
  <c r="E201" i="36"/>
  <c r="G201" i="36" s="1"/>
  <c r="E202" i="36"/>
  <c r="G202" i="36" s="1"/>
  <c r="E203" i="36"/>
  <c r="G203" i="36" s="1"/>
  <c r="E204" i="36"/>
  <c r="G204" i="36" s="1"/>
  <c r="E205" i="36"/>
  <c r="G205" i="36" s="1"/>
  <c r="E206" i="36"/>
  <c r="G206" i="36" s="1"/>
  <c r="E207" i="36"/>
  <c r="G207" i="36" s="1"/>
  <c r="E208" i="36"/>
  <c r="G208" i="36" s="1"/>
  <c r="E209" i="36"/>
  <c r="G209" i="36" s="1"/>
  <c r="E210" i="36"/>
  <c r="G210" i="36" s="1"/>
  <c r="E211" i="36"/>
  <c r="G211" i="36" s="1"/>
  <c r="E212" i="36"/>
  <c r="G212" i="36" s="1"/>
  <c r="E213" i="36"/>
  <c r="G213" i="36" s="1"/>
  <c r="E214" i="36"/>
  <c r="G214" i="36" s="1"/>
  <c r="E215" i="36"/>
  <c r="G215" i="36" s="1"/>
  <c r="E216" i="36"/>
  <c r="G216" i="36" s="1"/>
  <c r="E217" i="36"/>
  <c r="G217" i="36" s="1"/>
  <c r="E218" i="36"/>
  <c r="G218" i="36" s="1"/>
  <c r="E219" i="36"/>
  <c r="G219" i="36" s="1"/>
  <c r="E220" i="36"/>
  <c r="G220" i="36" s="1"/>
  <c r="E221" i="36"/>
  <c r="G221" i="36" s="1"/>
  <c r="E222" i="36"/>
  <c r="G222" i="36" s="1"/>
  <c r="E223" i="36"/>
  <c r="G223" i="36" s="1"/>
  <c r="E224" i="36"/>
  <c r="G224" i="36" s="1"/>
  <c r="E225" i="36"/>
  <c r="G225" i="36" s="1"/>
  <c r="C226" i="36"/>
  <c r="F179" i="34"/>
  <c r="E155" i="34"/>
  <c r="F127" i="34"/>
  <c r="F16" i="34"/>
  <c r="F76" i="34"/>
  <c r="F52" i="34"/>
  <c r="F98" i="34"/>
  <c r="G226" i="36" l="1"/>
  <c r="E226" i="36"/>
  <c r="F74" i="34"/>
  <c r="F155" i="35" l="1"/>
  <c r="F122" i="34"/>
  <c r="F48" i="34"/>
  <c r="F8" i="33"/>
  <c r="F120" i="34"/>
  <c r="F20" i="34"/>
  <c r="F149" i="34"/>
  <c r="F174" i="34" l="1"/>
  <c r="F197" i="34"/>
  <c r="F198" i="35"/>
  <c r="F131" i="34"/>
  <c r="F206" i="35" l="1"/>
  <c r="F51" i="34" l="1"/>
  <c r="F26" i="34"/>
  <c r="F104" i="34"/>
  <c r="F140" i="34"/>
  <c r="F138" i="34"/>
  <c r="F100" i="34"/>
  <c r="F222" i="33"/>
  <c r="F63" i="34"/>
  <c r="F172" i="34" l="1"/>
  <c r="F17" i="34" l="1"/>
  <c r="F81" i="34"/>
  <c r="F160" i="34" l="1"/>
  <c r="F132" i="34"/>
  <c r="F80" i="34"/>
  <c r="F165" i="33"/>
  <c r="F136" i="34"/>
  <c r="F163" i="34"/>
  <c r="F188" i="34"/>
  <c r="F59" i="34"/>
  <c r="F53" i="34"/>
  <c r="F21" i="35"/>
  <c r="F206" i="34" l="1"/>
  <c r="F176" i="34"/>
  <c r="F117" i="35"/>
  <c r="F30" i="34"/>
  <c r="F93" i="34"/>
  <c r="F55" i="34"/>
  <c r="F112" i="34"/>
  <c r="F32" i="34"/>
  <c r="F112" i="33"/>
  <c r="F146" i="34" l="1"/>
  <c r="F57" i="34"/>
  <c r="F77" i="33"/>
  <c r="F140" i="33"/>
  <c r="F108" i="34"/>
  <c r="F217" i="33"/>
  <c r="F144" i="34"/>
  <c r="F24" i="34"/>
  <c r="F10" i="35"/>
  <c r="F95" i="34"/>
  <c r="F199" i="34"/>
  <c r="F92" i="34"/>
  <c r="F135" i="34" l="1"/>
  <c r="F9" i="34"/>
  <c r="F123" i="34"/>
  <c r="F150" i="34"/>
  <c r="F50" i="34"/>
  <c r="F34" i="34"/>
  <c r="F110" i="33"/>
  <c r="F35" i="35"/>
  <c r="F35" i="33"/>
  <c r="F39" i="34"/>
  <c r="F134" i="34"/>
  <c r="F14" i="34"/>
  <c r="F114" i="34"/>
  <c r="F180" i="34"/>
  <c r="F200" i="34"/>
  <c r="F220" i="34"/>
  <c r="F213" i="34"/>
  <c r="F205" i="34"/>
  <c r="F154" i="34"/>
  <c r="F78" i="34"/>
  <c r="F37" i="34"/>
  <c r="F31" i="34"/>
  <c r="F201" i="34"/>
  <c r="F79" i="34"/>
  <c r="F125" i="34" l="1"/>
  <c r="F96" i="34"/>
  <c r="F121" i="34"/>
  <c r="F86" i="34"/>
  <c r="F68" i="34" l="1"/>
  <c r="F128" i="34"/>
  <c r="F181" i="34"/>
  <c r="F193" i="34"/>
  <c r="F173" i="34"/>
  <c r="F209" i="34"/>
  <c r="F71" i="34"/>
  <c r="F54" i="34"/>
  <c r="F186" i="34"/>
  <c r="F27" i="34"/>
  <c r="F207" i="34"/>
  <c r="F84" i="34"/>
  <c r="F28" i="34" l="1"/>
  <c r="F189" i="34"/>
  <c r="F13" i="34"/>
  <c r="F170" i="34"/>
  <c r="F118" i="34"/>
  <c r="F88" i="35"/>
  <c r="F43" i="34"/>
  <c r="F178" i="34"/>
  <c r="F89" i="34"/>
  <c r="F212" i="34"/>
  <c r="F218" i="34"/>
  <c r="F58" i="34"/>
  <c r="F182" i="34"/>
  <c r="F73" i="34"/>
  <c r="F211" i="34"/>
  <c r="F110" i="34"/>
  <c r="F208" i="34"/>
  <c r="F45" i="34"/>
  <c r="F191" i="34"/>
  <c r="F33" i="34"/>
  <c r="F124" i="34"/>
  <c r="F184" i="34"/>
  <c r="F72" i="34"/>
  <c r="F61" i="34" l="1"/>
  <c r="F162" i="35"/>
  <c r="F162" i="33"/>
  <c r="F4" i="33"/>
  <c r="F134" i="35"/>
  <c r="F87" i="35"/>
  <c r="F6" i="35"/>
  <c r="F133" i="34"/>
  <c r="F87" i="34"/>
  <c r="F218" i="33"/>
  <c r="F178" i="33" l="1"/>
  <c r="F207" i="33"/>
  <c r="F164" i="33"/>
  <c r="F160" i="33"/>
  <c r="F45" i="33" l="1"/>
  <c r="F56" i="33"/>
  <c r="F198" i="33"/>
  <c r="F95" i="33"/>
  <c r="F121" i="33"/>
  <c r="F102" i="33" l="1"/>
  <c r="F143" i="33"/>
  <c r="F49" i="34"/>
  <c r="F167" i="34"/>
  <c r="F70" i="34"/>
  <c r="F40" i="35"/>
  <c r="F40" i="34"/>
  <c r="F138" i="35" l="1"/>
  <c r="F104" i="35"/>
  <c r="F9" i="33" l="1"/>
  <c r="F136" i="33"/>
  <c r="F27" i="33"/>
  <c r="F32" i="33"/>
  <c r="F18" i="34"/>
  <c r="F76" i="33" l="1"/>
  <c r="F155" i="33"/>
  <c r="F181" i="33" l="1"/>
  <c r="F128" i="33" l="1"/>
  <c r="F180" i="33"/>
  <c r="F16" i="33"/>
  <c r="F10" i="34"/>
  <c r="F117" i="33" l="1"/>
  <c r="F30" i="33"/>
  <c r="F177" i="33"/>
  <c r="F26" i="33"/>
  <c r="F65" i="34" l="1"/>
  <c r="F179" i="33" l="1"/>
  <c r="F108" i="33"/>
  <c r="F42" i="33"/>
  <c r="F157" i="33"/>
  <c r="F63" i="33"/>
  <c r="F78" i="33"/>
  <c r="E3" i="35" l="1"/>
  <c r="G3" i="35"/>
  <c r="E4" i="35"/>
  <c r="G4" i="35" s="1"/>
  <c r="E5" i="35"/>
  <c r="G5" i="35" s="1"/>
  <c r="E6" i="35"/>
  <c r="G6" i="35"/>
  <c r="E7" i="35"/>
  <c r="G7" i="35"/>
  <c r="E8" i="35"/>
  <c r="G8" i="35"/>
  <c r="E9" i="35"/>
  <c r="G9" i="35"/>
  <c r="E10" i="35"/>
  <c r="E11" i="35"/>
  <c r="G11" i="35" s="1"/>
  <c r="E12" i="35"/>
  <c r="G12" i="35"/>
  <c r="E13" i="35"/>
  <c r="G13" i="35" s="1"/>
  <c r="E14" i="35"/>
  <c r="G14" i="35"/>
  <c r="E15" i="35"/>
  <c r="G15" i="35" s="1"/>
  <c r="E16" i="35"/>
  <c r="G16" i="35"/>
  <c r="E17" i="35"/>
  <c r="G17" i="35"/>
  <c r="E18" i="35"/>
  <c r="G18" i="35" s="1"/>
  <c r="E19" i="35"/>
  <c r="G19" i="35"/>
  <c r="E20" i="35"/>
  <c r="G20" i="35" s="1"/>
  <c r="E21" i="35"/>
  <c r="G21" i="35"/>
  <c r="E22" i="35"/>
  <c r="G22" i="35" s="1"/>
  <c r="E23" i="35"/>
  <c r="G23" i="35" s="1"/>
  <c r="E24" i="35"/>
  <c r="G24" i="35"/>
  <c r="E25" i="35"/>
  <c r="G25" i="35"/>
  <c r="E26" i="35"/>
  <c r="G26" i="35" s="1"/>
  <c r="E27" i="35"/>
  <c r="G27" i="35"/>
  <c r="E28" i="35"/>
  <c r="G28" i="35" s="1"/>
  <c r="E29" i="35"/>
  <c r="G29" i="35"/>
  <c r="E30" i="35"/>
  <c r="G30" i="35"/>
  <c r="E31" i="35"/>
  <c r="G31" i="35" s="1"/>
  <c r="E32" i="35"/>
  <c r="G32" i="35" s="1"/>
  <c r="E33" i="35"/>
  <c r="G33" i="35"/>
  <c r="E34" i="35"/>
  <c r="G34" i="35" s="1"/>
  <c r="E35" i="35"/>
  <c r="G35" i="35"/>
  <c r="E36" i="35"/>
  <c r="G36" i="35" s="1"/>
  <c r="E37" i="35"/>
  <c r="G37" i="35"/>
  <c r="E38" i="35"/>
  <c r="G38" i="35"/>
  <c r="E39" i="35"/>
  <c r="G39" i="35" s="1"/>
  <c r="E40" i="35"/>
  <c r="G40" i="35"/>
  <c r="E41" i="35"/>
  <c r="G41" i="35" s="1"/>
  <c r="E42" i="35"/>
  <c r="G42" i="35" s="1"/>
  <c r="E43" i="35"/>
  <c r="G43" i="35"/>
  <c r="E44" i="35"/>
  <c r="G44" i="35" s="1"/>
  <c r="E45" i="35"/>
  <c r="G45" i="35"/>
  <c r="E46" i="35"/>
  <c r="G46" i="35"/>
  <c r="E47" i="35"/>
  <c r="G47" i="35" s="1"/>
  <c r="E48" i="35"/>
  <c r="G48" i="35" s="1"/>
  <c r="E49" i="35"/>
  <c r="G49" i="35" s="1"/>
  <c r="E50" i="35"/>
  <c r="G50" i="35" s="1"/>
  <c r="E51" i="35"/>
  <c r="G51" i="35" s="1"/>
  <c r="E52" i="35"/>
  <c r="G52" i="35" s="1"/>
  <c r="E53" i="35"/>
  <c r="G53" i="35"/>
  <c r="E54" i="35"/>
  <c r="G54" i="35" s="1"/>
  <c r="E55" i="35"/>
  <c r="G55" i="35" s="1"/>
  <c r="E56" i="35"/>
  <c r="G56" i="35" s="1"/>
  <c r="E57" i="35"/>
  <c r="G57" i="35"/>
  <c r="E58" i="35"/>
  <c r="G58" i="35" s="1"/>
  <c r="E59" i="35"/>
  <c r="G59" i="35"/>
  <c r="E60" i="35"/>
  <c r="G60" i="35"/>
  <c r="E61" i="35"/>
  <c r="G61" i="35" s="1"/>
  <c r="E62" i="35"/>
  <c r="G62" i="35"/>
  <c r="E63" i="35"/>
  <c r="G63" i="35" s="1"/>
  <c r="E64" i="35"/>
  <c r="G64" i="35" s="1"/>
  <c r="E65" i="35"/>
  <c r="F65" i="35" s="1"/>
  <c r="G65" i="35"/>
  <c r="E66" i="35"/>
  <c r="G66" i="35" s="1"/>
  <c r="E67" i="35"/>
  <c r="G67" i="35"/>
  <c r="E68" i="35"/>
  <c r="G68" i="35" s="1"/>
  <c r="E69" i="35"/>
  <c r="G69" i="35"/>
  <c r="E70" i="35"/>
  <c r="G70" i="35"/>
  <c r="E71" i="35"/>
  <c r="G71" i="35" s="1"/>
  <c r="E72" i="35"/>
  <c r="G72" i="35" s="1"/>
  <c r="E73" i="35"/>
  <c r="G73" i="35" s="1"/>
  <c r="E74" i="35"/>
  <c r="G74" i="35" s="1"/>
  <c r="E75" i="35"/>
  <c r="G75" i="35" s="1"/>
  <c r="E76" i="35"/>
  <c r="G76" i="35" s="1"/>
  <c r="E77" i="35"/>
  <c r="G77" i="35" s="1"/>
  <c r="E78" i="35"/>
  <c r="G78" i="35" s="1"/>
  <c r="E79" i="35"/>
  <c r="G79" i="35" s="1"/>
  <c r="E80" i="35"/>
  <c r="G80" i="35"/>
  <c r="E81" i="35"/>
  <c r="G81" i="35"/>
  <c r="E82" i="35"/>
  <c r="G82" i="35" s="1"/>
  <c r="E83" i="35"/>
  <c r="G83" i="35" s="1"/>
  <c r="E84" i="35"/>
  <c r="G84" i="35" s="1"/>
  <c r="E85" i="35"/>
  <c r="G85" i="35" s="1"/>
  <c r="E86" i="35"/>
  <c r="G86" i="35" s="1"/>
  <c r="E87" i="35"/>
  <c r="G87" i="35"/>
  <c r="E88" i="35"/>
  <c r="G88" i="35" s="1"/>
  <c r="E89" i="35"/>
  <c r="G89" i="35"/>
  <c r="E90" i="35"/>
  <c r="G90" i="35" s="1"/>
  <c r="E91" i="35"/>
  <c r="G91" i="35"/>
  <c r="E92" i="35"/>
  <c r="G92" i="35"/>
  <c r="E93" i="35"/>
  <c r="G93" i="35" s="1"/>
  <c r="E94" i="35"/>
  <c r="G94" i="35" s="1"/>
  <c r="E95" i="35"/>
  <c r="G95" i="35"/>
  <c r="E96" i="35"/>
  <c r="G96" i="35" s="1"/>
  <c r="E97" i="35"/>
  <c r="G97" i="35" s="1"/>
  <c r="E98" i="35"/>
  <c r="G98" i="35" s="1"/>
  <c r="E99" i="35"/>
  <c r="G99" i="35" s="1"/>
  <c r="E100" i="35"/>
  <c r="G100" i="35" s="1"/>
  <c r="E101" i="35"/>
  <c r="G101" i="35"/>
  <c r="E102" i="35"/>
  <c r="G102" i="35" s="1"/>
  <c r="E103" i="35"/>
  <c r="G103" i="35"/>
  <c r="E104" i="35"/>
  <c r="G104" i="35" s="1"/>
  <c r="E105" i="35"/>
  <c r="G105" i="35" s="1"/>
  <c r="E106" i="35"/>
  <c r="G106" i="35" s="1"/>
  <c r="E107" i="35"/>
  <c r="G107" i="35"/>
  <c r="E108" i="35"/>
  <c r="G108" i="35" s="1"/>
  <c r="E109" i="35"/>
  <c r="G109" i="35" s="1"/>
  <c r="E110" i="35"/>
  <c r="G110" i="35" s="1"/>
  <c r="E111" i="35"/>
  <c r="G111" i="35" s="1"/>
  <c r="E112" i="35"/>
  <c r="G112" i="35" s="1"/>
  <c r="E113" i="35"/>
  <c r="G113" i="35"/>
  <c r="E114" i="35"/>
  <c r="G114" i="35" s="1"/>
  <c r="E115" i="35"/>
  <c r="G115" i="35" s="1"/>
  <c r="E116" i="35"/>
  <c r="G116" i="35"/>
  <c r="E117" i="35"/>
  <c r="G117" i="35" s="1"/>
  <c r="E118" i="35"/>
  <c r="G118" i="35" s="1"/>
  <c r="E119" i="35"/>
  <c r="G119" i="35" s="1"/>
  <c r="E120" i="35"/>
  <c r="G120" i="35" s="1"/>
  <c r="E121" i="35"/>
  <c r="G121" i="35" s="1"/>
  <c r="E122" i="35"/>
  <c r="G122" i="35" s="1"/>
  <c r="E123" i="35"/>
  <c r="G123" i="35" s="1"/>
  <c r="E124" i="35"/>
  <c r="G124" i="35" s="1"/>
  <c r="E125" i="35"/>
  <c r="G125" i="35"/>
  <c r="E126" i="35"/>
  <c r="G126" i="35"/>
  <c r="E127" i="35"/>
  <c r="G127" i="35" s="1"/>
  <c r="E128" i="35"/>
  <c r="G128" i="35" s="1"/>
  <c r="E129" i="35"/>
  <c r="G129" i="35" s="1"/>
  <c r="E130" i="35"/>
  <c r="G130" i="35" s="1"/>
  <c r="E131" i="35"/>
  <c r="G131" i="35" s="1"/>
  <c r="E132" i="35"/>
  <c r="G132" i="35" s="1"/>
  <c r="E133" i="35"/>
  <c r="G133" i="35" s="1"/>
  <c r="E134" i="35"/>
  <c r="G134" i="35" s="1"/>
  <c r="E135" i="35"/>
  <c r="E136" i="35"/>
  <c r="G136" i="35" s="1"/>
  <c r="E137" i="35"/>
  <c r="G137" i="35" s="1"/>
  <c r="E138" i="35"/>
  <c r="G138" i="35" s="1"/>
  <c r="E139" i="35"/>
  <c r="G139" i="35"/>
  <c r="E140" i="35"/>
  <c r="G140" i="35"/>
  <c r="E141" i="35"/>
  <c r="G141" i="35" s="1"/>
  <c r="E142" i="35"/>
  <c r="G142" i="35" s="1"/>
  <c r="E143" i="35"/>
  <c r="G143" i="35"/>
  <c r="E144" i="35"/>
  <c r="G144" i="35" s="1"/>
  <c r="E145" i="35"/>
  <c r="G145" i="35" s="1"/>
  <c r="E146" i="35"/>
  <c r="G146" i="35" s="1"/>
  <c r="E147" i="35"/>
  <c r="G147" i="35" s="1"/>
  <c r="E148" i="35"/>
  <c r="G148" i="35" s="1"/>
  <c r="E149" i="35"/>
  <c r="G149" i="35" s="1"/>
  <c r="E150" i="35"/>
  <c r="G150" i="35" s="1"/>
  <c r="E151" i="35"/>
  <c r="G151" i="35" s="1"/>
  <c r="E152" i="35"/>
  <c r="G152" i="35" s="1"/>
  <c r="E153" i="35"/>
  <c r="G153" i="35"/>
  <c r="E154" i="35"/>
  <c r="G154" i="35" s="1"/>
  <c r="E155" i="35"/>
  <c r="G155" i="35" s="1"/>
  <c r="E156" i="35"/>
  <c r="G156" i="35" s="1"/>
  <c r="E157" i="35"/>
  <c r="G157" i="35" s="1"/>
  <c r="E158" i="35"/>
  <c r="G158" i="35" s="1"/>
  <c r="E159" i="35"/>
  <c r="G159" i="35" s="1"/>
  <c r="E160" i="35"/>
  <c r="G160" i="35" s="1"/>
  <c r="E161" i="35"/>
  <c r="G161" i="35"/>
  <c r="E162" i="35"/>
  <c r="G162" i="35" s="1"/>
  <c r="E163" i="35"/>
  <c r="G163" i="35"/>
  <c r="E164" i="35"/>
  <c r="F164" i="35" s="1"/>
  <c r="G164" i="35"/>
  <c r="E165" i="35"/>
  <c r="G165" i="35" s="1"/>
  <c r="E166" i="35"/>
  <c r="G166" i="35" s="1"/>
  <c r="E167" i="35"/>
  <c r="G167" i="35" s="1"/>
  <c r="E168" i="35"/>
  <c r="G168" i="35" s="1"/>
  <c r="E169" i="35"/>
  <c r="G169" i="35" s="1"/>
  <c r="E170" i="35"/>
  <c r="G170" i="35" s="1"/>
  <c r="E171" i="35"/>
  <c r="G171" i="35" s="1"/>
  <c r="E172" i="35"/>
  <c r="G172" i="35"/>
  <c r="E173" i="35"/>
  <c r="G173" i="35" s="1"/>
  <c r="E174" i="35"/>
  <c r="G174" i="35"/>
  <c r="E175" i="35"/>
  <c r="G175" i="35"/>
  <c r="E176" i="35"/>
  <c r="G176" i="35" s="1"/>
  <c r="E177" i="35"/>
  <c r="G177" i="35" s="1"/>
  <c r="E178" i="35"/>
  <c r="G178" i="35" s="1"/>
  <c r="E179" i="35"/>
  <c r="G179" i="35" s="1"/>
  <c r="E180" i="35"/>
  <c r="G180" i="35" s="1"/>
  <c r="E181" i="35"/>
  <c r="G181" i="35"/>
  <c r="E182" i="35"/>
  <c r="G182" i="35" s="1"/>
  <c r="E183" i="35"/>
  <c r="G183" i="35"/>
  <c r="E184" i="35"/>
  <c r="G184" i="35"/>
  <c r="E185" i="35"/>
  <c r="G185" i="35"/>
  <c r="E186" i="35"/>
  <c r="G186" i="35" s="1"/>
  <c r="E187" i="35"/>
  <c r="G187" i="35" s="1"/>
  <c r="E188" i="35"/>
  <c r="G188" i="35"/>
  <c r="E189" i="35"/>
  <c r="G189" i="35" s="1"/>
  <c r="E190" i="35"/>
  <c r="G190" i="35" s="1"/>
  <c r="E191" i="35"/>
  <c r="G191" i="35" s="1"/>
  <c r="E192" i="35"/>
  <c r="G192" i="35"/>
  <c r="E193" i="35"/>
  <c r="G193" i="35"/>
  <c r="E194" i="35"/>
  <c r="G194" i="35" s="1"/>
  <c r="E195" i="35"/>
  <c r="G195" i="35"/>
  <c r="E196" i="35"/>
  <c r="G196" i="35"/>
  <c r="E197" i="35"/>
  <c r="G197" i="35" s="1"/>
  <c r="E198" i="35"/>
  <c r="G198" i="35" s="1"/>
  <c r="E199" i="35"/>
  <c r="G199" i="35" s="1"/>
  <c r="E200" i="35"/>
  <c r="G200" i="35" s="1"/>
  <c r="E201" i="35"/>
  <c r="G201" i="35"/>
  <c r="E202" i="35"/>
  <c r="G202" i="35" s="1"/>
  <c r="E203" i="35"/>
  <c r="G203" i="35" s="1"/>
  <c r="E204" i="35"/>
  <c r="G204" i="35" s="1"/>
  <c r="E205" i="35"/>
  <c r="G205" i="35"/>
  <c r="E206" i="35"/>
  <c r="G206" i="35" s="1"/>
  <c r="E207" i="35"/>
  <c r="G207" i="35" s="1"/>
  <c r="E208" i="35"/>
  <c r="G208" i="35" s="1"/>
  <c r="E209" i="35"/>
  <c r="G209" i="35" s="1"/>
  <c r="E210" i="35"/>
  <c r="G210" i="35" s="1"/>
  <c r="E211" i="35"/>
  <c r="G211" i="35" s="1"/>
  <c r="E212" i="35"/>
  <c r="G212" i="35"/>
  <c r="E213" i="35"/>
  <c r="G213" i="35" s="1"/>
  <c r="E214" i="35"/>
  <c r="G214" i="35"/>
  <c r="E215" i="35"/>
  <c r="G215" i="35" s="1"/>
  <c r="E216" i="35"/>
  <c r="G216" i="35" s="1"/>
  <c r="E217" i="35"/>
  <c r="G217" i="35"/>
  <c r="E218" i="35"/>
  <c r="G218" i="35" s="1"/>
  <c r="E219" i="35"/>
  <c r="G219" i="35" s="1"/>
  <c r="E220" i="35"/>
  <c r="G220" i="35" s="1"/>
  <c r="E221" i="35"/>
  <c r="G221" i="35" s="1"/>
  <c r="E222" i="35"/>
  <c r="G222" i="35" s="1"/>
  <c r="E223" i="35"/>
  <c r="G223" i="35" s="1"/>
  <c r="E224" i="35"/>
  <c r="G224" i="35" s="1"/>
  <c r="E225" i="35"/>
  <c r="G225" i="35" s="1"/>
  <c r="E226" i="35"/>
  <c r="G226" i="35" s="1"/>
  <c r="C227" i="35"/>
  <c r="E227" i="35" l="1"/>
  <c r="F135" i="35"/>
  <c r="F227" i="35" s="1"/>
  <c r="G10" i="35"/>
  <c r="G135" i="35" l="1"/>
  <c r="G227" i="35" s="1"/>
  <c r="F148" i="34"/>
  <c r="F149" i="33"/>
  <c r="F171" i="33"/>
  <c r="F126" i="33"/>
  <c r="F161" i="33"/>
  <c r="F119" i="33"/>
  <c r="F88" i="33"/>
  <c r="F43" i="33"/>
  <c r="F175" i="33"/>
  <c r="F54" i="33"/>
  <c r="F168" i="33" l="1"/>
  <c r="F40" i="33"/>
  <c r="F70" i="33"/>
  <c r="F98" i="33"/>
  <c r="F74" i="33"/>
  <c r="F189" i="33"/>
  <c r="F59" i="33"/>
  <c r="F174" i="33"/>
  <c r="F190" i="33"/>
  <c r="F84" i="33"/>
  <c r="F28" i="33"/>
  <c r="F13" i="33"/>
  <c r="F123" i="33"/>
  <c r="F195" i="33"/>
  <c r="F6" i="34"/>
  <c r="F21" i="34"/>
  <c r="F206" i="33"/>
  <c r="F192" i="33"/>
  <c r="F131" i="33"/>
  <c r="F33" i="33"/>
  <c r="F125" i="33"/>
  <c r="F87" i="33"/>
  <c r="F55" i="33"/>
  <c r="F109" i="33" l="1"/>
  <c r="F39" i="33"/>
  <c r="F135" i="33" l="1"/>
  <c r="F124" i="33"/>
  <c r="F183" i="33"/>
  <c r="F73" i="33"/>
  <c r="F187" i="33"/>
  <c r="F93" i="33" l="1"/>
  <c r="F151" i="33"/>
  <c r="F50" i="33"/>
  <c r="F202" i="33" l="1"/>
  <c r="F79" i="33"/>
  <c r="F103" i="34" l="1"/>
  <c r="F107" i="33"/>
  <c r="F49" i="33"/>
  <c r="F18" i="33" l="1"/>
  <c r="F158" i="33" l="1"/>
  <c r="F182" i="33"/>
  <c r="F65" i="33" l="1"/>
  <c r="G48" i="34" l="1"/>
  <c r="G49" i="34"/>
  <c r="G50" i="34"/>
  <c r="G96" i="34"/>
  <c r="G97" i="34"/>
  <c r="G98" i="34"/>
  <c r="G144" i="34"/>
  <c r="G145" i="34"/>
  <c r="G146" i="34"/>
  <c r="G155" i="34"/>
  <c r="G193" i="34"/>
  <c r="G194" i="34"/>
  <c r="E3" i="34"/>
  <c r="G3" i="34" s="1"/>
  <c r="E4" i="34"/>
  <c r="G4" i="34" s="1"/>
  <c r="E5" i="34"/>
  <c r="G5" i="34" s="1"/>
  <c r="E6" i="34"/>
  <c r="G6" i="34" s="1"/>
  <c r="E7" i="34"/>
  <c r="G7" i="34" s="1"/>
  <c r="E8" i="34"/>
  <c r="G8" i="34" s="1"/>
  <c r="E9" i="34"/>
  <c r="G9" i="34" s="1"/>
  <c r="E10" i="34"/>
  <c r="G10" i="34" s="1"/>
  <c r="E11" i="34"/>
  <c r="G11" i="34" s="1"/>
  <c r="E12" i="34"/>
  <c r="G12" i="34" s="1"/>
  <c r="E13" i="34"/>
  <c r="G13" i="34" s="1"/>
  <c r="E14" i="34"/>
  <c r="G14" i="34" s="1"/>
  <c r="E15" i="34"/>
  <c r="G15" i="34" s="1"/>
  <c r="E16" i="34"/>
  <c r="G16" i="34" s="1"/>
  <c r="E17" i="34"/>
  <c r="G17" i="34" s="1"/>
  <c r="E18" i="34"/>
  <c r="G18" i="34" s="1"/>
  <c r="E19" i="34"/>
  <c r="G19" i="34" s="1"/>
  <c r="E20" i="34"/>
  <c r="G20" i="34" s="1"/>
  <c r="E21" i="34"/>
  <c r="G21" i="34" s="1"/>
  <c r="E22" i="34"/>
  <c r="G22" i="34" s="1"/>
  <c r="E23" i="34"/>
  <c r="G23" i="34" s="1"/>
  <c r="E24" i="34"/>
  <c r="G24" i="34" s="1"/>
  <c r="E25" i="34"/>
  <c r="G25" i="34" s="1"/>
  <c r="E26" i="34"/>
  <c r="G26" i="34" s="1"/>
  <c r="E27" i="34"/>
  <c r="G27" i="34" s="1"/>
  <c r="E28" i="34"/>
  <c r="G28" i="34" s="1"/>
  <c r="E29" i="34"/>
  <c r="G29" i="34" s="1"/>
  <c r="E30" i="34"/>
  <c r="G30" i="34" s="1"/>
  <c r="E31" i="34"/>
  <c r="G31" i="34" s="1"/>
  <c r="E32" i="34"/>
  <c r="G32" i="34" s="1"/>
  <c r="E33" i="34"/>
  <c r="G33" i="34" s="1"/>
  <c r="E34" i="34"/>
  <c r="G34" i="34" s="1"/>
  <c r="E35" i="34"/>
  <c r="F35" i="34" s="1"/>
  <c r="E36" i="34"/>
  <c r="G36" i="34" s="1"/>
  <c r="E37" i="34"/>
  <c r="G37" i="34" s="1"/>
  <c r="E38" i="34"/>
  <c r="G38" i="34" s="1"/>
  <c r="E39" i="34"/>
  <c r="G39" i="34" s="1"/>
  <c r="E40" i="34"/>
  <c r="G40" i="34" s="1"/>
  <c r="E41" i="34"/>
  <c r="F41" i="34" s="1"/>
  <c r="E42" i="34"/>
  <c r="G42" i="34" s="1"/>
  <c r="E43" i="34"/>
  <c r="G43" i="34" s="1"/>
  <c r="E44" i="34"/>
  <c r="G44" i="34" s="1"/>
  <c r="E45" i="34"/>
  <c r="G45" i="34" s="1"/>
  <c r="E46" i="34"/>
  <c r="G46" i="34" s="1"/>
  <c r="E47" i="34"/>
  <c r="G47" i="34" s="1"/>
  <c r="E48" i="34"/>
  <c r="E49" i="34"/>
  <c r="E50" i="34"/>
  <c r="E51" i="34"/>
  <c r="G51" i="34" s="1"/>
  <c r="E52" i="34"/>
  <c r="G52" i="34" s="1"/>
  <c r="E53" i="34"/>
  <c r="G53" i="34" s="1"/>
  <c r="E54" i="34"/>
  <c r="G54" i="34" s="1"/>
  <c r="E55" i="34"/>
  <c r="G55" i="34" s="1"/>
  <c r="E56" i="34"/>
  <c r="G56" i="34" s="1"/>
  <c r="E57" i="34"/>
  <c r="G57" i="34" s="1"/>
  <c r="E58" i="34"/>
  <c r="G58" i="34" s="1"/>
  <c r="E59" i="34"/>
  <c r="G59" i="34" s="1"/>
  <c r="E60" i="34"/>
  <c r="G60" i="34" s="1"/>
  <c r="E61" i="34"/>
  <c r="G61" i="34" s="1"/>
  <c r="E62" i="34"/>
  <c r="G62" i="34" s="1"/>
  <c r="E63" i="34"/>
  <c r="G63" i="34" s="1"/>
  <c r="E64" i="34"/>
  <c r="G64" i="34" s="1"/>
  <c r="E65" i="34"/>
  <c r="G65" i="34" s="1"/>
  <c r="E66" i="34"/>
  <c r="G66" i="34" s="1"/>
  <c r="E67" i="34"/>
  <c r="G67" i="34" s="1"/>
  <c r="E68" i="34"/>
  <c r="G68" i="34" s="1"/>
  <c r="E69" i="34"/>
  <c r="G69" i="34" s="1"/>
  <c r="E70" i="34"/>
  <c r="G70" i="34" s="1"/>
  <c r="E71" i="34"/>
  <c r="G71" i="34" s="1"/>
  <c r="E72" i="34"/>
  <c r="G72" i="34" s="1"/>
  <c r="E73" i="34"/>
  <c r="G73" i="34" s="1"/>
  <c r="E74" i="34"/>
  <c r="G74" i="34" s="1"/>
  <c r="E75" i="34"/>
  <c r="G75" i="34" s="1"/>
  <c r="E76" i="34"/>
  <c r="G76" i="34" s="1"/>
  <c r="E77" i="34"/>
  <c r="G77" i="34" s="1"/>
  <c r="E78" i="34"/>
  <c r="G78" i="34" s="1"/>
  <c r="E79" i="34"/>
  <c r="G79" i="34" s="1"/>
  <c r="E80" i="34"/>
  <c r="G80" i="34" s="1"/>
  <c r="E81" i="34"/>
  <c r="G81" i="34" s="1"/>
  <c r="E82" i="34"/>
  <c r="G82" i="34" s="1"/>
  <c r="E83" i="34"/>
  <c r="G83" i="34" s="1"/>
  <c r="E84" i="34"/>
  <c r="G84" i="34" s="1"/>
  <c r="E85" i="34"/>
  <c r="G85" i="34" s="1"/>
  <c r="E86" i="34"/>
  <c r="G86" i="34" s="1"/>
  <c r="E87" i="34"/>
  <c r="G87" i="34" s="1"/>
  <c r="E88" i="34"/>
  <c r="F88" i="34" s="1"/>
  <c r="E89" i="34"/>
  <c r="G89" i="34" s="1"/>
  <c r="E90" i="34"/>
  <c r="F90" i="34" s="1"/>
  <c r="E91" i="34"/>
  <c r="G91" i="34" s="1"/>
  <c r="E92" i="34"/>
  <c r="G92" i="34" s="1"/>
  <c r="E93" i="34"/>
  <c r="G93" i="34" s="1"/>
  <c r="E94" i="34"/>
  <c r="G94" i="34" s="1"/>
  <c r="E95" i="34"/>
  <c r="G95" i="34" s="1"/>
  <c r="E96" i="34"/>
  <c r="E97" i="34"/>
  <c r="E98" i="34"/>
  <c r="E99" i="34"/>
  <c r="G99" i="34" s="1"/>
  <c r="E100" i="34"/>
  <c r="G100" i="34" s="1"/>
  <c r="E101" i="34"/>
  <c r="F101" i="34" s="1"/>
  <c r="E102" i="34"/>
  <c r="G102" i="34" s="1"/>
  <c r="E103" i="34"/>
  <c r="G103" i="34" s="1"/>
  <c r="E104" i="34"/>
  <c r="G104" i="34" s="1"/>
  <c r="E105" i="34"/>
  <c r="G105" i="34" s="1"/>
  <c r="E106" i="34"/>
  <c r="F106" i="34" s="1"/>
  <c r="E107" i="34"/>
  <c r="G107" i="34" s="1"/>
  <c r="E108" i="34"/>
  <c r="G108" i="34" s="1"/>
  <c r="E109" i="34"/>
  <c r="F109" i="34" s="1"/>
  <c r="E110" i="34"/>
  <c r="G110" i="34" s="1"/>
  <c r="E111" i="34"/>
  <c r="F111" i="34" s="1"/>
  <c r="E112" i="34"/>
  <c r="G112" i="34" s="1"/>
  <c r="E113" i="34"/>
  <c r="G113" i="34" s="1"/>
  <c r="E114" i="34"/>
  <c r="G114" i="34" s="1"/>
  <c r="E115" i="34"/>
  <c r="G115" i="34" s="1"/>
  <c r="E116" i="34"/>
  <c r="G116" i="34" s="1"/>
  <c r="E117" i="34"/>
  <c r="G117" i="34" s="1"/>
  <c r="E118" i="34"/>
  <c r="G118" i="34" s="1"/>
  <c r="E119" i="34"/>
  <c r="G119" i="34" s="1"/>
  <c r="E120" i="34"/>
  <c r="G120" i="34" s="1"/>
  <c r="E121" i="34"/>
  <c r="G121" i="34" s="1"/>
  <c r="E122" i="34"/>
  <c r="G122" i="34" s="1"/>
  <c r="E123" i="34"/>
  <c r="G123" i="34" s="1"/>
  <c r="E124" i="34"/>
  <c r="G124" i="34" s="1"/>
  <c r="E125" i="34"/>
  <c r="G125" i="34" s="1"/>
  <c r="E126" i="34"/>
  <c r="G126" i="34" s="1"/>
  <c r="E127" i="34"/>
  <c r="G127" i="34" s="1"/>
  <c r="E128" i="34"/>
  <c r="G128" i="34" s="1"/>
  <c r="E129" i="34"/>
  <c r="G129" i="34" s="1"/>
  <c r="E130" i="34"/>
  <c r="G130" i="34" s="1"/>
  <c r="E131" i="34"/>
  <c r="G131" i="34" s="1"/>
  <c r="E132" i="34"/>
  <c r="G132" i="34" s="1"/>
  <c r="E133" i="34"/>
  <c r="G133" i="34" s="1"/>
  <c r="E134" i="34"/>
  <c r="G134" i="34" s="1"/>
  <c r="E135" i="34"/>
  <c r="G135" i="34" s="1"/>
  <c r="E136" i="34"/>
  <c r="G136" i="34" s="1"/>
  <c r="E137" i="34"/>
  <c r="F137" i="34" s="1"/>
  <c r="E138" i="34"/>
  <c r="G138" i="34" s="1"/>
  <c r="E139" i="34"/>
  <c r="G139" i="34" s="1"/>
  <c r="E140" i="34"/>
  <c r="G140" i="34" s="1"/>
  <c r="E141" i="34"/>
  <c r="G141" i="34" s="1"/>
  <c r="E142" i="34"/>
  <c r="G142" i="34" s="1"/>
  <c r="E143" i="34"/>
  <c r="G143" i="34" s="1"/>
  <c r="E144" i="34"/>
  <c r="E145" i="34"/>
  <c r="E146" i="34"/>
  <c r="E147" i="34"/>
  <c r="G147" i="34" s="1"/>
  <c r="E148" i="34"/>
  <c r="G148" i="34" s="1"/>
  <c r="E149" i="34"/>
  <c r="G149" i="34" s="1"/>
  <c r="E150" i="34"/>
  <c r="G150" i="34" s="1"/>
  <c r="E151" i="34"/>
  <c r="G151" i="34" s="1"/>
  <c r="E152" i="34"/>
  <c r="G152" i="34" s="1"/>
  <c r="E153" i="34"/>
  <c r="G153" i="34" s="1"/>
  <c r="E154" i="34"/>
  <c r="G154" i="34" s="1"/>
  <c r="E156" i="34"/>
  <c r="G156" i="34" s="1"/>
  <c r="E157" i="34"/>
  <c r="G157" i="34" s="1"/>
  <c r="E158" i="34"/>
  <c r="G158" i="34" s="1"/>
  <c r="E159" i="34"/>
  <c r="G159" i="34" s="1"/>
  <c r="E160" i="34"/>
  <c r="G160" i="34" s="1"/>
  <c r="E161" i="34"/>
  <c r="F161" i="34" s="1"/>
  <c r="E162" i="34"/>
  <c r="G162" i="34" s="1"/>
  <c r="E163" i="34"/>
  <c r="G163" i="34" s="1"/>
  <c r="E164" i="34"/>
  <c r="F164" i="34" s="1"/>
  <c r="E165" i="34"/>
  <c r="G165" i="34" s="1"/>
  <c r="E166" i="34"/>
  <c r="G166" i="34" s="1"/>
  <c r="E167" i="34"/>
  <c r="G167" i="34" s="1"/>
  <c r="E168" i="34"/>
  <c r="G168" i="34" s="1"/>
  <c r="E169" i="34"/>
  <c r="G169" i="34" s="1"/>
  <c r="E170" i="34"/>
  <c r="G170" i="34" s="1"/>
  <c r="E171" i="34"/>
  <c r="G171" i="34" s="1"/>
  <c r="E172" i="34"/>
  <c r="G172" i="34" s="1"/>
  <c r="E173" i="34"/>
  <c r="G173" i="34" s="1"/>
  <c r="E174" i="34"/>
  <c r="G174" i="34" s="1"/>
  <c r="E175" i="34"/>
  <c r="G175" i="34" s="1"/>
  <c r="E176" i="34"/>
  <c r="G176" i="34" s="1"/>
  <c r="E177" i="34"/>
  <c r="G177" i="34" s="1"/>
  <c r="E178" i="34"/>
  <c r="G178" i="34" s="1"/>
  <c r="E179" i="34"/>
  <c r="G179" i="34" s="1"/>
  <c r="E180" i="34"/>
  <c r="G180" i="34" s="1"/>
  <c r="E181" i="34"/>
  <c r="G181" i="34" s="1"/>
  <c r="E182" i="34"/>
  <c r="G182" i="34" s="1"/>
  <c r="E183" i="34"/>
  <c r="G183" i="34" s="1"/>
  <c r="E184" i="34"/>
  <c r="G184" i="34" s="1"/>
  <c r="E185" i="34"/>
  <c r="G185" i="34" s="1"/>
  <c r="E186" i="34"/>
  <c r="G186" i="34" s="1"/>
  <c r="E187" i="34"/>
  <c r="F187" i="34" s="1"/>
  <c r="E188" i="34"/>
  <c r="G188" i="34" s="1"/>
  <c r="E189" i="34"/>
  <c r="G189" i="34" s="1"/>
  <c r="E190" i="34"/>
  <c r="G190" i="34" s="1"/>
  <c r="E191" i="34"/>
  <c r="G191" i="34" s="1"/>
  <c r="E192" i="34"/>
  <c r="G192" i="34" s="1"/>
  <c r="E193" i="34"/>
  <c r="E194" i="34"/>
  <c r="E195" i="34"/>
  <c r="G195" i="34" s="1"/>
  <c r="E196" i="34"/>
  <c r="G196" i="34" s="1"/>
  <c r="E197" i="34"/>
  <c r="G197" i="34" s="1"/>
  <c r="E198" i="34"/>
  <c r="G198" i="34" s="1"/>
  <c r="E199" i="34"/>
  <c r="G199" i="34" s="1"/>
  <c r="E200" i="34"/>
  <c r="G200" i="34" s="1"/>
  <c r="E201" i="34"/>
  <c r="G201" i="34" s="1"/>
  <c r="E202" i="34"/>
  <c r="G202" i="34" s="1"/>
  <c r="E203" i="34"/>
  <c r="G203" i="34" s="1"/>
  <c r="E204" i="34"/>
  <c r="G204" i="34" s="1"/>
  <c r="E205" i="34"/>
  <c r="G205" i="34" s="1"/>
  <c r="E206" i="34"/>
  <c r="G206" i="34" s="1"/>
  <c r="E207" i="34"/>
  <c r="G207" i="34" s="1"/>
  <c r="E208" i="34"/>
  <c r="G208" i="34" s="1"/>
  <c r="E209" i="34"/>
  <c r="G209" i="34" s="1"/>
  <c r="E210" i="34"/>
  <c r="G210" i="34" s="1"/>
  <c r="E211" i="34"/>
  <c r="G211" i="34" s="1"/>
  <c r="E212" i="34"/>
  <c r="G212" i="34" s="1"/>
  <c r="E213" i="34"/>
  <c r="G213" i="34" s="1"/>
  <c r="E214" i="34"/>
  <c r="G214" i="34" s="1"/>
  <c r="E215" i="34"/>
  <c r="G215" i="34" s="1"/>
  <c r="E216" i="34"/>
  <c r="G216" i="34" s="1"/>
  <c r="E217" i="34"/>
  <c r="F217" i="34" s="1"/>
  <c r="E218" i="34"/>
  <c r="G218" i="34" s="1"/>
  <c r="E219" i="34"/>
  <c r="G219" i="34" s="1"/>
  <c r="E220" i="34"/>
  <c r="G220" i="34" s="1"/>
  <c r="E221" i="34"/>
  <c r="G221" i="34" s="1"/>
  <c r="E222" i="34"/>
  <c r="F222" i="34" s="1"/>
  <c r="E223" i="34"/>
  <c r="G223" i="34" s="1"/>
  <c r="C224" i="34"/>
  <c r="D224" i="34"/>
  <c r="G217" i="34" l="1"/>
  <c r="G111" i="34"/>
  <c r="G109" i="34"/>
  <c r="G35" i="34"/>
  <c r="G106" i="34"/>
  <c r="G164" i="34"/>
  <c r="G187" i="34"/>
  <c r="G90" i="34"/>
  <c r="G222" i="34"/>
  <c r="G161" i="34"/>
  <c r="G137" i="34"/>
  <c r="G101" i="34"/>
  <c r="G41" i="34"/>
  <c r="G224" i="34" s="1"/>
  <c r="F224" i="34"/>
  <c r="G88" i="34"/>
  <c r="E224" i="34"/>
  <c r="C224" i="33" l="1"/>
  <c r="E223" i="33"/>
  <c r="G223" i="33" s="1"/>
  <c r="E222" i="33"/>
  <c r="G222" i="33" s="1"/>
  <c r="E221" i="33"/>
  <c r="E220" i="33"/>
  <c r="E219" i="33"/>
  <c r="G219" i="33" s="1"/>
  <c r="E218" i="33"/>
  <c r="G218" i="33" s="1"/>
  <c r="E217" i="33"/>
  <c r="G217" i="33" s="1"/>
  <c r="E216" i="33"/>
  <c r="G216" i="33" s="1"/>
  <c r="E215" i="33"/>
  <c r="G215" i="33" s="1"/>
  <c r="E214" i="33"/>
  <c r="E213" i="33"/>
  <c r="E212" i="33"/>
  <c r="E211" i="33"/>
  <c r="E210" i="33"/>
  <c r="E209" i="33"/>
  <c r="F209" i="33" s="1"/>
  <c r="E208" i="33"/>
  <c r="E207" i="33"/>
  <c r="G207" i="33" s="1"/>
  <c r="E206" i="33"/>
  <c r="G206" i="33" s="1"/>
  <c r="E205" i="33"/>
  <c r="E204" i="33"/>
  <c r="G204" i="33" s="1"/>
  <c r="E203" i="33"/>
  <c r="E202" i="33"/>
  <c r="G202" i="33" s="1"/>
  <c r="E201" i="33"/>
  <c r="F201" i="33" s="1"/>
  <c r="E200" i="33"/>
  <c r="E199" i="33"/>
  <c r="G199" i="33" s="1"/>
  <c r="E198" i="33"/>
  <c r="G198" i="33" s="1"/>
  <c r="E197" i="33"/>
  <c r="G197" i="33" s="1"/>
  <c r="E196" i="33"/>
  <c r="G196" i="33" s="1"/>
  <c r="E195" i="33"/>
  <c r="G195" i="33" s="1"/>
  <c r="E194" i="33"/>
  <c r="E193" i="33"/>
  <c r="G193" i="33" s="1"/>
  <c r="E192" i="33"/>
  <c r="G192" i="33" s="1"/>
  <c r="E191" i="33"/>
  <c r="G191" i="33" s="1"/>
  <c r="E190" i="33"/>
  <c r="G190" i="33" s="1"/>
  <c r="E189" i="33"/>
  <c r="G189" i="33" s="1"/>
  <c r="E188" i="33"/>
  <c r="E187" i="33"/>
  <c r="G187" i="33" s="1"/>
  <c r="E186" i="33"/>
  <c r="G186" i="33" s="1"/>
  <c r="E185" i="33"/>
  <c r="F185" i="33" s="1"/>
  <c r="E184" i="33"/>
  <c r="G184" i="33" s="1"/>
  <c r="E183" i="33"/>
  <c r="G183" i="33" s="1"/>
  <c r="E182" i="33"/>
  <c r="G182" i="33" s="1"/>
  <c r="E181" i="33"/>
  <c r="G181" i="33" s="1"/>
  <c r="E180" i="33"/>
  <c r="G180" i="33" s="1"/>
  <c r="E179" i="33"/>
  <c r="G179" i="33" s="1"/>
  <c r="E178" i="33"/>
  <c r="G178" i="33" s="1"/>
  <c r="E177" i="33"/>
  <c r="G177" i="33" s="1"/>
  <c r="E176" i="33"/>
  <c r="E175" i="33"/>
  <c r="G175" i="33" s="1"/>
  <c r="E174" i="33"/>
  <c r="G174" i="33" s="1"/>
  <c r="E173" i="33"/>
  <c r="E172" i="33"/>
  <c r="G172" i="33" s="1"/>
  <c r="E171" i="33"/>
  <c r="G171" i="33" s="1"/>
  <c r="E170" i="33"/>
  <c r="G170" i="33" s="1"/>
  <c r="E169" i="33"/>
  <c r="G169" i="33" s="1"/>
  <c r="E168" i="33"/>
  <c r="G168" i="33" s="1"/>
  <c r="E167" i="33"/>
  <c r="G167" i="33" s="1"/>
  <c r="E166" i="33"/>
  <c r="E165" i="33"/>
  <c r="G165" i="33" s="1"/>
  <c r="E164" i="33"/>
  <c r="G164" i="33" s="1"/>
  <c r="E163" i="33"/>
  <c r="G163" i="33" s="1"/>
  <c r="E162" i="33"/>
  <c r="G162" i="33" s="1"/>
  <c r="E161" i="33"/>
  <c r="G161" i="33" s="1"/>
  <c r="E160" i="33"/>
  <c r="G160" i="33" s="1"/>
  <c r="E159" i="33"/>
  <c r="G159" i="33" s="1"/>
  <c r="E158" i="33"/>
  <c r="G158" i="33" s="1"/>
  <c r="E157" i="33"/>
  <c r="G157" i="33" s="1"/>
  <c r="E156" i="33"/>
  <c r="G156" i="33" s="1"/>
  <c r="E155" i="33"/>
  <c r="G155" i="33" s="1"/>
  <c r="E154" i="33"/>
  <c r="G154" i="33" s="1"/>
  <c r="E153" i="33"/>
  <c r="G153" i="33" s="1"/>
  <c r="E152" i="33"/>
  <c r="G152" i="33" s="1"/>
  <c r="E151" i="33"/>
  <c r="G151" i="33" s="1"/>
  <c r="E150" i="33"/>
  <c r="E149" i="33"/>
  <c r="G149" i="33" s="1"/>
  <c r="E148" i="33"/>
  <c r="G148" i="33" s="1"/>
  <c r="E147" i="33"/>
  <c r="E146" i="33"/>
  <c r="G146" i="33" s="1"/>
  <c r="E145" i="33"/>
  <c r="F145" i="33" s="1"/>
  <c r="E144" i="33"/>
  <c r="G144" i="33" s="1"/>
  <c r="E143" i="33"/>
  <c r="G143" i="33" s="1"/>
  <c r="E142" i="33"/>
  <c r="G142" i="33" s="1"/>
  <c r="E141" i="33"/>
  <c r="E140" i="33"/>
  <c r="G140" i="33" s="1"/>
  <c r="E139" i="33"/>
  <c r="E138" i="33"/>
  <c r="E137" i="33"/>
  <c r="F137" i="33" s="1"/>
  <c r="E136" i="33"/>
  <c r="G136" i="33" s="1"/>
  <c r="E135" i="33"/>
  <c r="G135" i="33" s="1"/>
  <c r="E134" i="33"/>
  <c r="E133" i="33"/>
  <c r="E132" i="33"/>
  <c r="E131" i="33"/>
  <c r="G131" i="33" s="1"/>
  <c r="E130" i="33"/>
  <c r="G130" i="33" s="1"/>
  <c r="E129" i="33"/>
  <c r="F129" i="33" s="1"/>
  <c r="E128" i="33"/>
  <c r="G128" i="33" s="1"/>
  <c r="E127" i="33"/>
  <c r="G127" i="33" s="1"/>
  <c r="E126" i="33"/>
  <c r="G126" i="33" s="1"/>
  <c r="E125" i="33"/>
  <c r="G125" i="33" s="1"/>
  <c r="E124" i="33"/>
  <c r="G124" i="33" s="1"/>
  <c r="E123" i="33"/>
  <c r="G123" i="33" s="1"/>
  <c r="E122" i="33"/>
  <c r="E121" i="33"/>
  <c r="G121" i="33" s="1"/>
  <c r="E120" i="33"/>
  <c r="G120" i="33" s="1"/>
  <c r="E119" i="33"/>
  <c r="G119" i="33" s="1"/>
  <c r="E118" i="33"/>
  <c r="G118" i="33" s="1"/>
  <c r="E117" i="33"/>
  <c r="G117" i="33" s="1"/>
  <c r="E116" i="33"/>
  <c r="G116" i="33" s="1"/>
  <c r="E115" i="33"/>
  <c r="E114" i="33"/>
  <c r="E113" i="33"/>
  <c r="F113" i="33" s="1"/>
  <c r="E112" i="33"/>
  <c r="G112" i="33" s="1"/>
  <c r="E111" i="33"/>
  <c r="E110" i="33"/>
  <c r="G110" i="33" s="1"/>
  <c r="E109" i="33"/>
  <c r="G109" i="33" s="1"/>
  <c r="E108" i="33"/>
  <c r="G108" i="33" s="1"/>
  <c r="E107" i="33"/>
  <c r="G107" i="33" s="1"/>
  <c r="E106" i="33"/>
  <c r="G106" i="33" s="1"/>
  <c r="E105" i="33"/>
  <c r="F105" i="33" s="1"/>
  <c r="E104" i="33"/>
  <c r="E103" i="33"/>
  <c r="G103" i="33" s="1"/>
  <c r="E102" i="33"/>
  <c r="G102" i="33" s="1"/>
  <c r="E101" i="33"/>
  <c r="G101" i="33" s="1"/>
  <c r="E100" i="33"/>
  <c r="E99" i="33"/>
  <c r="E98" i="33"/>
  <c r="G98" i="33" s="1"/>
  <c r="E97" i="33"/>
  <c r="G97" i="33" s="1"/>
  <c r="E96" i="33"/>
  <c r="E95" i="33"/>
  <c r="G95" i="33" s="1"/>
  <c r="E94" i="33"/>
  <c r="G94" i="33" s="1"/>
  <c r="E93" i="33"/>
  <c r="G93" i="33" s="1"/>
  <c r="E92" i="33"/>
  <c r="E91" i="33"/>
  <c r="G91" i="33" s="1"/>
  <c r="E90" i="33"/>
  <c r="E89" i="33"/>
  <c r="F89" i="33" s="1"/>
  <c r="E88" i="33"/>
  <c r="G88" i="33" s="1"/>
  <c r="E87" i="33"/>
  <c r="G87" i="33" s="1"/>
  <c r="E86" i="33"/>
  <c r="E85" i="33"/>
  <c r="G85" i="33" s="1"/>
  <c r="E84" i="33"/>
  <c r="G84" i="33" s="1"/>
  <c r="E83" i="33"/>
  <c r="G83" i="33" s="1"/>
  <c r="E82" i="33"/>
  <c r="E81" i="33"/>
  <c r="F81" i="33" s="1"/>
  <c r="E80" i="33"/>
  <c r="E79" i="33"/>
  <c r="G79" i="33" s="1"/>
  <c r="E78" i="33"/>
  <c r="G78" i="33" s="1"/>
  <c r="E77" i="33"/>
  <c r="G77" i="33" s="1"/>
  <c r="E76" i="33"/>
  <c r="G76" i="33" s="1"/>
  <c r="E75" i="33"/>
  <c r="G75" i="33" s="1"/>
  <c r="E74" i="33"/>
  <c r="G74" i="33" s="1"/>
  <c r="E73" i="33"/>
  <c r="G73" i="33" s="1"/>
  <c r="E72" i="33"/>
  <c r="E71" i="33"/>
  <c r="E70" i="33"/>
  <c r="G70" i="33" s="1"/>
  <c r="E69" i="33"/>
  <c r="G69" i="33" s="1"/>
  <c r="E68" i="33"/>
  <c r="E67" i="33"/>
  <c r="G67" i="33" s="1"/>
  <c r="E66" i="33"/>
  <c r="E65" i="33"/>
  <c r="G65" i="33" s="1"/>
  <c r="E64" i="33"/>
  <c r="E63" i="33"/>
  <c r="G63" i="33" s="1"/>
  <c r="E62" i="33"/>
  <c r="G62" i="33" s="1"/>
  <c r="E61" i="33"/>
  <c r="E60" i="33"/>
  <c r="G60" i="33" s="1"/>
  <c r="E59" i="33"/>
  <c r="G59" i="33" s="1"/>
  <c r="E58" i="33"/>
  <c r="E57" i="33"/>
  <c r="F57" i="33" s="1"/>
  <c r="E56" i="33"/>
  <c r="G56" i="33" s="1"/>
  <c r="E55" i="33"/>
  <c r="G55" i="33" s="1"/>
  <c r="E54" i="33"/>
  <c r="G54" i="33" s="1"/>
  <c r="E53" i="33"/>
  <c r="E52" i="33"/>
  <c r="E51" i="33"/>
  <c r="E50" i="33"/>
  <c r="G50" i="33" s="1"/>
  <c r="E49" i="33"/>
  <c r="G49" i="33" s="1"/>
  <c r="E48" i="33"/>
  <c r="E47" i="33"/>
  <c r="G47" i="33" s="1"/>
  <c r="E46" i="33"/>
  <c r="G46" i="33" s="1"/>
  <c r="E45" i="33"/>
  <c r="G45" i="33" s="1"/>
  <c r="E44" i="33"/>
  <c r="G44" i="33" s="1"/>
  <c r="E43" i="33"/>
  <c r="G43" i="33" s="1"/>
  <c r="E42" i="33"/>
  <c r="G42" i="33" s="1"/>
  <c r="E41" i="33"/>
  <c r="E40" i="33"/>
  <c r="G40" i="33" s="1"/>
  <c r="E39" i="33"/>
  <c r="G39" i="33" s="1"/>
  <c r="E38" i="33"/>
  <c r="G38" i="33" s="1"/>
  <c r="E37" i="33"/>
  <c r="E36" i="33"/>
  <c r="G36" i="33" s="1"/>
  <c r="E35" i="33"/>
  <c r="G35" i="33" s="1"/>
  <c r="E34" i="33"/>
  <c r="E33" i="33"/>
  <c r="G33" i="33" s="1"/>
  <c r="E32" i="33"/>
  <c r="G32" i="33" s="1"/>
  <c r="E31" i="33"/>
  <c r="E30" i="33"/>
  <c r="G30" i="33" s="1"/>
  <c r="E29" i="33"/>
  <c r="G29" i="33" s="1"/>
  <c r="E28" i="33"/>
  <c r="G28" i="33" s="1"/>
  <c r="E27" i="33"/>
  <c r="G27" i="33" s="1"/>
  <c r="E26" i="33"/>
  <c r="G26" i="33" s="1"/>
  <c r="E25" i="33"/>
  <c r="G25" i="33" s="1"/>
  <c r="E24" i="33"/>
  <c r="E23" i="33"/>
  <c r="E22" i="33"/>
  <c r="G22" i="33" s="1"/>
  <c r="E21" i="33"/>
  <c r="E20" i="33"/>
  <c r="E19" i="33"/>
  <c r="G19" i="33" s="1"/>
  <c r="E18" i="33"/>
  <c r="G18" i="33" s="1"/>
  <c r="E17" i="33"/>
  <c r="F17" i="33" s="1"/>
  <c r="E16" i="33"/>
  <c r="G16" i="33" s="1"/>
  <c r="E15" i="33"/>
  <c r="G15" i="33" s="1"/>
  <c r="E14" i="33"/>
  <c r="E13" i="33"/>
  <c r="G13" i="33" s="1"/>
  <c r="E12" i="33"/>
  <c r="G12" i="33" s="1"/>
  <c r="E11" i="33"/>
  <c r="G11" i="33" s="1"/>
  <c r="E10" i="33"/>
  <c r="E9" i="33"/>
  <c r="G9" i="33" s="1"/>
  <c r="E8" i="33"/>
  <c r="G8" i="33" s="1"/>
  <c r="E7" i="33"/>
  <c r="G7" i="33" s="1"/>
  <c r="E6" i="33"/>
  <c r="E5" i="33"/>
  <c r="E4" i="33"/>
  <c r="G4" i="33" s="1"/>
  <c r="E3" i="33"/>
  <c r="G3" i="33" s="1"/>
  <c r="F99" i="33" l="1"/>
  <c r="G99" i="33" s="1"/>
  <c r="F41" i="33"/>
  <c r="G41" i="33" s="1"/>
  <c r="F24" i="33"/>
  <c r="G24" i="33" s="1"/>
  <c r="F104" i="33"/>
  <c r="G104" i="33" s="1"/>
  <c r="F58" i="33"/>
  <c r="G58" i="33" s="1"/>
  <c r="F90" i="33"/>
  <c r="G90" i="33" s="1"/>
  <c r="F122" i="33"/>
  <c r="G122" i="33" s="1"/>
  <c r="F138" i="33"/>
  <c r="G138" i="33" s="1"/>
  <c r="G145" i="33"/>
  <c r="G17" i="33"/>
  <c r="F139" i="33"/>
  <c r="G139" i="33" s="1"/>
  <c r="F203" i="33"/>
  <c r="G203" i="33" s="1"/>
  <c r="G137" i="33"/>
  <c r="F200" i="33"/>
  <c r="G200" i="33" s="1"/>
  <c r="F92" i="33"/>
  <c r="G92" i="33" s="1"/>
  <c r="F188" i="33"/>
  <c r="G188" i="33" s="1"/>
  <c r="F220" i="33"/>
  <c r="G220" i="33" s="1"/>
  <c r="G129" i="33"/>
  <c r="F72" i="33"/>
  <c r="G72" i="33" s="1"/>
  <c r="F61" i="33"/>
  <c r="G61" i="33" s="1"/>
  <c r="F141" i="33"/>
  <c r="G141" i="33" s="1"/>
  <c r="F173" i="33"/>
  <c r="G173" i="33" s="1"/>
  <c r="F205" i="33"/>
  <c r="G205" i="33" s="1"/>
  <c r="F221" i="33"/>
  <c r="G221" i="33" s="1"/>
  <c r="F10" i="33"/>
  <c r="G10" i="33" s="1"/>
  <c r="F14" i="33"/>
  <c r="G14" i="33" s="1"/>
  <c r="G113" i="33"/>
  <c r="F31" i="33"/>
  <c r="G31" i="33" s="1"/>
  <c r="F111" i="33"/>
  <c r="G111" i="33" s="1"/>
  <c r="G105" i="33"/>
  <c r="F64" i="33"/>
  <c r="G64" i="33" s="1"/>
  <c r="F176" i="33"/>
  <c r="G176" i="33" s="1"/>
  <c r="F208" i="33"/>
  <c r="G208" i="33" s="1"/>
  <c r="G89" i="33"/>
  <c r="F48" i="33"/>
  <c r="G48" i="33" s="1"/>
  <c r="F34" i="33"/>
  <c r="G34" i="33" s="1"/>
  <c r="F66" i="33"/>
  <c r="G66" i="33" s="1"/>
  <c r="F82" i="33"/>
  <c r="G82" i="33" s="1"/>
  <c r="F114" i="33"/>
  <c r="G114" i="33" s="1"/>
  <c r="F194" i="33"/>
  <c r="G194" i="33" s="1"/>
  <c r="F210" i="33"/>
  <c r="G210" i="33" s="1"/>
  <c r="G209" i="33"/>
  <c r="G81" i="33"/>
  <c r="F80" i="33"/>
  <c r="G80" i="33" s="1"/>
  <c r="F51" i="33"/>
  <c r="G51" i="33" s="1"/>
  <c r="F115" i="33"/>
  <c r="G115" i="33" s="1"/>
  <c r="F147" i="33"/>
  <c r="G147" i="33" s="1"/>
  <c r="F211" i="33"/>
  <c r="G211" i="33" s="1"/>
  <c r="G201" i="33"/>
  <c r="F20" i="33"/>
  <c r="G20" i="33" s="1"/>
  <c r="F52" i="33"/>
  <c r="G52" i="33" s="1"/>
  <c r="F68" i="33"/>
  <c r="G68" i="33" s="1"/>
  <c r="F100" i="33"/>
  <c r="G100" i="33" s="1"/>
  <c r="F132" i="33"/>
  <c r="G132" i="33" s="1"/>
  <c r="F212" i="33"/>
  <c r="G212" i="33" s="1"/>
  <c r="F23" i="33"/>
  <c r="G23" i="33" s="1"/>
  <c r="F71" i="33"/>
  <c r="G71" i="33" s="1"/>
  <c r="F96" i="33"/>
  <c r="G96" i="33" s="1"/>
  <c r="F5" i="33"/>
  <c r="F21" i="33"/>
  <c r="G21" i="33" s="1"/>
  <c r="F37" i="33"/>
  <c r="G37" i="33" s="1"/>
  <c r="F53" i="33"/>
  <c r="G53" i="33" s="1"/>
  <c r="F133" i="33"/>
  <c r="G133" i="33" s="1"/>
  <c r="F213" i="33"/>
  <c r="G213" i="33" s="1"/>
  <c r="G185" i="33"/>
  <c r="G57" i="33"/>
  <c r="F6" i="33"/>
  <c r="G6" i="33" s="1"/>
  <c r="F86" i="33"/>
  <c r="G86" i="33" s="1"/>
  <c r="F134" i="33"/>
  <c r="G134" i="33" s="1"/>
  <c r="F150" i="33"/>
  <c r="G150" i="33" s="1"/>
  <c r="F166" i="33"/>
  <c r="G166" i="33" s="1"/>
  <c r="F214" i="33"/>
  <c r="G214" i="33" s="1"/>
  <c r="E224" i="33"/>
  <c r="F224" i="33" l="1"/>
  <c r="G5" i="33"/>
  <c r="G224" i="33" s="1"/>
  <c r="B16" i="21" l="1"/>
  <c r="H22" i="21" l="1"/>
  <c r="H21" i="21"/>
  <c r="B14" i="21"/>
  <c r="F22" i="21" l="1"/>
  <c r="H20" i="21" l="1"/>
  <c r="F21" i="21" l="1"/>
  <c r="H19" i="21" l="1"/>
  <c r="F20" i="21" l="1"/>
  <c r="F18" i="21" l="1"/>
  <c r="D25" i="22" l="1"/>
  <c r="D24" i="22"/>
  <c r="D23" i="22"/>
  <c r="D22" i="22"/>
  <c r="D21" i="22"/>
  <c r="D20" i="22"/>
  <c r="D19" i="22"/>
  <c r="B15" i="22"/>
  <c r="D14" i="22"/>
  <c r="E25" i="21"/>
  <c r="E24" i="21"/>
  <c r="E23" i="21"/>
  <c r="E22" i="21"/>
  <c r="E21" i="21"/>
  <c r="E20" i="21"/>
  <c r="E19" i="21"/>
  <c r="F16" i="21"/>
  <c r="F15" i="21"/>
  <c r="E15" i="21"/>
  <c r="D15" i="22" s="1"/>
  <c r="F14" i="21"/>
  <c r="B14" i="22"/>
  <c r="E26" i="21" l="1"/>
  <c r="F26" i="21" s="1"/>
  <c r="B16" i="22"/>
  <c r="F17" i="21"/>
  <c r="F19" i="21" l="1"/>
  <c r="G30" i="19"/>
  <c r="F24" i="21" l="1"/>
  <c r="G177" i="19"/>
  <c r="G117" i="19" l="1"/>
  <c r="G202" i="19" l="1"/>
  <c r="G79" i="19" l="1"/>
  <c r="G63" i="19" l="1"/>
  <c r="G222" i="19" l="1"/>
  <c r="G123" i="19"/>
  <c r="G96" i="19"/>
  <c r="G200" i="19" l="1"/>
  <c r="G153" i="19"/>
  <c r="G50" i="19" l="1"/>
  <c r="G28" i="19" l="1"/>
  <c r="G190" i="19" l="1"/>
  <c r="G113" i="19" l="1"/>
  <c r="G18" i="19" l="1"/>
  <c r="G35" i="19"/>
  <c r="G106" i="19" l="1"/>
  <c r="G189" i="19"/>
  <c r="G183" i="19"/>
  <c r="G66" i="19" l="1"/>
  <c r="G78" i="19" l="1"/>
  <c r="G207" i="19"/>
  <c r="G207" i="17"/>
  <c r="G158" i="19" l="1"/>
  <c r="G34" i="19" l="1"/>
  <c r="G102" i="19"/>
  <c r="G143" i="19"/>
  <c r="G4" i="19"/>
  <c r="G141" i="18" l="1"/>
  <c r="D224" i="19"/>
  <c r="F223" i="19"/>
  <c r="H223" i="19" s="1"/>
  <c r="F222" i="19"/>
  <c r="H222" i="19" s="1"/>
  <c r="F221" i="19"/>
  <c r="H221" i="19" s="1"/>
  <c r="F220" i="19"/>
  <c r="H220" i="19" s="1"/>
  <c r="F219" i="19"/>
  <c r="H219" i="19" s="1"/>
  <c r="F218" i="19"/>
  <c r="H218" i="19" s="1"/>
  <c r="F217" i="19"/>
  <c r="H217" i="19" s="1"/>
  <c r="F216" i="19"/>
  <c r="H216" i="19" s="1"/>
  <c r="F215" i="19"/>
  <c r="H215" i="19" s="1"/>
  <c r="F214" i="19"/>
  <c r="H214" i="19" s="1"/>
  <c r="F213" i="19"/>
  <c r="H213" i="19" s="1"/>
  <c r="F212" i="19"/>
  <c r="H212" i="19" s="1"/>
  <c r="F211" i="19"/>
  <c r="H211" i="19" s="1"/>
  <c r="F210" i="19"/>
  <c r="H210" i="19" s="1"/>
  <c r="F209" i="19"/>
  <c r="H209" i="19" s="1"/>
  <c r="F208" i="19"/>
  <c r="H208" i="19" s="1"/>
  <c r="F207" i="19"/>
  <c r="H207" i="19" s="1"/>
  <c r="F206" i="19"/>
  <c r="H206" i="19" s="1"/>
  <c r="F205" i="19"/>
  <c r="H205" i="19" s="1"/>
  <c r="F204" i="19"/>
  <c r="H204" i="19" s="1"/>
  <c r="F203" i="19"/>
  <c r="H203" i="19" s="1"/>
  <c r="F202" i="19"/>
  <c r="H202" i="19" s="1"/>
  <c r="F201" i="19"/>
  <c r="F200" i="19"/>
  <c r="H200" i="19" s="1"/>
  <c r="F199" i="19"/>
  <c r="H199" i="19" s="1"/>
  <c r="F198" i="19"/>
  <c r="H198" i="19" s="1"/>
  <c r="F197" i="19"/>
  <c r="H197" i="19" s="1"/>
  <c r="F196" i="19"/>
  <c r="H196" i="19" s="1"/>
  <c r="F195" i="19"/>
  <c r="H195" i="19" s="1"/>
  <c r="F194" i="19"/>
  <c r="H194" i="19" s="1"/>
  <c r="F193" i="19"/>
  <c r="H193" i="19" s="1"/>
  <c r="F192" i="19"/>
  <c r="H192" i="19" s="1"/>
  <c r="F191" i="19"/>
  <c r="H191" i="19" s="1"/>
  <c r="F190" i="19"/>
  <c r="H190" i="19" s="1"/>
  <c r="F189" i="19"/>
  <c r="H189" i="19" s="1"/>
  <c r="F188" i="19"/>
  <c r="H188" i="19" s="1"/>
  <c r="F187" i="19"/>
  <c r="H187" i="19" s="1"/>
  <c r="F186" i="19"/>
  <c r="H186" i="19" s="1"/>
  <c r="F185" i="19"/>
  <c r="H185" i="19" s="1"/>
  <c r="F184" i="19"/>
  <c r="H184" i="19" s="1"/>
  <c r="F183" i="19"/>
  <c r="H183" i="19" s="1"/>
  <c r="F182" i="19"/>
  <c r="G182" i="19" s="1"/>
  <c r="F181" i="19"/>
  <c r="H181" i="19" s="1"/>
  <c r="F180" i="19"/>
  <c r="H180" i="19" s="1"/>
  <c r="F179" i="19"/>
  <c r="H179" i="19" s="1"/>
  <c r="F178" i="19"/>
  <c r="H178" i="19" s="1"/>
  <c r="F177" i="19"/>
  <c r="H177" i="19" s="1"/>
  <c r="F176" i="19"/>
  <c r="F175" i="19"/>
  <c r="H175" i="19" s="1"/>
  <c r="F174" i="19"/>
  <c r="H174" i="19" s="1"/>
  <c r="F173" i="19"/>
  <c r="H173" i="19" s="1"/>
  <c r="F172" i="19"/>
  <c r="H172" i="19" s="1"/>
  <c r="F171" i="19"/>
  <c r="H171" i="19" s="1"/>
  <c r="F170" i="19"/>
  <c r="H170" i="19" s="1"/>
  <c r="F169" i="19"/>
  <c r="H169" i="19" s="1"/>
  <c r="F168" i="19"/>
  <c r="H168" i="19" s="1"/>
  <c r="F167" i="19"/>
  <c r="H167" i="19" s="1"/>
  <c r="F166" i="19"/>
  <c r="H166" i="19" s="1"/>
  <c r="F165" i="19"/>
  <c r="H165" i="19" s="1"/>
  <c r="F164" i="19"/>
  <c r="H164" i="19" s="1"/>
  <c r="F163" i="19"/>
  <c r="H163" i="19" s="1"/>
  <c r="F162" i="19"/>
  <c r="H162" i="19" s="1"/>
  <c r="F161" i="19"/>
  <c r="H161" i="19" s="1"/>
  <c r="F160" i="19"/>
  <c r="H160" i="19" s="1"/>
  <c r="F159" i="19"/>
  <c r="H159" i="19" s="1"/>
  <c r="F158" i="19"/>
  <c r="H158" i="19" s="1"/>
  <c r="F157" i="19"/>
  <c r="H157" i="19" s="1"/>
  <c r="F156" i="19"/>
  <c r="H156" i="19" s="1"/>
  <c r="F155" i="19"/>
  <c r="F154" i="19"/>
  <c r="H154" i="19" s="1"/>
  <c r="F153" i="19"/>
  <c r="H153" i="19" s="1"/>
  <c r="F152" i="19"/>
  <c r="H152" i="19" s="1"/>
  <c r="F151" i="19"/>
  <c r="H151" i="19" s="1"/>
  <c r="F150" i="19"/>
  <c r="H150" i="19" s="1"/>
  <c r="F149" i="19"/>
  <c r="H149" i="19" s="1"/>
  <c r="F148" i="19"/>
  <c r="H148" i="19" s="1"/>
  <c r="F147" i="19"/>
  <c r="H147" i="19" s="1"/>
  <c r="F146" i="19"/>
  <c r="H146" i="19" s="1"/>
  <c r="F145" i="19"/>
  <c r="H145" i="19" s="1"/>
  <c r="F144" i="19"/>
  <c r="H144" i="19" s="1"/>
  <c r="F143" i="19"/>
  <c r="H143" i="19" s="1"/>
  <c r="F142" i="19"/>
  <c r="H142" i="19" s="1"/>
  <c r="F141" i="19"/>
  <c r="H141" i="19" s="1"/>
  <c r="F140" i="19"/>
  <c r="H140" i="19" s="1"/>
  <c r="F139" i="19"/>
  <c r="H139" i="19" s="1"/>
  <c r="F138" i="19"/>
  <c r="H138" i="19" s="1"/>
  <c r="F137" i="19"/>
  <c r="H137" i="19" s="1"/>
  <c r="F136" i="19"/>
  <c r="H136" i="19" s="1"/>
  <c r="F135" i="19"/>
  <c r="H135" i="19" s="1"/>
  <c r="G134" i="19"/>
  <c r="F134" i="19"/>
  <c r="H134" i="19" s="1"/>
  <c r="F133" i="19"/>
  <c r="H133" i="19" s="1"/>
  <c r="F132" i="19"/>
  <c r="H132" i="19" s="1"/>
  <c r="F131" i="19"/>
  <c r="H131" i="19" s="1"/>
  <c r="F130" i="19"/>
  <c r="H130" i="19" s="1"/>
  <c r="F129" i="19"/>
  <c r="H129" i="19" s="1"/>
  <c r="F128" i="19"/>
  <c r="H128" i="19" s="1"/>
  <c r="F127" i="19"/>
  <c r="H127" i="19" s="1"/>
  <c r="F126" i="19"/>
  <c r="H126" i="19" s="1"/>
  <c r="F125" i="19"/>
  <c r="H125" i="19" s="1"/>
  <c r="F124" i="19"/>
  <c r="H124" i="19" s="1"/>
  <c r="F123" i="19"/>
  <c r="H123" i="19" s="1"/>
  <c r="F122" i="19"/>
  <c r="H122" i="19" s="1"/>
  <c r="F121" i="19"/>
  <c r="H121" i="19" s="1"/>
  <c r="H120" i="19"/>
  <c r="F120" i="19"/>
  <c r="F119" i="19"/>
  <c r="H119" i="19" s="1"/>
  <c r="F118" i="19"/>
  <c r="H118" i="19" s="1"/>
  <c r="F117" i="19"/>
  <c r="H117" i="19" s="1"/>
  <c r="F116" i="19"/>
  <c r="H116" i="19" s="1"/>
  <c r="F115" i="19"/>
  <c r="H115" i="19" s="1"/>
  <c r="F114" i="19"/>
  <c r="H114" i="19" s="1"/>
  <c r="F113" i="19"/>
  <c r="H113" i="19" s="1"/>
  <c r="F112" i="19"/>
  <c r="H112" i="19" s="1"/>
  <c r="F111" i="19"/>
  <c r="H111" i="19" s="1"/>
  <c r="F110" i="19"/>
  <c r="F109" i="19"/>
  <c r="H109" i="19" s="1"/>
  <c r="F108" i="19"/>
  <c r="H108" i="19" s="1"/>
  <c r="F107" i="19"/>
  <c r="H107" i="19" s="1"/>
  <c r="F106" i="19"/>
  <c r="H106" i="19" s="1"/>
  <c r="F105" i="19"/>
  <c r="H105" i="19" s="1"/>
  <c r="F104" i="19"/>
  <c r="H104" i="19" s="1"/>
  <c r="F103" i="19"/>
  <c r="H103" i="19" s="1"/>
  <c r="F102" i="19"/>
  <c r="H102" i="19" s="1"/>
  <c r="F101" i="19"/>
  <c r="H101" i="19" s="1"/>
  <c r="H100" i="19"/>
  <c r="F100" i="19"/>
  <c r="G100" i="19" s="1"/>
  <c r="F99" i="19"/>
  <c r="H99" i="19" s="1"/>
  <c r="F98" i="19"/>
  <c r="H98" i="19" s="1"/>
  <c r="F97" i="19"/>
  <c r="H97" i="19" s="1"/>
  <c r="F96" i="19"/>
  <c r="H96" i="19" s="1"/>
  <c r="F95" i="19"/>
  <c r="H95" i="19" s="1"/>
  <c r="F94" i="19"/>
  <c r="H94" i="19" s="1"/>
  <c r="F93" i="19"/>
  <c r="H93" i="19" s="1"/>
  <c r="F92" i="19"/>
  <c r="H92" i="19" s="1"/>
  <c r="F91" i="19"/>
  <c r="H91" i="19" s="1"/>
  <c r="H90" i="19"/>
  <c r="F90" i="19"/>
  <c r="H89" i="19"/>
  <c r="F89" i="19"/>
  <c r="F88" i="19"/>
  <c r="H88" i="19" s="1"/>
  <c r="F87" i="19"/>
  <c r="F86" i="19"/>
  <c r="F85" i="19"/>
  <c r="H85" i="19" s="1"/>
  <c r="F84" i="19"/>
  <c r="H84" i="19" s="1"/>
  <c r="F83" i="19"/>
  <c r="H83" i="19" s="1"/>
  <c r="F82" i="19"/>
  <c r="H82" i="19" s="1"/>
  <c r="F81" i="19"/>
  <c r="G81" i="19" s="1"/>
  <c r="F80" i="19"/>
  <c r="H80" i="19" s="1"/>
  <c r="F79" i="19"/>
  <c r="H79" i="19" s="1"/>
  <c r="F78" i="19"/>
  <c r="H78" i="19" s="1"/>
  <c r="F77" i="19"/>
  <c r="H77" i="19" s="1"/>
  <c r="F76" i="19"/>
  <c r="H76" i="19" s="1"/>
  <c r="F75" i="19"/>
  <c r="H75" i="19" s="1"/>
  <c r="F74" i="19"/>
  <c r="H74" i="19" s="1"/>
  <c r="F73" i="19"/>
  <c r="G73" i="19" s="1"/>
  <c r="F72" i="19"/>
  <c r="H72" i="19" s="1"/>
  <c r="F71" i="19"/>
  <c r="H71" i="19" s="1"/>
  <c r="F70" i="19"/>
  <c r="H70" i="19" s="1"/>
  <c r="H69" i="19"/>
  <c r="F69" i="19"/>
  <c r="F68" i="19"/>
  <c r="H68" i="19" s="1"/>
  <c r="F67" i="19"/>
  <c r="H67" i="19" s="1"/>
  <c r="F66" i="19"/>
  <c r="H66" i="19" s="1"/>
  <c r="G65" i="19"/>
  <c r="F65" i="19"/>
  <c r="H65" i="19" s="1"/>
  <c r="F64" i="19"/>
  <c r="H64" i="19" s="1"/>
  <c r="F63" i="19"/>
  <c r="H63" i="19" s="1"/>
  <c r="F62" i="19"/>
  <c r="H62" i="19" s="1"/>
  <c r="F61" i="19"/>
  <c r="H61" i="19" s="1"/>
  <c r="F60" i="19"/>
  <c r="H60" i="19" s="1"/>
  <c r="F59" i="19"/>
  <c r="H59" i="19" s="1"/>
  <c r="F58" i="19"/>
  <c r="F57" i="19"/>
  <c r="H57" i="19" s="1"/>
  <c r="F56" i="19"/>
  <c r="H56" i="19" s="1"/>
  <c r="F55" i="19"/>
  <c r="H55" i="19" s="1"/>
  <c r="F54" i="19"/>
  <c r="H54" i="19" s="1"/>
  <c r="F53" i="19"/>
  <c r="H53" i="19" s="1"/>
  <c r="F52" i="19"/>
  <c r="H52" i="19" s="1"/>
  <c r="F51" i="19"/>
  <c r="H51" i="19" s="1"/>
  <c r="F50" i="19"/>
  <c r="H50" i="19" s="1"/>
  <c r="F49" i="19"/>
  <c r="H49" i="19" s="1"/>
  <c r="F48" i="19"/>
  <c r="F47" i="19"/>
  <c r="H47" i="19" s="1"/>
  <c r="F46" i="19"/>
  <c r="H46" i="19" s="1"/>
  <c r="F45" i="19"/>
  <c r="H45" i="19" s="1"/>
  <c r="F44" i="19"/>
  <c r="H44" i="19" s="1"/>
  <c r="F43" i="19"/>
  <c r="H43" i="19" s="1"/>
  <c r="F42" i="19"/>
  <c r="H42" i="19" s="1"/>
  <c r="F41" i="19"/>
  <c r="H41" i="19" s="1"/>
  <c r="F40" i="19"/>
  <c r="H40" i="19" s="1"/>
  <c r="F39" i="19"/>
  <c r="H39" i="19" s="1"/>
  <c r="F38" i="19"/>
  <c r="H38" i="19" s="1"/>
  <c r="F37" i="19"/>
  <c r="F36" i="19"/>
  <c r="H36" i="19" s="1"/>
  <c r="F35" i="19"/>
  <c r="H35" i="19" s="1"/>
  <c r="F34" i="19"/>
  <c r="H34" i="19" s="1"/>
  <c r="F33" i="19"/>
  <c r="H33" i="19" s="1"/>
  <c r="F32" i="19"/>
  <c r="H32" i="19" s="1"/>
  <c r="H31" i="19"/>
  <c r="F31" i="19"/>
  <c r="G31" i="19" s="1"/>
  <c r="F30" i="19"/>
  <c r="H30" i="19" s="1"/>
  <c r="F29" i="19"/>
  <c r="H29" i="19" s="1"/>
  <c r="F28" i="19"/>
  <c r="H28" i="19" s="1"/>
  <c r="F27" i="19"/>
  <c r="H27" i="19" s="1"/>
  <c r="F26" i="19"/>
  <c r="H26" i="19" s="1"/>
  <c r="F25" i="19"/>
  <c r="H25" i="19" s="1"/>
  <c r="F24" i="19"/>
  <c r="H24" i="19" s="1"/>
  <c r="G23" i="19"/>
  <c r="F23" i="19"/>
  <c r="H23" i="19" s="1"/>
  <c r="F22" i="19"/>
  <c r="H22" i="19" s="1"/>
  <c r="F21" i="19"/>
  <c r="H21" i="19" s="1"/>
  <c r="F20" i="19"/>
  <c r="H20" i="19" s="1"/>
  <c r="F19" i="19"/>
  <c r="H19" i="19" s="1"/>
  <c r="F18" i="19"/>
  <c r="H18" i="19" s="1"/>
  <c r="F17" i="19"/>
  <c r="G17" i="19" s="1"/>
  <c r="F16" i="19"/>
  <c r="H16" i="19" s="1"/>
  <c r="F15" i="19"/>
  <c r="H15" i="19" s="1"/>
  <c r="F14" i="19"/>
  <c r="H14" i="19" s="1"/>
  <c r="F13" i="19"/>
  <c r="G13" i="19" s="1"/>
  <c r="F12" i="19"/>
  <c r="H12" i="19" s="1"/>
  <c r="F11" i="19"/>
  <c r="H11" i="19" s="1"/>
  <c r="H10" i="19"/>
  <c r="F10" i="19"/>
  <c r="F9" i="19"/>
  <c r="H9" i="19" s="1"/>
  <c r="F8" i="19"/>
  <c r="H8" i="19" s="1"/>
  <c r="F7" i="19"/>
  <c r="H7" i="19" s="1"/>
  <c r="G6" i="19"/>
  <c r="F6" i="19"/>
  <c r="H6" i="19" s="1"/>
  <c r="F5" i="19"/>
  <c r="H5" i="19" s="1"/>
  <c r="F4" i="19"/>
  <c r="H4" i="19" s="1"/>
  <c r="F3" i="19"/>
  <c r="H3" i="19" s="1"/>
  <c r="G48" i="19" l="1"/>
  <c r="H48" i="19" s="1"/>
  <c r="H73" i="19"/>
  <c r="G37" i="19"/>
  <c r="H37" i="19" s="1"/>
  <c r="G201" i="19"/>
  <c r="H201" i="19" s="1"/>
  <c r="G110" i="19"/>
  <c r="H110" i="19" s="1"/>
  <c r="G155" i="19"/>
  <c r="H155" i="19" s="1"/>
  <c r="H81" i="19"/>
  <c r="H13" i="19"/>
  <c r="G176" i="19"/>
  <c r="H176" i="19" s="1"/>
  <c r="G224" i="19"/>
  <c r="H87" i="19"/>
  <c r="G87" i="19"/>
  <c r="G58" i="19"/>
  <c r="H58" i="19" s="1"/>
  <c r="G86" i="19"/>
  <c r="H86" i="19" s="1"/>
  <c r="H17" i="19"/>
  <c r="H182" i="19"/>
  <c r="F224" i="19"/>
  <c r="H224" i="19" l="1"/>
  <c r="G6" i="18"/>
  <c r="G134" i="18"/>
  <c r="G138" i="17"/>
  <c r="G138" i="15"/>
  <c r="G160" i="17"/>
  <c r="G181" i="15"/>
  <c r="G210" i="18"/>
  <c r="G84" i="15"/>
  <c r="G84" i="14"/>
  <c r="G66" i="18" l="1"/>
  <c r="G203" i="18"/>
  <c r="G163" i="17"/>
  <c r="G163" i="15"/>
  <c r="G40" i="17"/>
  <c r="G70" i="17"/>
  <c r="G168" i="17"/>
  <c r="G151" i="15" l="1"/>
  <c r="G9" i="17"/>
  <c r="G69" i="17"/>
  <c r="G69" i="14"/>
  <c r="G3" i="17"/>
  <c r="G3" i="18"/>
  <c r="G202" i="18"/>
  <c r="G202" i="17"/>
  <c r="G109" i="17"/>
  <c r="G109" i="15"/>
  <c r="G173" i="17" l="1"/>
  <c r="G152" i="17"/>
  <c r="G187" i="18"/>
  <c r="G187" i="17"/>
  <c r="G144" i="17"/>
  <c r="G114" i="15"/>
  <c r="G114" i="17"/>
  <c r="G208" i="17"/>
  <c r="G54" i="18"/>
  <c r="G54" i="17"/>
  <c r="G184" i="13" l="1"/>
  <c r="G152" i="13"/>
  <c r="G5" i="13"/>
  <c r="G48" i="9"/>
  <c r="G42" i="9"/>
  <c r="G39" i="9"/>
  <c r="G35" i="9"/>
  <c r="G16" i="9"/>
  <c r="G26" i="8"/>
  <c r="G21" i="8"/>
  <c r="G20" i="8"/>
  <c r="G3" i="8"/>
  <c r="G4" i="7"/>
  <c r="G3" i="7"/>
  <c r="G113" i="17" l="1"/>
  <c r="G113" i="18"/>
  <c r="G65" i="18" l="1"/>
  <c r="G92" i="17" l="1"/>
  <c r="G92" i="18"/>
  <c r="G147" i="18"/>
  <c r="G147" i="17"/>
  <c r="G57" i="18"/>
  <c r="G57" i="17"/>
  <c r="G160" i="15"/>
  <c r="G174" i="18" l="1"/>
  <c r="G174" i="17"/>
  <c r="G20" i="18"/>
  <c r="G20" i="15"/>
  <c r="G56" i="15"/>
  <c r="G56" i="14"/>
  <c r="G214" i="18" l="1"/>
  <c r="G214" i="17"/>
  <c r="G8" i="14"/>
  <c r="G40" i="9" l="1"/>
  <c r="G13" i="9"/>
  <c r="G203" i="17" l="1"/>
  <c r="G21" i="17"/>
  <c r="G195" i="18"/>
  <c r="G195" i="17"/>
  <c r="G162" i="15"/>
  <c r="G162" i="17"/>
  <c r="G80" i="17"/>
  <c r="G80" i="18"/>
  <c r="G175" i="18"/>
  <c r="G175" i="17"/>
  <c r="G95" i="17"/>
  <c r="G95" i="14"/>
  <c r="G55" i="17"/>
  <c r="G55" i="18"/>
  <c r="G112" i="18"/>
  <c r="G166" i="17"/>
  <c r="G166" i="15"/>
  <c r="G205" i="18"/>
  <c r="G205" i="17"/>
  <c r="G97" i="17" l="1"/>
  <c r="G20" i="14"/>
  <c r="G20" i="13"/>
  <c r="G150" i="18"/>
  <c r="G150" i="15"/>
  <c r="G213" i="18" l="1"/>
  <c r="G213" i="17"/>
  <c r="G220" i="17"/>
  <c r="G220" i="18"/>
  <c r="G145" i="18"/>
  <c r="G192" i="18"/>
  <c r="G192" i="17"/>
  <c r="G146" i="14"/>
  <c r="G146" i="13"/>
  <c r="G125" i="18"/>
  <c r="G125" i="17"/>
  <c r="G156" i="14"/>
  <c r="G89" i="18"/>
  <c r="G89" i="15"/>
  <c r="G42" i="15"/>
  <c r="G4" i="8"/>
  <c r="G108" i="15"/>
  <c r="G12" i="8"/>
  <c r="G137" i="18" l="1"/>
  <c r="G137" i="17"/>
  <c r="G165" i="17"/>
  <c r="G165" i="18"/>
  <c r="G53" i="13"/>
  <c r="G121" i="18" l="1"/>
  <c r="G121" i="17"/>
  <c r="G46" i="15" l="1"/>
  <c r="G10" i="15"/>
  <c r="G10" i="18"/>
  <c r="G135" i="18"/>
  <c r="G135" i="17"/>
  <c r="G39" i="17"/>
  <c r="G39" i="18"/>
  <c r="G64" i="18"/>
  <c r="G64" i="15"/>
  <c r="G188" i="15"/>
  <c r="G58" i="18"/>
  <c r="G58" i="17"/>
  <c r="G24" i="15"/>
  <c r="G24" i="17"/>
  <c r="G119" i="18"/>
  <c r="G119" i="17"/>
  <c r="G88" i="17"/>
  <c r="G88" i="18"/>
  <c r="G43" i="18"/>
  <c r="G43" i="17"/>
  <c r="G11" i="17"/>
  <c r="G11" i="18"/>
  <c r="G117" i="18"/>
  <c r="G117" i="17"/>
  <c r="G153" i="18"/>
  <c r="G153" i="17"/>
  <c r="G201" i="17"/>
  <c r="G201" i="18"/>
  <c r="G71" i="18"/>
  <c r="G71" i="17"/>
  <c r="G129" i="17"/>
  <c r="G129" i="18"/>
  <c r="G209" i="18"/>
  <c r="G48" i="17"/>
  <c r="G48" i="18"/>
  <c r="G105" i="18"/>
  <c r="G105" i="17"/>
  <c r="G51" i="17"/>
  <c r="G51" i="18"/>
  <c r="G61" i="18"/>
  <c r="G61" i="17"/>
  <c r="G124" i="17"/>
  <c r="G124" i="18"/>
  <c r="G82" i="18" l="1"/>
  <c r="G82" i="17"/>
  <c r="G222" i="18"/>
  <c r="G176" i="18" l="1"/>
  <c r="G23" i="17"/>
  <c r="G106" i="18"/>
  <c r="G106" i="17"/>
  <c r="G74" i="17"/>
  <c r="G74" i="18"/>
  <c r="G34" i="17"/>
  <c r="G34" i="15"/>
  <c r="G115" i="18"/>
  <c r="G115" i="17"/>
  <c r="G98" i="17"/>
  <c r="G37" i="17"/>
  <c r="G37" i="18"/>
  <c r="G139" i="17"/>
  <c r="G139" i="18"/>
  <c r="G202" i="14"/>
  <c r="G79" i="18"/>
  <c r="G33" i="17"/>
  <c r="G33" i="18"/>
  <c r="G17" i="18"/>
  <c r="G17" i="17"/>
  <c r="G176" i="17"/>
  <c r="G87" i="18"/>
  <c r="G66" i="17"/>
  <c r="G96" i="17"/>
  <c r="G96" i="18"/>
  <c r="G200" i="18"/>
  <c r="G200" i="15"/>
  <c r="G123" i="17"/>
  <c r="G123" i="18"/>
  <c r="G92" i="14"/>
  <c r="G7" i="15"/>
  <c r="G85" i="18"/>
  <c r="G85" i="17"/>
  <c r="G121" i="15"/>
  <c r="G72" i="18"/>
  <c r="G72" i="15"/>
  <c r="G26" i="9"/>
  <c r="G198" i="14"/>
  <c r="G45" i="9"/>
  <c r="G31" i="18"/>
  <c r="G31" i="17"/>
  <c r="G27" i="17"/>
  <c r="G27" i="18"/>
  <c r="G16" i="18"/>
  <c r="G16" i="17"/>
  <c r="G180" i="17"/>
  <c r="G180" i="18"/>
  <c r="G128" i="18"/>
  <c r="G128" i="17"/>
  <c r="G164" i="15"/>
  <c r="G164" i="18"/>
  <c r="G44" i="18"/>
  <c r="G44" i="17"/>
  <c r="G49" i="17"/>
  <c r="G49" i="18"/>
  <c r="G52" i="18"/>
  <c r="G52" i="17"/>
  <c r="G194" i="18"/>
  <c r="G194" i="17"/>
  <c r="G62" i="17"/>
  <c r="G62" i="18"/>
  <c r="G82" i="15"/>
  <c r="G102" i="17"/>
  <c r="G143" i="18"/>
  <c r="G143" i="17"/>
  <c r="G76" i="14"/>
  <c r="G32" i="9"/>
  <c r="G209" i="17"/>
  <c r="G207" i="18"/>
  <c r="G77" i="15" l="1"/>
  <c r="G77" i="14"/>
  <c r="G140" i="14"/>
  <c r="G140" i="15"/>
  <c r="G50" i="18"/>
  <c r="G50" i="17"/>
  <c r="G218" i="17"/>
  <c r="G218" i="18"/>
  <c r="G81" i="18"/>
  <c r="G81" i="17"/>
  <c r="G41" i="15"/>
  <c r="G41" i="18"/>
  <c r="G158" i="17"/>
  <c r="G158" i="18"/>
  <c r="G100" i="18" l="1"/>
  <c r="G100" i="17"/>
  <c r="G32" i="17"/>
  <c r="G32" i="18"/>
  <c r="G212" i="18"/>
  <c r="G212" i="17"/>
  <c r="G117" i="15"/>
  <c r="G44" i="15"/>
  <c r="G18" i="18"/>
  <c r="G18" i="17"/>
  <c r="G86" i="17"/>
  <c r="G86" i="18"/>
  <c r="G190" i="18"/>
  <c r="G190" i="17"/>
  <c r="G13" i="17"/>
  <c r="G13" i="18"/>
  <c r="G28" i="18"/>
  <c r="G28" i="17"/>
  <c r="G110" i="17"/>
  <c r="G110" i="18"/>
  <c r="G35" i="17" l="1"/>
  <c r="G35" i="18"/>
  <c r="G183" i="18"/>
  <c r="G183" i="17"/>
  <c r="G78" i="17"/>
  <c r="G78" i="18"/>
  <c r="G73" i="18"/>
  <c r="G73" i="17"/>
  <c r="G51" i="14" l="1"/>
  <c r="G105" i="14"/>
  <c r="G177" i="17"/>
  <c r="G177" i="18"/>
  <c r="G30" i="18"/>
  <c r="G30" i="17"/>
  <c r="G189" i="17"/>
  <c r="G189" i="18"/>
  <c r="G59" i="18"/>
  <c r="G59" i="17"/>
  <c r="G87" i="17"/>
  <c r="G45" i="17"/>
  <c r="G45" i="18"/>
  <c r="G111" i="18"/>
  <c r="G111" i="17"/>
  <c r="G17" i="9" l="1"/>
  <c r="F3" i="18"/>
  <c r="H3" i="18" s="1"/>
  <c r="F4" i="18"/>
  <c r="G4" i="18"/>
  <c r="F5" i="18"/>
  <c r="H5" i="18" s="1"/>
  <c r="F6" i="18"/>
  <c r="F7" i="18"/>
  <c r="H7" i="18" s="1"/>
  <c r="F8" i="18"/>
  <c r="H8" i="18" s="1"/>
  <c r="F9" i="18"/>
  <c r="H9" i="18" s="1"/>
  <c r="F10" i="18"/>
  <c r="H10" i="18" s="1"/>
  <c r="F11" i="18"/>
  <c r="H11" i="18" s="1"/>
  <c r="F12" i="18"/>
  <c r="H12" i="18"/>
  <c r="F13" i="18"/>
  <c r="H13" i="18" s="1"/>
  <c r="F14" i="18"/>
  <c r="H14" i="18" s="1"/>
  <c r="F15" i="18"/>
  <c r="H15" i="18" s="1"/>
  <c r="F16" i="18"/>
  <c r="H16" i="18" s="1"/>
  <c r="F17" i="18"/>
  <c r="H17" i="18" s="1"/>
  <c r="F18" i="18"/>
  <c r="H18" i="18" s="1"/>
  <c r="F19" i="18"/>
  <c r="H19" i="18" s="1"/>
  <c r="F20" i="18"/>
  <c r="H20" i="18" s="1"/>
  <c r="F21" i="18"/>
  <c r="H21" i="18" s="1"/>
  <c r="F22" i="18"/>
  <c r="H22" i="18" s="1"/>
  <c r="F23" i="18"/>
  <c r="F24" i="18"/>
  <c r="H24" i="18" s="1"/>
  <c r="F25" i="18"/>
  <c r="H25" i="18" s="1"/>
  <c r="F26" i="18"/>
  <c r="H26" i="18" s="1"/>
  <c r="F27" i="18"/>
  <c r="H27" i="18" s="1"/>
  <c r="F28" i="18"/>
  <c r="H28" i="18" s="1"/>
  <c r="F29" i="18"/>
  <c r="H29" i="18" s="1"/>
  <c r="F30" i="18"/>
  <c r="H30" i="18" s="1"/>
  <c r="F31" i="18"/>
  <c r="H31" i="18" s="1"/>
  <c r="F32" i="18"/>
  <c r="H32" i="18" s="1"/>
  <c r="F33" i="18"/>
  <c r="H33" i="18" s="1"/>
  <c r="F34" i="18"/>
  <c r="F35" i="18"/>
  <c r="H35" i="18" s="1"/>
  <c r="F36" i="18"/>
  <c r="H36" i="18"/>
  <c r="F37" i="18"/>
  <c r="H37" i="18" s="1"/>
  <c r="F38" i="18"/>
  <c r="H38" i="18" s="1"/>
  <c r="F39" i="18"/>
  <c r="H39" i="18" s="1"/>
  <c r="F40" i="18"/>
  <c r="H40" i="18" s="1"/>
  <c r="F41" i="18"/>
  <c r="H41" i="18" s="1"/>
  <c r="F42" i="18"/>
  <c r="H42" i="18" s="1"/>
  <c r="F43" i="18"/>
  <c r="H43" i="18" s="1"/>
  <c r="F44" i="18"/>
  <c r="H44" i="18" s="1"/>
  <c r="F45" i="18"/>
  <c r="H45" i="18" s="1"/>
  <c r="F46" i="18"/>
  <c r="H46" i="18" s="1"/>
  <c r="F47" i="18"/>
  <c r="H47" i="18" s="1"/>
  <c r="F48" i="18"/>
  <c r="H48" i="18" s="1"/>
  <c r="F49" i="18"/>
  <c r="H49" i="18" s="1"/>
  <c r="F50" i="18"/>
  <c r="H50" i="18" s="1"/>
  <c r="F51" i="18"/>
  <c r="H51" i="18" s="1"/>
  <c r="F52" i="18"/>
  <c r="H52" i="18"/>
  <c r="F53" i="18"/>
  <c r="F54" i="18"/>
  <c r="H54" i="18" s="1"/>
  <c r="F55" i="18"/>
  <c r="H55" i="18" s="1"/>
  <c r="F56" i="18"/>
  <c r="H56" i="18" s="1"/>
  <c r="F57" i="18"/>
  <c r="H57" i="18" s="1"/>
  <c r="F58" i="18"/>
  <c r="H58" i="18" s="1"/>
  <c r="F59" i="18"/>
  <c r="H59" i="18" s="1"/>
  <c r="F60" i="18"/>
  <c r="H60" i="18" s="1"/>
  <c r="F61" i="18"/>
  <c r="H61" i="18" s="1"/>
  <c r="F62" i="18"/>
  <c r="H62" i="18" s="1"/>
  <c r="F63" i="18"/>
  <c r="G63" i="18"/>
  <c r="H63" i="18"/>
  <c r="F64" i="18"/>
  <c r="H64" i="18"/>
  <c r="F65" i="18"/>
  <c r="F66" i="18"/>
  <c r="H66" i="18" s="1"/>
  <c r="F67" i="18"/>
  <c r="H67" i="18" s="1"/>
  <c r="F68" i="18"/>
  <c r="H68" i="18" s="1"/>
  <c r="F69" i="18"/>
  <c r="H69" i="18" s="1"/>
  <c r="F70" i="18"/>
  <c r="H70" i="18" s="1"/>
  <c r="F71" i="18"/>
  <c r="H71" i="18" s="1"/>
  <c r="F72" i="18"/>
  <c r="H72" i="18" s="1"/>
  <c r="F73" i="18"/>
  <c r="H73" i="18" s="1"/>
  <c r="F74" i="18"/>
  <c r="H74" i="18" s="1"/>
  <c r="F75" i="18"/>
  <c r="H75" i="18" s="1"/>
  <c r="F76" i="18"/>
  <c r="H76" i="18" s="1"/>
  <c r="F77" i="18"/>
  <c r="H77" i="18" s="1"/>
  <c r="F78" i="18"/>
  <c r="H78" i="18" s="1"/>
  <c r="F79" i="18"/>
  <c r="H79" i="18"/>
  <c r="F80" i="18"/>
  <c r="H80" i="18" s="1"/>
  <c r="F81" i="18"/>
  <c r="H81" i="18" s="1"/>
  <c r="F82" i="18"/>
  <c r="H82" i="18" s="1"/>
  <c r="F83" i="18"/>
  <c r="H83" i="18" s="1"/>
  <c r="F84" i="18"/>
  <c r="H84" i="18" s="1"/>
  <c r="F85" i="18"/>
  <c r="H85" i="18" s="1"/>
  <c r="F86" i="18"/>
  <c r="H86" i="18" s="1"/>
  <c r="F87" i="18"/>
  <c r="H87" i="18" s="1"/>
  <c r="F88" i="18"/>
  <c r="H88" i="18" s="1"/>
  <c r="F89" i="18"/>
  <c r="H89" i="18" s="1"/>
  <c r="F90" i="18"/>
  <c r="H90" i="18" s="1"/>
  <c r="F91" i="18"/>
  <c r="H91" i="18"/>
  <c r="F92" i="18"/>
  <c r="H92" i="18" s="1"/>
  <c r="F93" i="18"/>
  <c r="H93" i="18" s="1"/>
  <c r="F94" i="18"/>
  <c r="H94" i="18" s="1"/>
  <c r="F95" i="18"/>
  <c r="H95" i="18" s="1"/>
  <c r="F96" i="18"/>
  <c r="H96" i="18" s="1"/>
  <c r="F97" i="18"/>
  <c r="H97" i="18" s="1"/>
  <c r="F98" i="18"/>
  <c r="H98" i="18" s="1"/>
  <c r="F99" i="18"/>
  <c r="H99" i="18" s="1"/>
  <c r="F100" i="18"/>
  <c r="H100" i="18" s="1"/>
  <c r="F101" i="18"/>
  <c r="H101" i="18" s="1"/>
  <c r="F102" i="18"/>
  <c r="F103" i="18"/>
  <c r="H103" i="18" s="1"/>
  <c r="F104" i="18"/>
  <c r="H104" i="18" s="1"/>
  <c r="F105" i="18"/>
  <c r="H105" i="18" s="1"/>
  <c r="F106" i="18"/>
  <c r="H106" i="18" s="1"/>
  <c r="F107" i="18"/>
  <c r="H107" i="18" s="1"/>
  <c r="F108" i="18"/>
  <c r="H108" i="18" s="1"/>
  <c r="F109" i="18"/>
  <c r="H109" i="18" s="1"/>
  <c r="F110" i="18"/>
  <c r="H110" i="18" s="1"/>
  <c r="F111" i="18"/>
  <c r="H111" i="18"/>
  <c r="F112" i="18"/>
  <c r="H112" i="18" s="1"/>
  <c r="F113" i="18"/>
  <c r="H113" i="18" s="1"/>
  <c r="F114" i="18"/>
  <c r="H114" i="18" s="1"/>
  <c r="F115" i="18"/>
  <c r="H115" i="18" s="1"/>
  <c r="F116" i="18"/>
  <c r="H116" i="18" s="1"/>
  <c r="F117" i="18"/>
  <c r="H117" i="18" s="1"/>
  <c r="F118" i="18"/>
  <c r="H118" i="18" s="1"/>
  <c r="F119" i="18"/>
  <c r="H119" i="18" s="1"/>
  <c r="F120" i="18"/>
  <c r="H120" i="18" s="1"/>
  <c r="H121" i="18"/>
  <c r="F122" i="18"/>
  <c r="H122" i="18"/>
  <c r="F123" i="18"/>
  <c r="H123" i="18" s="1"/>
  <c r="F124" i="18"/>
  <c r="H124" i="18" s="1"/>
  <c r="F125" i="18"/>
  <c r="H125" i="18" s="1"/>
  <c r="F126" i="18"/>
  <c r="H126" i="18" s="1"/>
  <c r="F127" i="18"/>
  <c r="H127" i="18" s="1"/>
  <c r="F128" i="18"/>
  <c r="H128" i="18" s="1"/>
  <c r="F129" i="18"/>
  <c r="H129" i="18" s="1"/>
  <c r="F130" i="18"/>
  <c r="H130" i="18"/>
  <c r="F131" i="18"/>
  <c r="H131" i="18" s="1"/>
  <c r="F132" i="18"/>
  <c r="H132" i="18" s="1"/>
  <c r="F133" i="18"/>
  <c r="H133" i="18" s="1"/>
  <c r="F134" i="18"/>
  <c r="H134" i="18" s="1"/>
  <c r="F135" i="18"/>
  <c r="H135" i="18"/>
  <c r="F136" i="18"/>
  <c r="H136" i="18"/>
  <c r="F137" i="18"/>
  <c r="H137" i="18" s="1"/>
  <c r="F138" i="18"/>
  <c r="H138" i="18" s="1"/>
  <c r="F139" i="18"/>
  <c r="H139" i="18" s="1"/>
  <c r="F140" i="18"/>
  <c r="H140" i="18" s="1"/>
  <c r="F141" i="18"/>
  <c r="H141" i="18" s="1"/>
  <c r="F142" i="18"/>
  <c r="H142" i="18"/>
  <c r="F143" i="18"/>
  <c r="H143" i="18" s="1"/>
  <c r="F144" i="18"/>
  <c r="H144" i="18" s="1"/>
  <c r="F145" i="18"/>
  <c r="H145" i="18" s="1"/>
  <c r="F146" i="18"/>
  <c r="H146" i="18" s="1"/>
  <c r="F147" i="18"/>
  <c r="H147" i="18"/>
  <c r="F148" i="18"/>
  <c r="H148" i="18" s="1"/>
  <c r="F149" i="18"/>
  <c r="H149" i="18" s="1"/>
  <c r="F150" i="18"/>
  <c r="H150" i="18" s="1"/>
  <c r="F151" i="18"/>
  <c r="H151" i="18" s="1"/>
  <c r="F152" i="18"/>
  <c r="H152" i="18" s="1"/>
  <c r="F153" i="18"/>
  <c r="H153" i="18" s="1"/>
  <c r="F154" i="18"/>
  <c r="H154" i="18" s="1"/>
  <c r="F155" i="18"/>
  <c r="H155" i="18" s="1"/>
  <c r="F156" i="18"/>
  <c r="H156" i="18" s="1"/>
  <c r="F157" i="18"/>
  <c r="H157" i="18"/>
  <c r="F158" i="18"/>
  <c r="H158" i="18" s="1"/>
  <c r="F159" i="18"/>
  <c r="H159" i="18"/>
  <c r="F160" i="18"/>
  <c r="H160" i="18" s="1"/>
  <c r="F161" i="18"/>
  <c r="H161" i="18" s="1"/>
  <c r="F162" i="18"/>
  <c r="H162" i="18" s="1"/>
  <c r="F163" i="18"/>
  <c r="H163" i="18"/>
  <c r="F164" i="18"/>
  <c r="H164" i="18" s="1"/>
  <c r="F165" i="18"/>
  <c r="H165" i="18" s="1"/>
  <c r="F166" i="18"/>
  <c r="H166" i="18" s="1"/>
  <c r="F167" i="18"/>
  <c r="H167" i="18"/>
  <c r="F168" i="18"/>
  <c r="H168" i="18" s="1"/>
  <c r="F169" i="18"/>
  <c r="H169" i="18" s="1"/>
  <c r="F170" i="18"/>
  <c r="H170" i="18" s="1"/>
  <c r="F171" i="18"/>
  <c r="H171" i="18" s="1"/>
  <c r="F172" i="18"/>
  <c r="H172" i="18" s="1"/>
  <c r="F173" i="18"/>
  <c r="H173" i="18" s="1"/>
  <c r="F174" i="18"/>
  <c r="H174" i="18"/>
  <c r="F175" i="18"/>
  <c r="H175" i="18"/>
  <c r="F176" i="18"/>
  <c r="H176" i="18"/>
  <c r="F177" i="18"/>
  <c r="H177" i="18" s="1"/>
  <c r="F178" i="18"/>
  <c r="H178" i="18" s="1"/>
  <c r="F179" i="18"/>
  <c r="H179" i="18"/>
  <c r="F180" i="18"/>
  <c r="H180" i="18" s="1"/>
  <c r="F181" i="18"/>
  <c r="H181" i="18" s="1"/>
  <c r="F182" i="18"/>
  <c r="F183" i="18"/>
  <c r="H183" i="18" s="1"/>
  <c r="F184" i="18"/>
  <c r="H184" i="18"/>
  <c r="F185" i="18"/>
  <c r="H185" i="18" s="1"/>
  <c r="F186" i="18"/>
  <c r="H186" i="18" s="1"/>
  <c r="F187" i="18"/>
  <c r="H187" i="18"/>
  <c r="F188" i="18"/>
  <c r="H188" i="18" s="1"/>
  <c r="F189" i="18"/>
  <c r="H189" i="18" s="1"/>
  <c r="F190" i="18"/>
  <c r="H190" i="18" s="1"/>
  <c r="F191" i="18"/>
  <c r="H191" i="18" s="1"/>
  <c r="F192" i="18"/>
  <c r="H192" i="18"/>
  <c r="F193" i="18"/>
  <c r="H193" i="18" s="1"/>
  <c r="F194" i="18"/>
  <c r="H194" i="18" s="1"/>
  <c r="F195" i="18"/>
  <c r="H195" i="18"/>
  <c r="F196" i="18"/>
  <c r="H196" i="18" s="1"/>
  <c r="F197" i="18"/>
  <c r="H197" i="18"/>
  <c r="F198" i="18"/>
  <c r="H198" i="18" s="1"/>
  <c r="F199" i="18"/>
  <c r="H199" i="18" s="1"/>
  <c r="F200" i="18"/>
  <c r="H200" i="18" s="1"/>
  <c r="F201" i="18"/>
  <c r="H201" i="18" s="1"/>
  <c r="F202" i="18"/>
  <c r="H202" i="18" s="1"/>
  <c r="F203" i="18"/>
  <c r="H203" i="18" s="1"/>
  <c r="F204" i="18"/>
  <c r="H204" i="18" s="1"/>
  <c r="F205" i="18"/>
  <c r="H205" i="18"/>
  <c r="F206" i="18"/>
  <c r="H206" i="18" s="1"/>
  <c r="F207" i="18"/>
  <c r="H207" i="18"/>
  <c r="F208" i="18"/>
  <c r="H208" i="18" s="1"/>
  <c r="F209" i="18"/>
  <c r="H209" i="18" s="1"/>
  <c r="F210" i="18"/>
  <c r="H210" i="18" s="1"/>
  <c r="F211" i="18"/>
  <c r="H211" i="18" s="1"/>
  <c r="F212" i="18"/>
  <c r="H212" i="18" s="1"/>
  <c r="F213" i="18"/>
  <c r="H213" i="18" s="1"/>
  <c r="F214" i="18"/>
  <c r="H214" i="18" s="1"/>
  <c r="F215" i="18"/>
  <c r="H215" i="18" s="1"/>
  <c r="F216" i="18"/>
  <c r="H216" i="18"/>
  <c r="F217" i="18"/>
  <c r="H217" i="18" s="1"/>
  <c r="F218" i="18"/>
  <c r="H218" i="18" s="1"/>
  <c r="F219" i="18"/>
  <c r="H219" i="18" s="1"/>
  <c r="F220" i="18"/>
  <c r="H220" i="18" s="1"/>
  <c r="F221" i="18"/>
  <c r="H221" i="18"/>
  <c r="F222" i="18"/>
  <c r="H222" i="18"/>
  <c r="F223" i="18"/>
  <c r="H223" i="18" s="1"/>
  <c r="D224" i="18"/>
  <c r="H4" i="18" l="1"/>
  <c r="G53" i="18"/>
  <c r="H53" i="18" s="1"/>
  <c r="G23" i="18"/>
  <c r="G34" i="18"/>
  <c r="H34" i="18" s="1"/>
  <c r="G102" i="18"/>
  <c r="H102" i="18" s="1"/>
  <c r="G182" i="18"/>
  <c r="H182" i="18" s="1"/>
  <c r="H65" i="18"/>
  <c r="H6" i="18"/>
  <c r="F224" i="18"/>
  <c r="G63" i="17"/>
  <c r="G224" i="18" l="1"/>
  <c r="H23" i="18"/>
  <c r="H224" i="18" s="1"/>
  <c r="G85" i="15"/>
  <c r="G139" i="15"/>
  <c r="G189" i="15"/>
  <c r="G111" i="15"/>
  <c r="G154" i="17"/>
  <c r="G154" i="14"/>
  <c r="G50" i="15"/>
  <c r="G153" i="14"/>
  <c r="G65" i="17" l="1"/>
  <c r="G205" i="15"/>
  <c r="G134" i="17"/>
  <c r="G6" i="17"/>
  <c r="G80" i="15" l="1"/>
  <c r="G192" i="15"/>
  <c r="G179" i="13"/>
  <c r="G179" i="17"/>
  <c r="G123" i="15"/>
  <c r="G150" i="13"/>
  <c r="G203" i="15"/>
  <c r="G24" i="14" l="1"/>
  <c r="G52" i="15"/>
  <c r="G201" i="15"/>
  <c r="G109" i="14"/>
  <c r="G28" i="15"/>
  <c r="G17" i="15"/>
  <c r="G18" i="9" l="1"/>
  <c r="G4" i="17"/>
  <c r="G102" i="15"/>
  <c r="G23" i="15" l="1"/>
  <c r="G145" i="17"/>
  <c r="G54" i="15"/>
  <c r="G218" i="15"/>
  <c r="G58" i="15"/>
  <c r="G49" i="15"/>
  <c r="G59" i="15"/>
  <c r="G55" i="15"/>
  <c r="G100" i="15"/>
  <c r="G37" i="15"/>
  <c r="G175" i="15"/>
  <c r="G125" i="15"/>
  <c r="G87" i="15"/>
  <c r="G112" i="17"/>
  <c r="G110" i="15"/>
  <c r="G35" i="15"/>
  <c r="G62" i="14"/>
  <c r="G106" i="15"/>
  <c r="G157" i="14"/>
  <c r="G37" i="9"/>
  <c r="G96" i="15"/>
  <c r="G45" i="15"/>
  <c r="G119" i="15" l="1"/>
  <c r="G43" i="15"/>
  <c r="G88" i="15"/>
  <c r="G73" i="15"/>
  <c r="G183" i="15"/>
  <c r="G212" i="15"/>
  <c r="G26" i="15"/>
  <c r="G78" i="15"/>
  <c r="G207" i="15"/>
  <c r="G187" i="15"/>
  <c r="G174" i="15" l="1"/>
  <c r="G194" i="15"/>
  <c r="G137" i="15"/>
  <c r="G165" i="15"/>
  <c r="G86" i="15"/>
  <c r="G114" i="14"/>
  <c r="G57" i="15"/>
  <c r="G18" i="15"/>
  <c r="G63" i="15"/>
  <c r="G147" i="15"/>
  <c r="G190" i="15"/>
  <c r="G13" i="15"/>
  <c r="G124" i="15"/>
  <c r="G128" i="15" l="1"/>
  <c r="G180" i="15"/>
  <c r="G16" i="15"/>
  <c r="G32" i="15"/>
  <c r="G48" i="15"/>
  <c r="G209" i="15"/>
  <c r="G71" i="15"/>
  <c r="G158" i="15"/>
  <c r="G101" i="17"/>
  <c r="G135" i="15" l="1"/>
  <c r="G39" i="15"/>
  <c r="G74" i="15"/>
  <c r="G113" i="15" l="1"/>
  <c r="G11" i="15"/>
  <c r="G176" i="15"/>
  <c r="G61" i="15"/>
  <c r="G6" i="8"/>
  <c r="G195" i="15"/>
  <c r="G79" i="15"/>
  <c r="G79" i="14"/>
  <c r="G177" i="15"/>
  <c r="G30" i="15"/>
  <c r="G205" i="14"/>
  <c r="G220" i="15"/>
  <c r="G214" i="15"/>
  <c r="G213" i="15"/>
  <c r="G141" i="15"/>
  <c r="F3" i="17"/>
  <c r="H3" i="17"/>
  <c r="F4" i="17"/>
  <c r="H4" i="17"/>
  <c r="F5" i="17"/>
  <c r="H5" i="17" s="1"/>
  <c r="F6" i="17"/>
  <c r="H6" i="17" s="1"/>
  <c r="F7" i="17"/>
  <c r="H7" i="17"/>
  <c r="F8" i="17"/>
  <c r="H8" i="17" s="1"/>
  <c r="F9" i="17"/>
  <c r="F224" i="17" s="1"/>
  <c r="F10" i="17"/>
  <c r="G10" i="17" s="1"/>
  <c r="H10" i="17"/>
  <c r="F11" i="17"/>
  <c r="H11" i="17" s="1"/>
  <c r="F12" i="17"/>
  <c r="H12" i="17" s="1"/>
  <c r="F13" i="17"/>
  <c r="H13" i="17" s="1"/>
  <c r="F14" i="17"/>
  <c r="H14" i="17" s="1"/>
  <c r="F15" i="17"/>
  <c r="H15" i="17"/>
  <c r="F16" i="17"/>
  <c r="H16" i="17" s="1"/>
  <c r="F17" i="17"/>
  <c r="H17" i="17"/>
  <c r="F18" i="17"/>
  <c r="H18" i="17"/>
  <c r="F19" i="17"/>
  <c r="H19" i="17"/>
  <c r="F20" i="17"/>
  <c r="G20" i="17" s="1"/>
  <c r="H20" i="17"/>
  <c r="F21" i="17"/>
  <c r="H21" i="17" s="1"/>
  <c r="F22" i="17"/>
  <c r="H22" i="17" s="1"/>
  <c r="F23" i="17"/>
  <c r="H23" i="17"/>
  <c r="F24" i="17"/>
  <c r="H24" i="17" s="1"/>
  <c r="F25" i="17"/>
  <c r="H25" i="17"/>
  <c r="F26" i="17"/>
  <c r="H26" i="17"/>
  <c r="F27" i="17"/>
  <c r="H27" i="17"/>
  <c r="F28" i="17"/>
  <c r="H28" i="17" s="1"/>
  <c r="F29" i="17"/>
  <c r="H29" i="17" s="1"/>
  <c r="F30" i="17"/>
  <c r="H30" i="17" s="1"/>
  <c r="F31" i="17"/>
  <c r="H31" i="17" s="1"/>
  <c r="F32" i="17"/>
  <c r="H32" i="17" s="1"/>
  <c r="F33" i="17"/>
  <c r="H33" i="17" s="1"/>
  <c r="F34" i="17"/>
  <c r="H34" i="17" s="1"/>
  <c r="F35" i="17"/>
  <c r="H35" i="17"/>
  <c r="F36" i="17"/>
  <c r="H36" i="17"/>
  <c r="F37" i="17"/>
  <c r="H37" i="17" s="1"/>
  <c r="F38" i="17"/>
  <c r="H38" i="17" s="1"/>
  <c r="F39" i="17"/>
  <c r="H39" i="17" s="1"/>
  <c r="F40" i="17"/>
  <c r="H40" i="17" s="1"/>
  <c r="F41" i="17"/>
  <c r="F42" i="17"/>
  <c r="H42" i="17" s="1"/>
  <c r="F43" i="17"/>
  <c r="H43" i="17" s="1"/>
  <c r="F44" i="17"/>
  <c r="H44" i="17" s="1"/>
  <c r="F45" i="17"/>
  <c r="H45" i="17" s="1"/>
  <c r="F46" i="17"/>
  <c r="H46" i="17" s="1"/>
  <c r="F47" i="17"/>
  <c r="H47" i="17" s="1"/>
  <c r="F48" i="17"/>
  <c r="H48" i="17" s="1"/>
  <c r="F49" i="17"/>
  <c r="H49" i="17"/>
  <c r="F50" i="17"/>
  <c r="H50" i="17" s="1"/>
  <c r="F51" i="17"/>
  <c r="H51" i="17"/>
  <c r="F52" i="17"/>
  <c r="H52" i="17"/>
  <c r="F53" i="17"/>
  <c r="F54" i="17"/>
  <c r="H54" i="17" s="1"/>
  <c r="F55" i="17"/>
  <c r="H55" i="17" s="1"/>
  <c r="F56" i="17"/>
  <c r="H56" i="17"/>
  <c r="F57" i="17"/>
  <c r="H57" i="17"/>
  <c r="F58" i="17"/>
  <c r="H58" i="17"/>
  <c r="F59" i="17"/>
  <c r="H59" i="17"/>
  <c r="F60" i="17"/>
  <c r="H60" i="17"/>
  <c r="F61" i="17"/>
  <c r="F62" i="17"/>
  <c r="H62" i="17" s="1"/>
  <c r="F63" i="17"/>
  <c r="H63" i="17" s="1"/>
  <c r="F64" i="17"/>
  <c r="G64" i="17" s="1"/>
  <c r="H64" i="17"/>
  <c r="F65" i="17"/>
  <c r="H65" i="17" s="1"/>
  <c r="F66" i="17"/>
  <c r="H66" i="17" s="1"/>
  <c r="F67" i="17"/>
  <c r="H67" i="17" s="1"/>
  <c r="F68" i="17"/>
  <c r="H68" i="17"/>
  <c r="F69" i="17"/>
  <c r="H69" i="17" s="1"/>
  <c r="F70" i="17"/>
  <c r="H70" i="17"/>
  <c r="F71" i="17"/>
  <c r="H71" i="17" s="1"/>
  <c r="F72" i="17"/>
  <c r="F73" i="17"/>
  <c r="H73" i="17" s="1"/>
  <c r="F74" i="17"/>
  <c r="H74" i="17"/>
  <c r="F75" i="17"/>
  <c r="H75" i="17" s="1"/>
  <c r="F76" i="17"/>
  <c r="H76" i="17" s="1"/>
  <c r="F77" i="17"/>
  <c r="H77" i="17" s="1"/>
  <c r="F78" i="17"/>
  <c r="H78" i="17" s="1"/>
  <c r="F79" i="17"/>
  <c r="G79" i="17" s="1"/>
  <c r="H79" i="17" s="1"/>
  <c r="F80" i="17"/>
  <c r="H80" i="17" s="1"/>
  <c r="F81" i="17"/>
  <c r="H81" i="17" s="1"/>
  <c r="F82" i="17"/>
  <c r="H82" i="17" s="1"/>
  <c r="F83" i="17"/>
  <c r="H83" i="17" s="1"/>
  <c r="F84" i="17"/>
  <c r="H84" i="17" s="1"/>
  <c r="F85" i="17"/>
  <c r="H85" i="17" s="1"/>
  <c r="F86" i="17"/>
  <c r="H86" i="17"/>
  <c r="F87" i="17"/>
  <c r="H87" i="17"/>
  <c r="F88" i="17"/>
  <c r="H88" i="17" s="1"/>
  <c r="F89" i="17"/>
  <c r="G89" i="17" s="1"/>
  <c r="H89" i="17"/>
  <c r="F90" i="17"/>
  <c r="H90" i="17" s="1"/>
  <c r="F91" i="17"/>
  <c r="H91" i="17" s="1"/>
  <c r="F92" i="17"/>
  <c r="H92" i="17" s="1"/>
  <c r="F93" i="17"/>
  <c r="H93" i="17" s="1"/>
  <c r="F94" i="17"/>
  <c r="H94" i="17" s="1"/>
  <c r="F95" i="17"/>
  <c r="H95" i="17"/>
  <c r="F96" i="17"/>
  <c r="H96" i="17"/>
  <c r="F97" i="17"/>
  <c r="H97" i="17" s="1"/>
  <c r="F98" i="17"/>
  <c r="H98" i="17" s="1"/>
  <c r="F99" i="17"/>
  <c r="H99" i="17"/>
  <c r="F100" i="17"/>
  <c r="H100" i="17" s="1"/>
  <c r="F101" i="17"/>
  <c r="H101" i="17" s="1"/>
  <c r="F102" i="17"/>
  <c r="H102" i="17" s="1"/>
  <c r="F103" i="17"/>
  <c r="H103" i="17"/>
  <c r="F104" i="17"/>
  <c r="H104" i="17" s="1"/>
  <c r="F105" i="17"/>
  <c r="H105" i="17" s="1"/>
  <c r="F106" i="17"/>
  <c r="H106" i="17" s="1"/>
  <c r="F107" i="17"/>
  <c r="H107" i="17" s="1"/>
  <c r="F108" i="17"/>
  <c r="H108" i="17" s="1"/>
  <c r="F109" i="17"/>
  <c r="H109" i="17" s="1"/>
  <c r="F110" i="17"/>
  <c r="H110" i="17" s="1"/>
  <c r="F111" i="17"/>
  <c r="H111" i="17"/>
  <c r="F112" i="17"/>
  <c r="H112" i="17" s="1"/>
  <c r="F113" i="17"/>
  <c r="H113" i="17" s="1"/>
  <c r="F114" i="17"/>
  <c r="H114" i="17" s="1"/>
  <c r="F115" i="17"/>
  <c r="H115" i="17"/>
  <c r="F116" i="17"/>
  <c r="H116" i="17" s="1"/>
  <c r="F117" i="17"/>
  <c r="H117" i="17"/>
  <c r="F118" i="17"/>
  <c r="H118" i="17" s="1"/>
  <c r="F119" i="17"/>
  <c r="H119" i="17" s="1"/>
  <c r="F120" i="17"/>
  <c r="H120" i="17" s="1"/>
  <c r="F121" i="17"/>
  <c r="H121" i="17" s="1"/>
  <c r="F122" i="17"/>
  <c r="H122" i="17" s="1"/>
  <c r="F123" i="17"/>
  <c r="H123" i="17" s="1"/>
  <c r="F124" i="17"/>
  <c r="H124" i="17" s="1"/>
  <c r="F125" i="17"/>
  <c r="H125" i="17" s="1"/>
  <c r="F126" i="17"/>
  <c r="H126" i="17"/>
  <c r="F127" i="17"/>
  <c r="H127" i="17" s="1"/>
  <c r="F128" i="17"/>
  <c r="H128" i="17" s="1"/>
  <c r="F129" i="17"/>
  <c r="H129" i="17" s="1"/>
  <c r="F130" i="17"/>
  <c r="H130" i="17" s="1"/>
  <c r="F131" i="17"/>
  <c r="H131" i="17" s="1"/>
  <c r="F132" i="17"/>
  <c r="H132" i="17" s="1"/>
  <c r="F133" i="17"/>
  <c r="H133" i="17" s="1"/>
  <c r="F134" i="17"/>
  <c r="H134" i="17"/>
  <c r="F135" i="17"/>
  <c r="H135" i="17" s="1"/>
  <c r="F136" i="17"/>
  <c r="H136" i="17" s="1"/>
  <c r="F137" i="17"/>
  <c r="H137" i="17"/>
  <c r="F138" i="17"/>
  <c r="H138" i="17"/>
  <c r="F139" i="17"/>
  <c r="H139" i="17" s="1"/>
  <c r="F140" i="17"/>
  <c r="H140" i="17" s="1"/>
  <c r="F141" i="17"/>
  <c r="G141" i="17" s="1"/>
  <c r="F142" i="17"/>
  <c r="H142" i="17" s="1"/>
  <c r="F143" i="17"/>
  <c r="H143" i="17" s="1"/>
  <c r="F144" i="17"/>
  <c r="H144" i="17" s="1"/>
  <c r="F145" i="17"/>
  <c r="H145" i="17"/>
  <c r="F146" i="17"/>
  <c r="H146" i="17" s="1"/>
  <c r="F147" i="17"/>
  <c r="H147" i="17" s="1"/>
  <c r="F148" i="17"/>
  <c r="H148" i="17"/>
  <c r="F149" i="17"/>
  <c r="H149" i="17"/>
  <c r="F150" i="17"/>
  <c r="F151" i="17"/>
  <c r="H151" i="17" s="1"/>
  <c r="F152" i="17"/>
  <c r="H152" i="17" s="1"/>
  <c r="F153" i="17"/>
  <c r="H153" i="17"/>
  <c r="F154" i="17"/>
  <c r="H154" i="17" s="1"/>
  <c r="F155" i="17"/>
  <c r="H155" i="17" s="1"/>
  <c r="F156" i="17"/>
  <c r="H156" i="17"/>
  <c r="F157" i="17"/>
  <c r="H157" i="17" s="1"/>
  <c r="F158" i="17"/>
  <c r="H158" i="17" s="1"/>
  <c r="F159" i="17"/>
  <c r="H159" i="17" s="1"/>
  <c r="F160" i="17"/>
  <c r="H160" i="17" s="1"/>
  <c r="F161" i="17"/>
  <c r="H161" i="17"/>
  <c r="F162" i="17"/>
  <c r="H162" i="17" s="1"/>
  <c r="F163" i="17"/>
  <c r="H163" i="17" s="1"/>
  <c r="F164" i="17"/>
  <c r="G164" i="17" s="1"/>
  <c r="F165" i="17"/>
  <c r="H165" i="17"/>
  <c r="F166" i="17"/>
  <c r="H166" i="17" s="1"/>
  <c r="F167" i="17"/>
  <c r="H167" i="17" s="1"/>
  <c r="F168" i="17"/>
  <c r="H168" i="17" s="1"/>
  <c r="F169" i="17"/>
  <c r="H169" i="17" s="1"/>
  <c r="F170" i="17"/>
  <c r="H170" i="17" s="1"/>
  <c r="F171" i="17"/>
  <c r="H171" i="17" s="1"/>
  <c r="F172" i="17"/>
  <c r="H172" i="17"/>
  <c r="F173" i="17"/>
  <c r="H173" i="17" s="1"/>
  <c r="F174" i="17"/>
  <c r="H174" i="17" s="1"/>
  <c r="F175" i="17"/>
  <c r="H175" i="17" s="1"/>
  <c r="F176" i="17"/>
  <c r="H176" i="17" s="1"/>
  <c r="F177" i="17"/>
  <c r="H177" i="17"/>
  <c r="F178" i="17"/>
  <c r="H178" i="17" s="1"/>
  <c r="F179" i="17"/>
  <c r="H179" i="17" s="1"/>
  <c r="F180" i="17"/>
  <c r="H180" i="17"/>
  <c r="F181" i="17"/>
  <c r="H181" i="17"/>
  <c r="F182" i="17"/>
  <c r="G182" i="17" s="1"/>
  <c r="F183" i="17"/>
  <c r="H183" i="17" s="1"/>
  <c r="F184" i="17"/>
  <c r="H184" i="17" s="1"/>
  <c r="F185" i="17"/>
  <c r="H185" i="17" s="1"/>
  <c r="F186" i="17"/>
  <c r="H186" i="17"/>
  <c r="F187" i="17"/>
  <c r="H187" i="17" s="1"/>
  <c r="F188" i="17"/>
  <c r="H188" i="17"/>
  <c r="F189" i="17"/>
  <c r="H189" i="17" s="1"/>
  <c r="F190" i="17"/>
  <c r="H190" i="17" s="1"/>
  <c r="F191" i="17"/>
  <c r="H191" i="17" s="1"/>
  <c r="F192" i="17"/>
  <c r="H192" i="17" s="1"/>
  <c r="F193" i="17"/>
  <c r="H193" i="17" s="1"/>
  <c r="F194" i="17"/>
  <c r="H194" i="17" s="1"/>
  <c r="F195" i="17"/>
  <c r="H195" i="17" s="1"/>
  <c r="F196" i="17"/>
  <c r="H196" i="17"/>
  <c r="F197" i="17"/>
  <c r="H197" i="17" s="1"/>
  <c r="F198" i="17"/>
  <c r="H198" i="17"/>
  <c r="F199" i="17"/>
  <c r="H199" i="17" s="1"/>
  <c r="F200" i="17"/>
  <c r="F201" i="17"/>
  <c r="H201" i="17" s="1"/>
  <c r="F202" i="17"/>
  <c r="H202" i="17" s="1"/>
  <c r="F203" i="17"/>
  <c r="H203" i="17" s="1"/>
  <c r="F204" i="17"/>
  <c r="H204" i="17"/>
  <c r="F205" i="17"/>
  <c r="H205" i="17" s="1"/>
  <c r="F206" i="17"/>
  <c r="H206" i="17"/>
  <c r="F207" i="17"/>
  <c r="H207" i="17" s="1"/>
  <c r="F208" i="17"/>
  <c r="H208" i="17" s="1"/>
  <c r="F209" i="17"/>
  <c r="H209" i="17" s="1"/>
  <c r="F210" i="17"/>
  <c r="F211" i="17"/>
  <c r="H211" i="17"/>
  <c r="F212" i="17"/>
  <c r="H212" i="17"/>
  <c r="F213" i="17"/>
  <c r="H213" i="17" s="1"/>
  <c r="F214" i="17"/>
  <c r="H214" i="17" s="1"/>
  <c r="F215" i="17"/>
  <c r="H215" i="17" s="1"/>
  <c r="F216" i="17"/>
  <c r="H216" i="17" s="1"/>
  <c r="F217" i="17"/>
  <c r="H217" i="17" s="1"/>
  <c r="F218" i="17"/>
  <c r="H218" i="17" s="1"/>
  <c r="F219" i="17"/>
  <c r="H219" i="17"/>
  <c r="F220" i="17"/>
  <c r="H220" i="17"/>
  <c r="F221" i="17"/>
  <c r="H221" i="17" s="1"/>
  <c r="F222" i="17"/>
  <c r="F223" i="17"/>
  <c r="H223" i="17" s="1"/>
  <c r="D224" i="17"/>
  <c r="G72" i="17" l="1"/>
  <c r="H72" i="17" s="1"/>
  <c r="G41" i="17"/>
  <c r="G224" i="17" s="1"/>
  <c r="G226" i="17" s="1"/>
  <c r="H222" i="17"/>
  <c r="G222" i="17"/>
  <c r="G210" i="17"/>
  <c r="H210" i="17" s="1"/>
  <c r="G150" i="17"/>
  <c r="H150" i="17" s="1"/>
  <c r="H9" i="17"/>
  <c r="G53" i="17"/>
  <c r="H53" i="17" s="1"/>
  <c r="G200" i="17"/>
  <c r="H200" i="17" s="1"/>
  <c r="H164" i="17"/>
  <c r="H141" i="17"/>
  <c r="H61" i="17"/>
  <c r="H182" i="17"/>
  <c r="H41" i="17" l="1"/>
  <c r="H224" i="17"/>
  <c r="G65" i="15"/>
  <c r="G115" i="15"/>
  <c r="G15" i="9" l="1"/>
  <c r="G23" i="14" l="1"/>
  <c r="G24" i="9"/>
  <c r="G77" i="13"/>
  <c r="G189" i="14"/>
  <c r="G140" i="13"/>
  <c r="G201" i="14"/>
  <c r="G166" i="14" l="1"/>
  <c r="G105" i="13"/>
  <c r="G76" i="13" l="1"/>
  <c r="G66" i="15"/>
  <c r="G81" i="15"/>
  <c r="G24" i="8" l="1"/>
  <c r="G80" i="14"/>
  <c r="G143" i="14"/>
  <c r="G4" i="15"/>
  <c r="G220" i="14" l="1"/>
  <c r="G213" i="14"/>
  <c r="G50" i="13" l="1"/>
  <c r="G45" i="14"/>
  <c r="G170" i="14"/>
  <c r="G28" i="14"/>
  <c r="G203" i="14"/>
  <c r="G27" i="15" l="1"/>
  <c r="G162" i="14" l="1"/>
  <c r="G24" i="13"/>
  <c r="G106" i="14"/>
  <c r="G7" i="9"/>
  <c r="G87" i="14"/>
  <c r="G28" i="13" l="1"/>
  <c r="G218" i="13"/>
  <c r="G139" i="14"/>
  <c r="G18" i="14"/>
  <c r="G145" i="15"/>
  <c r="G145" i="14" l="1"/>
  <c r="F145" i="14"/>
  <c r="G49" i="14" l="1"/>
  <c r="G89" i="13"/>
  <c r="G160" i="14" l="1"/>
  <c r="G78" i="14"/>
  <c r="G207" i="14"/>
  <c r="G180" i="14"/>
  <c r="G128" i="14"/>
  <c r="G16" i="14"/>
  <c r="G109" i="13"/>
  <c r="G46" i="9"/>
  <c r="G118" i="15"/>
  <c r="G118" i="14"/>
  <c r="G189" i="13"/>
  <c r="G25" i="9" l="1"/>
  <c r="G147" i="14"/>
  <c r="G57" i="14"/>
  <c r="G154" i="13"/>
  <c r="G121" i="14"/>
  <c r="G117" i="14"/>
  <c r="G177" i="14"/>
  <c r="G23" i="9"/>
  <c r="G86" i="14"/>
  <c r="G111" i="13"/>
  <c r="G87" i="13"/>
  <c r="G192" i="14"/>
  <c r="G32" i="14"/>
  <c r="G6" i="9"/>
  <c r="G85" i="14"/>
  <c r="G102" i="14"/>
  <c r="G159" i="15" l="1"/>
  <c r="G52" i="14" l="1"/>
  <c r="G129" i="14"/>
  <c r="G58" i="14" l="1"/>
  <c r="G141" i="14"/>
  <c r="G36" i="9"/>
  <c r="G110" i="14"/>
  <c r="G35" i="14"/>
  <c r="G8" i="8"/>
  <c r="G54" i="14"/>
  <c r="G195" i="14"/>
  <c r="G203" i="13"/>
  <c r="G88" i="14"/>
  <c r="G119" i="14"/>
  <c r="G43" i="14" l="1"/>
  <c r="G113" i="14"/>
  <c r="G4" i="14"/>
  <c r="G143" i="13"/>
  <c r="G194" i="14"/>
  <c r="G174" i="14"/>
  <c r="G37" i="14"/>
  <c r="G212" i="14"/>
  <c r="G123" i="14"/>
  <c r="G15" i="8"/>
  <c r="G27" i="14" l="1"/>
  <c r="G14" i="9" l="1"/>
  <c r="G190" i="14"/>
  <c r="G13" i="14"/>
  <c r="G209" i="14"/>
  <c r="G71" i="14"/>
  <c r="G61" i="14"/>
  <c r="G205" i="13"/>
  <c r="G213" i="13"/>
  <c r="G220" i="13"/>
  <c r="G39" i="14"/>
  <c r="G135" i="14"/>
  <c r="G31" i="14"/>
  <c r="G48" i="14"/>
  <c r="G17" i="13"/>
  <c r="G41" i="13"/>
  <c r="G66" i="14"/>
  <c r="G59" i="14"/>
  <c r="G165" i="14"/>
  <c r="G137" i="14"/>
  <c r="G125" i="14" l="1"/>
  <c r="G73" i="14"/>
  <c r="G183" i="14"/>
  <c r="G11" i="14"/>
  <c r="G124" i="14"/>
  <c r="G106" i="13" l="1"/>
  <c r="G23" i="8"/>
  <c r="G11" i="8" l="1"/>
  <c r="G32" i="13" l="1"/>
  <c r="G176" i="13"/>
  <c r="G78" i="13"/>
  <c r="G207" i="13"/>
  <c r="G134" i="14" l="1"/>
  <c r="G6" i="14"/>
  <c r="G31" i="13"/>
  <c r="G74" i="14"/>
  <c r="G81" i="13"/>
  <c r="G4" i="9"/>
  <c r="G41" i="9"/>
  <c r="G128" i="13"/>
  <c r="G31" i="9"/>
  <c r="G192" i="13"/>
  <c r="G100" i="14"/>
  <c r="G139" i="13"/>
  <c r="G96" i="14"/>
  <c r="G47" i="15"/>
  <c r="G47" i="14"/>
  <c r="G166" i="13"/>
  <c r="G62" i="13" l="1"/>
  <c r="G158" i="14"/>
  <c r="G45" i="13"/>
  <c r="G49" i="13"/>
  <c r="G57" i="13"/>
  <c r="G147" i="13"/>
  <c r="G160" i="13"/>
  <c r="D224" i="15" l="1"/>
  <c r="F223" i="15"/>
  <c r="H223" i="15" s="1"/>
  <c r="F222" i="15"/>
  <c r="F221" i="15"/>
  <c r="H221" i="15" s="1"/>
  <c r="F220" i="15"/>
  <c r="H220" i="15" s="1"/>
  <c r="F219" i="15"/>
  <c r="H219" i="15" s="1"/>
  <c r="F218" i="15"/>
  <c r="H218" i="15" s="1"/>
  <c r="F217" i="15"/>
  <c r="H217" i="15" s="1"/>
  <c r="F216" i="15"/>
  <c r="H216" i="15" s="1"/>
  <c r="F215" i="15"/>
  <c r="H215" i="15" s="1"/>
  <c r="F214" i="15"/>
  <c r="H214" i="15" s="1"/>
  <c r="F213" i="15"/>
  <c r="H213" i="15" s="1"/>
  <c r="F212" i="15"/>
  <c r="H212" i="15" s="1"/>
  <c r="F211" i="15"/>
  <c r="H211" i="15" s="1"/>
  <c r="F210" i="15"/>
  <c r="F209" i="15"/>
  <c r="H209" i="15" s="1"/>
  <c r="F208" i="15"/>
  <c r="F207" i="15"/>
  <c r="H207" i="15" s="1"/>
  <c r="F206" i="15"/>
  <c r="H206" i="15" s="1"/>
  <c r="F205" i="15"/>
  <c r="H205" i="15" s="1"/>
  <c r="F204" i="15"/>
  <c r="H204" i="15" s="1"/>
  <c r="F203" i="15"/>
  <c r="H203" i="15" s="1"/>
  <c r="F202" i="15"/>
  <c r="F201" i="15"/>
  <c r="H201" i="15" s="1"/>
  <c r="F200" i="15"/>
  <c r="H200" i="15" s="1"/>
  <c r="F199" i="15"/>
  <c r="H199" i="15" s="1"/>
  <c r="F198" i="15"/>
  <c r="H198" i="15" s="1"/>
  <c r="F197" i="15"/>
  <c r="H197" i="15" s="1"/>
  <c r="F196" i="15"/>
  <c r="H196" i="15" s="1"/>
  <c r="F195" i="15"/>
  <c r="H195" i="15" s="1"/>
  <c r="F194" i="15"/>
  <c r="H194" i="15" s="1"/>
  <c r="F193" i="15"/>
  <c r="H193" i="15" s="1"/>
  <c r="F192" i="15"/>
  <c r="H192" i="15" s="1"/>
  <c r="F191" i="15"/>
  <c r="H191" i="15" s="1"/>
  <c r="F190" i="15"/>
  <c r="H190" i="15" s="1"/>
  <c r="F189" i="15"/>
  <c r="H189" i="15" s="1"/>
  <c r="F188" i="15"/>
  <c r="H188" i="15" s="1"/>
  <c r="F187" i="15"/>
  <c r="H187" i="15" s="1"/>
  <c r="F186" i="15"/>
  <c r="F185" i="15"/>
  <c r="H185" i="15" s="1"/>
  <c r="F184" i="15"/>
  <c r="H184" i="15" s="1"/>
  <c r="F183" i="15"/>
  <c r="H183" i="15" s="1"/>
  <c r="F182" i="15"/>
  <c r="F181" i="15"/>
  <c r="H181" i="15" s="1"/>
  <c r="F180" i="15"/>
  <c r="H180" i="15" s="1"/>
  <c r="F179" i="15"/>
  <c r="F178" i="15"/>
  <c r="H178" i="15" s="1"/>
  <c r="F177" i="15"/>
  <c r="H177" i="15" s="1"/>
  <c r="F176" i="15"/>
  <c r="H176" i="15" s="1"/>
  <c r="H175" i="15"/>
  <c r="F175" i="15"/>
  <c r="F174" i="15"/>
  <c r="H174" i="15" s="1"/>
  <c r="F173" i="15"/>
  <c r="F172" i="15"/>
  <c r="H172" i="15" s="1"/>
  <c r="F171" i="15"/>
  <c r="H171" i="15" s="1"/>
  <c r="F170" i="15"/>
  <c r="H170" i="15" s="1"/>
  <c r="F169" i="15"/>
  <c r="H169" i="15" s="1"/>
  <c r="F168" i="15"/>
  <c r="F167" i="15"/>
  <c r="H167" i="15" s="1"/>
  <c r="F166" i="15"/>
  <c r="H166" i="15" s="1"/>
  <c r="F165" i="15"/>
  <c r="H165" i="15" s="1"/>
  <c r="F164" i="15"/>
  <c r="H164" i="15" s="1"/>
  <c r="F163" i="15"/>
  <c r="H163" i="15" s="1"/>
  <c r="F162" i="15"/>
  <c r="H162" i="15" s="1"/>
  <c r="F161" i="15"/>
  <c r="H161" i="15" s="1"/>
  <c r="F160" i="15"/>
  <c r="H160" i="15" s="1"/>
  <c r="F159" i="15"/>
  <c r="H159" i="15" s="1"/>
  <c r="F158" i="15"/>
  <c r="H158" i="15" s="1"/>
  <c r="F157" i="15"/>
  <c r="H157" i="15" s="1"/>
  <c r="F156" i="15"/>
  <c r="H156" i="15" s="1"/>
  <c r="F155" i="15"/>
  <c r="H155" i="15" s="1"/>
  <c r="F154" i="15"/>
  <c r="F153" i="15"/>
  <c r="F152" i="15"/>
  <c r="F151" i="15"/>
  <c r="H151" i="15" s="1"/>
  <c r="F150" i="15"/>
  <c r="H150" i="15" s="1"/>
  <c r="F149" i="15"/>
  <c r="H149" i="15" s="1"/>
  <c r="F148" i="15"/>
  <c r="H148" i="15" s="1"/>
  <c r="F147" i="15"/>
  <c r="H147" i="15" s="1"/>
  <c r="F146" i="15"/>
  <c r="H146" i="15" s="1"/>
  <c r="F145" i="15"/>
  <c r="H145" i="15" s="1"/>
  <c r="F144" i="15"/>
  <c r="F143" i="15"/>
  <c r="F142" i="15"/>
  <c r="H142" i="15" s="1"/>
  <c r="F141" i="15"/>
  <c r="H141" i="15" s="1"/>
  <c r="F140" i="15"/>
  <c r="H140" i="15" s="1"/>
  <c r="F139" i="15"/>
  <c r="H139" i="15" s="1"/>
  <c r="F138" i="15"/>
  <c r="H138" i="15" s="1"/>
  <c r="F137" i="15"/>
  <c r="H137" i="15" s="1"/>
  <c r="F136" i="15"/>
  <c r="H136" i="15" s="1"/>
  <c r="F135" i="15"/>
  <c r="H135" i="15" s="1"/>
  <c r="F134" i="15"/>
  <c r="F133" i="15"/>
  <c r="H133" i="15" s="1"/>
  <c r="F132" i="15"/>
  <c r="H132" i="15" s="1"/>
  <c r="F131" i="15"/>
  <c r="H131" i="15" s="1"/>
  <c r="F130" i="15"/>
  <c r="H130" i="15" s="1"/>
  <c r="F129" i="15"/>
  <c r="F128" i="15"/>
  <c r="H128" i="15" s="1"/>
  <c r="F127" i="15"/>
  <c r="H127" i="15" s="1"/>
  <c r="F126" i="15"/>
  <c r="H126" i="15" s="1"/>
  <c r="F125" i="15"/>
  <c r="H125" i="15" s="1"/>
  <c r="F124" i="15"/>
  <c r="H124" i="15" s="1"/>
  <c r="F123" i="15"/>
  <c r="H123" i="15" s="1"/>
  <c r="F122" i="15"/>
  <c r="H122" i="15" s="1"/>
  <c r="F121" i="15"/>
  <c r="H121" i="15" s="1"/>
  <c r="F120" i="15"/>
  <c r="H120" i="15" s="1"/>
  <c r="F119" i="15"/>
  <c r="H119" i="15" s="1"/>
  <c r="F118" i="15"/>
  <c r="H118" i="15" s="1"/>
  <c r="F117" i="15"/>
  <c r="H117" i="15" s="1"/>
  <c r="F116" i="15"/>
  <c r="H116" i="15" s="1"/>
  <c r="F115" i="15"/>
  <c r="H115" i="15" s="1"/>
  <c r="F114" i="15"/>
  <c r="H114" i="15" s="1"/>
  <c r="F113" i="15"/>
  <c r="H113" i="15" s="1"/>
  <c r="F112" i="15"/>
  <c r="F111" i="15"/>
  <c r="H111" i="15" s="1"/>
  <c r="F110" i="15"/>
  <c r="H110" i="15" s="1"/>
  <c r="F109" i="15"/>
  <c r="H109" i="15" s="1"/>
  <c r="F108" i="15"/>
  <c r="H108" i="15" s="1"/>
  <c r="F107" i="15"/>
  <c r="H107" i="15" s="1"/>
  <c r="F106" i="15"/>
  <c r="H106" i="15" s="1"/>
  <c r="F105" i="15"/>
  <c r="F104" i="15"/>
  <c r="H104" i="15" s="1"/>
  <c r="F103" i="15"/>
  <c r="H103" i="15" s="1"/>
  <c r="F102" i="15"/>
  <c r="H102" i="15" s="1"/>
  <c r="F101" i="15"/>
  <c r="F100" i="15"/>
  <c r="H100" i="15" s="1"/>
  <c r="F99" i="15"/>
  <c r="F98" i="15"/>
  <c r="F97" i="15"/>
  <c r="F96" i="15"/>
  <c r="H96" i="15" s="1"/>
  <c r="F95" i="15"/>
  <c r="F94" i="15"/>
  <c r="H94" i="15" s="1"/>
  <c r="F93" i="15"/>
  <c r="H93" i="15" s="1"/>
  <c r="F92" i="15"/>
  <c r="F91" i="15"/>
  <c r="H91" i="15" s="1"/>
  <c r="F90" i="15"/>
  <c r="H90" i="15" s="1"/>
  <c r="F89" i="15"/>
  <c r="H89" i="15" s="1"/>
  <c r="F88" i="15"/>
  <c r="H88" i="15" s="1"/>
  <c r="F87" i="15"/>
  <c r="H87" i="15" s="1"/>
  <c r="F86" i="15"/>
  <c r="H86" i="15" s="1"/>
  <c r="F85" i="15"/>
  <c r="H85" i="15" s="1"/>
  <c r="F84" i="15"/>
  <c r="H84" i="15" s="1"/>
  <c r="F83" i="15"/>
  <c r="H83" i="15" s="1"/>
  <c r="F82" i="15"/>
  <c r="H82" i="15" s="1"/>
  <c r="F81" i="15"/>
  <c r="H81" i="15" s="1"/>
  <c r="F80" i="15"/>
  <c r="H80" i="15" s="1"/>
  <c r="F79" i="15"/>
  <c r="H79" i="15" s="1"/>
  <c r="F78" i="15"/>
  <c r="H78" i="15" s="1"/>
  <c r="F77" i="15"/>
  <c r="H77" i="15" s="1"/>
  <c r="F76" i="15"/>
  <c r="F75" i="15"/>
  <c r="H75" i="15" s="1"/>
  <c r="F74" i="15"/>
  <c r="H74" i="15" s="1"/>
  <c r="F73" i="15"/>
  <c r="H73" i="15" s="1"/>
  <c r="F72" i="15"/>
  <c r="H72" i="15" s="1"/>
  <c r="F71" i="15"/>
  <c r="H71" i="15" s="1"/>
  <c r="F70" i="15"/>
  <c r="F69" i="15"/>
  <c r="F68" i="15"/>
  <c r="H68" i="15" s="1"/>
  <c r="F67" i="15"/>
  <c r="H67" i="15" s="1"/>
  <c r="F66" i="15"/>
  <c r="H66" i="15" s="1"/>
  <c r="F65" i="15"/>
  <c r="H65" i="15" s="1"/>
  <c r="F64" i="15"/>
  <c r="H64" i="15" s="1"/>
  <c r="F63" i="15"/>
  <c r="H63" i="15" s="1"/>
  <c r="F62" i="15"/>
  <c r="F61" i="15"/>
  <c r="H61" i="15" s="1"/>
  <c r="F60" i="15"/>
  <c r="H60" i="15" s="1"/>
  <c r="F59" i="15"/>
  <c r="H59" i="15" s="1"/>
  <c r="F58" i="15"/>
  <c r="H58" i="15" s="1"/>
  <c r="F57" i="15"/>
  <c r="H57" i="15" s="1"/>
  <c r="F56" i="15"/>
  <c r="H56" i="15" s="1"/>
  <c r="F55" i="15"/>
  <c r="H55" i="15" s="1"/>
  <c r="F54" i="15"/>
  <c r="H54" i="15" s="1"/>
  <c r="F53" i="15"/>
  <c r="F52" i="15"/>
  <c r="H52" i="15" s="1"/>
  <c r="F51" i="15"/>
  <c r="F50" i="15"/>
  <c r="H50" i="15" s="1"/>
  <c r="F49" i="15"/>
  <c r="H49" i="15" s="1"/>
  <c r="F48" i="15"/>
  <c r="H48" i="15" s="1"/>
  <c r="F47" i="15"/>
  <c r="H47" i="15" s="1"/>
  <c r="F46" i="15"/>
  <c r="H46" i="15" s="1"/>
  <c r="F45" i="15"/>
  <c r="H45" i="15" s="1"/>
  <c r="F44" i="15"/>
  <c r="H44" i="15" s="1"/>
  <c r="F43" i="15"/>
  <c r="H43" i="15" s="1"/>
  <c r="F42" i="15"/>
  <c r="H42" i="15" s="1"/>
  <c r="F41" i="15"/>
  <c r="H41" i="15" s="1"/>
  <c r="F40" i="15"/>
  <c r="F39" i="15"/>
  <c r="H39" i="15" s="1"/>
  <c r="F38" i="15"/>
  <c r="H38" i="15" s="1"/>
  <c r="F37" i="15"/>
  <c r="H37" i="15" s="1"/>
  <c r="F36" i="15"/>
  <c r="H36" i="15" s="1"/>
  <c r="F35" i="15"/>
  <c r="H35" i="15" s="1"/>
  <c r="F34" i="15"/>
  <c r="H34" i="15" s="1"/>
  <c r="F33" i="15"/>
  <c r="G33" i="15" s="1"/>
  <c r="H33" i="15" s="1"/>
  <c r="F32" i="15"/>
  <c r="H32" i="15" s="1"/>
  <c r="F31" i="15"/>
  <c r="F30" i="15"/>
  <c r="H30" i="15" s="1"/>
  <c r="F29" i="15"/>
  <c r="H29" i="15" s="1"/>
  <c r="F28" i="15"/>
  <c r="H28" i="15" s="1"/>
  <c r="F27" i="15"/>
  <c r="H27" i="15" s="1"/>
  <c r="F26" i="15"/>
  <c r="H26" i="15" s="1"/>
  <c r="F25" i="15"/>
  <c r="H25" i="15" s="1"/>
  <c r="F24" i="15"/>
  <c r="H24" i="15" s="1"/>
  <c r="F23" i="15"/>
  <c r="H23" i="15" s="1"/>
  <c r="F22" i="15"/>
  <c r="H22" i="15" s="1"/>
  <c r="F21" i="15"/>
  <c r="F20" i="15"/>
  <c r="H20" i="15" s="1"/>
  <c r="F19" i="15"/>
  <c r="H19" i="15" s="1"/>
  <c r="F18" i="15"/>
  <c r="H18" i="15" s="1"/>
  <c r="F17" i="15"/>
  <c r="H17" i="15" s="1"/>
  <c r="F16" i="15"/>
  <c r="H16" i="15" s="1"/>
  <c r="F15" i="15"/>
  <c r="H15" i="15" s="1"/>
  <c r="F14" i="15"/>
  <c r="H14" i="15" s="1"/>
  <c r="F13" i="15"/>
  <c r="H13" i="15" s="1"/>
  <c r="F12" i="15"/>
  <c r="H12" i="15" s="1"/>
  <c r="F11" i="15"/>
  <c r="H11" i="15" s="1"/>
  <c r="F10" i="15"/>
  <c r="H10" i="15" s="1"/>
  <c r="F9" i="15"/>
  <c r="F8" i="15"/>
  <c r="H8" i="15" s="1"/>
  <c r="F7" i="15"/>
  <c r="H7" i="15" s="1"/>
  <c r="F6" i="15"/>
  <c r="G6" i="15" s="1"/>
  <c r="F5" i="15"/>
  <c r="H5" i="15" s="1"/>
  <c r="F4" i="15"/>
  <c r="H4" i="15" s="1"/>
  <c r="F3" i="15"/>
  <c r="G98" i="15" l="1"/>
  <c r="H98" i="15" s="1"/>
  <c r="G179" i="15"/>
  <c r="H179" i="15" s="1"/>
  <c r="G70" i="15"/>
  <c r="H70" i="15" s="1"/>
  <c r="G40" i="15"/>
  <c r="H40" i="15" s="1"/>
  <c r="G152" i="15"/>
  <c r="H152" i="15" s="1"/>
  <c r="G168" i="15"/>
  <c r="H168" i="15" s="1"/>
  <c r="G3" i="15"/>
  <c r="G224" i="15" s="1"/>
  <c r="G51" i="15"/>
  <c r="H51" i="15" s="1"/>
  <c r="G9" i="15"/>
  <c r="H9" i="15" s="1"/>
  <c r="G105" i="15"/>
  <c r="H105" i="15" s="1"/>
  <c r="G153" i="15"/>
  <c r="H153" i="15" s="1"/>
  <c r="G154" i="15"/>
  <c r="H154" i="15" s="1"/>
  <c r="G210" i="15"/>
  <c r="H210" i="15" s="1"/>
  <c r="G202" i="15"/>
  <c r="H202" i="15" s="1"/>
  <c r="G76" i="15"/>
  <c r="H76" i="15" s="1"/>
  <c r="G92" i="15"/>
  <c r="H92" i="15" s="1"/>
  <c r="G173" i="15"/>
  <c r="H173" i="15" s="1"/>
  <c r="G99" i="15"/>
  <c r="H99" i="15" s="1"/>
  <c r="G62" i="15"/>
  <c r="H62" i="15" s="1"/>
  <c r="G21" i="15"/>
  <c r="H21" i="15" s="1"/>
  <c r="G69" i="15"/>
  <c r="H69" i="15" s="1"/>
  <c r="G95" i="15"/>
  <c r="H95" i="15" s="1"/>
  <c r="G222" i="15"/>
  <c r="H222" i="15" s="1"/>
  <c r="G144" i="15"/>
  <c r="H144" i="15" s="1"/>
  <c r="G53" i="15"/>
  <c r="H53" i="15" s="1"/>
  <c r="G97" i="15"/>
  <c r="H97" i="15" s="1"/>
  <c r="G208" i="15"/>
  <c r="H208" i="15" s="1"/>
  <c r="G101" i="15"/>
  <c r="H101" i="15" s="1"/>
  <c r="G143" i="15"/>
  <c r="H143" i="15" s="1"/>
  <c r="G186" i="15"/>
  <c r="G182" i="15"/>
  <c r="H182" i="15" s="1"/>
  <c r="G134" i="15"/>
  <c r="H134" i="15" s="1"/>
  <c r="H6" i="15"/>
  <c r="G31" i="15"/>
  <c r="H31" i="15" s="1"/>
  <c r="G129" i="15"/>
  <c r="H129" i="15" s="1"/>
  <c r="G112" i="15"/>
  <c r="H112" i="15" s="1"/>
  <c r="F224" i="15"/>
  <c r="H3" i="15" l="1"/>
  <c r="H186" i="15"/>
  <c r="G226" i="15"/>
  <c r="H226" i="15" s="1"/>
  <c r="H227" i="15" s="1"/>
  <c r="H224" i="15"/>
  <c r="G4" i="13"/>
  <c r="G18" i="8"/>
  <c r="G174" i="13"/>
  <c r="G194" i="13"/>
  <c r="G117" i="13"/>
  <c r="G177" i="13"/>
  <c r="G22" i="9"/>
  <c r="G34" i="9"/>
  <c r="G20" i="9"/>
  <c r="G26" i="13" l="1"/>
  <c r="G13" i="8"/>
  <c r="G18" i="13"/>
  <c r="G85" i="13"/>
  <c r="G11" i="13"/>
  <c r="G162" i="13"/>
  <c r="G52" i="13"/>
  <c r="G113" i="13" l="1"/>
  <c r="G8" i="9"/>
  <c r="G100" i="13" l="1"/>
  <c r="G61" i="13"/>
  <c r="G27" i="13"/>
  <c r="G190" i="13"/>
  <c r="G141" i="13" l="1"/>
  <c r="G96" i="13"/>
  <c r="G23" i="13"/>
  <c r="G102" i="13"/>
  <c r="G55" i="14" l="1"/>
  <c r="G145" i="13"/>
  <c r="G27" i="9" l="1"/>
  <c r="G14" i="8"/>
  <c r="G118" i="13"/>
  <c r="G214" i="13" l="1"/>
  <c r="G175" i="13"/>
  <c r="G33" i="13" l="1"/>
  <c r="G110" i="13"/>
  <c r="G35" i="13"/>
  <c r="G28" i="9" l="1"/>
  <c r="G11" i="9"/>
  <c r="G22" i="8"/>
  <c r="G131" i="14"/>
  <c r="G131" i="13"/>
  <c r="G16" i="8"/>
  <c r="G125" i="13"/>
  <c r="G47" i="13"/>
  <c r="G7" i="8"/>
  <c r="G123" i="13"/>
  <c r="G6" i="13"/>
  <c r="G134" i="13"/>
  <c r="G12" i="9"/>
  <c r="G59" i="13"/>
  <c r="G44" i="9"/>
  <c r="G47" i="9" l="1"/>
  <c r="G21" i="9"/>
  <c r="G9" i="8"/>
  <c r="G124" i="13"/>
  <c r="G5" i="9"/>
  <c r="G10" i="8"/>
  <c r="G17" i="8"/>
  <c r="G5" i="8"/>
  <c r="G158" i="13"/>
  <c r="G129" i="13"/>
  <c r="G201" i="13"/>
  <c r="G121" i="13"/>
  <c r="G195" i="13" l="1"/>
  <c r="G48" i="13" l="1"/>
  <c r="G209" i="13"/>
  <c r="G71" i="13"/>
  <c r="G19" i="9"/>
  <c r="G9" i="9"/>
  <c r="G30" i="9" l="1"/>
  <c r="G37" i="13" l="1"/>
  <c r="G183" i="13"/>
  <c r="G73" i="13" l="1"/>
  <c r="G19" i="8" l="1"/>
  <c r="G33" i="9" l="1"/>
  <c r="G38" i="9"/>
  <c r="G10" i="9" l="1"/>
  <c r="G43" i="9"/>
  <c r="D224" i="14"/>
  <c r="F223" i="14"/>
  <c r="F222" i="14"/>
  <c r="F221" i="14"/>
  <c r="F220" i="14"/>
  <c r="H220" i="14" s="1"/>
  <c r="F219" i="14"/>
  <c r="F218" i="14"/>
  <c r="G218" i="14" s="1"/>
  <c r="F217" i="14"/>
  <c r="F216" i="14"/>
  <c r="F215" i="14"/>
  <c r="F214" i="14"/>
  <c r="G214" i="14" s="1"/>
  <c r="F213" i="14"/>
  <c r="H213" i="14" s="1"/>
  <c r="F212" i="14"/>
  <c r="H212" i="14" s="1"/>
  <c r="F211" i="14"/>
  <c r="F210" i="14"/>
  <c r="F209" i="14"/>
  <c r="H209" i="14" s="1"/>
  <c r="F208" i="14"/>
  <c r="F207" i="14"/>
  <c r="H207" i="14" s="1"/>
  <c r="F206" i="14"/>
  <c r="F205" i="14"/>
  <c r="H205" i="14" s="1"/>
  <c r="F204" i="14"/>
  <c r="F203" i="14"/>
  <c r="H203" i="14" s="1"/>
  <c r="F202" i="14"/>
  <c r="H202" i="14" s="1"/>
  <c r="F201" i="14"/>
  <c r="H201" i="14" s="1"/>
  <c r="F200" i="14"/>
  <c r="G200" i="14" s="1"/>
  <c r="F199" i="14"/>
  <c r="F198" i="14"/>
  <c r="H198" i="14" s="1"/>
  <c r="F197" i="14"/>
  <c r="F196" i="14"/>
  <c r="F195" i="14"/>
  <c r="H195" i="14" s="1"/>
  <c r="F194" i="14"/>
  <c r="H194" i="14" s="1"/>
  <c r="F193" i="14"/>
  <c r="F192" i="14"/>
  <c r="H192" i="14" s="1"/>
  <c r="F191" i="14"/>
  <c r="F190" i="14"/>
  <c r="H190" i="14" s="1"/>
  <c r="F189" i="14"/>
  <c r="H189" i="14" s="1"/>
  <c r="F188" i="14"/>
  <c r="F187" i="14"/>
  <c r="H187" i="14" s="1"/>
  <c r="F186" i="14"/>
  <c r="F185" i="14"/>
  <c r="F184" i="14"/>
  <c r="F183" i="14"/>
  <c r="H183" i="14" s="1"/>
  <c r="F182" i="14"/>
  <c r="G182" i="14" s="1"/>
  <c r="H182" i="14" s="1"/>
  <c r="F181" i="14"/>
  <c r="F180" i="14"/>
  <c r="H180" i="14" s="1"/>
  <c r="F179" i="14"/>
  <c r="F178" i="14"/>
  <c r="F177" i="14"/>
  <c r="H177" i="14" s="1"/>
  <c r="F176" i="14"/>
  <c r="G176" i="14" s="1"/>
  <c r="F175" i="14"/>
  <c r="G175" i="14" s="1"/>
  <c r="F174" i="14"/>
  <c r="H174" i="14" s="1"/>
  <c r="F173" i="14"/>
  <c r="F172" i="14"/>
  <c r="F171" i="14"/>
  <c r="F170" i="14"/>
  <c r="H170" i="14" s="1"/>
  <c r="F169" i="14"/>
  <c r="F168" i="14"/>
  <c r="F167" i="14"/>
  <c r="F166" i="14"/>
  <c r="H166" i="14" s="1"/>
  <c r="F165" i="14"/>
  <c r="H165" i="14" s="1"/>
  <c r="F164" i="14"/>
  <c r="F163" i="14"/>
  <c r="F162" i="14"/>
  <c r="H162" i="14" s="1"/>
  <c r="F161" i="14"/>
  <c r="F160" i="14"/>
  <c r="H160" i="14" s="1"/>
  <c r="F159" i="14"/>
  <c r="G159" i="14" s="1"/>
  <c r="F158" i="14"/>
  <c r="H158" i="14" s="1"/>
  <c r="F157" i="14"/>
  <c r="H157" i="14" s="1"/>
  <c r="F156" i="14"/>
  <c r="H156" i="14" s="1"/>
  <c r="F155" i="14"/>
  <c r="G155" i="14" s="1"/>
  <c r="F154" i="14"/>
  <c r="H154" i="14" s="1"/>
  <c r="F153" i="14"/>
  <c r="H153" i="14" s="1"/>
  <c r="F152" i="14"/>
  <c r="F151" i="14"/>
  <c r="F150" i="14"/>
  <c r="F149" i="14"/>
  <c r="F148" i="14"/>
  <c r="F147" i="14"/>
  <c r="H147" i="14" s="1"/>
  <c r="F146" i="14"/>
  <c r="H146" i="14" s="1"/>
  <c r="H145" i="14"/>
  <c r="F144" i="14"/>
  <c r="F143" i="14"/>
  <c r="H143" i="14" s="1"/>
  <c r="F142" i="14"/>
  <c r="F141" i="14"/>
  <c r="H141" i="14" s="1"/>
  <c r="F140" i="14"/>
  <c r="H140" i="14" s="1"/>
  <c r="F139" i="14"/>
  <c r="H139" i="14" s="1"/>
  <c r="F138" i="14"/>
  <c r="F137" i="14"/>
  <c r="H137" i="14" s="1"/>
  <c r="F136" i="14"/>
  <c r="F135" i="14"/>
  <c r="H135" i="14" s="1"/>
  <c r="F134" i="14"/>
  <c r="H134" i="14" s="1"/>
  <c r="F133" i="14"/>
  <c r="F132" i="14"/>
  <c r="F131" i="14"/>
  <c r="H131" i="14" s="1"/>
  <c r="F130" i="14"/>
  <c r="F129" i="14"/>
  <c r="H129" i="14" s="1"/>
  <c r="F128" i="14"/>
  <c r="H128" i="14" s="1"/>
  <c r="F127" i="14"/>
  <c r="F126" i="14"/>
  <c r="F125" i="14"/>
  <c r="H125" i="14" s="1"/>
  <c r="F124" i="14"/>
  <c r="H124" i="14" s="1"/>
  <c r="F123" i="14"/>
  <c r="H123" i="14" s="1"/>
  <c r="F122" i="14"/>
  <c r="F121" i="14"/>
  <c r="H121" i="14" s="1"/>
  <c r="F120" i="14"/>
  <c r="F119" i="14"/>
  <c r="H119" i="14" s="1"/>
  <c r="F118" i="14"/>
  <c r="H118" i="14" s="1"/>
  <c r="F117" i="14"/>
  <c r="H117" i="14" s="1"/>
  <c r="F116" i="14"/>
  <c r="F115" i="14"/>
  <c r="G115" i="14" s="1"/>
  <c r="F114" i="14"/>
  <c r="H114" i="14" s="1"/>
  <c r="F113" i="14"/>
  <c r="H113" i="14" s="1"/>
  <c r="F112" i="14"/>
  <c r="G112" i="14" s="1"/>
  <c r="F111" i="14"/>
  <c r="G111" i="14" s="1"/>
  <c r="F110" i="14"/>
  <c r="H110" i="14" s="1"/>
  <c r="F109" i="14"/>
  <c r="H109" i="14" s="1"/>
  <c r="F108" i="14"/>
  <c r="F107" i="14"/>
  <c r="F106" i="14"/>
  <c r="H106" i="14" s="1"/>
  <c r="F105" i="14"/>
  <c r="H105" i="14" s="1"/>
  <c r="F104" i="14"/>
  <c r="F103" i="14"/>
  <c r="F102" i="14"/>
  <c r="H102" i="14" s="1"/>
  <c r="F101" i="14"/>
  <c r="F100" i="14"/>
  <c r="H100" i="14" s="1"/>
  <c r="F99" i="14"/>
  <c r="F98" i="14"/>
  <c r="F97" i="14"/>
  <c r="F96" i="14"/>
  <c r="H96" i="14" s="1"/>
  <c r="F95" i="14"/>
  <c r="H95" i="14" s="1"/>
  <c r="F94" i="14"/>
  <c r="F93" i="14"/>
  <c r="F92" i="14"/>
  <c r="H92" i="14" s="1"/>
  <c r="F91" i="14"/>
  <c r="F90" i="14"/>
  <c r="F89" i="14"/>
  <c r="G89" i="14" s="1"/>
  <c r="F88" i="14"/>
  <c r="H88" i="14" s="1"/>
  <c r="F87" i="14"/>
  <c r="H87" i="14" s="1"/>
  <c r="F86" i="14"/>
  <c r="H86" i="14" s="1"/>
  <c r="F85" i="14"/>
  <c r="H85" i="14" s="1"/>
  <c r="F84" i="14"/>
  <c r="H84" i="14" s="1"/>
  <c r="F83" i="14"/>
  <c r="F82" i="14"/>
  <c r="F81" i="14"/>
  <c r="G81" i="14" s="1"/>
  <c r="F80" i="14"/>
  <c r="H80" i="14" s="1"/>
  <c r="F79" i="14"/>
  <c r="H79" i="14" s="1"/>
  <c r="F78" i="14"/>
  <c r="H78" i="14" s="1"/>
  <c r="F77" i="14"/>
  <c r="H77" i="14" s="1"/>
  <c r="F76" i="14"/>
  <c r="H76" i="14" s="1"/>
  <c r="F75" i="14"/>
  <c r="F74" i="14"/>
  <c r="H74" i="14" s="1"/>
  <c r="F73" i="14"/>
  <c r="H73" i="14" s="1"/>
  <c r="F72" i="14"/>
  <c r="F71" i="14"/>
  <c r="H71" i="14" s="1"/>
  <c r="F70" i="14"/>
  <c r="F69" i="14"/>
  <c r="H69" i="14" s="1"/>
  <c r="F68" i="14"/>
  <c r="F67" i="14"/>
  <c r="F66" i="14"/>
  <c r="H66" i="14" s="1"/>
  <c r="F65" i="14"/>
  <c r="G65" i="14" s="1"/>
  <c r="F64" i="14"/>
  <c r="G64" i="14" s="1"/>
  <c r="F63" i="14"/>
  <c r="G63" i="14" s="1"/>
  <c r="F62" i="14"/>
  <c r="H62" i="14" s="1"/>
  <c r="F61" i="14"/>
  <c r="H61" i="14" s="1"/>
  <c r="F60" i="14"/>
  <c r="F59" i="14"/>
  <c r="H59" i="14" s="1"/>
  <c r="F58" i="14"/>
  <c r="H58" i="14" s="1"/>
  <c r="F57" i="14"/>
  <c r="H57" i="14" s="1"/>
  <c r="F56" i="14"/>
  <c r="H56" i="14" s="1"/>
  <c r="F55" i="14"/>
  <c r="H55" i="14" s="1"/>
  <c r="F54" i="14"/>
  <c r="H54" i="14" s="1"/>
  <c r="F53" i="14"/>
  <c r="F52" i="14"/>
  <c r="H52" i="14" s="1"/>
  <c r="F51" i="14"/>
  <c r="H51" i="14" s="1"/>
  <c r="F50" i="14"/>
  <c r="F49" i="14"/>
  <c r="H49" i="14" s="1"/>
  <c r="F48" i="14"/>
  <c r="H48" i="14" s="1"/>
  <c r="F47" i="14"/>
  <c r="H47" i="14" s="1"/>
  <c r="F46" i="14"/>
  <c r="F45" i="14"/>
  <c r="H45" i="14" s="1"/>
  <c r="F44" i="14"/>
  <c r="F43" i="14"/>
  <c r="H43" i="14" s="1"/>
  <c r="F42" i="14"/>
  <c r="F41" i="14"/>
  <c r="G41" i="14" s="1"/>
  <c r="F40" i="14"/>
  <c r="F39" i="14"/>
  <c r="H39" i="14" s="1"/>
  <c r="F38" i="14"/>
  <c r="F37" i="14"/>
  <c r="H37" i="14" s="1"/>
  <c r="F36" i="14"/>
  <c r="F35" i="14"/>
  <c r="H35" i="14" s="1"/>
  <c r="F34" i="14"/>
  <c r="G34" i="14" s="1"/>
  <c r="F33" i="14"/>
  <c r="G33" i="14" s="1"/>
  <c r="F32" i="14"/>
  <c r="H32" i="14" s="1"/>
  <c r="F31" i="14"/>
  <c r="H31" i="14" s="1"/>
  <c r="F30" i="14"/>
  <c r="F29" i="14"/>
  <c r="F28" i="14"/>
  <c r="H28" i="14" s="1"/>
  <c r="F27" i="14"/>
  <c r="H27" i="14" s="1"/>
  <c r="F26" i="14"/>
  <c r="G26" i="14" s="1"/>
  <c r="F25" i="14"/>
  <c r="F24" i="14"/>
  <c r="H24" i="14" s="1"/>
  <c r="F23" i="14"/>
  <c r="H23" i="14" s="1"/>
  <c r="F22" i="14"/>
  <c r="F21" i="14"/>
  <c r="F20" i="14"/>
  <c r="H20" i="14" s="1"/>
  <c r="F19" i="14"/>
  <c r="F18" i="14"/>
  <c r="H18" i="14" s="1"/>
  <c r="F17" i="14"/>
  <c r="G17" i="14" s="1"/>
  <c r="F16" i="14"/>
  <c r="H16" i="14" s="1"/>
  <c r="F15" i="14"/>
  <c r="F14" i="14"/>
  <c r="F13" i="14"/>
  <c r="H13" i="14" s="1"/>
  <c r="F12" i="14"/>
  <c r="F11" i="14"/>
  <c r="H11" i="14" s="1"/>
  <c r="F10" i="14"/>
  <c r="F9" i="14"/>
  <c r="F8" i="14"/>
  <c r="H8" i="14" s="1"/>
  <c r="F7" i="14"/>
  <c r="F6" i="14"/>
  <c r="H6" i="14" s="1"/>
  <c r="F5" i="14"/>
  <c r="F4" i="14"/>
  <c r="H4" i="14" s="1"/>
  <c r="F3" i="14"/>
  <c r="G3" i="14" s="1"/>
  <c r="G133" i="14" l="1"/>
  <c r="H133" i="14" s="1"/>
  <c r="H149" i="14"/>
  <c r="G149" i="14"/>
  <c r="G181" i="14"/>
  <c r="H181" i="14" s="1"/>
  <c r="G197" i="14"/>
  <c r="H197" i="14" s="1"/>
  <c r="G70" i="14"/>
  <c r="H70" i="14" s="1"/>
  <c r="G150" i="14"/>
  <c r="H150" i="14" s="1"/>
  <c r="H103" i="14"/>
  <c r="G103" i="14"/>
  <c r="G151" i="14"/>
  <c r="H151" i="14" s="1"/>
  <c r="G167" i="14"/>
  <c r="H167" i="14" s="1"/>
  <c r="H199" i="14"/>
  <c r="G199" i="14"/>
  <c r="G215" i="14"/>
  <c r="H215" i="14" s="1"/>
  <c r="H5" i="14"/>
  <c r="G5" i="14"/>
  <c r="G136" i="14"/>
  <c r="H136" i="14" s="1"/>
  <c r="G169" i="14"/>
  <c r="H169" i="14" s="1"/>
  <c r="H185" i="14"/>
  <c r="G185" i="14"/>
  <c r="G217" i="14"/>
  <c r="H217" i="14" s="1"/>
  <c r="G42" i="14"/>
  <c r="H42" i="14" s="1"/>
  <c r="H90" i="14"/>
  <c r="G90" i="14"/>
  <c r="G122" i="14"/>
  <c r="H122" i="14" s="1"/>
  <c r="H104" i="14"/>
  <c r="G104" i="14"/>
  <c r="G152" i="14"/>
  <c r="H152" i="14" s="1"/>
  <c r="G75" i="14"/>
  <c r="H75" i="14" s="1"/>
  <c r="H91" i="14"/>
  <c r="G91" i="14"/>
  <c r="G107" i="14"/>
  <c r="H107" i="14" s="1"/>
  <c r="G171" i="14"/>
  <c r="H171" i="14" s="1"/>
  <c r="H219" i="14"/>
  <c r="G219" i="14"/>
  <c r="G25" i="14"/>
  <c r="H25" i="14" s="1"/>
  <c r="H12" i="14"/>
  <c r="G12" i="14"/>
  <c r="G60" i="14"/>
  <c r="H60" i="14" s="1"/>
  <c r="G108" i="14"/>
  <c r="H108" i="14" s="1"/>
  <c r="G172" i="14"/>
  <c r="H172" i="14" s="1"/>
  <c r="G188" i="14"/>
  <c r="H188" i="14" s="1"/>
  <c r="G204" i="14"/>
  <c r="H204" i="14" s="1"/>
  <c r="H184" i="14"/>
  <c r="G184" i="14"/>
  <c r="G29" i="14"/>
  <c r="H29" i="14" s="1"/>
  <c r="H93" i="14"/>
  <c r="G93" i="14"/>
  <c r="G173" i="14"/>
  <c r="H173" i="14" s="1"/>
  <c r="G221" i="14"/>
  <c r="H221" i="14" s="1"/>
  <c r="G38" i="14"/>
  <c r="H38" i="14" s="1"/>
  <c r="G216" i="14"/>
  <c r="H216" i="14" s="1"/>
  <c r="G14" i="14"/>
  <c r="H14" i="14" s="1"/>
  <c r="H46" i="14"/>
  <c r="G46" i="14"/>
  <c r="G94" i="14"/>
  <c r="H94" i="14" s="1"/>
  <c r="H126" i="14"/>
  <c r="G126" i="14"/>
  <c r="G142" i="14"/>
  <c r="H142" i="14" s="1"/>
  <c r="G206" i="14"/>
  <c r="H206" i="14" s="1"/>
  <c r="G222" i="14"/>
  <c r="H222" i="14" s="1"/>
  <c r="G53" i="14"/>
  <c r="H53" i="14" s="1"/>
  <c r="G40" i="14"/>
  <c r="H40" i="14" s="1"/>
  <c r="H72" i="14"/>
  <c r="G72" i="14"/>
  <c r="G120" i="14"/>
  <c r="H120" i="14" s="1"/>
  <c r="H9" i="14"/>
  <c r="G9" i="14"/>
  <c r="G15" i="14"/>
  <c r="H15" i="14" s="1"/>
  <c r="G127" i="14"/>
  <c r="H127" i="14" s="1"/>
  <c r="G191" i="14"/>
  <c r="H191" i="14" s="1"/>
  <c r="G223" i="14"/>
  <c r="H223" i="14" s="1"/>
  <c r="G208" i="14"/>
  <c r="H208" i="14" s="1"/>
  <c r="H21" i="14"/>
  <c r="G21" i="14"/>
  <c r="G7" i="14"/>
  <c r="H7" i="14" s="1"/>
  <c r="H97" i="14"/>
  <c r="G97" i="14"/>
  <c r="G161" i="14"/>
  <c r="H161" i="14" s="1"/>
  <c r="G193" i="14"/>
  <c r="H193" i="14" s="1"/>
  <c r="H218" i="14"/>
  <c r="G144" i="14"/>
  <c r="H144" i="14" s="1"/>
  <c r="H98" i="14"/>
  <c r="G98" i="14"/>
  <c r="G130" i="14"/>
  <c r="H130" i="14" s="1"/>
  <c r="G178" i="14"/>
  <c r="H178" i="14" s="1"/>
  <c r="G210" i="14"/>
  <c r="H210" i="14" s="1"/>
  <c r="G22" i="14"/>
  <c r="H22" i="14" s="1"/>
  <c r="G19" i="14"/>
  <c r="H19" i="14" s="1"/>
  <c r="G67" i="14"/>
  <c r="H67" i="14" s="1"/>
  <c r="G83" i="14"/>
  <c r="H83" i="14" s="1"/>
  <c r="H99" i="14"/>
  <c r="G99" i="14"/>
  <c r="G163" i="14"/>
  <c r="H163" i="14" s="1"/>
  <c r="G179" i="14"/>
  <c r="H179" i="14" s="1"/>
  <c r="G211" i="14"/>
  <c r="H211" i="14" s="1"/>
  <c r="G36" i="14"/>
  <c r="H36" i="14" s="1"/>
  <c r="G68" i="14"/>
  <c r="H68" i="14" s="1"/>
  <c r="G116" i="14"/>
  <c r="H116" i="14" s="1"/>
  <c r="G132" i="14"/>
  <c r="H132" i="14" s="1"/>
  <c r="H148" i="14"/>
  <c r="G148" i="14"/>
  <c r="G196" i="14"/>
  <c r="H196" i="14" s="1"/>
  <c r="G168" i="14"/>
  <c r="H168" i="14" s="1"/>
  <c r="G101" i="14"/>
  <c r="H101" i="14" s="1"/>
  <c r="G30" i="14"/>
  <c r="H30" i="14" s="1"/>
  <c r="G50" i="14"/>
  <c r="H50" i="14" s="1"/>
  <c r="G82" i="14"/>
  <c r="H82" i="14" s="1"/>
  <c r="G164" i="14"/>
  <c r="H164" i="14" s="1"/>
  <c r="G44" i="14"/>
  <c r="H44" i="14" s="1"/>
  <c r="G10" i="14"/>
  <c r="H10" i="14" s="1"/>
  <c r="G138" i="14"/>
  <c r="H138" i="14" s="1"/>
  <c r="G186" i="14"/>
  <c r="H89" i="14"/>
  <c r="H214" i="14"/>
  <c r="H159" i="14"/>
  <c r="H63" i="14"/>
  <c r="H175" i="14"/>
  <c r="H111" i="14"/>
  <c r="H41" i="14"/>
  <c r="H200" i="14"/>
  <c r="H115" i="14"/>
  <c r="H34" i="14"/>
  <c r="H81" i="14"/>
  <c r="H65" i="14"/>
  <c r="H33" i="14"/>
  <c r="H17" i="14"/>
  <c r="H176" i="14"/>
  <c r="H112" i="14"/>
  <c r="H64" i="14"/>
  <c r="H155" i="14"/>
  <c r="H26" i="14"/>
  <c r="F224" i="14"/>
  <c r="H186" i="14" l="1"/>
  <c r="G226" i="14"/>
  <c r="G224" i="14"/>
  <c r="H226" i="14" s="1"/>
  <c r="G228" i="14" s="1"/>
  <c r="H3" i="14"/>
  <c r="H224" i="14" s="1"/>
  <c r="G55" i="13" l="1"/>
  <c r="D224" i="13" l="1"/>
  <c r="F223" i="13"/>
  <c r="G223" i="13" s="1"/>
  <c r="F222" i="13"/>
  <c r="G222" i="13" s="1"/>
  <c r="F221" i="13"/>
  <c r="G221" i="13" s="1"/>
  <c r="F220" i="13"/>
  <c r="H220" i="13" s="1"/>
  <c r="F219" i="13"/>
  <c r="G219" i="13" s="1"/>
  <c r="F218" i="13"/>
  <c r="H218" i="13" s="1"/>
  <c r="F217" i="13"/>
  <c r="F216" i="13"/>
  <c r="G216" i="13" s="1"/>
  <c r="F215" i="13"/>
  <c r="G215" i="13" s="1"/>
  <c r="F214" i="13"/>
  <c r="H214" i="13" s="1"/>
  <c r="F213" i="13"/>
  <c r="H213" i="13" s="1"/>
  <c r="F212" i="13"/>
  <c r="G212" i="13" s="1"/>
  <c r="F211" i="13"/>
  <c r="G211" i="13" s="1"/>
  <c r="F210" i="13"/>
  <c r="G210" i="13" s="1"/>
  <c r="F209" i="13"/>
  <c r="H209" i="13" s="1"/>
  <c r="F208" i="13"/>
  <c r="G208" i="13" s="1"/>
  <c r="F207" i="13"/>
  <c r="H207" i="13" s="1"/>
  <c r="F206" i="13"/>
  <c r="G206" i="13" s="1"/>
  <c r="F205" i="13"/>
  <c r="H205" i="13" s="1"/>
  <c r="F204" i="13"/>
  <c r="G204" i="13" s="1"/>
  <c r="F203" i="13"/>
  <c r="H203" i="13" s="1"/>
  <c r="F202" i="13"/>
  <c r="G202" i="13" s="1"/>
  <c r="F201" i="13"/>
  <c r="H201" i="13" s="1"/>
  <c r="F200" i="13"/>
  <c r="G200" i="13" s="1"/>
  <c r="H200" i="13" s="1"/>
  <c r="F199" i="13"/>
  <c r="G199" i="13" s="1"/>
  <c r="F198" i="13"/>
  <c r="G198" i="13" s="1"/>
  <c r="F197" i="13"/>
  <c r="G197" i="13" s="1"/>
  <c r="H197" i="13" s="1"/>
  <c r="F196" i="13"/>
  <c r="G196" i="13" s="1"/>
  <c r="F195" i="13"/>
  <c r="H195" i="13" s="1"/>
  <c r="F194" i="13"/>
  <c r="H194" i="13" s="1"/>
  <c r="F193" i="13"/>
  <c r="G193" i="13" s="1"/>
  <c r="F192" i="13"/>
  <c r="H192" i="13" s="1"/>
  <c r="F191" i="13"/>
  <c r="G191" i="13" s="1"/>
  <c r="F190" i="13"/>
  <c r="H190" i="13" s="1"/>
  <c r="F189" i="13"/>
  <c r="H189" i="13" s="1"/>
  <c r="F188" i="13"/>
  <c r="G188" i="13" s="1"/>
  <c r="F187" i="13"/>
  <c r="G187" i="13" s="1"/>
  <c r="F186" i="13"/>
  <c r="G186" i="13" s="1"/>
  <c r="F185" i="13"/>
  <c r="G185" i="13" s="1"/>
  <c r="F184" i="13"/>
  <c r="H184" i="13" s="1"/>
  <c r="F183" i="13"/>
  <c r="H183" i="13" s="1"/>
  <c r="F182" i="13"/>
  <c r="F181" i="13"/>
  <c r="F180" i="13"/>
  <c r="F179" i="13"/>
  <c r="H179" i="13" s="1"/>
  <c r="F178" i="13"/>
  <c r="F177" i="13"/>
  <c r="H177" i="13" s="1"/>
  <c r="F176" i="13"/>
  <c r="H176" i="13" s="1"/>
  <c r="F175" i="13"/>
  <c r="H175" i="13" s="1"/>
  <c r="F174" i="13"/>
  <c r="H174" i="13" s="1"/>
  <c r="F173" i="13"/>
  <c r="G173" i="13" s="1"/>
  <c r="F172" i="13"/>
  <c r="G172" i="13" s="1"/>
  <c r="F171" i="13"/>
  <c r="G171" i="13" s="1"/>
  <c r="F170" i="13"/>
  <c r="F169" i="13"/>
  <c r="F168" i="13"/>
  <c r="G168" i="13" s="1"/>
  <c r="F167" i="13"/>
  <c r="F166" i="13"/>
  <c r="H166" i="13" s="1"/>
  <c r="F165" i="13"/>
  <c r="F164" i="13"/>
  <c r="F163" i="13"/>
  <c r="G163" i="13" s="1"/>
  <c r="F162" i="13"/>
  <c r="H162" i="13" s="1"/>
  <c r="F161" i="13"/>
  <c r="G161" i="13" s="1"/>
  <c r="F160" i="13"/>
  <c r="H160" i="13" s="1"/>
  <c r="F159" i="13"/>
  <c r="G159" i="13" s="1"/>
  <c r="F158" i="13"/>
  <c r="H158" i="13" s="1"/>
  <c r="F157" i="13"/>
  <c r="G157" i="13" s="1"/>
  <c r="F156" i="13"/>
  <c r="F155" i="13"/>
  <c r="H155" i="13" s="1"/>
  <c r="F154" i="13"/>
  <c r="H154" i="13" s="1"/>
  <c r="F153" i="13"/>
  <c r="G153" i="13" s="1"/>
  <c r="F152" i="13"/>
  <c r="H152" i="13" s="1"/>
  <c r="F151" i="13"/>
  <c r="G151" i="13" s="1"/>
  <c r="F150" i="13"/>
  <c r="H150" i="13" s="1"/>
  <c r="F149" i="13"/>
  <c r="G149" i="13" s="1"/>
  <c r="F148" i="13"/>
  <c r="F147" i="13"/>
  <c r="H147" i="13" s="1"/>
  <c r="F146" i="13"/>
  <c r="H146" i="13" s="1"/>
  <c r="F145" i="13"/>
  <c r="H145" i="13" s="1"/>
  <c r="F144" i="13"/>
  <c r="G144" i="13" s="1"/>
  <c r="F143" i="13"/>
  <c r="H143" i="13" s="1"/>
  <c r="F142" i="13"/>
  <c r="F141" i="13"/>
  <c r="H141" i="13" s="1"/>
  <c r="F140" i="13"/>
  <c r="H140" i="13" s="1"/>
  <c r="F139" i="13"/>
  <c r="H139" i="13" s="1"/>
  <c r="F138" i="13"/>
  <c r="G138" i="13" s="1"/>
  <c r="F137" i="13"/>
  <c r="H137" i="13" s="1"/>
  <c r="F136" i="13"/>
  <c r="G136" i="13" s="1"/>
  <c r="H136" i="13" s="1"/>
  <c r="F135" i="13"/>
  <c r="G135" i="13" s="1"/>
  <c r="F134" i="13"/>
  <c r="H134" i="13" s="1"/>
  <c r="F133" i="13"/>
  <c r="G133" i="13" s="1"/>
  <c r="F132" i="13"/>
  <c r="F131" i="13"/>
  <c r="H131" i="13" s="1"/>
  <c r="F130" i="13"/>
  <c r="F129" i="13"/>
  <c r="H129" i="13" s="1"/>
  <c r="F128" i="13"/>
  <c r="H128" i="13" s="1"/>
  <c r="F127" i="13"/>
  <c r="G127" i="13" s="1"/>
  <c r="F126" i="13"/>
  <c r="F125" i="13"/>
  <c r="H125" i="13" s="1"/>
  <c r="F124" i="13"/>
  <c r="H124" i="13" s="1"/>
  <c r="F123" i="13"/>
  <c r="H123" i="13" s="1"/>
  <c r="F122" i="13"/>
  <c r="G122" i="13" s="1"/>
  <c r="F121" i="13"/>
  <c r="H121" i="13" s="1"/>
  <c r="F120" i="13"/>
  <c r="G120" i="13" s="1"/>
  <c r="F119" i="13"/>
  <c r="G119" i="13" s="1"/>
  <c r="F118" i="13"/>
  <c r="H118" i="13" s="1"/>
  <c r="F117" i="13"/>
  <c r="H117" i="13" s="1"/>
  <c r="F116" i="13"/>
  <c r="F115" i="13"/>
  <c r="G115" i="13" s="1"/>
  <c r="F114" i="13"/>
  <c r="G114" i="13" s="1"/>
  <c r="F113" i="13"/>
  <c r="H113" i="13" s="1"/>
  <c r="F112" i="13"/>
  <c r="G112" i="13" s="1"/>
  <c r="F111" i="13"/>
  <c r="H111" i="13" s="1"/>
  <c r="F110" i="13"/>
  <c r="H110" i="13" s="1"/>
  <c r="F109" i="13"/>
  <c r="H109" i="13" s="1"/>
  <c r="F108" i="13"/>
  <c r="F107" i="13"/>
  <c r="G107" i="13" s="1"/>
  <c r="F106" i="13"/>
  <c r="H106" i="13" s="1"/>
  <c r="F105" i="13"/>
  <c r="H105" i="13" s="1"/>
  <c r="F104" i="13"/>
  <c r="G104" i="13" s="1"/>
  <c r="F103" i="13"/>
  <c r="G103" i="13" s="1"/>
  <c r="F102" i="13"/>
  <c r="H102" i="13" s="1"/>
  <c r="F101" i="13"/>
  <c r="F100" i="13"/>
  <c r="H100" i="13" s="1"/>
  <c r="F99" i="13"/>
  <c r="G99" i="13" s="1"/>
  <c r="F98" i="13"/>
  <c r="G98" i="13" s="1"/>
  <c r="F97" i="13"/>
  <c r="G97" i="13" s="1"/>
  <c r="F96" i="13"/>
  <c r="H96" i="13" s="1"/>
  <c r="F95" i="13"/>
  <c r="G95" i="13" s="1"/>
  <c r="F94" i="13"/>
  <c r="F93" i="13"/>
  <c r="G93" i="13" s="1"/>
  <c r="F92" i="13"/>
  <c r="F91" i="13"/>
  <c r="G91" i="13" s="1"/>
  <c r="F90" i="13"/>
  <c r="G90" i="13" s="1"/>
  <c r="F89" i="13"/>
  <c r="H89" i="13" s="1"/>
  <c r="F88" i="13"/>
  <c r="G88" i="13" s="1"/>
  <c r="F87" i="13"/>
  <c r="H87" i="13" s="1"/>
  <c r="F86" i="13"/>
  <c r="F85" i="13"/>
  <c r="H85" i="13" s="1"/>
  <c r="F84" i="13"/>
  <c r="F83" i="13"/>
  <c r="G83" i="13" s="1"/>
  <c r="F82" i="13"/>
  <c r="G82" i="13" s="1"/>
  <c r="F81" i="13"/>
  <c r="H81" i="13" s="1"/>
  <c r="F80" i="13"/>
  <c r="G80" i="13" s="1"/>
  <c r="F79" i="13"/>
  <c r="G79" i="13" s="1"/>
  <c r="F78" i="13"/>
  <c r="H78" i="13" s="1"/>
  <c r="F77" i="13"/>
  <c r="H77" i="13" s="1"/>
  <c r="F76" i="13"/>
  <c r="H76" i="13" s="1"/>
  <c r="F75" i="13"/>
  <c r="G75" i="13" s="1"/>
  <c r="F74" i="13"/>
  <c r="G74" i="13" s="1"/>
  <c r="F73" i="13"/>
  <c r="H73" i="13" s="1"/>
  <c r="F72" i="13"/>
  <c r="G72" i="13" s="1"/>
  <c r="F71" i="13"/>
  <c r="H71" i="13" s="1"/>
  <c r="F70" i="13"/>
  <c r="F69" i="13"/>
  <c r="G69" i="13" s="1"/>
  <c r="F68" i="13"/>
  <c r="F67" i="13"/>
  <c r="G67" i="13" s="1"/>
  <c r="F66" i="13"/>
  <c r="G66" i="13" s="1"/>
  <c r="F65" i="13"/>
  <c r="G65" i="13" s="1"/>
  <c r="F64" i="13"/>
  <c r="G64" i="13" s="1"/>
  <c r="F63" i="13"/>
  <c r="G63" i="13" s="1"/>
  <c r="F62" i="13"/>
  <c r="H62" i="13" s="1"/>
  <c r="F61" i="13"/>
  <c r="H61" i="13" s="1"/>
  <c r="F60" i="13"/>
  <c r="F59" i="13"/>
  <c r="H59" i="13" s="1"/>
  <c r="F58" i="13"/>
  <c r="G58" i="13" s="1"/>
  <c r="F57" i="13"/>
  <c r="H57" i="13" s="1"/>
  <c r="F56" i="13"/>
  <c r="G56" i="13" s="1"/>
  <c r="F55" i="13"/>
  <c r="H55" i="13" s="1"/>
  <c r="F54" i="13"/>
  <c r="F53" i="13"/>
  <c r="H53" i="13" s="1"/>
  <c r="F52" i="13"/>
  <c r="H52" i="13" s="1"/>
  <c r="F51" i="13"/>
  <c r="G51" i="13" s="1"/>
  <c r="F50" i="13"/>
  <c r="H50" i="13" s="1"/>
  <c r="F49" i="13"/>
  <c r="H49" i="13" s="1"/>
  <c r="F48" i="13"/>
  <c r="H48" i="13" s="1"/>
  <c r="F47" i="13"/>
  <c r="H47" i="13" s="1"/>
  <c r="F46" i="13"/>
  <c r="F45" i="13"/>
  <c r="H45" i="13" s="1"/>
  <c r="F44" i="13"/>
  <c r="F43" i="13"/>
  <c r="G43" i="13" s="1"/>
  <c r="F42" i="13"/>
  <c r="G42" i="13" s="1"/>
  <c r="F41" i="13"/>
  <c r="H41" i="13" s="1"/>
  <c r="F40" i="13"/>
  <c r="G40" i="13" s="1"/>
  <c r="F39" i="13"/>
  <c r="G39" i="13" s="1"/>
  <c r="F38" i="13"/>
  <c r="F37" i="13"/>
  <c r="H37" i="13" s="1"/>
  <c r="F36" i="13"/>
  <c r="F35" i="13"/>
  <c r="H35" i="13" s="1"/>
  <c r="F34" i="13"/>
  <c r="G34" i="13" s="1"/>
  <c r="F33" i="13"/>
  <c r="H33" i="13" s="1"/>
  <c r="F32" i="13"/>
  <c r="H32" i="13" s="1"/>
  <c r="F31" i="13"/>
  <c r="H31" i="13" s="1"/>
  <c r="F30" i="13"/>
  <c r="F29" i="13"/>
  <c r="G29" i="13" s="1"/>
  <c r="F28" i="13"/>
  <c r="H28" i="13" s="1"/>
  <c r="F27" i="13"/>
  <c r="H27" i="13" s="1"/>
  <c r="F26" i="13"/>
  <c r="H26" i="13" s="1"/>
  <c r="F25" i="13"/>
  <c r="G25" i="13" s="1"/>
  <c r="F24" i="13"/>
  <c r="H24" i="13" s="1"/>
  <c r="F23" i="13"/>
  <c r="H23" i="13" s="1"/>
  <c r="F22" i="13"/>
  <c r="F21" i="13"/>
  <c r="G21" i="13" s="1"/>
  <c r="F20" i="13"/>
  <c r="H20" i="13" s="1"/>
  <c r="F19" i="13"/>
  <c r="G19" i="13" s="1"/>
  <c r="F18" i="13"/>
  <c r="H18" i="13" s="1"/>
  <c r="F17" i="13"/>
  <c r="H17" i="13" s="1"/>
  <c r="F16" i="13"/>
  <c r="G16" i="13" s="1"/>
  <c r="F15" i="13"/>
  <c r="G15" i="13" s="1"/>
  <c r="F14" i="13"/>
  <c r="F13" i="13"/>
  <c r="G13" i="13" s="1"/>
  <c r="F12" i="13"/>
  <c r="F11" i="13"/>
  <c r="H11" i="13" s="1"/>
  <c r="F10" i="13"/>
  <c r="G10" i="13" s="1"/>
  <c r="F9" i="13"/>
  <c r="G9" i="13" s="1"/>
  <c r="F8" i="13"/>
  <c r="G8" i="13" s="1"/>
  <c r="F7" i="13"/>
  <c r="G7" i="13" s="1"/>
  <c r="F6" i="13"/>
  <c r="H6" i="13" s="1"/>
  <c r="F5" i="13"/>
  <c r="H5" i="13" s="1"/>
  <c r="F4" i="13"/>
  <c r="H4" i="13" s="1"/>
  <c r="F3" i="13"/>
  <c r="G3" i="13" s="1"/>
  <c r="G101" i="13" l="1"/>
  <c r="H101" i="13" s="1"/>
  <c r="H186" i="13"/>
  <c r="H208" i="13"/>
  <c r="H219" i="13"/>
  <c r="H222" i="13"/>
  <c r="H9" i="13"/>
  <c r="H202" i="13"/>
  <c r="H171" i="13"/>
  <c r="H67" i="13"/>
  <c r="H93" i="13"/>
  <c r="H210" i="13"/>
  <c r="H29" i="13"/>
  <c r="H69" i="13"/>
  <c r="H95" i="13"/>
  <c r="H122" i="13"/>
  <c r="H223" i="13"/>
  <c r="H64" i="13"/>
  <c r="H91" i="13"/>
  <c r="H58" i="13"/>
  <c r="H119" i="13"/>
  <c r="H82" i="13"/>
  <c r="H198" i="13"/>
  <c r="H21" i="13"/>
  <c r="H216" i="13"/>
  <c r="H104" i="13"/>
  <c r="H206" i="13"/>
  <c r="G108" i="13"/>
  <c r="H108" i="13" s="1"/>
  <c r="G36" i="13"/>
  <c r="H36" i="13" s="1"/>
  <c r="G156" i="13"/>
  <c r="H156" i="13" s="1"/>
  <c r="H187" i="13"/>
  <c r="H211" i="13"/>
  <c r="G165" i="13"/>
  <c r="H165" i="13" s="1"/>
  <c r="H63" i="13"/>
  <c r="G167" i="13"/>
  <c r="H167" i="13" s="1"/>
  <c r="H90" i="13"/>
  <c r="G92" i="13"/>
  <c r="H92" i="13" s="1"/>
  <c r="H138" i="13"/>
  <c r="H157" i="13"/>
  <c r="G178" i="13"/>
  <c r="H178" i="13" s="1"/>
  <c r="H188" i="13"/>
  <c r="H196" i="13"/>
  <c r="H204" i="13"/>
  <c r="H212" i="13"/>
  <c r="H221" i="13"/>
  <c r="H10" i="13"/>
  <c r="H19" i="13"/>
  <c r="G38" i="13"/>
  <c r="H38" i="13" s="1"/>
  <c r="H56" i="13"/>
  <c r="H65" i="13"/>
  <c r="H74" i="13"/>
  <c r="H83" i="13"/>
  <c r="H120" i="13"/>
  <c r="G148" i="13"/>
  <c r="H148" i="13" s="1"/>
  <c r="H168" i="13"/>
  <c r="G46" i="13"/>
  <c r="H46" i="13" s="1"/>
  <c r="G84" i="13"/>
  <c r="H84" i="13" s="1"/>
  <c r="G130" i="13"/>
  <c r="H130" i="13" s="1"/>
  <c r="G169" i="13"/>
  <c r="H169" i="13" s="1"/>
  <c r="G180" i="13"/>
  <c r="H180" i="13" s="1"/>
  <c r="G30" i="13"/>
  <c r="H30" i="13" s="1"/>
  <c r="H39" i="13"/>
  <c r="H66" i="13"/>
  <c r="H75" i="13"/>
  <c r="G94" i="13"/>
  <c r="H94" i="13" s="1"/>
  <c r="H103" i="13"/>
  <c r="H112" i="13"/>
  <c r="H149" i="13"/>
  <c r="H159" i="13"/>
  <c r="G170" i="13"/>
  <c r="H170" i="13" s="1"/>
  <c r="G181" i="13"/>
  <c r="H181" i="13" s="1"/>
  <c r="G44" i="13"/>
  <c r="H44" i="13" s="1"/>
  <c r="G182" i="13"/>
  <c r="H182" i="13" s="1"/>
  <c r="G54" i="13"/>
  <c r="H54" i="13" s="1"/>
  <c r="G86" i="13"/>
  <c r="H86" i="13" s="1"/>
  <c r="G132" i="13"/>
  <c r="H132" i="13" s="1"/>
  <c r="H13" i="13"/>
  <c r="G68" i="13"/>
  <c r="H68" i="13" s="1"/>
  <c r="G142" i="13"/>
  <c r="H142" i="13" s="1"/>
  <c r="H151" i="13"/>
  <c r="H161" i="13"/>
  <c r="H191" i="13"/>
  <c r="H199" i="13"/>
  <c r="H215" i="13"/>
  <c r="H72" i="13"/>
  <c r="H99" i="13"/>
  <c r="G22" i="13"/>
  <c r="H22" i="13" s="1"/>
  <c r="G14" i="13"/>
  <c r="H14" i="13" s="1"/>
  <c r="H114" i="13"/>
  <c r="H133" i="13"/>
  <c r="H172" i="13"/>
  <c r="G60" i="13"/>
  <c r="H60" i="13" s="1"/>
  <c r="F224" i="13"/>
  <c r="H15" i="13"/>
  <c r="H42" i="13"/>
  <c r="H51" i="13"/>
  <c r="G70" i="13"/>
  <c r="H70" i="13" s="1"/>
  <c r="H79" i="13"/>
  <c r="H88" i="13"/>
  <c r="H97" i="13"/>
  <c r="H115" i="13"/>
  <c r="H153" i="13"/>
  <c r="H173" i="13"/>
  <c r="G217" i="13"/>
  <c r="H217" i="13" s="1"/>
  <c r="G12" i="13"/>
  <c r="H12" i="13" s="1"/>
  <c r="H40" i="13"/>
  <c r="G116" i="13"/>
  <c r="H116" i="13" s="1"/>
  <c r="H135" i="13"/>
  <c r="H144" i="13"/>
  <c r="H163" i="13"/>
  <c r="H185" i="13"/>
  <c r="H193" i="13"/>
  <c r="H8" i="13"/>
  <c r="H127" i="13"/>
  <c r="H7" i="13"/>
  <c r="H16" i="13"/>
  <c r="H25" i="13"/>
  <c r="H34" i="13"/>
  <c r="H43" i="13"/>
  <c r="H80" i="13"/>
  <c r="H98" i="13"/>
  <c r="H107" i="13"/>
  <c r="G126" i="13"/>
  <c r="H126" i="13" s="1"/>
  <c r="G164" i="13"/>
  <c r="H164" i="13" s="1"/>
  <c r="G224" i="13" l="1"/>
  <c r="G226" i="13" s="1"/>
  <c r="H3" i="13"/>
  <c r="H224" i="13" s="1"/>
  <c r="D49" i="9" l="1"/>
  <c r="Y48" i="9"/>
  <c r="W48" i="9"/>
  <c r="U48" i="9"/>
  <c r="S48" i="9"/>
  <c r="Q48" i="9"/>
  <c r="F48" i="9"/>
  <c r="H48" i="9" s="1"/>
  <c r="Y47" i="9"/>
  <c r="W47" i="9"/>
  <c r="U47" i="9"/>
  <c r="S47" i="9"/>
  <c r="Q47" i="9"/>
  <c r="F47" i="9"/>
  <c r="H47" i="9" s="1"/>
  <c r="Y46" i="9"/>
  <c r="W46" i="9"/>
  <c r="U46" i="9"/>
  <c r="S46" i="9"/>
  <c r="Q46" i="9"/>
  <c r="F46" i="9"/>
  <c r="H46" i="9" s="1"/>
  <c r="Y45" i="9"/>
  <c r="W45" i="9"/>
  <c r="U45" i="9"/>
  <c r="S45" i="9"/>
  <c r="Q45" i="9"/>
  <c r="F45" i="9"/>
  <c r="H45" i="9" s="1"/>
  <c r="Y44" i="9"/>
  <c r="W44" i="9"/>
  <c r="U44" i="9"/>
  <c r="S44" i="9"/>
  <c r="Q44" i="9"/>
  <c r="F44" i="9"/>
  <c r="H44" i="9" s="1"/>
  <c r="Y43" i="9"/>
  <c r="W43" i="9"/>
  <c r="U43" i="9"/>
  <c r="S43" i="9"/>
  <c r="Q43" i="9"/>
  <c r="F43" i="9"/>
  <c r="H43" i="9" s="1"/>
  <c r="Y42" i="9"/>
  <c r="W42" i="9"/>
  <c r="U42" i="9"/>
  <c r="S42" i="9"/>
  <c r="Q42" i="9"/>
  <c r="F42" i="9"/>
  <c r="H42" i="9" s="1"/>
  <c r="Y41" i="9"/>
  <c r="W41" i="9"/>
  <c r="U41" i="9"/>
  <c r="S41" i="9"/>
  <c r="Q41" i="9"/>
  <c r="F41" i="9"/>
  <c r="H41" i="9" s="1"/>
  <c r="Y40" i="9"/>
  <c r="W40" i="9"/>
  <c r="U40" i="9"/>
  <c r="S40" i="9"/>
  <c r="Q40" i="9"/>
  <c r="F40" i="9"/>
  <c r="H40" i="9" s="1"/>
  <c r="Y39" i="9"/>
  <c r="W39" i="9"/>
  <c r="U39" i="9"/>
  <c r="S39" i="9"/>
  <c r="Q39" i="9"/>
  <c r="F39" i="9"/>
  <c r="H39" i="9" s="1"/>
  <c r="Y38" i="9"/>
  <c r="W38" i="9"/>
  <c r="U38" i="9"/>
  <c r="S38" i="9"/>
  <c r="Q38" i="9"/>
  <c r="F38" i="9"/>
  <c r="H38" i="9" s="1"/>
  <c r="Y37" i="9"/>
  <c r="W37" i="9"/>
  <c r="U37" i="9"/>
  <c r="S37" i="9"/>
  <c r="Q37" i="9"/>
  <c r="F37" i="9"/>
  <c r="H37" i="9" s="1"/>
  <c r="Y36" i="9"/>
  <c r="W36" i="9"/>
  <c r="U36" i="9"/>
  <c r="S36" i="9"/>
  <c r="Q36" i="9"/>
  <c r="F36" i="9"/>
  <c r="H36" i="9" s="1"/>
  <c r="Y35" i="9"/>
  <c r="W35" i="9"/>
  <c r="U35" i="9"/>
  <c r="S35" i="9"/>
  <c r="Q35" i="9"/>
  <c r="F35" i="9"/>
  <c r="H35" i="9" s="1"/>
  <c r="Y34" i="9"/>
  <c r="W34" i="9"/>
  <c r="U34" i="9"/>
  <c r="S34" i="9"/>
  <c r="Q34" i="9"/>
  <c r="F34" i="9"/>
  <c r="H34" i="9" s="1"/>
  <c r="Y33" i="9"/>
  <c r="W33" i="9"/>
  <c r="U33" i="9"/>
  <c r="S33" i="9"/>
  <c r="Q33" i="9"/>
  <c r="F33" i="9"/>
  <c r="H33" i="9" s="1"/>
  <c r="Y32" i="9"/>
  <c r="W32" i="9"/>
  <c r="U32" i="9"/>
  <c r="S32" i="9"/>
  <c r="Q32" i="9"/>
  <c r="F32" i="9"/>
  <c r="H32" i="9" s="1"/>
  <c r="Y31" i="9"/>
  <c r="W31" i="9"/>
  <c r="U31" i="9"/>
  <c r="S31" i="9"/>
  <c r="Q31" i="9"/>
  <c r="F31" i="9"/>
  <c r="H31" i="9" s="1"/>
  <c r="Y30" i="9"/>
  <c r="W30" i="9"/>
  <c r="U30" i="9"/>
  <c r="S30" i="9"/>
  <c r="Q30" i="9"/>
  <c r="F30" i="9"/>
  <c r="H30" i="9" s="1"/>
  <c r="Y29" i="9"/>
  <c r="W29" i="9"/>
  <c r="U29" i="9"/>
  <c r="S29" i="9"/>
  <c r="Q29" i="9"/>
  <c r="F29" i="9"/>
  <c r="Y28" i="9"/>
  <c r="W28" i="9"/>
  <c r="U28" i="9"/>
  <c r="S28" i="9"/>
  <c r="Q28" i="9"/>
  <c r="F28" i="9"/>
  <c r="H28" i="9" s="1"/>
  <c r="Y27" i="9"/>
  <c r="W27" i="9"/>
  <c r="U27" i="9"/>
  <c r="S27" i="9"/>
  <c r="Q27" i="9"/>
  <c r="F27" i="9"/>
  <c r="H27" i="9" s="1"/>
  <c r="Y26" i="9"/>
  <c r="W26" i="9"/>
  <c r="U26" i="9"/>
  <c r="S26" i="9"/>
  <c r="Q26" i="9"/>
  <c r="F26" i="9"/>
  <c r="H26" i="9" s="1"/>
  <c r="Y25" i="9"/>
  <c r="W25" i="9"/>
  <c r="U25" i="9"/>
  <c r="S25" i="9"/>
  <c r="Q25" i="9"/>
  <c r="F25" i="9"/>
  <c r="H25" i="9" s="1"/>
  <c r="Y24" i="9"/>
  <c r="W24" i="9"/>
  <c r="U24" i="9"/>
  <c r="S24" i="9"/>
  <c r="Q24" i="9"/>
  <c r="F24" i="9"/>
  <c r="H24" i="9" s="1"/>
  <c r="Y23" i="9"/>
  <c r="W23" i="9"/>
  <c r="U23" i="9"/>
  <c r="S23" i="9"/>
  <c r="Q23" i="9"/>
  <c r="F23" i="9"/>
  <c r="H23" i="9" s="1"/>
  <c r="Y22" i="9"/>
  <c r="W22" i="9"/>
  <c r="U22" i="9"/>
  <c r="S22" i="9"/>
  <c r="Q22" i="9"/>
  <c r="F22" i="9"/>
  <c r="H22" i="9" s="1"/>
  <c r="Y21" i="9"/>
  <c r="W21" i="9"/>
  <c r="U21" i="9"/>
  <c r="S21" i="9"/>
  <c r="Q21" i="9"/>
  <c r="F21" i="9"/>
  <c r="H21" i="9" s="1"/>
  <c r="Y20" i="9"/>
  <c r="W20" i="9"/>
  <c r="U20" i="9"/>
  <c r="S20" i="9"/>
  <c r="Q20" i="9"/>
  <c r="F20" i="9"/>
  <c r="H20" i="9" s="1"/>
  <c r="Y19" i="9"/>
  <c r="W19" i="9"/>
  <c r="U19" i="9"/>
  <c r="S19" i="9"/>
  <c r="Q19" i="9"/>
  <c r="F19" i="9"/>
  <c r="H19" i="9" s="1"/>
  <c r="Y18" i="9"/>
  <c r="W18" i="9"/>
  <c r="U18" i="9"/>
  <c r="S18" i="9"/>
  <c r="Q18" i="9"/>
  <c r="F18" i="9"/>
  <c r="H18" i="9" s="1"/>
  <c r="Y17" i="9"/>
  <c r="W17" i="9"/>
  <c r="U17" i="9"/>
  <c r="S17" i="9"/>
  <c r="Q17" i="9"/>
  <c r="F17" i="9"/>
  <c r="H17" i="9" s="1"/>
  <c r="Y16" i="9"/>
  <c r="W16" i="9"/>
  <c r="U16" i="9"/>
  <c r="S16" i="9"/>
  <c r="Q16" i="9"/>
  <c r="F16" i="9"/>
  <c r="H16" i="9" s="1"/>
  <c r="Y15" i="9"/>
  <c r="W15" i="9"/>
  <c r="U15" i="9"/>
  <c r="S15" i="9"/>
  <c r="Q15" i="9"/>
  <c r="F15" i="9"/>
  <c r="H15" i="9" s="1"/>
  <c r="Y14" i="9"/>
  <c r="W14" i="9"/>
  <c r="U14" i="9"/>
  <c r="S14" i="9"/>
  <c r="Q14" i="9"/>
  <c r="F14" i="9"/>
  <c r="H14" i="9" s="1"/>
  <c r="Y13" i="9"/>
  <c r="W13" i="9"/>
  <c r="U13" i="9"/>
  <c r="S13" i="9"/>
  <c r="Q13" i="9"/>
  <c r="F13" i="9"/>
  <c r="H13" i="9" s="1"/>
  <c r="Y12" i="9"/>
  <c r="W12" i="9"/>
  <c r="U12" i="9"/>
  <c r="S12" i="9"/>
  <c r="Q12" i="9"/>
  <c r="F12" i="9"/>
  <c r="H12" i="9" s="1"/>
  <c r="Y11" i="9"/>
  <c r="W11" i="9"/>
  <c r="U11" i="9"/>
  <c r="S11" i="9"/>
  <c r="Q11" i="9"/>
  <c r="F11" i="9"/>
  <c r="H11" i="9" s="1"/>
  <c r="Y10" i="9"/>
  <c r="W10" i="9"/>
  <c r="U10" i="9"/>
  <c r="S10" i="9"/>
  <c r="Q10" i="9"/>
  <c r="F10" i="9"/>
  <c r="H10" i="9" s="1"/>
  <c r="Y9" i="9"/>
  <c r="W9" i="9"/>
  <c r="U9" i="9"/>
  <c r="S9" i="9"/>
  <c r="Q9" i="9"/>
  <c r="F9" i="9"/>
  <c r="H9" i="9" s="1"/>
  <c r="Y8" i="9"/>
  <c r="W8" i="9"/>
  <c r="U8" i="9"/>
  <c r="S8" i="9"/>
  <c r="Q8" i="9"/>
  <c r="F8" i="9"/>
  <c r="H8" i="9" s="1"/>
  <c r="Y7" i="9"/>
  <c r="W7" i="9"/>
  <c r="U7" i="9"/>
  <c r="S7" i="9"/>
  <c r="Q7" i="9"/>
  <c r="F7" i="9"/>
  <c r="H7" i="9" s="1"/>
  <c r="Y6" i="9"/>
  <c r="W6" i="9"/>
  <c r="U6" i="9"/>
  <c r="S6" i="9"/>
  <c r="Q6" i="9"/>
  <c r="F6" i="9"/>
  <c r="H6" i="9" s="1"/>
  <c r="Y5" i="9"/>
  <c r="W5" i="9"/>
  <c r="U5" i="9"/>
  <c r="S5" i="9"/>
  <c r="Q5" i="9"/>
  <c r="F5" i="9"/>
  <c r="H5" i="9" s="1"/>
  <c r="Y4" i="9"/>
  <c r="W4" i="9"/>
  <c r="U4" i="9"/>
  <c r="S4" i="9"/>
  <c r="Q4" i="9"/>
  <c r="F4" i="9"/>
  <c r="H4" i="9" s="1"/>
  <c r="Y3" i="9"/>
  <c r="W3" i="9"/>
  <c r="U3" i="9"/>
  <c r="S3" i="9"/>
  <c r="Q3" i="9"/>
  <c r="F3" i="9"/>
  <c r="G3" i="9" s="1"/>
  <c r="G29" i="9" l="1"/>
  <c r="H29" i="9" s="1"/>
  <c r="F49" i="9"/>
  <c r="H3" i="9"/>
  <c r="G49" i="9" l="1"/>
  <c r="G51" i="9" s="1"/>
  <c r="H49" i="9"/>
  <c r="D27" i="8"/>
  <c r="F26" i="8"/>
  <c r="H26" i="8" s="1"/>
  <c r="F25" i="8"/>
  <c r="F24" i="8"/>
  <c r="H24" i="8" s="1"/>
  <c r="F23" i="8"/>
  <c r="H23" i="8" s="1"/>
  <c r="F22" i="8"/>
  <c r="H22" i="8" s="1"/>
  <c r="F21" i="8"/>
  <c r="H21" i="8" s="1"/>
  <c r="F20" i="8"/>
  <c r="H20" i="8" s="1"/>
  <c r="F19" i="8"/>
  <c r="H19" i="8" s="1"/>
  <c r="F18" i="8"/>
  <c r="H18" i="8" s="1"/>
  <c r="F17" i="8"/>
  <c r="H17" i="8" s="1"/>
  <c r="F16" i="8"/>
  <c r="H16" i="8" s="1"/>
  <c r="F15" i="8"/>
  <c r="H15" i="8" s="1"/>
  <c r="F14" i="8"/>
  <c r="H14" i="8" s="1"/>
  <c r="F13" i="8"/>
  <c r="H13" i="8" s="1"/>
  <c r="F12" i="8"/>
  <c r="H12" i="8" s="1"/>
  <c r="F11" i="8"/>
  <c r="H11" i="8" s="1"/>
  <c r="F10" i="8"/>
  <c r="H10" i="8" s="1"/>
  <c r="F9" i="8"/>
  <c r="H9" i="8" s="1"/>
  <c r="F8" i="8"/>
  <c r="H8" i="8" s="1"/>
  <c r="F7" i="8"/>
  <c r="H7" i="8" s="1"/>
  <c r="F6" i="8"/>
  <c r="F5" i="8"/>
  <c r="H5" i="8" s="1"/>
  <c r="F4" i="8"/>
  <c r="H4" i="8" s="1"/>
  <c r="F3" i="8"/>
  <c r="H3" i="8" s="1"/>
  <c r="D5" i="7"/>
  <c r="F4" i="7"/>
  <c r="H4" i="7" s="1"/>
  <c r="F3" i="7"/>
  <c r="H3" i="7" s="1"/>
  <c r="H6" i="8" l="1"/>
  <c r="G25" i="8"/>
  <c r="H25" i="8" s="1"/>
  <c r="F27" i="8"/>
  <c r="F5" i="7"/>
  <c r="G5" i="7" l="1"/>
  <c r="H5" i="7"/>
  <c r="G27" i="8"/>
  <c r="G32" i="8" s="1"/>
  <c r="H27" i="8"/>
  <c r="H3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tc={06CBC45F-82B2-41CB-8CBF-612CE42A1BCD}</author>
  </authors>
  <commentList>
    <comment ref="J107" authorId="0" shapeId="0" xr:uid="{06CBC45F-82B2-41CB-8CBF-612CE42A1BC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Bank Acc 17-12-2024
'00510061527001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tc={C6442D3E-3644-4CD8-85DD-057D9A6B62AD}</author>
  </authors>
  <commentList>
    <comment ref="C66" authorId="0" shapeId="0" xr:uid="{C6442D3E-3644-4CD8-85DD-057D9A6B62AD}">
      <text>
        <t>[Threaded comment]
Your version of Excel allows you to read this threaded comment; however, any edits to it will get removed if the file is opened in a newer version of Excel. Learn more: https://go.microsoft.com/fwlink/?linkid=870924
Comment:
    13.45 RO Feeds 2-12-2024 + 303.350 RO BT 26-12-2024</t>
      </text>
    </comment>
  </commentList>
</comments>
</file>

<file path=xl/sharedStrings.xml><?xml version="1.0" encoding="utf-8"?>
<sst xmlns="http://schemas.openxmlformats.org/spreadsheetml/2006/main" count="9208" uniqueCount="712">
  <si>
    <t>Milk Chilling Centre(Ghado) - Monthly Camel Milk Procurement Report - 01-04-2024 TO 30-04-2024</t>
  </si>
  <si>
    <t>SR. NO.</t>
  </si>
  <si>
    <t>Farmer Code</t>
  </si>
  <si>
    <t>Farmer Name</t>
  </si>
  <si>
    <t>Total Quantity Supplied(Lits)</t>
  </si>
  <si>
    <t>Camel Milk Price/Lit(OMR)</t>
  </si>
  <si>
    <t>Total  Value Milk (OMR)</t>
  </si>
  <si>
    <t>Paid</t>
  </si>
  <si>
    <t>balance</t>
  </si>
  <si>
    <t>ID No:</t>
  </si>
  <si>
    <t xml:space="preserve">Remarks </t>
  </si>
  <si>
    <t>Ahmed Said Mahad Jamaan Dhishil al Kathiri</t>
  </si>
  <si>
    <t>11-08-2024-feeds</t>
  </si>
  <si>
    <t>MUJEEB MUSALLAM SALIM ALKATINI ALRAWAS</t>
  </si>
  <si>
    <t>12-08-2024-feeds</t>
  </si>
  <si>
    <t xml:space="preserve"> </t>
  </si>
  <si>
    <t>Hassan Ghaly</t>
  </si>
  <si>
    <t>Sakku Mathew</t>
  </si>
  <si>
    <t>Milk Chilling Centre(Ghado) - Monthly Camel Milk Procurement Report - 01-05-2024 TO 31-05-2024</t>
  </si>
  <si>
    <t>Balance</t>
  </si>
  <si>
    <t>Account No</t>
  </si>
  <si>
    <t>Bank Name</t>
  </si>
  <si>
    <t xml:space="preserve">BANK SWIFT CODE </t>
  </si>
  <si>
    <t>Phone No:</t>
  </si>
  <si>
    <t>Badar Said Masood Al Kathiri</t>
  </si>
  <si>
    <t>10060192223001</t>
  </si>
  <si>
    <t>NBO</t>
  </si>
  <si>
    <t>NBOMOMRX</t>
  </si>
  <si>
    <t>26-08-2024-feeds</t>
  </si>
  <si>
    <t>Suhail Salim Ahmed Al Nubi Al  Kathiri</t>
  </si>
  <si>
    <t>0401002496140031</t>
  </si>
  <si>
    <t>Bank Muscat</t>
  </si>
  <si>
    <t>BMUSOMRX</t>
  </si>
  <si>
    <t>20-08-2024-feeds</t>
  </si>
  <si>
    <t>Suhail Mohammed Said Ghawas Al Kathiri</t>
  </si>
  <si>
    <t>0397003786810019</t>
  </si>
  <si>
    <t>12-08-24-feeds</t>
  </si>
  <si>
    <t>Abdul Selam Musallam Mohammed Al Rawas</t>
  </si>
  <si>
    <t>0406003017570013</t>
  </si>
  <si>
    <t>Omar Salim Ahmed Al Hadi Ba Omar</t>
  </si>
  <si>
    <t>0406003202280013</t>
  </si>
  <si>
    <t>26-08-2024- feeds</t>
  </si>
  <si>
    <t>Said Bakhit said Al mashikhi</t>
  </si>
  <si>
    <t>0397003628950016</t>
  </si>
  <si>
    <t>19-08-2024-fceeds</t>
  </si>
  <si>
    <t>Salim Said aoubad Ghawas</t>
  </si>
  <si>
    <t>0397003064100017</t>
  </si>
  <si>
    <t>13-08-2024-feeds</t>
  </si>
  <si>
    <t>Mohammed Suhail Mohammed Ghawas</t>
  </si>
  <si>
    <t>132247650084010</t>
  </si>
  <si>
    <t>Said Salim Ali Aazad Al Kathiri</t>
  </si>
  <si>
    <t>01040280652001</t>
  </si>
  <si>
    <t>Bank Dhofar</t>
  </si>
  <si>
    <t>BDOFOMRU</t>
  </si>
  <si>
    <t>19-08-2024-feeds</t>
  </si>
  <si>
    <t>MUSALLAM SALIM AHMED AL KATHIRI</t>
  </si>
  <si>
    <t>0401059818360018</t>
  </si>
  <si>
    <t>SAID MAHAD JAMAAN DHISHLIL AL KATHIRI</t>
  </si>
  <si>
    <t>0397003887980012</t>
  </si>
  <si>
    <t>Ghazi Omar Salim Al Hadi Ba Omar</t>
  </si>
  <si>
    <t>0406003231910018</t>
  </si>
  <si>
    <t>27-08-2024-feeds</t>
  </si>
  <si>
    <t>AHMED AWADH MASOUD KIKAB AL SHIHRI</t>
  </si>
  <si>
    <t>0439014008250027</t>
  </si>
  <si>
    <t>21-08-2024-feeds</t>
  </si>
  <si>
    <t>SALIM  Azad Ali Bait Said</t>
  </si>
  <si>
    <t>0406003245850018</t>
  </si>
  <si>
    <t>SAID SALIM MOHAMMED GHAWAS BAIT KATHIR</t>
  </si>
  <si>
    <t>1083705599017</t>
  </si>
  <si>
    <t>ABDULLAH ABDUL SALLAM ABDULLAH AL RAWAS</t>
  </si>
  <si>
    <t xml:space="preserve">3109139871500     </t>
  </si>
  <si>
    <t>Oman Arab Bank</t>
  </si>
  <si>
    <t>OMABOMRU</t>
  </si>
  <si>
    <t>16-09-2024</t>
  </si>
  <si>
    <t>AHMED SUHAIL HARIZ ALDAKRI ALKATHIRI</t>
  </si>
  <si>
    <t>0396003234530018</t>
  </si>
  <si>
    <t>9/5/2024, 16-09</t>
  </si>
  <si>
    <t xml:space="preserve">SALIM MAHAD FAEL BAIT SAID </t>
  </si>
  <si>
    <t>0401051479010017</t>
  </si>
  <si>
    <t>18-08-2024-feeds</t>
  </si>
  <si>
    <t>KHALID SALIM AHMED JUMAA AL KATHIRI</t>
  </si>
  <si>
    <t>0406003449250017</t>
  </si>
  <si>
    <t xml:space="preserve">Said Mohammed Ahmed Bait Said </t>
  </si>
  <si>
    <t>0397003656600012</t>
  </si>
  <si>
    <t>BAKHIT SALIM ALI AZAD AL KATHIRI</t>
  </si>
  <si>
    <t>01010855197001</t>
  </si>
  <si>
    <t>SALIM ALI NASIB KIKAB AL SHAHRI</t>
  </si>
  <si>
    <t>1083545856017</t>
  </si>
  <si>
    <t>SALIM ALI AHMED SHDAR ALKATHIRI</t>
  </si>
  <si>
    <t>0406003301170017</t>
  </si>
  <si>
    <t>BANK MUSCAT</t>
  </si>
  <si>
    <t>2.5 BT</t>
  </si>
  <si>
    <t>GHANEM AHMED SALIM BAIT SAID</t>
  </si>
  <si>
    <t>0396003245930018</t>
  </si>
  <si>
    <t>Milk Chilling Centre(Ghado) - Monthly Camel Milk Procurement Report - 01-06-2024 TO 30-06-2024</t>
  </si>
  <si>
    <t>Abdul Hakim Musallam Salim Al Katini Al Rawas</t>
  </si>
  <si>
    <t>0397020829680019</t>
  </si>
  <si>
    <t>1.06-Bt-19-12-24</t>
  </si>
  <si>
    <t>Hamed Hilal Said Al Kathiri</t>
  </si>
  <si>
    <t>0406045268200015</t>
  </si>
  <si>
    <t>23-09-2024</t>
  </si>
  <si>
    <t>Khalid Said Ali Al Kathiri</t>
  </si>
  <si>
    <t>01013808698001</t>
  </si>
  <si>
    <t>Said Salim Azad Bait Ali Badar</t>
  </si>
  <si>
    <t>01040280570002</t>
  </si>
  <si>
    <t>Said Ali Musallam Al Noubi Al Kathiri</t>
  </si>
  <si>
    <t>01040280044001</t>
  </si>
  <si>
    <t>Said Ali Nasib Kikab Al shahri</t>
  </si>
  <si>
    <t>0439018203570018</t>
  </si>
  <si>
    <t>Said Musallam Ali Ghawas</t>
  </si>
  <si>
    <t>0397003940070023</t>
  </si>
  <si>
    <t>Salim  Ali Musallam Al Noubi Al Kathiri</t>
  </si>
  <si>
    <t>3109601542500</t>
  </si>
  <si>
    <t>16-09-24</t>
  </si>
  <si>
    <t>BT</t>
  </si>
  <si>
    <t>Salim Ali Said Al Nubi Al Kathiri</t>
  </si>
  <si>
    <t>01040280595001</t>
  </si>
  <si>
    <t>Suhail Saeed Suhail ghawas</t>
  </si>
  <si>
    <t>01015382117001</t>
  </si>
  <si>
    <t>Said Mahad Ali Al Kathiri</t>
  </si>
  <si>
    <t>00510129167001</t>
  </si>
  <si>
    <t>Bank Nizwa</t>
  </si>
  <si>
    <t>BNZWOMRX</t>
  </si>
  <si>
    <t>Mustahil Ali Azad Al Kathiri</t>
  </si>
  <si>
    <t>0397003647340016</t>
  </si>
  <si>
    <t>Ahmed Musallam Amer Al Kathiri</t>
  </si>
  <si>
    <t>254001118001</t>
  </si>
  <si>
    <t>HSBC</t>
  </si>
  <si>
    <t>BBMEOMRX</t>
  </si>
  <si>
    <t>Malik Musallam Salim Masoud Al Rawas</t>
  </si>
  <si>
    <t>0397019441080011</t>
  </si>
  <si>
    <t>Ahmed Said Ali Azad Al Kathiri</t>
  </si>
  <si>
    <t>0397003645500016</t>
  </si>
  <si>
    <t>30-09-2024</t>
  </si>
  <si>
    <t>Salim Said Mohammed Musallam Al Nubi Al kathiri</t>
  </si>
  <si>
    <t>0439025022760016</t>
  </si>
  <si>
    <t>Ahmed Said Mohammed Houmdi Al Siari</t>
  </si>
  <si>
    <t>0406003186630017</t>
  </si>
  <si>
    <t>Muhssin Said Mohammed Ghawas</t>
  </si>
  <si>
    <t>0403015046590039</t>
  </si>
  <si>
    <t>18-09-2024</t>
  </si>
  <si>
    <t>25-09-2024</t>
  </si>
  <si>
    <t>05/11/241</t>
  </si>
  <si>
    <t>Ahmed Ali Ahmed Shadar Al Kathiri</t>
  </si>
  <si>
    <t>250056066001</t>
  </si>
  <si>
    <t>Salim Aubad Al Maslamin Al Mashali</t>
  </si>
  <si>
    <t>1023386437017</t>
  </si>
  <si>
    <t>Salim Said Masoud Said Al Kathiri</t>
  </si>
  <si>
    <t>0397060499480017</t>
  </si>
  <si>
    <t>Ahmed Salim Ahmed Al Kathiri</t>
  </si>
  <si>
    <t>0439016595760027</t>
  </si>
  <si>
    <t>Musallam Said Ahmed Al kathiri</t>
  </si>
  <si>
    <t>0439061793370011</t>
  </si>
  <si>
    <t>AIL MUSALLAM AMER AL KATHIRI</t>
  </si>
  <si>
    <t>250010035731</t>
  </si>
  <si>
    <t>Bank Sohar</t>
  </si>
  <si>
    <t>BSHROMRU</t>
  </si>
  <si>
    <t>MOHAMMED SALIM ALI AL NOBI AL KATHIRI</t>
  </si>
  <si>
    <t>01010856539002</t>
  </si>
  <si>
    <t>ADNAN SALIM ALI ALNOOB AL KATHIRI</t>
  </si>
  <si>
    <t>250010162782</t>
  </si>
  <si>
    <t>2.5 bt</t>
  </si>
  <si>
    <t>Salim Mohsin Salim Saluma Baawain</t>
  </si>
  <si>
    <t>0396059029400018</t>
  </si>
  <si>
    <t>HILAL SAID AZAD AL KATHIRI</t>
  </si>
  <si>
    <t>0406003189710011</t>
  </si>
  <si>
    <t>SALIM SUHAIL MAHAD ALI BAIT SAID</t>
  </si>
  <si>
    <t>0406042709700017</t>
  </si>
  <si>
    <t>dcf-27-01-25</t>
  </si>
  <si>
    <t>BAKHIT HAREEZ AHMED AL KATHAIRI</t>
  </si>
  <si>
    <t>0396003221340015</t>
  </si>
  <si>
    <t>MOHAMMED SAID MOHAMMED GHAWAS</t>
  </si>
  <si>
    <t>SALIM MUSTAHIL ALI AL KATHIRI</t>
  </si>
  <si>
    <t>0397003573860012</t>
  </si>
  <si>
    <t>Abdullah Said Ali Azad Al Kathiri</t>
  </si>
  <si>
    <t>ADNAN MOHAMMED MOHISEEN HOUMDI AL SIARI</t>
  </si>
  <si>
    <t>0406051045750013</t>
  </si>
  <si>
    <t>MUSALLAM HAREEZ AHMED ALDAKRI ALKATHIRI</t>
  </si>
  <si>
    <t>0396003224620019</t>
  </si>
  <si>
    <t>SUHAIL ALI ABDULLAH GHAWAS</t>
  </si>
  <si>
    <t>0406012723080017</t>
  </si>
  <si>
    <t>SUHAIL MOHAMMED ALI AL NUBI AL KATHIRI</t>
  </si>
  <si>
    <t>0406012235220015</t>
  </si>
  <si>
    <t>ALI HILAL SAID ALKATHIRI</t>
  </si>
  <si>
    <t>0439012451390028</t>
  </si>
  <si>
    <t>ALI OMAR FARAJ AGHRIB AL SHAHRI</t>
  </si>
  <si>
    <t>0397016002320031</t>
  </si>
  <si>
    <t>HAMID MOHAMMED ZIDI BAIT SAID</t>
  </si>
  <si>
    <t>250020014471</t>
  </si>
  <si>
    <t>04-09-24-feeds</t>
  </si>
  <si>
    <t>1.5 dcf FEED</t>
  </si>
  <si>
    <t>MUSALLAM BAKHIT MASOUD AL KATHIRI</t>
  </si>
  <si>
    <t>0396003291210011</t>
  </si>
  <si>
    <t>MANA SAID AHMED AL KATHIRI</t>
  </si>
  <si>
    <t>Mana Said Ahmed Al kathiri</t>
  </si>
  <si>
    <t>SALIM AHMED ALI AL KATHIRI</t>
  </si>
  <si>
    <t>3109634074500</t>
  </si>
  <si>
    <t>Salim Ahmed Ali Al Kathiri</t>
  </si>
  <si>
    <t>Ali Said Aubad Ghawas Alkthiri</t>
  </si>
  <si>
    <t>10830402563017</t>
  </si>
  <si>
    <t>Abdul Sallam Ahmed Said Al Kathiri</t>
  </si>
  <si>
    <t>0406003298990024</t>
  </si>
  <si>
    <t>account name has changed</t>
  </si>
  <si>
    <t>Fahad Ahmed Said Jumaa Al Kathiri</t>
  </si>
  <si>
    <t>0397012182200017</t>
  </si>
  <si>
    <t>Note:</t>
  </si>
  <si>
    <t xml:space="preserve"> The payment for the month of March is 70,600 and will pay 50% only (35,300) OMR</t>
  </si>
  <si>
    <t>Suresh Bose</t>
  </si>
  <si>
    <t>Said Al Bahanata</t>
  </si>
  <si>
    <t>Operations</t>
  </si>
  <si>
    <t>Cost Accountant</t>
  </si>
  <si>
    <t>DGM</t>
  </si>
  <si>
    <t>Milk Chilling Centre(Ghado) - Monthly Camel Milk Procurement Report - 01-07-2024 TO 31-07-2024</t>
  </si>
  <si>
    <t>Ahmed Abdullah Said Al Rawas</t>
  </si>
  <si>
    <t>3109147237500</t>
  </si>
  <si>
    <t>Ahmed Saeed Maatouq Al kathiri</t>
  </si>
  <si>
    <t>0397004247250014</t>
  </si>
  <si>
    <t>Ahmed Said Ali Al Nobi Al Kathiri</t>
  </si>
  <si>
    <t>01011076521002</t>
  </si>
  <si>
    <t>CHANGE THE ACCOUNT</t>
  </si>
  <si>
    <t>0406041201480018</t>
  </si>
  <si>
    <t>Ahmed Salim Ahmed Al Hadi Baomar</t>
  </si>
  <si>
    <t>0406003182770027</t>
  </si>
  <si>
    <t>Ali Saeed Matoq Alkthiri</t>
  </si>
  <si>
    <t>0397004237620018</t>
  </si>
  <si>
    <t>Ali Said Nasib</t>
  </si>
  <si>
    <t>1023281341086</t>
  </si>
  <si>
    <t>Ali Salim Awadh Al Kathiri</t>
  </si>
  <si>
    <t>3109647718500</t>
  </si>
  <si>
    <t>Bakhit Salim Azad Al Kathiri</t>
  </si>
  <si>
    <t>0406003101920011</t>
  </si>
  <si>
    <t>Bakhit Salim Ali Shadar Al Kathiri</t>
  </si>
  <si>
    <t>01011058653001</t>
  </si>
  <si>
    <t>Ghanim Abdul Aziz Masoud Abdul Aziz Alash Al Kathiri</t>
  </si>
  <si>
    <t>0397020978260014</t>
  </si>
  <si>
    <t>Malik Said Ahmed Habkook Hat Al Shahri</t>
  </si>
  <si>
    <t>0396051591490029</t>
  </si>
  <si>
    <t>Mohammed Salim Abdullah Al kathiri</t>
  </si>
  <si>
    <t>0439053703720016</t>
  </si>
  <si>
    <t>Mohammed Ali Musallam Al Nubi Al Kathiri</t>
  </si>
  <si>
    <t>3109603718500</t>
  </si>
  <si>
    <t>Mohammed Salim Said Jumaa Al Kathiri</t>
  </si>
  <si>
    <t>00510097414001</t>
  </si>
  <si>
    <t>Said Salim Said BaitSaid</t>
  </si>
  <si>
    <t>01010127872001</t>
  </si>
  <si>
    <t>Mohammed Said Mohammed Akdha Al Rawas</t>
  </si>
  <si>
    <t>1006123229017</t>
  </si>
  <si>
    <t>Naif Masoud Awadh Nasib Kikab Al Shihri</t>
  </si>
  <si>
    <t>0406060856030017</t>
  </si>
  <si>
    <t>Naif Said Awadh Fadhl</t>
  </si>
  <si>
    <t>1501079705330</t>
  </si>
  <si>
    <t>Ahli bank</t>
  </si>
  <si>
    <t>AUBOOMRU</t>
  </si>
  <si>
    <t xml:space="preserve">Saeed Abdul Aziz Abdullah Al kathiri </t>
  </si>
  <si>
    <t>0402003122620013</t>
  </si>
  <si>
    <t>Said Mohammed Abdallah Al kathiri</t>
  </si>
  <si>
    <t>0406003410830019</t>
  </si>
  <si>
    <t>11/11/2024 - 13-11-2024</t>
  </si>
  <si>
    <t>Said Ahmed Ali Bait Said</t>
  </si>
  <si>
    <t>01010120819002</t>
  </si>
  <si>
    <t>Said Salim Ali Kibab Al Shahri</t>
  </si>
  <si>
    <t>01041057246001</t>
  </si>
  <si>
    <t>Bank transfer-04-11-2024</t>
  </si>
  <si>
    <t xml:space="preserve">Salem Suhail Omer Bit Fhadel </t>
  </si>
  <si>
    <t>0439016892350027</t>
  </si>
  <si>
    <t>Salim Ali Nasib Al Kathiri</t>
  </si>
  <si>
    <t>0439051845390018</t>
  </si>
  <si>
    <t>Salim Said Ali Ghawas</t>
  </si>
  <si>
    <t>0439026234320047</t>
  </si>
  <si>
    <t>Mohammed Said Musallam Al Noob Al Kathiri</t>
  </si>
  <si>
    <t>3109043578500</t>
  </si>
  <si>
    <t>Ali Said Mahisan Kayakab Al Shihri</t>
  </si>
  <si>
    <t>3109117911500</t>
  </si>
  <si>
    <t>Tarik Suhail Salim Al Kathiri</t>
  </si>
  <si>
    <t>01011035504001</t>
  </si>
  <si>
    <t>Ali Said Musallam Al Noubi Al Kathiri</t>
  </si>
  <si>
    <t>01010281496001</t>
  </si>
  <si>
    <t>Ali Ahmed Salim Ahmed Al Kathiri</t>
  </si>
  <si>
    <t>0396016034040018</t>
  </si>
  <si>
    <t>Salim Amer Azad Al Kathiri</t>
  </si>
  <si>
    <t>00510128357001</t>
  </si>
  <si>
    <t>Manei Said Ahmed Al Kathiri</t>
  </si>
  <si>
    <t>10060183858001</t>
  </si>
  <si>
    <t>Ali Salim Ahmed Al Nubi Al Kathiri</t>
  </si>
  <si>
    <t>0406003202740014</t>
  </si>
  <si>
    <t>Said Salim Musallam AlNoob Al Kathiri</t>
  </si>
  <si>
    <t>3109015600500</t>
  </si>
  <si>
    <t>Abdullah Salim AhmedAl Hadi Ba Omar</t>
  </si>
  <si>
    <t>0397003981360017</t>
  </si>
  <si>
    <t>Mahisan Ali Mahisan Al Shihri</t>
  </si>
  <si>
    <t>0406016730440035</t>
  </si>
  <si>
    <t>30-10-2024#</t>
  </si>
  <si>
    <t>Masoud Ali suhail Bait Said</t>
  </si>
  <si>
    <t>0406003338100019</t>
  </si>
  <si>
    <t>Said Ali Ahmed Amor Jid</t>
  </si>
  <si>
    <t>0406018263680011</t>
  </si>
  <si>
    <t>Musallam Said Salim Bait Said</t>
  </si>
  <si>
    <t>0406003457720017</t>
  </si>
  <si>
    <t>Awadh Salim Ali Ghawas</t>
  </si>
  <si>
    <t>01010128406001</t>
  </si>
  <si>
    <t>Salim Said Ali Bait Said</t>
  </si>
  <si>
    <t>01010852881001</t>
  </si>
  <si>
    <t>Salim ahmed Masoud Jumaa Al kathiri</t>
  </si>
  <si>
    <t>01011455172002</t>
  </si>
  <si>
    <t>SALIM ALI MUSALLAM GHAWAS</t>
  </si>
  <si>
    <t>0500013032002001</t>
  </si>
  <si>
    <t>Bank alizz islamic</t>
  </si>
  <si>
    <t>IZZBOMRU</t>
  </si>
  <si>
    <t>Mahad Masoud Salim Baitsaid</t>
  </si>
  <si>
    <t>0406003414760015</t>
  </si>
  <si>
    <t>Salim Said Salim Al Rawas</t>
  </si>
  <si>
    <t>0402003168320014</t>
  </si>
  <si>
    <t>Salim Mohammed Ali Al Kathiri</t>
  </si>
  <si>
    <t>0406002564870025</t>
  </si>
  <si>
    <t>Ahmed Salim Ahmed Said Al Nubi Al Kathiri</t>
  </si>
  <si>
    <t>3109076938500</t>
  </si>
  <si>
    <t>Abdullah Said Abdullah Alkthiri</t>
  </si>
  <si>
    <t>0406003192550017</t>
  </si>
  <si>
    <t>Ali Ahmed Ali Sajlil Al shanfari</t>
  </si>
  <si>
    <t>01013803818001</t>
  </si>
  <si>
    <t>Ali Said Ali Bait Said</t>
  </si>
  <si>
    <t>0397003981260015</t>
  </si>
  <si>
    <t>.56-dcf</t>
  </si>
  <si>
    <t>Ahmed Musallam Salim Al Kathiri</t>
  </si>
  <si>
    <t>0406060805600016</t>
  </si>
  <si>
    <t>Musallam Said Amer Azad Al kathiri</t>
  </si>
  <si>
    <t>00510041624001</t>
  </si>
  <si>
    <t>Masoud Musallam Masoud Baitsaid</t>
  </si>
  <si>
    <t>0406003229140019</t>
  </si>
  <si>
    <t>Maneef Ali Abdullah Ghawas</t>
  </si>
  <si>
    <t>0406061272960011</t>
  </si>
  <si>
    <t>Ahmed Said Salim Al Rawas</t>
  </si>
  <si>
    <t>010010017675</t>
  </si>
  <si>
    <t>Thuwaini  Ali Musallam Ghawas</t>
  </si>
  <si>
    <t>0403061364570014</t>
  </si>
  <si>
    <t>Ahmed Hamid Mohammed Zidi Bait Said</t>
  </si>
  <si>
    <t>01011028474002</t>
  </si>
  <si>
    <t>Salim Suhail Ali Al Kathiri</t>
  </si>
  <si>
    <t>01013038536001</t>
  </si>
  <si>
    <t>Rams Musallam Said Ghawas</t>
  </si>
  <si>
    <t>3109046516500</t>
  </si>
  <si>
    <t>Salim Said Mahad Alshakal Al Kathiri</t>
  </si>
  <si>
    <t>01010402046001</t>
  </si>
  <si>
    <t>Ali Masoud Said Al Shahri</t>
  </si>
  <si>
    <t>10230186394017</t>
  </si>
  <si>
    <t>Salim Mohammed Mahad Al Kathiri</t>
  </si>
  <si>
    <t>0396055887490011</t>
  </si>
  <si>
    <t>Mohsin Ali Mahisan Houmdi Al Siari</t>
  </si>
  <si>
    <t>0439050442120017</t>
  </si>
  <si>
    <t>Ahmed Abdullah Ahmed Qatmem Al marhoon</t>
  </si>
  <si>
    <t>01011165430002</t>
  </si>
  <si>
    <t>DCF Feed</t>
  </si>
  <si>
    <t>Salim Ali  Mustahil Asat Al Shihri</t>
  </si>
  <si>
    <t>0406016500890015</t>
  </si>
  <si>
    <t>Osama Mohammed Said Alkathiri</t>
  </si>
  <si>
    <t>0406051045320019</t>
  </si>
  <si>
    <t>BADAR ABDULLAH SAID AL RAWAS</t>
  </si>
  <si>
    <t>0406003248390018</t>
  </si>
  <si>
    <t>`</t>
  </si>
  <si>
    <t>MOHAMMED AHMED AWADH AL NAJJAR</t>
  </si>
  <si>
    <t>01040850188001</t>
  </si>
  <si>
    <t>MOHAMMED AHMED HASSAN BAIT SAID</t>
  </si>
  <si>
    <t>0396050416560026</t>
  </si>
  <si>
    <t>ALI ABDULLAH ALI GHAWAS</t>
  </si>
  <si>
    <t>0397004393540016</t>
  </si>
  <si>
    <t>ALI SAID Ali AL KATHIRI</t>
  </si>
  <si>
    <t>00510061527001</t>
  </si>
  <si>
    <t>04-121-24</t>
  </si>
  <si>
    <t>SAID AHMED MUSALLAM JAMAAN BAIT FADHIL</t>
  </si>
  <si>
    <t>0368040884360015</t>
  </si>
  <si>
    <t>AHMED SAID ALI AL SAMAA AL SHIHRI</t>
  </si>
  <si>
    <t>0397004333000028</t>
  </si>
  <si>
    <t>ALI SULTAN AHMED BAIT SAID</t>
  </si>
  <si>
    <t>01013793527001</t>
  </si>
  <si>
    <t>AIL SAID Ali AL KATHIRI</t>
  </si>
  <si>
    <t>0500025512101001</t>
  </si>
  <si>
    <t>Bank alizz</t>
  </si>
  <si>
    <t>NASSER SALIM OBAID SAMHAN AL MUSAHLI</t>
  </si>
  <si>
    <t>01011309204001</t>
  </si>
  <si>
    <t>Said Ahmed Rajab Al Shihri</t>
  </si>
  <si>
    <t>0396024436500029</t>
  </si>
  <si>
    <t>0396026853750014</t>
  </si>
  <si>
    <t>Mahad Fael Hamid Bait Said</t>
  </si>
  <si>
    <t>0406044080480014</t>
  </si>
  <si>
    <t>Said Yahya Salim Ghawas</t>
  </si>
  <si>
    <t>0397004255930016</t>
  </si>
  <si>
    <t>SUHAIL MASOUD ALI SUHAIL BAIT SAID</t>
  </si>
  <si>
    <t>01014855290001</t>
  </si>
  <si>
    <t xml:space="preserve">Nasser Salim al Sam Bait Said </t>
  </si>
  <si>
    <t>01040125883001</t>
  </si>
  <si>
    <t>SALIM BAKHIT SAAD AL KATHIRI</t>
  </si>
  <si>
    <t>0397003140610011</t>
  </si>
  <si>
    <t>SALIM AIDHA SALIM GHAWAS</t>
  </si>
  <si>
    <t>0397003990170018</t>
  </si>
  <si>
    <t>SAID MUSALLAM HASSAN BAIT SAID</t>
  </si>
  <si>
    <t>0406019450240013</t>
  </si>
  <si>
    <t>Ahmed Salim Aubad Al Masahli Al Kathiri</t>
  </si>
  <si>
    <t>0397003199130021</t>
  </si>
  <si>
    <t>ALI SAID ALI AL KATHIRI</t>
  </si>
  <si>
    <t>010010172288</t>
  </si>
  <si>
    <t>YUSSUFF SUHAIL SAID GHAWAS</t>
  </si>
  <si>
    <t>01011357920001</t>
  </si>
  <si>
    <t>Musallam Said Matooq Jomaa Al Kathiri</t>
  </si>
  <si>
    <t>01011270588001</t>
  </si>
  <si>
    <t>ALI AAMIR AZAD ALKATHIRI</t>
  </si>
  <si>
    <t>01040850216001</t>
  </si>
  <si>
    <t>Amir Ali Sultan Ghawas</t>
  </si>
  <si>
    <t>3109699935700</t>
  </si>
  <si>
    <t>Thamir Sultan Muslem Bait Ghawas</t>
  </si>
  <si>
    <t>1501016189330</t>
  </si>
  <si>
    <t>AHMED MUSALLAM OABID SAMHAN AL MASHALI</t>
  </si>
  <si>
    <t>3129087867700</t>
  </si>
  <si>
    <t>MUSALLAM MOHAMMED SALIM AL RAWAS</t>
  </si>
  <si>
    <t>0406003174070016</t>
  </si>
  <si>
    <t>21/10/2024-079</t>
  </si>
  <si>
    <t>AHMED SAID ALI GHAWAS</t>
  </si>
  <si>
    <t>0402003246750012</t>
  </si>
  <si>
    <t>28-10--24</t>
  </si>
  <si>
    <t>MUSALLAM ALI MAHISAN KIKAB AL SHAHRI</t>
  </si>
  <si>
    <t>0406003271240015</t>
  </si>
  <si>
    <t>YASIR AHMED SAID KIKAB AL SHIHRI</t>
  </si>
  <si>
    <t>0406017200840028</t>
  </si>
  <si>
    <t xml:space="preserve">NAEF MASOUD ALI BAIT SAID </t>
  </si>
  <si>
    <t>SALEM MOHAMMED ALI ALNOOB ALKATHIRI</t>
  </si>
  <si>
    <t>0439041566100023</t>
  </si>
  <si>
    <t>ALI MANA ALI AL KATHIRI</t>
  </si>
  <si>
    <t>0439050443950013</t>
  </si>
  <si>
    <t>Said Salim Said ahmed Al Kathiri</t>
  </si>
  <si>
    <t>10060257664017</t>
  </si>
  <si>
    <t>SALIM AMER SAID BAIT SAID</t>
  </si>
  <si>
    <t>01011109062001</t>
  </si>
  <si>
    <t>Paid 16-10-2024</t>
  </si>
  <si>
    <t>SAID MOHAMMED MAHAD AL KATHIRI</t>
  </si>
  <si>
    <t>01013805918001</t>
  </si>
  <si>
    <t>SAID AHMED SALIM AL KATHIRI</t>
  </si>
  <si>
    <t>0406057235620017</t>
  </si>
  <si>
    <t>KHALID SALIM SUHAIL ALI BAIT SAID</t>
  </si>
  <si>
    <t>0439063500990013</t>
  </si>
  <si>
    <t>AHMED OMAR AHMED HAT ALSHIHRI</t>
  </si>
  <si>
    <t>00510129212001</t>
  </si>
  <si>
    <t>SAID MOHAMMED AHMED ALI BAIT SAID</t>
  </si>
  <si>
    <t>0406063938040012</t>
  </si>
  <si>
    <t>AHMED BAKHIT HAREEZ AL KATHIRI</t>
  </si>
  <si>
    <t>0406003355590011</t>
  </si>
  <si>
    <t>MUSALLAM AHMED MUSALLAM ALKTHIRI</t>
  </si>
  <si>
    <t>01010853216001</t>
  </si>
  <si>
    <t>ABDUL FATTAH AHMED SAID BAIT SAID</t>
  </si>
  <si>
    <t>0439065071620019</t>
  </si>
  <si>
    <t>MASOUD MOHAMMED MASOUD ALSH ALKATHIRI</t>
  </si>
  <si>
    <t>01018512281001</t>
  </si>
  <si>
    <t>Khald suhail Salim Al Kathiri</t>
  </si>
  <si>
    <t>0406061613240012</t>
  </si>
  <si>
    <t>SAID BAKHIT MOHAMMED AL KATHIRI</t>
  </si>
  <si>
    <t>0439041565470037</t>
  </si>
  <si>
    <t>SALIM AHMED ZAIDI BAIT SAID</t>
  </si>
  <si>
    <t>0396064452830014</t>
  </si>
  <si>
    <t xml:space="preserve">Suhail Faraj Salim Al Sam Bait Said </t>
  </si>
  <si>
    <t>0406003201560012</t>
  </si>
  <si>
    <t>SAID SULTAN MUSLEM GHAWAS</t>
  </si>
  <si>
    <t>00110064922001</t>
  </si>
  <si>
    <t>Mohammed Said Ali Al Noob Al Kathiri</t>
  </si>
  <si>
    <t>0397004251200037</t>
  </si>
  <si>
    <t>23.10.24</t>
  </si>
  <si>
    <t>HAFEEDH AHMED SALIM AL HADI BA OMAR</t>
  </si>
  <si>
    <t>0439021339770027</t>
  </si>
  <si>
    <t>SAID ABDULLAH SAID AL KATHIRI</t>
  </si>
  <si>
    <t>0397003656440015</t>
  </si>
  <si>
    <t>AMMAR SAID MASOUD DISHALIL AL KATHIRI</t>
  </si>
  <si>
    <t>01041027626001</t>
  </si>
  <si>
    <t>ALI SAID MOHAMMED ALNOOB AL KATHIRI</t>
  </si>
  <si>
    <t>01040855893001</t>
  </si>
  <si>
    <t>Musallam Said Thailab Samhan</t>
  </si>
  <si>
    <t>0397003869050016</t>
  </si>
  <si>
    <t>bank transfer-14-10-2024</t>
  </si>
  <si>
    <t>MUSALLAM SAID BAKHIT AL MASHIKHI</t>
  </si>
  <si>
    <t>0397003070650018</t>
  </si>
  <si>
    <t>MUSALLAM SAID ALI AMOR JID</t>
  </si>
  <si>
    <t>0401019188290022</t>
  </si>
  <si>
    <t>Yousuf Salim Azad Al kathiri</t>
  </si>
  <si>
    <t>01011432044002</t>
  </si>
  <si>
    <t>account name has ben changed</t>
  </si>
  <si>
    <t>Amer Ahmed Saad Ghawas</t>
  </si>
  <si>
    <t>01011004442003</t>
  </si>
  <si>
    <t>ALI MUSALLAM AYADHA GHAWAS</t>
  </si>
  <si>
    <t>0396019245430027</t>
  </si>
  <si>
    <t>Ammar Suhail Faraj Alsam Bait Said</t>
  </si>
  <si>
    <t>0406025017230011</t>
  </si>
  <si>
    <t>Mohammed Said Salim Ghawas</t>
  </si>
  <si>
    <t>01040405429001</t>
  </si>
  <si>
    <t>NASSER SAID MUSLEM GHAWAS</t>
  </si>
  <si>
    <t>250020009801</t>
  </si>
  <si>
    <t>Mohsin Said Doul Al Masahli</t>
  </si>
  <si>
    <t>250020003031</t>
  </si>
  <si>
    <t>AHMED MUSALLAM SAID SALIM BAIT SAID</t>
  </si>
  <si>
    <t>0406043421950018</t>
  </si>
  <si>
    <t>KHALID OMAR FARAJ AGHARIB AL SHAHRI</t>
  </si>
  <si>
    <t>0396019443650032</t>
  </si>
  <si>
    <t>ALI MAHAD MASOUD SALIM BAIT SAID</t>
  </si>
  <si>
    <t>0402021257540018</t>
  </si>
  <si>
    <t>Mohammed Ahmed Ali Barook Amer Jeed</t>
  </si>
  <si>
    <t>0439021392110031</t>
  </si>
  <si>
    <t>Ali Said Mahad Bait Said</t>
  </si>
  <si>
    <t>0406003147880038</t>
  </si>
  <si>
    <t>Ahmed Salim Said Jumaa Alkathiri</t>
  </si>
  <si>
    <t>0397003308270017</t>
  </si>
  <si>
    <t>Khalid Omar Ahmed Almarhun</t>
  </si>
  <si>
    <t>01011032777003</t>
  </si>
  <si>
    <t>Salim Ahmed Said Alnubi Alkathiri</t>
  </si>
  <si>
    <t>0397003876770024</t>
  </si>
  <si>
    <t>Salim Ahmed Said Jomaa Alkathiri</t>
  </si>
  <si>
    <t>01010400056001</t>
  </si>
  <si>
    <t>Hashim Abdullah Salim Al Hadi Ba Omar</t>
  </si>
  <si>
    <t>0406015177910021</t>
  </si>
  <si>
    <t>Ali Masoud Ali Bait Said</t>
  </si>
  <si>
    <t>0396003221770017</t>
  </si>
  <si>
    <t>SUHAIL SAID MAHAD BAIT SAID</t>
  </si>
  <si>
    <t>0396051472620011</t>
  </si>
  <si>
    <t>MAHAD SAID MAHAD BAYAT SAID</t>
  </si>
  <si>
    <t>0426003245730035</t>
  </si>
  <si>
    <t>Abdullah Salim Abdullah ALKathiri</t>
  </si>
  <si>
    <t>0439016622960028</t>
  </si>
  <si>
    <t>Suhail Omar Ahmed Fadhil</t>
  </si>
  <si>
    <t>0439014008740019</t>
  </si>
  <si>
    <t>Musallam Masoud Ali Bait Said</t>
  </si>
  <si>
    <t>0406003366630023</t>
  </si>
  <si>
    <t>MOHAMMED ALI SALIM ALKATHIRI</t>
  </si>
  <si>
    <t>Musallam Said Mahad Bait Said</t>
  </si>
  <si>
    <t>0406012706420017</t>
  </si>
  <si>
    <t>05-1124</t>
  </si>
  <si>
    <t>Mohammed Salim ahmed Jumaa Al Kathiri</t>
  </si>
  <si>
    <t>0439003015350027</t>
  </si>
  <si>
    <t>SALIM ALI SAID AL KATHIRI</t>
  </si>
  <si>
    <t>0439043931190021</t>
  </si>
  <si>
    <t>Milk Chilling Centre(Ghado) - Monthly Camel Milk Procurement Report - 01-08-2024 TO 31-08-2024</t>
  </si>
  <si>
    <t>BT-19-12-24</t>
  </si>
  <si>
    <t>098-01-25</t>
  </si>
  <si>
    <t>DCF FEED</t>
  </si>
  <si>
    <t>11/12/2024 - 24-12-2024</t>
  </si>
  <si>
    <t>Ahmed Said Amer Al Kathiri</t>
  </si>
  <si>
    <t>11-12-241</t>
  </si>
  <si>
    <t>27.11.2024</t>
  </si>
  <si>
    <t>27.11.24</t>
  </si>
  <si>
    <t>BT 10-12-2024</t>
  </si>
  <si>
    <t>BT 25-12-2024</t>
  </si>
  <si>
    <t>MUSALLAM SALIM AZAD AL KATHIRI</t>
  </si>
  <si>
    <t>Milk Chilling Centre(Ghado) - Monthly Camel Milk Procurement Report - 01-09-2024 TO 30-09-2024</t>
  </si>
  <si>
    <t>.41 deduct from oct</t>
  </si>
  <si>
    <t>.030 deduct from oct 2024</t>
  </si>
  <si>
    <t>109-05-11-24</t>
  </si>
  <si>
    <t>Ali Salim Ahmed Ali Badar al Kathiri</t>
  </si>
  <si>
    <t>BT 26-12-2024</t>
  </si>
  <si>
    <t>DCF-27-01-25</t>
  </si>
  <si>
    <t>09/12/2024  - 26-12-2024</t>
  </si>
  <si>
    <t>04/12/2024 - 25-12-2024</t>
  </si>
  <si>
    <t>Salim Ramas Musallam Ghawas</t>
  </si>
  <si>
    <t>.540 will deduct from 10-2024</t>
  </si>
  <si>
    <t>.050 DEDUCT FROM 10-24</t>
  </si>
  <si>
    <t>.780deduct from sep</t>
  </si>
  <si>
    <t>Dcf Feed</t>
  </si>
  <si>
    <t>24/12/2024 -</t>
  </si>
  <si>
    <t>13-*01-25</t>
  </si>
  <si>
    <t>04-112-24</t>
  </si>
  <si>
    <t>0-01-25</t>
  </si>
  <si>
    <t>Milk Chilling Centre(Ghado) - Monthly Camel Milk Procurement Report - 01-10-2024 TO 31-10-2024</t>
  </si>
  <si>
    <t>Total  Value (OMR)</t>
  </si>
  <si>
    <t>29-0125</t>
  </si>
  <si>
    <t>2.940 willd educt from 11-2024</t>
  </si>
  <si>
    <t>.31 willd educt from 11-24</t>
  </si>
  <si>
    <t>.090 will deduct from 11-24</t>
  </si>
  <si>
    <t>18-11-2024(198)</t>
  </si>
  <si>
    <t>334-17-12-24</t>
  </si>
  <si>
    <t>120.030-dcf</t>
  </si>
  <si>
    <t>Milk Chilling Centre(Ghado) - Monthly Camel Milk Procurement Report - 01-11-2024 TO 30-11-2024</t>
  </si>
  <si>
    <t>0402012153960016</t>
  </si>
  <si>
    <t>0406018203570028</t>
  </si>
  <si>
    <t>2.3 wiil deduct fro 12-24</t>
  </si>
  <si>
    <t>0439003977040022</t>
  </si>
  <si>
    <t>0397003855180014</t>
  </si>
  <si>
    <t>1083702512017</t>
  </si>
  <si>
    <t>0.53 will deduct from dec2024</t>
  </si>
  <si>
    <t>0051006152700</t>
  </si>
  <si>
    <t>01018019822001</t>
  </si>
  <si>
    <t>dcf feed-28-01-25</t>
  </si>
  <si>
    <t>01011187560003</t>
  </si>
  <si>
    <t>0397021257540028</t>
  </si>
  <si>
    <t>Amount</t>
  </si>
  <si>
    <t xml:space="preserve">أسعار الاعلاف </t>
  </si>
  <si>
    <t xml:space="preserve">أسم المنتج </t>
  </si>
  <si>
    <t>الوزن بالكيلوا</t>
  </si>
  <si>
    <t xml:space="preserve">القيمه بالريال العماني </t>
  </si>
  <si>
    <t xml:space="preserve">تخفيض </t>
  </si>
  <si>
    <t>السعر بعد التخفيض</t>
  </si>
  <si>
    <t xml:space="preserve">مراعي ظفار </t>
  </si>
  <si>
    <t xml:space="preserve">العلف الكامل </t>
  </si>
  <si>
    <t>التسمين السريع</t>
  </si>
  <si>
    <t>علف ادرار الحليب</t>
  </si>
  <si>
    <t>03.-02-25</t>
  </si>
  <si>
    <t>BT-29-01-25</t>
  </si>
  <si>
    <t xml:space="preserve">                             </t>
  </si>
  <si>
    <t>13-02-25</t>
  </si>
  <si>
    <t>13-2-25</t>
  </si>
  <si>
    <t>Milk Chilling Centre(Ghado) - Monthly Camel Milk Procurement Report - 01-12-2024 TO 31-12-2024</t>
  </si>
  <si>
    <t>Ali Amer Ahmed Saad Ghawas</t>
  </si>
  <si>
    <t>01018392045001</t>
  </si>
  <si>
    <t>16-2-25</t>
  </si>
  <si>
    <t>0.03 will deduct from 01-25</t>
  </si>
  <si>
    <t>17-2-25</t>
  </si>
  <si>
    <t>23-01-2025</t>
  </si>
  <si>
    <t>.06 will deduct form jan 25</t>
  </si>
  <si>
    <t>.80 will deduct form 01-25</t>
  </si>
  <si>
    <t>1.760 will deduct from jan 25</t>
  </si>
  <si>
    <t>1.42 will deduct form 01-25</t>
  </si>
  <si>
    <t>1.56 deduct from 01-25</t>
  </si>
  <si>
    <t>.53 deduct -01-25</t>
  </si>
  <si>
    <t>1.95 will deduct from 01-25</t>
  </si>
  <si>
    <t>.450 deduct from 01-25</t>
  </si>
  <si>
    <t>18-2-25</t>
  </si>
  <si>
    <t>deduct from 01-25</t>
  </si>
  <si>
    <t>20-2-25</t>
  </si>
  <si>
    <t>1.3 deduct from 01-25</t>
  </si>
  <si>
    <t>1.02 -01/25</t>
  </si>
  <si>
    <t>.350 -1/25</t>
  </si>
  <si>
    <t>3.28 -01/25</t>
  </si>
  <si>
    <t>1.55-01/252</t>
  </si>
  <si>
    <t>.2-01/25</t>
  </si>
  <si>
    <t>.65-01/25</t>
  </si>
  <si>
    <t>Remark</t>
  </si>
  <si>
    <t>24-2-25</t>
  </si>
  <si>
    <t>AL MOROOJ DAIRY CO SAOC</t>
  </si>
  <si>
    <t>CR NO:1249988</t>
  </si>
  <si>
    <t>P.O BOX: 1385,PC-211</t>
  </si>
  <si>
    <t>VAT:OM1100091687</t>
  </si>
  <si>
    <t>SALALAH, SULTANATE OF OMAN</t>
  </si>
  <si>
    <t>PURCHASE REQUEST</t>
  </si>
  <si>
    <t>PR Ref:</t>
  </si>
  <si>
    <t>PR Date:</t>
  </si>
  <si>
    <t>Farmer ID</t>
  </si>
  <si>
    <t>أسم المنتج  / Product</t>
  </si>
  <si>
    <t>الوزن بالكيلوا / Weight</t>
  </si>
  <si>
    <t>السعر / Price</t>
  </si>
  <si>
    <t>الكمية / Quantity</t>
  </si>
  <si>
    <t>إجمالي المبلغ / Total</t>
  </si>
  <si>
    <t>مراعي ظفار 
Marai Dhofar</t>
  </si>
  <si>
    <t>.</t>
  </si>
  <si>
    <t xml:space="preserve">العلف الكامل
Whole Feed </t>
  </si>
  <si>
    <t>التسمين السريع
 Rapid Growth</t>
  </si>
  <si>
    <t>التسمين السريع
Rapid Growth</t>
  </si>
  <si>
    <t>-</t>
  </si>
  <si>
    <t>نخالة القمح
Wheat Bran</t>
  </si>
  <si>
    <t>TOTAL</t>
  </si>
  <si>
    <t xml:space="preserve">علف ادرار الحليب
Milk-producing Feed </t>
  </si>
  <si>
    <t>Monnth</t>
  </si>
  <si>
    <t>الإجمالي / Total</t>
  </si>
  <si>
    <t>شركة المروج للألبان</t>
  </si>
  <si>
    <t>Al Morooj Dairy Co</t>
  </si>
  <si>
    <t>email id: feeds@almoroojdairy.om</t>
  </si>
  <si>
    <t>Tel: +96 23202611,23294248</t>
  </si>
  <si>
    <t>25-2-25</t>
  </si>
  <si>
    <t>PR Date</t>
  </si>
  <si>
    <t>Month</t>
  </si>
  <si>
    <t>SL</t>
  </si>
  <si>
    <t xml:space="preserve">Remark: </t>
  </si>
  <si>
    <t>ملاحظة:</t>
  </si>
  <si>
    <t>1.The customer are agreed to transfer the full feeds as per the purchase request signed</t>
  </si>
  <si>
    <t>1- أنا العميل الموقع أدناه موافق على شحن الكمية الموضحة في طلب الشراء بالكامل</t>
  </si>
  <si>
    <t>2.All the farmer should bring the ID copy. Without ID proof, feeds will not issue</t>
  </si>
  <si>
    <t>2- على جميع المربين احضار نسخة من البطاقة الشخصية , بدون البطاقة الشخصية لن يتم صرف الاعلاف</t>
  </si>
  <si>
    <t>توقيع العميل</t>
  </si>
  <si>
    <t>Customer Signature</t>
  </si>
  <si>
    <t>paid</t>
  </si>
  <si>
    <t>AMDC/G025-754</t>
  </si>
  <si>
    <t>Milk Chilling Centre(Ghado) - Monthly Camel Milk Procurement Report - 01-08-2025 TO 31-08-2025</t>
  </si>
  <si>
    <t>24.9.2025</t>
  </si>
  <si>
    <t>BT 28-9-2025</t>
  </si>
  <si>
    <t>29.9.2025</t>
  </si>
  <si>
    <t>Said Ail Abdullah Ghawas</t>
  </si>
  <si>
    <t>14-10-2025</t>
  </si>
  <si>
    <t>15-10-2025</t>
  </si>
  <si>
    <t>20-10-2025</t>
  </si>
  <si>
    <t>20-10-25</t>
  </si>
  <si>
    <t>22-10-2025</t>
  </si>
  <si>
    <t>22-10-25</t>
  </si>
  <si>
    <t>23-10-2025</t>
  </si>
  <si>
    <t>28-10-25</t>
  </si>
  <si>
    <t>27-10-25</t>
  </si>
  <si>
    <t>27-10-2025</t>
  </si>
  <si>
    <t>.89-10-2025 DEDUCT</t>
  </si>
  <si>
    <t>30-10-2025</t>
  </si>
  <si>
    <t>.040-10-25</t>
  </si>
  <si>
    <t>.110-10-25</t>
  </si>
  <si>
    <t>.720-10-2025</t>
  </si>
  <si>
    <t>.030-10-2025</t>
  </si>
  <si>
    <t>FAB</t>
  </si>
  <si>
    <t>Said Salim Doul Samhan ALMashali</t>
  </si>
  <si>
    <t>0401020982150012</t>
  </si>
  <si>
    <t>Shihab Ahmed Ali Ahmed Kashob</t>
  </si>
  <si>
    <t>0406003456440018</t>
  </si>
  <si>
    <t>SAID ALI ABDULLAH  GHAWAS</t>
  </si>
  <si>
    <t>Milk Chilling Centre(Ghado) - Monthly Camel Milk Procurement Report - 01-10-2025 TO 31-10-2025</t>
  </si>
  <si>
    <t>12-111-25</t>
  </si>
  <si>
    <t>17-11-25</t>
  </si>
  <si>
    <t>20-11-25</t>
  </si>
  <si>
    <t>24-11-25</t>
  </si>
  <si>
    <t>16-12-25</t>
  </si>
  <si>
    <t>.210-11-25</t>
  </si>
  <si>
    <t>.17-11-25</t>
  </si>
  <si>
    <t>23-12-25</t>
  </si>
  <si>
    <t>Milk Chilling Centre(Ghado) - Monthly Camel Milk Procurement Report - 01-11-2025 TO 30-11-2025</t>
  </si>
  <si>
    <t>24-12-25</t>
  </si>
  <si>
    <t>31-12-2025</t>
  </si>
  <si>
    <t>31-12-25</t>
  </si>
  <si>
    <t>Milk Chilling Centre(Ghado) - Monthly Camel Milk Procurement Report - 01-12-2025 TO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</si>
</sst>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_(* #,##0.000_);_(* \(#,##0.000\);_(* &quot;-&quot;??_);_(@_)"/>
    <numFmt numFmtId="166" formatCode="_ * #,##0.0_ ;_ * \-#,##0.0_ ;_ * &quot;-&quot;??_ ;_ @_ "/>
    <numFmt numFmtId="167" formatCode="#,##0.000"/>
    <numFmt numFmtId="168" formatCode="_(* #,##0.0_);_(* \(#,##0.0\);_(* &quot;-&quot;??_);_(@_)"/>
    <numFmt numFmtId="169" formatCode="dd\-mm\-yyyy"/>
    <numFmt numFmtId="170" formatCode="dd\-mm\-yyyy;@"/>
  </numFmts>
  <fonts count="5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i/>
      <sz val="9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8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Cambria"/>
      <family val="1"/>
    </font>
    <font>
      <b/>
      <i/>
      <sz val="10"/>
      <name val="Cambria"/>
      <family val="1"/>
    </font>
    <font>
      <sz val="10"/>
      <color theme="1"/>
      <name val="Cambria"/>
      <family val="1"/>
    </font>
    <font>
      <i/>
      <sz val="10"/>
      <name val="Cambria"/>
      <family val="1"/>
    </font>
    <font>
      <i/>
      <sz val="10"/>
      <color theme="1"/>
      <name val="Cambria"/>
      <family val="1"/>
    </font>
    <font>
      <sz val="10"/>
      <name val="Cambria"/>
      <family val="1"/>
    </font>
    <font>
      <sz val="10"/>
      <color rgb="FFFF0000"/>
      <name val="Cambria"/>
      <family val="1"/>
    </font>
    <font>
      <sz val="10"/>
      <color rgb="FF000000"/>
      <name val="Cambria"/>
      <family val="1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sz val="11"/>
      <color rgb="FFFFFF00"/>
      <name val="Aptos Narrow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u val="doubleAccounting"/>
      <sz val="14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3B585"/>
        <bgColor indexed="64"/>
      </patternFill>
    </fill>
    <fill>
      <patternFill patternType="solid">
        <fgColor rgb="FFBFB5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theme="8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C7B585"/>
        <bgColor indexed="64"/>
      </patternFill>
    </fill>
    <fill>
      <patternFill patternType="solid">
        <fgColor rgb="FF92D050"/>
        <bgColor theme="8" tint="0.79998168889431442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667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1" applyNumberFormat="1" applyFont="1" applyFill="1" applyBorder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166" fontId="8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3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left" vertical="center"/>
    </xf>
    <xf numFmtId="167" fontId="10" fillId="5" borderId="1" xfId="2" applyNumberFormat="1" applyFont="1" applyFill="1" applyBorder="1" applyAlignment="1">
      <alignment horizontal="center" vertical="center"/>
    </xf>
    <xf numFmtId="167" fontId="10" fillId="4" borderId="1" xfId="2" applyNumberFormat="1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left" vertical="center"/>
    </xf>
    <xf numFmtId="0" fontId="10" fillId="4" borderId="1" xfId="2" quotePrefix="1" applyFont="1" applyFill="1" applyBorder="1" applyAlignment="1">
      <alignment horizontal="left" vertical="center"/>
    </xf>
    <xf numFmtId="166" fontId="10" fillId="4" borderId="1" xfId="2" applyNumberFormat="1" applyFont="1" applyFill="1" applyBorder="1" applyAlignment="1">
      <alignment vertical="center"/>
    </xf>
    <xf numFmtId="0" fontId="10" fillId="4" borderId="1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1" xfId="2" quotePrefix="1" applyFont="1" applyFill="1" applyBorder="1" applyAlignment="1">
      <alignment horizontal="left" vertical="center"/>
    </xf>
    <xf numFmtId="167" fontId="10" fillId="3" borderId="1" xfId="2" applyNumberFormat="1" applyFont="1" applyFill="1" applyBorder="1" applyAlignment="1">
      <alignment horizontal="center" vertical="center"/>
    </xf>
    <xf numFmtId="166" fontId="10" fillId="3" borderId="1" xfId="2" applyNumberFormat="1" applyFont="1" applyFill="1" applyBorder="1" applyAlignment="1">
      <alignment vertical="center"/>
    </xf>
    <xf numFmtId="0" fontId="10" fillId="3" borderId="1" xfId="2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11" fillId="4" borderId="1" xfId="2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vertical="center"/>
    </xf>
    <xf numFmtId="0" fontId="11" fillId="4" borderId="1" xfId="2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166" fontId="8" fillId="4" borderId="1" xfId="1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6" fontId="8" fillId="5" borderId="1" xfId="1" applyNumberFormat="1" applyFont="1" applyFill="1" applyBorder="1" applyAlignment="1">
      <alignment horizontal="center" vertical="center" wrapText="1"/>
    </xf>
    <xf numFmtId="166" fontId="10" fillId="5" borderId="1" xfId="2" applyNumberFormat="1" applyFont="1" applyFill="1" applyBorder="1" applyAlignment="1">
      <alignment vertical="center"/>
    </xf>
    <xf numFmtId="0" fontId="10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left" vertical="center"/>
    </xf>
    <xf numFmtId="0" fontId="10" fillId="4" borderId="1" xfId="2" applyFont="1" applyFill="1" applyBorder="1" applyAlignment="1">
      <alignment horizontal="left"/>
    </xf>
    <xf numFmtId="0" fontId="10" fillId="3" borderId="1" xfId="2" applyFont="1" applyFill="1" applyBorder="1" applyAlignment="1">
      <alignment horizontal="left"/>
    </xf>
    <xf numFmtId="1" fontId="10" fillId="4" borderId="1" xfId="2" quotePrefix="1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0" fillId="3" borderId="1" xfId="2" applyFont="1" applyFill="1" applyBorder="1"/>
    <xf numFmtId="0" fontId="8" fillId="3" borderId="0" xfId="0" applyFont="1" applyFill="1" applyAlignment="1">
      <alignment horizontal="center" vertical="center"/>
    </xf>
    <xf numFmtId="166" fontId="10" fillId="3" borderId="1" xfId="2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1" fontId="10" fillId="3" borderId="1" xfId="2" quotePrefix="1" applyNumberFormat="1" applyFont="1" applyFill="1" applyBorder="1" applyAlignment="1">
      <alignment horizontal="left" vertical="center"/>
    </xf>
    <xf numFmtId="0" fontId="10" fillId="4" borderId="1" xfId="2" quotePrefix="1" applyFont="1" applyFill="1" applyBorder="1" applyAlignment="1">
      <alignment horizontal="left"/>
    </xf>
    <xf numFmtId="1" fontId="8" fillId="3" borderId="1" xfId="0" quotePrefix="1" applyNumberFormat="1" applyFont="1" applyFill="1" applyBorder="1" applyAlignment="1">
      <alignment horizontal="left" vertical="center"/>
    </xf>
    <xf numFmtId="0" fontId="11" fillId="3" borderId="1" xfId="2" applyFont="1" applyFill="1" applyBorder="1" applyAlignment="1">
      <alignment horizontal="center" vertical="center"/>
    </xf>
    <xf numFmtId="168" fontId="8" fillId="5" borderId="1" xfId="1" applyNumberFormat="1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/>
    </xf>
    <xf numFmtId="0" fontId="10" fillId="7" borderId="1" xfId="2" applyFont="1" applyFill="1" applyBorder="1" applyAlignment="1">
      <alignment horizontal="center" vertical="center"/>
    </xf>
    <xf numFmtId="167" fontId="10" fillId="4" borderId="7" xfId="2" applyNumberFormat="1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left"/>
    </xf>
    <xf numFmtId="166" fontId="14" fillId="0" borderId="0" xfId="1" applyNumberFormat="1" applyFont="1" applyAlignment="1">
      <alignment horizontal="center"/>
    </xf>
    <xf numFmtId="1" fontId="6" fillId="0" borderId="0" xfId="0" applyNumberFormat="1" applyFont="1"/>
    <xf numFmtId="166" fontId="6" fillId="0" borderId="0" xfId="1" applyNumberFormat="1" applyFont="1" applyAlignment="1">
      <alignment horizontal="center"/>
    </xf>
    <xf numFmtId="0" fontId="5" fillId="0" borderId="0" xfId="0" applyFont="1"/>
    <xf numFmtId="166" fontId="5" fillId="0" borderId="0" xfId="1" applyNumberFormat="1" applyFont="1" applyAlignment="1">
      <alignment horizontal="center"/>
    </xf>
    <xf numFmtId="1" fontId="5" fillId="0" borderId="0" xfId="0" applyNumberFormat="1" applyFont="1"/>
    <xf numFmtId="0" fontId="2" fillId="0" borderId="0" xfId="0" applyFont="1"/>
    <xf numFmtId="14" fontId="8" fillId="3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166" fontId="10" fillId="3" borderId="1" xfId="2" applyNumberFormat="1" applyFont="1" applyFill="1" applyBorder="1" applyAlignment="1">
      <alignment horizontal="center" vertical="center"/>
    </xf>
    <xf numFmtId="9" fontId="8" fillId="0" borderId="0" xfId="3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1" fillId="8" borderId="1" xfId="2" applyFont="1" applyFill="1" applyBorder="1" applyAlignment="1">
      <alignment horizontal="left" vertical="center"/>
    </xf>
    <xf numFmtId="166" fontId="10" fillId="8" borderId="1" xfId="2" applyNumberFormat="1" applyFont="1" applyFill="1" applyBorder="1" applyAlignment="1">
      <alignment vertical="center"/>
    </xf>
    <xf numFmtId="167" fontId="10" fillId="8" borderId="1" xfId="2" applyNumberFormat="1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10" fillId="8" borderId="1" xfId="2" quotePrefix="1" applyFont="1" applyFill="1" applyBorder="1" applyAlignment="1">
      <alignment horizontal="left" vertical="center"/>
    </xf>
    <xf numFmtId="0" fontId="10" fillId="8" borderId="2" xfId="2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" fontId="10" fillId="8" borderId="1" xfId="2" quotePrefix="1" applyNumberFormat="1" applyFont="1" applyFill="1" applyBorder="1" applyAlignment="1">
      <alignment horizontal="left" vertical="center"/>
    </xf>
    <xf numFmtId="0" fontId="10" fillId="4" borderId="1" xfId="2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10" fillId="9" borderId="1" xfId="2" applyFont="1" applyFill="1" applyBorder="1" applyAlignment="1">
      <alignment horizontal="center" vertical="center"/>
    </xf>
    <xf numFmtId="0" fontId="11" fillId="9" borderId="1" xfId="2" applyFont="1" applyFill="1" applyBorder="1" applyAlignment="1">
      <alignment horizontal="left" vertical="center"/>
    </xf>
    <xf numFmtId="166" fontId="10" fillId="9" borderId="1" xfId="2" applyNumberFormat="1" applyFont="1" applyFill="1" applyBorder="1" applyAlignment="1">
      <alignment vertical="center"/>
    </xf>
    <xf numFmtId="167" fontId="10" fillId="9" borderId="1" xfId="2" applyNumberFormat="1" applyFont="1" applyFill="1" applyBorder="1" applyAlignment="1">
      <alignment horizontal="center" vertical="center"/>
    </xf>
    <xf numFmtId="0" fontId="10" fillId="9" borderId="1" xfId="2" applyFont="1" applyFill="1" applyBorder="1" applyAlignment="1">
      <alignment horizontal="left" vertical="center"/>
    </xf>
    <xf numFmtId="14" fontId="8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10" fillId="10" borderId="1" xfId="2" applyFont="1" applyFill="1" applyBorder="1" applyAlignment="1">
      <alignment horizontal="center" vertical="center"/>
    </xf>
    <xf numFmtId="0" fontId="11" fillId="10" borderId="1" xfId="2" applyFont="1" applyFill="1" applyBorder="1" applyAlignment="1">
      <alignment horizontal="left" vertical="center"/>
    </xf>
    <xf numFmtId="166" fontId="10" fillId="10" borderId="1" xfId="2" applyNumberFormat="1" applyFont="1" applyFill="1" applyBorder="1" applyAlignment="1">
      <alignment vertical="center"/>
    </xf>
    <xf numFmtId="167" fontId="10" fillId="10" borderId="1" xfId="2" applyNumberFormat="1" applyFont="1" applyFill="1" applyBorder="1" applyAlignment="1">
      <alignment horizontal="center" vertical="center"/>
    </xf>
    <xf numFmtId="0" fontId="10" fillId="10" borderId="1" xfId="2" applyFont="1" applyFill="1" applyBorder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9" fontId="8" fillId="0" borderId="0" xfId="3" applyFont="1" applyAlignment="1">
      <alignment horizontal="left" vertical="center"/>
    </xf>
    <xf numFmtId="14" fontId="8" fillId="4" borderId="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/>
    </xf>
    <xf numFmtId="167" fontId="10" fillId="11" borderId="1" xfId="2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0" fillId="11" borderId="1" xfId="2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10" fillId="10" borderId="1" xfId="2" quotePrefix="1" applyFont="1" applyFill="1" applyBorder="1" applyAlignment="1">
      <alignment horizontal="left" vertic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4" fontId="8" fillId="4" borderId="0" xfId="0" applyNumberFormat="1" applyFont="1" applyFill="1" applyAlignment="1">
      <alignment horizontal="center" vertical="center"/>
    </xf>
    <xf numFmtId="166" fontId="10" fillId="4" borderId="1" xfId="2" applyNumberFormat="1" applyFont="1" applyFill="1" applyBorder="1" applyAlignment="1">
      <alignment horizontal="left" vertical="center"/>
    </xf>
    <xf numFmtId="14" fontId="8" fillId="4" borderId="1" xfId="0" applyNumberFormat="1" applyFont="1" applyFill="1" applyBorder="1" applyAlignment="1">
      <alignment horizontal="left" vertical="center" wrapText="1"/>
    </xf>
    <xf numFmtId="43" fontId="8" fillId="4" borderId="1" xfId="1" applyFont="1" applyFill="1" applyBorder="1" applyAlignment="1">
      <alignment horizontal="center" vertical="center"/>
    </xf>
    <xf numFmtId="166" fontId="8" fillId="4" borderId="0" xfId="1" applyNumberFormat="1" applyFont="1" applyFill="1" applyAlignment="1">
      <alignment horizontal="center" vertical="center"/>
    </xf>
    <xf numFmtId="43" fontId="8" fillId="4" borderId="0" xfId="0" applyNumberFormat="1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quotePrefix="1" applyFont="1" applyFill="1" applyBorder="1" applyAlignment="1">
      <alignment horizontal="left" vertical="center"/>
    </xf>
    <xf numFmtId="0" fontId="10" fillId="10" borderId="2" xfId="2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left"/>
    </xf>
    <xf numFmtId="1" fontId="8" fillId="10" borderId="1" xfId="0" quotePrefix="1" applyNumberFormat="1" applyFont="1" applyFill="1" applyBorder="1" applyAlignment="1">
      <alignment horizontal="left"/>
    </xf>
    <xf numFmtId="0" fontId="8" fillId="14" borderId="1" xfId="0" applyFont="1" applyFill="1" applyBorder="1"/>
    <xf numFmtId="1" fontId="8" fillId="10" borderId="6" xfId="0" applyNumberFormat="1" applyFont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left" vertical="center"/>
    </xf>
    <xf numFmtId="14" fontId="8" fillId="8" borderId="0" xfId="0" applyNumberFormat="1" applyFont="1" applyFill="1" applyAlignment="1">
      <alignment horizontal="center" vertical="center"/>
    </xf>
    <xf numFmtId="0" fontId="16" fillId="4" borderId="1" xfId="2" applyFont="1" applyFill="1" applyBorder="1" applyAlignment="1">
      <alignment horizontal="left" vertical="center"/>
    </xf>
    <xf numFmtId="0" fontId="18" fillId="4" borderId="1" xfId="2" applyFont="1" applyFill="1" applyBorder="1" applyAlignment="1">
      <alignment horizontal="left" vertical="center"/>
    </xf>
    <xf numFmtId="0" fontId="16" fillId="4" borderId="1" xfId="2" applyFont="1" applyFill="1" applyBorder="1" applyAlignment="1">
      <alignment horizontal="left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2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left" vertical="center"/>
    </xf>
    <xf numFmtId="0" fontId="16" fillId="3" borderId="1" xfId="2" applyFont="1" applyFill="1" applyBorder="1" applyAlignment="1">
      <alignment horizontal="left" vertical="center"/>
    </xf>
    <xf numFmtId="14" fontId="15" fillId="3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167" fontId="16" fillId="4" borderId="1" xfId="2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6" fillId="9" borderId="1" xfId="2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2" applyFont="1" applyFill="1" applyBorder="1"/>
    <xf numFmtId="0" fontId="16" fillId="3" borderId="1" xfId="2" applyFont="1" applyFill="1" applyBorder="1" applyAlignment="1">
      <alignment horizontal="left"/>
    </xf>
    <xf numFmtId="0" fontId="16" fillId="3" borderId="1" xfId="2" applyFont="1" applyFill="1" applyBorder="1" applyAlignment="1">
      <alignment horizontal="center" vertical="center" wrapText="1"/>
    </xf>
    <xf numFmtId="0" fontId="16" fillId="3" borderId="1" xfId="2" quotePrefix="1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/>
    </xf>
    <xf numFmtId="0" fontId="10" fillId="17" borderId="1" xfId="2" applyFont="1" applyFill="1" applyBorder="1" applyAlignment="1">
      <alignment horizontal="center" vertical="center"/>
    </xf>
    <xf numFmtId="0" fontId="11" fillId="17" borderId="1" xfId="2" applyFont="1" applyFill="1" applyBorder="1" applyAlignment="1">
      <alignment horizontal="left" vertical="center"/>
    </xf>
    <xf numFmtId="166" fontId="10" fillId="17" borderId="1" xfId="2" applyNumberFormat="1" applyFont="1" applyFill="1" applyBorder="1" applyAlignment="1">
      <alignment vertical="center"/>
    </xf>
    <xf numFmtId="167" fontId="10" fillId="17" borderId="1" xfId="2" applyNumberFormat="1" applyFont="1" applyFill="1" applyBorder="1" applyAlignment="1">
      <alignment horizontal="center" vertical="center"/>
    </xf>
    <xf numFmtId="0" fontId="10" fillId="17" borderId="1" xfId="2" applyFont="1" applyFill="1" applyBorder="1" applyAlignment="1">
      <alignment horizontal="left" vertical="center"/>
    </xf>
    <xf numFmtId="0" fontId="8" fillId="17" borderId="0" xfId="0" applyFont="1" applyFill="1" applyAlignment="1">
      <alignment horizontal="center" vertical="center"/>
    </xf>
    <xf numFmtId="0" fontId="10" fillId="3" borderId="1" xfId="2" applyFont="1" applyFill="1" applyBorder="1" applyAlignment="1">
      <alignment vertical="center"/>
    </xf>
    <xf numFmtId="14" fontId="18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166" fontId="15" fillId="5" borderId="1" xfId="1" applyNumberFormat="1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/>
    </xf>
    <xf numFmtId="0" fontId="16" fillId="18" borderId="1" xfId="2" applyFont="1" applyFill="1" applyBorder="1" applyAlignment="1">
      <alignment horizontal="center" vertical="center" wrapText="1"/>
    </xf>
    <xf numFmtId="0" fontId="17" fillId="18" borderId="1" xfId="2" applyFont="1" applyFill="1" applyBorder="1" applyAlignment="1">
      <alignment horizontal="left" vertical="center"/>
    </xf>
    <xf numFmtId="166" fontId="16" fillId="18" borderId="1" xfId="2" applyNumberFormat="1" applyFont="1" applyFill="1" applyBorder="1" applyAlignment="1">
      <alignment horizontal="left" vertical="center"/>
    </xf>
    <xf numFmtId="167" fontId="16" fillId="18" borderId="1" xfId="2" applyNumberFormat="1" applyFont="1" applyFill="1" applyBorder="1" applyAlignment="1">
      <alignment horizontal="center" vertical="center"/>
    </xf>
    <xf numFmtId="0" fontId="16" fillId="18" borderId="1" xfId="2" applyFont="1" applyFill="1" applyBorder="1" applyAlignment="1">
      <alignment horizontal="left" vertical="center"/>
    </xf>
    <xf numFmtId="0" fontId="16" fillId="18" borderId="1" xfId="2" quotePrefix="1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center" vertical="center" wrapText="1"/>
    </xf>
    <xf numFmtId="166" fontId="16" fillId="3" borderId="1" xfId="2" applyNumberFormat="1" applyFont="1" applyFill="1" applyBorder="1" applyAlignment="1">
      <alignment horizontal="center" vertical="center"/>
    </xf>
    <xf numFmtId="167" fontId="16" fillId="3" borderId="1" xfId="2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/>
    </xf>
    <xf numFmtId="14" fontId="15" fillId="0" borderId="0" xfId="0" applyNumberFormat="1" applyFont="1" applyAlignment="1">
      <alignment horizontal="center" vertical="center"/>
    </xf>
    <xf numFmtId="166" fontId="16" fillId="3" borderId="1" xfId="2" applyNumberFormat="1" applyFont="1" applyFill="1" applyBorder="1" applyAlignment="1">
      <alignment vertical="center"/>
    </xf>
    <xf numFmtId="167" fontId="16" fillId="7" borderId="1" xfId="2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18" borderId="1" xfId="2" applyFont="1" applyFill="1" applyBorder="1" applyAlignment="1">
      <alignment horizontal="center" vertical="center"/>
    </xf>
    <xf numFmtId="166" fontId="16" fillId="18" borderId="1" xfId="2" applyNumberFormat="1" applyFont="1" applyFill="1" applyBorder="1" applyAlignment="1">
      <alignment vertical="center"/>
    </xf>
    <xf numFmtId="0" fontId="16" fillId="18" borderId="1" xfId="2" applyFont="1" applyFill="1" applyBorder="1" applyAlignment="1">
      <alignment vertical="center"/>
    </xf>
    <xf numFmtId="0" fontId="18" fillId="18" borderId="1" xfId="0" applyFont="1" applyFill="1" applyBorder="1" applyAlignment="1">
      <alignment horizontal="center" vertical="center" wrapText="1"/>
    </xf>
    <xf numFmtId="14" fontId="15" fillId="3" borderId="0" xfId="0" applyNumberFormat="1" applyFont="1" applyFill="1" applyAlignment="1">
      <alignment horizontal="center" vertical="center"/>
    </xf>
    <xf numFmtId="14" fontId="15" fillId="4" borderId="0" xfId="0" applyNumberFormat="1" applyFont="1" applyFill="1" applyAlignment="1">
      <alignment horizontal="center" vertical="center"/>
    </xf>
    <xf numFmtId="0" fontId="18" fillId="18" borderId="1" xfId="2" applyFont="1" applyFill="1" applyBorder="1" applyAlignment="1">
      <alignment horizontal="left" vertical="center"/>
    </xf>
    <xf numFmtId="0" fontId="16" fillId="18" borderId="1" xfId="2" applyFont="1" applyFill="1" applyBorder="1" applyAlignment="1">
      <alignment horizontal="left"/>
    </xf>
    <xf numFmtId="1" fontId="16" fillId="3" borderId="1" xfId="2" quotePrefix="1" applyNumberFormat="1" applyFont="1" applyFill="1" applyBorder="1" applyAlignment="1">
      <alignment horizontal="left" vertical="center"/>
    </xf>
    <xf numFmtId="49" fontId="16" fillId="18" borderId="1" xfId="2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1" fontId="15" fillId="3" borderId="1" xfId="0" quotePrefix="1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49" fontId="16" fillId="3" borderId="1" xfId="2" quotePrefix="1" applyNumberFormat="1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0" fontId="16" fillId="10" borderId="1" xfId="2" applyFont="1" applyFill="1" applyBorder="1" applyAlignment="1">
      <alignment horizontal="center" vertical="center"/>
    </xf>
    <xf numFmtId="0" fontId="17" fillId="10" borderId="1" xfId="2" applyFont="1" applyFill="1" applyBorder="1" applyAlignment="1">
      <alignment horizontal="left" vertical="center"/>
    </xf>
    <xf numFmtId="166" fontId="16" fillId="10" borderId="1" xfId="2" applyNumberFormat="1" applyFont="1" applyFill="1" applyBorder="1" applyAlignment="1">
      <alignment vertical="center"/>
    </xf>
    <xf numFmtId="167" fontId="16" fillId="10" borderId="1" xfId="2" applyNumberFormat="1" applyFont="1" applyFill="1" applyBorder="1" applyAlignment="1">
      <alignment horizontal="center" vertical="center"/>
    </xf>
    <xf numFmtId="0" fontId="16" fillId="10" borderId="1" xfId="2" applyFont="1" applyFill="1" applyBorder="1" applyAlignment="1">
      <alignment horizontal="left" vertical="center"/>
    </xf>
    <xf numFmtId="0" fontId="16" fillId="10" borderId="1" xfId="2" quotePrefix="1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6" fillId="3" borderId="1" xfId="2" quotePrefix="1" applyFont="1" applyFill="1" applyBorder="1" applyAlignment="1">
      <alignment horizontal="left"/>
    </xf>
    <xf numFmtId="0" fontId="17" fillId="3" borderId="1" xfId="2" applyFont="1" applyFill="1" applyBorder="1" applyAlignment="1">
      <alignment horizontal="center" vertical="center"/>
    </xf>
    <xf numFmtId="0" fontId="17" fillId="18" borderId="1" xfId="2" applyFont="1" applyFill="1" applyBorder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166" fontId="16" fillId="3" borderId="1" xfId="2" applyNumberFormat="1" applyFont="1" applyFill="1" applyBorder="1" applyAlignment="1">
      <alignment horizontal="left" vertical="center"/>
    </xf>
    <xf numFmtId="49" fontId="16" fillId="18" borderId="1" xfId="2" quotePrefix="1" applyNumberFormat="1" applyFont="1" applyFill="1" applyBorder="1" applyAlignment="1">
      <alignment horizontal="left" vertical="center"/>
    </xf>
    <xf numFmtId="2" fontId="16" fillId="3" borderId="1" xfId="2" quotePrefix="1" applyNumberFormat="1" applyFont="1" applyFill="1" applyBorder="1" applyAlignment="1">
      <alignment horizontal="left" vertical="center"/>
    </xf>
    <xf numFmtId="0" fontId="16" fillId="18" borderId="1" xfId="2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/>
    </xf>
    <xf numFmtId="0" fontId="16" fillId="13" borderId="1" xfId="2" applyFont="1" applyFill="1" applyBorder="1" applyAlignment="1">
      <alignment horizontal="center" vertical="center"/>
    </xf>
    <xf numFmtId="0" fontId="17" fillId="13" borderId="1" xfId="2" applyFont="1" applyFill="1" applyBorder="1" applyAlignment="1">
      <alignment horizontal="left" vertical="center"/>
    </xf>
    <xf numFmtId="166" fontId="16" fillId="13" borderId="1" xfId="2" applyNumberFormat="1" applyFont="1" applyFill="1" applyBorder="1" applyAlignment="1">
      <alignment vertical="center"/>
    </xf>
    <xf numFmtId="167" fontId="16" fillId="13" borderId="1" xfId="2" applyNumberFormat="1" applyFont="1" applyFill="1" applyBorder="1" applyAlignment="1">
      <alignment horizontal="center" vertical="center"/>
    </xf>
    <xf numFmtId="0" fontId="16" fillId="13" borderId="1" xfId="2" applyFont="1" applyFill="1" applyBorder="1" applyAlignment="1">
      <alignment horizontal="left" vertical="center"/>
    </xf>
    <xf numFmtId="0" fontId="16" fillId="13" borderId="1" xfId="2" quotePrefix="1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 wrapText="1"/>
    </xf>
    <xf numFmtId="0" fontId="16" fillId="9" borderId="1" xfId="2" applyFont="1" applyFill="1" applyBorder="1" applyAlignment="1">
      <alignment horizontal="center" vertical="center"/>
    </xf>
    <xf numFmtId="166" fontId="16" fillId="9" borderId="1" xfId="2" applyNumberFormat="1" applyFont="1" applyFill="1" applyBorder="1" applyAlignment="1">
      <alignment vertical="center"/>
    </xf>
    <xf numFmtId="167" fontId="16" fillId="9" borderId="1" xfId="2" applyNumberFormat="1" applyFont="1" applyFill="1" applyBorder="1" applyAlignment="1">
      <alignment horizontal="center" vertical="center"/>
    </xf>
    <xf numFmtId="0" fontId="16" fillId="9" borderId="1" xfId="2" quotePrefix="1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6" fillId="4" borderId="1" xfId="2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7" fontId="16" fillId="5" borderId="1" xfId="2" applyNumberFormat="1" applyFont="1" applyFill="1" applyBorder="1" applyAlignment="1">
      <alignment horizontal="center" vertical="center"/>
    </xf>
    <xf numFmtId="1" fontId="16" fillId="18" borderId="1" xfId="2" quotePrefix="1" applyNumberFormat="1" applyFont="1" applyFill="1" applyBorder="1" applyAlignment="1">
      <alignment horizontal="left" vertical="center"/>
    </xf>
    <xf numFmtId="0" fontId="16" fillId="12" borderId="1" xfId="2" quotePrefix="1" applyFont="1" applyFill="1" applyBorder="1" applyAlignment="1">
      <alignment horizontal="left" vertical="center"/>
    </xf>
    <xf numFmtId="0" fontId="15" fillId="10" borderId="1" xfId="0" quotePrefix="1" applyFont="1" applyFill="1" applyBorder="1" applyAlignment="1">
      <alignment horizontal="left" vertical="center"/>
    </xf>
    <xf numFmtId="1" fontId="18" fillId="18" borderId="1" xfId="0" quotePrefix="1" applyNumberFormat="1" applyFont="1" applyFill="1" applyBorder="1" applyAlignment="1">
      <alignment horizontal="left" vertical="center"/>
    </xf>
    <xf numFmtId="1" fontId="16" fillId="9" borderId="1" xfId="2" quotePrefix="1" applyNumberFormat="1" applyFont="1" applyFill="1" applyBorder="1" applyAlignment="1">
      <alignment horizontal="left" vertical="center"/>
    </xf>
    <xf numFmtId="49" fontId="16" fillId="3" borderId="1" xfId="2" applyNumberFormat="1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center" vertical="center"/>
    </xf>
    <xf numFmtId="0" fontId="15" fillId="3" borderId="1" xfId="0" quotePrefix="1" applyFont="1" applyFill="1" applyBorder="1" applyAlignment="1">
      <alignment horizontal="left" vertical="center"/>
    </xf>
    <xf numFmtId="0" fontId="16" fillId="18" borderId="1" xfId="2" quotePrefix="1" applyFont="1" applyFill="1" applyBorder="1" applyAlignment="1">
      <alignment horizontal="left"/>
    </xf>
    <xf numFmtId="1" fontId="15" fillId="18" borderId="1" xfId="0" quotePrefix="1" applyNumberFormat="1" applyFont="1" applyFill="1" applyBorder="1" applyAlignment="1">
      <alignment horizontal="left" vertical="center"/>
    </xf>
    <xf numFmtId="1" fontId="15" fillId="10" borderId="1" xfId="0" quotePrefix="1" applyNumberFormat="1" applyFont="1" applyFill="1" applyBorder="1" applyAlignment="1">
      <alignment horizontal="left" vertical="center"/>
    </xf>
    <xf numFmtId="14" fontId="1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20" fillId="10" borderId="1" xfId="0" applyFont="1" applyFill="1" applyBorder="1" applyAlignment="1">
      <alignment horizontal="left"/>
    </xf>
    <xf numFmtId="0" fontId="15" fillId="10" borderId="1" xfId="0" applyFont="1" applyFill="1" applyBorder="1" applyAlignment="1">
      <alignment horizontal="left"/>
    </xf>
    <xf numFmtId="1" fontId="15" fillId="10" borderId="1" xfId="0" quotePrefix="1" applyNumberFormat="1" applyFont="1" applyFill="1" applyBorder="1" applyAlignment="1">
      <alignment horizontal="left"/>
    </xf>
    <xf numFmtId="0" fontId="15" fillId="14" borderId="1" xfId="0" applyFont="1" applyFill="1" applyBorder="1"/>
    <xf numFmtId="1" fontId="15" fillId="10" borderId="1" xfId="0" applyNumberFormat="1" applyFont="1" applyFill="1" applyBorder="1" applyAlignment="1">
      <alignment horizontal="center"/>
    </xf>
    <xf numFmtId="0" fontId="15" fillId="3" borderId="1" xfId="0" quotePrefix="1" applyFont="1" applyFill="1" applyBorder="1" applyAlignment="1">
      <alignment horizontal="center" vertical="center"/>
    </xf>
    <xf numFmtId="43" fontId="15" fillId="5" borderId="1" xfId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6" fontId="15" fillId="0" borderId="0" xfId="1" applyNumberFormat="1" applyFont="1" applyAlignment="1">
      <alignment horizontal="center" vertical="center"/>
    </xf>
    <xf numFmtId="167" fontId="16" fillId="4" borderId="7" xfId="2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left" vertical="center"/>
    </xf>
    <xf numFmtId="43" fontId="15" fillId="0" borderId="0" xfId="0" applyNumberFormat="1" applyFont="1" applyAlignment="1">
      <alignment horizontal="center" vertical="center"/>
    </xf>
    <xf numFmtId="9" fontId="15" fillId="0" borderId="0" xfId="3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left"/>
    </xf>
    <xf numFmtId="166" fontId="19" fillId="0" borderId="0" xfId="1" applyNumberFormat="1" applyFont="1" applyAlignment="1">
      <alignment horizontal="center"/>
    </xf>
    <xf numFmtId="0" fontId="21" fillId="0" borderId="0" xfId="0" applyFont="1"/>
    <xf numFmtId="1" fontId="21" fillId="0" borderId="0" xfId="0" applyNumberFormat="1" applyFont="1"/>
    <xf numFmtId="166" fontId="21" fillId="0" borderId="0" xfId="1" applyNumberFormat="1" applyFont="1" applyAlignment="1">
      <alignment horizontal="center"/>
    </xf>
    <xf numFmtId="0" fontId="15" fillId="0" borderId="0" xfId="0" applyFont="1"/>
    <xf numFmtId="166" fontId="15" fillId="0" borderId="0" xfId="1" applyNumberFormat="1" applyFont="1" applyAlignment="1">
      <alignment horizontal="center"/>
    </xf>
    <xf numFmtId="1" fontId="15" fillId="0" borderId="0" xfId="0" applyNumberFormat="1" applyFont="1"/>
    <xf numFmtId="0" fontId="13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6" fillId="3" borderId="1" xfId="2" applyFont="1" applyFill="1" applyBorder="1" applyAlignment="1">
      <alignment vertical="center"/>
    </xf>
    <xf numFmtId="0" fontId="10" fillId="13" borderId="1" xfId="2" applyFont="1" applyFill="1" applyBorder="1" applyAlignment="1">
      <alignment horizontal="center" vertical="center"/>
    </xf>
    <xf numFmtId="0" fontId="11" fillId="13" borderId="1" xfId="2" applyFont="1" applyFill="1" applyBorder="1" applyAlignment="1">
      <alignment horizontal="left" vertical="center"/>
    </xf>
    <xf numFmtId="166" fontId="10" fillId="13" borderId="1" xfId="2" applyNumberFormat="1" applyFont="1" applyFill="1" applyBorder="1" applyAlignment="1">
      <alignment vertical="center"/>
    </xf>
    <xf numFmtId="167" fontId="10" fillId="13" borderId="1" xfId="2" applyNumberFormat="1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horizontal="left" vertical="center"/>
    </xf>
    <xf numFmtId="0" fontId="10" fillId="13" borderId="1" xfId="2" applyFont="1" applyFill="1" applyBorder="1" applyAlignment="1">
      <alignment horizontal="center" vertical="center" wrapText="1"/>
    </xf>
    <xf numFmtId="166" fontId="10" fillId="13" borderId="1" xfId="2" applyNumberFormat="1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left" vertical="center" wrapText="1"/>
    </xf>
    <xf numFmtId="166" fontId="8" fillId="0" borderId="0" xfId="5" applyNumberFormat="1" applyFont="1" applyAlignment="1">
      <alignment horizontal="center" vertical="center"/>
    </xf>
    <xf numFmtId="166" fontId="5" fillId="0" borderId="0" xfId="5" applyNumberFormat="1" applyFont="1" applyAlignment="1">
      <alignment horizontal="center"/>
    </xf>
    <xf numFmtId="166" fontId="6" fillId="0" borderId="0" xfId="5" applyNumberFormat="1" applyFont="1" applyAlignment="1">
      <alignment horizontal="center"/>
    </xf>
    <xf numFmtId="166" fontId="14" fillId="0" borderId="0" xfId="5" applyNumberFormat="1" applyFont="1" applyAlignment="1">
      <alignment horizontal="center"/>
    </xf>
    <xf numFmtId="43" fontId="15" fillId="7" borderId="1" xfId="5" applyFont="1" applyFill="1" applyBorder="1" applyAlignment="1">
      <alignment horizontal="center" vertical="center"/>
    </xf>
    <xf numFmtId="166" fontId="16" fillId="7" borderId="1" xfId="2" applyNumberFormat="1" applyFont="1" applyFill="1" applyBorder="1" applyAlignment="1">
      <alignment vertical="center"/>
    </xf>
    <xf numFmtId="0" fontId="17" fillId="4" borderId="1" xfId="2" applyFont="1" applyFill="1" applyBorder="1" applyAlignment="1">
      <alignment horizontal="left" vertical="center"/>
    </xf>
    <xf numFmtId="0" fontId="16" fillId="4" borderId="1" xfId="2" applyFont="1" applyFill="1" applyBorder="1" applyAlignment="1">
      <alignment vertical="center"/>
    </xf>
    <xf numFmtId="0" fontId="16" fillId="4" borderId="1" xfId="2" applyFont="1" applyFill="1" applyBorder="1" applyAlignment="1">
      <alignment horizontal="center"/>
    </xf>
    <xf numFmtId="14" fontId="15" fillId="3" borderId="1" xfId="0" applyNumberFormat="1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/>
    </xf>
    <xf numFmtId="0" fontId="16" fillId="4" borderId="1" xfId="2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6" fontId="8" fillId="7" borderId="1" xfId="5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167" fontId="8" fillId="0" borderId="0" xfId="0" applyNumberFormat="1" applyFont="1" applyAlignment="1">
      <alignment horizontal="left" vertical="center"/>
    </xf>
    <xf numFmtId="14" fontId="15" fillId="3" borderId="2" xfId="0" applyNumberFormat="1" applyFont="1" applyFill="1" applyBorder="1" applyAlignment="1">
      <alignment horizontal="left" vertical="center" wrapText="1"/>
    </xf>
    <xf numFmtId="14" fontId="15" fillId="3" borderId="2" xfId="0" applyNumberFormat="1" applyFont="1" applyFill="1" applyBorder="1" applyAlignment="1">
      <alignment horizontal="left" vertical="center"/>
    </xf>
    <xf numFmtId="167" fontId="5" fillId="0" borderId="0" xfId="0" applyNumberFormat="1" applyFont="1"/>
    <xf numFmtId="167" fontId="6" fillId="0" borderId="0" xfId="0" applyNumberFormat="1" applyFont="1"/>
    <xf numFmtId="1" fontId="15" fillId="4" borderId="1" xfId="0" applyNumberFormat="1" applyFont="1" applyFill="1" applyBorder="1" applyAlignment="1">
      <alignment horizontal="left" vertical="center"/>
    </xf>
    <xf numFmtId="0" fontId="16" fillId="4" borderId="1" xfId="2" quotePrefix="1" applyFont="1" applyFill="1" applyBorder="1" applyAlignment="1">
      <alignment horizontal="left" vertical="center"/>
    </xf>
    <xf numFmtId="14" fontId="15" fillId="4" borderId="1" xfId="0" applyNumberFormat="1" applyFont="1" applyFill="1" applyBorder="1" applyAlignment="1">
      <alignment horizontal="left" vertical="center"/>
    </xf>
    <xf numFmtId="1" fontId="16" fillId="4" borderId="1" xfId="2" quotePrefix="1" applyNumberFormat="1" applyFont="1" applyFill="1" applyBorder="1" applyAlignment="1">
      <alignment horizontal="left" vertical="center"/>
    </xf>
    <xf numFmtId="1" fontId="15" fillId="4" borderId="1" xfId="0" quotePrefix="1" applyNumberFormat="1" applyFont="1" applyFill="1" applyBorder="1" applyAlignment="1">
      <alignment horizontal="left" vertical="center"/>
    </xf>
    <xf numFmtId="0" fontId="16" fillId="4" borderId="1" xfId="2" quotePrefix="1" applyFont="1" applyFill="1" applyBorder="1" applyAlignment="1">
      <alignment horizontal="left"/>
    </xf>
    <xf numFmtId="0" fontId="15" fillId="4" borderId="1" xfId="0" quotePrefix="1" applyFont="1" applyFill="1" applyBorder="1" applyAlignment="1">
      <alignment horizontal="left" vertical="center"/>
    </xf>
    <xf numFmtId="49" fontId="16" fillId="4" borderId="1" xfId="2" applyNumberFormat="1" applyFont="1" applyFill="1" applyBorder="1" applyAlignment="1">
      <alignment horizontal="left" vertical="center"/>
    </xf>
    <xf numFmtId="14" fontId="15" fillId="3" borderId="1" xfId="0" applyNumberFormat="1" applyFont="1" applyFill="1" applyBorder="1" applyAlignment="1">
      <alignment horizontal="left" vertical="center"/>
    </xf>
    <xf numFmtId="1" fontId="18" fillId="4" borderId="1" xfId="0" quotePrefix="1" applyNumberFormat="1" applyFont="1" applyFill="1" applyBorder="1" applyAlignment="1">
      <alignment horizontal="left" vertical="center"/>
    </xf>
    <xf numFmtId="169" fontId="15" fillId="4" borderId="1" xfId="0" applyNumberFormat="1" applyFont="1" applyFill="1" applyBorder="1" applyAlignment="1">
      <alignment horizontal="left" vertical="center"/>
    </xf>
    <xf numFmtId="14" fontId="15" fillId="4" borderId="1" xfId="0" applyNumberFormat="1" applyFont="1" applyFill="1" applyBorder="1" applyAlignment="1">
      <alignment horizontal="left" vertical="center" wrapText="1"/>
    </xf>
    <xf numFmtId="0" fontId="8" fillId="12" borderId="0" xfId="0" applyFont="1" applyFill="1" applyAlignment="1">
      <alignment horizontal="center" vertical="center"/>
    </xf>
    <xf numFmtId="49" fontId="16" fillId="4" borderId="1" xfId="2" quotePrefix="1" applyNumberFormat="1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 wrapText="1"/>
    </xf>
    <xf numFmtId="0" fontId="8" fillId="9" borderId="0" xfId="0" applyFont="1" applyFill="1" applyAlignment="1">
      <alignment horizontal="center" vertical="center"/>
    </xf>
    <xf numFmtId="0" fontId="20" fillId="3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left" vertical="center"/>
    </xf>
    <xf numFmtId="14" fontId="18" fillId="3" borderId="1" xfId="0" applyNumberFormat="1" applyFont="1" applyFill="1" applyBorder="1" applyAlignment="1">
      <alignment horizontal="left" vertical="center" wrapText="1"/>
    </xf>
    <xf numFmtId="166" fontId="16" fillId="3" borderId="1" xfId="2" applyNumberFormat="1" applyFont="1" applyFill="1" applyBorder="1" applyAlignment="1">
      <alignment horizontal="right" vertical="center"/>
    </xf>
    <xf numFmtId="14" fontId="8" fillId="9" borderId="1" xfId="0" applyNumberFormat="1" applyFont="1" applyFill="1" applyBorder="1" applyAlignment="1">
      <alignment horizontal="center" vertical="center"/>
    </xf>
    <xf numFmtId="14" fontId="15" fillId="9" borderId="0" xfId="0" applyNumberFormat="1" applyFont="1" applyFill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167" fontId="10" fillId="10" borderId="1" xfId="2" applyNumberFormat="1" applyFont="1" applyFill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166" fontId="22" fillId="7" borderId="1" xfId="5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/>
    </xf>
    <xf numFmtId="0" fontId="23" fillId="3" borderId="1" xfId="2" applyFont="1" applyFill="1" applyBorder="1" applyAlignment="1">
      <alignment horizontal="center" vertical="center" wrapText="1"/>
    </xf>
    <xf numFmtId="0" fontId="24" fillId="3" borderId="1" xfId="2" applyFont="1" applyFill="1" applyBorder="1" applyAlignment="1">
      <alignment horizontal="left" vertical="center"/>
    </xf>
    <xf numFmtId="166" fontId="23" fillId="3" borderId="1" xfId="2" applyNumberFormat="1" applyFont="1" applyFill="1" applyBorder="1" applyAlignment="1">
      <alignment horizontal="left" vertical="center"/>
    </xf>
    <xf numFmtId="167" fontId="23" fillId="3" borderId="1" xfId="2" applyNumberFormat="1" applyFont="1" applyFill="1" applyBorder="1" applyAlignment="1">
      <alignment horizontal="center" vertical="center"/>
    </xf>
    <xf numFmtId="0" fontId="23" fillId="3" borderId="1" xfId="2" applyFont="1" applyFill="1" applyBorder="1" applyAlignment="1">
      <alignment horizontal="left" vertical="center"/>
    </xf>
    <xf numFmtId="14" fontId="22" fillId="3" borderId="2" xfId="0" applyNumberFormat="1" applyFont="1" applyFill="1" applyBorder="1" applyAlignment="1">
      <alignment horizontal="left" vertical="center" wrapText="1"/>
    </xf>
    <xf numFmtId="166" fontId="23" fillId="3" borderId="1" xfId="2" applyNumberFormat="1" applyFont="1" applyFill="1" applyBorder="1" applyAlignment="1">
      <alignment horizontal="center" vertical="center"/>
    </xf>
    <xf numFmtId="0" fontId="23" fillId="3" borderId="1" xfId="2" quotePrefix="1" applyFont="1" applyFill="1" applyBorder="1" applyAlignment="1">
      <alignment horizontal="left" vertical="center"/>
    </xf>
    <xf numFmtId="14" fontId="22" fillId="3" borderId="1" xfId="0" applyNumberFormat="1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2" applyFont="1" applyFill="1" applyBorder="1" applyAlignment="1">
      <alignment horizontal="center" vertical="center" wrapText="1"/>
    </xf>
    <xf numFmtId="0" fontId="24" fillId="4" borderId="1" xfId="2" applyFont="1" applyFill="1" applyBorder="1" applyAlignment="1">
      <alignment horizontal="left" vertical="center"/>
    </xf>
    <xf numFmtId="166" fontId="23" fillId="7" borderId="1" xfId="2" applyNumberFormat="1" applyFont="1" applyFill="1" applyBorder="1" applyAlignment="1">
      <alignment vertical="center"/>
    </xf>
    <xf numFmtId="167" fontId="23" fillId="4" borderId="1" xfId="2" applyNumberFormat="1" applyFont="1" applyFill="1" applyBorder="1" applyAlignment="1">
      <alignment horizontal="center" vertical="center"/>
    </xf>
    <xf numFmtId="167" fontId="23" fillId="7" borderId="1" xfId="2" applyNumberFormat="1" applyFont="1" applyFill="1" applyBorder="1" applyAlignment="1">
      <alignment horizontal="center" vertical="center"/>
    </xf>
    <xf numFmtId="0" fontId="23" fillId="4" borderId="1" xfId="2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 wrapText="1"/>
    </xf>
    <xf numFmtId="0" fontId="23" fillId="3" borderId="1" xfId="2" applyFont="1" applyFill="1" applyBorder="1" applyAlignment="1">
      <alignment horizontal="center" vertical="center"/>
    </xf>
    <xf numFmtId="166" fontId="23" fillId="3" borderId="1" xfId="2" applyNumberFormat="1" applyFont="1" applyFill="1" applyBorder="1" applyAlignment="1">
      <alignment vertical="center"/>
    </xf>
    <xf numFmtId="0" fontId="23" fillId="4" borderId="1" xfId="2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3" borderId="1" xfId="2" applyFont="1" applyFill="1" applyBorder="1" applyAlignment="1">
      <alignment vertical="center"/>
    </xf>
    <xf numFmtId="14" fontId="25" fillId="3" borderId="2" xfId="0" applyNumberFormat="1" applyFont="1" applyFill="1" applyBorder="1" applyAlignment="1">
      <alignment horizontal="left" vertical="center" wrapText="1"/>
    </xf>
    <xf numFmtId="0" fontId="23" fillId="4" borderId="1" xfId="2" applyFont="1" applyFill="1" applyBorder="1" applyAlignment="1">
      <alignment vertical="center"/>
    </xf>
    <xf numFmtId="0" fontId="25" fillId="4" borderId="2" xfId="0" applyFont="1" applyFill="1" applyBorder="1" applyAlignment="1">
      <alignment horizontal="left" vertical="center" wrapText="1"/>
    </xf>
    <xf numFmtId="0" fontId="25" fillId="4" borderId="1" xfId="2" applyFont="1" applyFill="1" applyBorder="1" applyAlignment="1">
      <alignment horizontal="left" vertical="center"/>
    </xf>
    <xf numFmtId="14" fontId="22" fillId="3" borderId="1" xfId="0" applyNumberFormat="1" applyFont="1" applyFill="1" applyBorder="1" applyAlignment="1">
      <alignment horizontal="left" vertical="center"/>
    </xf>
    <xf numFmtId="0" fontId="23" fillId="3" borderId="1" xfId="2" applyFont="1" applyFill="1" applyBorder="1" applyAlignment="1">
      <alignment horizontal="left"/>
    </xf>
    <xf numFmtId="0" fontId="24" fillId="4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 wrapText="1"/>
    </xf>
    <xf numFmtId="14" fontId="22" fillId="3" borderId="1" xfId="0" applyNumberFormat="1" applyFont="1" applyFill="1" applyBorder="1" applyAlignment="1">
      <alignment horizontal="left" vertical="center" wrapText="1"/>
    </xf>
    <xf numFmtId="0" fontId="23" fillId="3" borderId="1" xfId="2" applyFont="1" applyFill="1" applyBorder="1"/>
    <xf numFmtId="14" fontId="22" fillId="3" borderId="0" xfId="0" applyNumberFormat="1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center" vertical="center"/>
    </xf>
    <xf numFmtId="0" fontId="23" fillId="9" borderId="1" xfId="2" applyFont="1" applyFill="1" applyBorder="1" applyAlignment="1">
      <alignment horizontal="center" vertical="center"/>
    </xf>
    <xf numFmtId="0" fontId="24" fillId="9" borderId="1" xfId="2" applyFont="1" applyFill="1" applyBorder="1" applyAlignment="1">
      <alignment horizontal="left" vertical="center"/>
    </xf>
    <xf numFmtId="166" fontId="23" fillId="9" borderId="1" xfId="2" applyNumberFormat="1" applyFont="1" applyFill="1" applyBorder="1" applyAlignment="1">
      <alignment vertical="center"/>
    </xf>
    <xf numFmtId="167" fontId="23" fillId="9" borderId="1" xfId="2" applyNumberFormat="1" applyFont="1" applyFill="1" applyBorder="1" applyAlignment="1">
      <alignment horizontal="center" vertical="center"/>
    </xf>
    <xf numFmtId="0" fontId="23" fillId="9" borderId="1" xfId="2" applyFont="1" applyFill="1" applyBorder="1" applyAlignment="1">
      <alignment horizontal="left" vertical="center"/>
    </xf>
    <xf numFmtId="0" fontId="22" fillId="9" borderId="2" xfId="0" applyFont="1" applyFill="1" applyBorder="1" applyAlignment="1">
      <alignment horizontal="left" vertical="center" wrapText="1"/>
    </xf>
    <xf numFmtId="14" fontId="22" fillId="9" borderId="0" xfId="0" applyNumberFormat="1" applyFont="1" applyFill="1" applyAlignment="1">
      <alignment horizontal="center" vertical="center"/>
    </xf>
    <xf numFmtId="0" fontId="24" fillId="3" borderId="1" xfId="2" applyFont="1" applyFill="1" applyBorder="1" applyAlignment="1">
      <alignment horizontal="center" vertical="center"/>
    </xf>
    <xf numFmtId="0" fontId="24" fillId="4" borderId="1" xfId="2" applyFont="1" applyFill="1" applyBorder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0" fontId="23" fillId="4" borderId="1" xfId="2" applyFont="1" applyFill="1" applyBorder="1" applyAlignment="1">
      <alignment horizontal="center"/>
    </xf>
    <xf numFmtId="0" fontId="23" fillId="4" borderId="1" xfId="2" applyFont="1" applyFill="1" applyBorder="1" applyAlignment="1">
      <alignment horizontal="left"/>
    </xf>
    <xf numFmtId="14" fontId="22" fillId="4" borderId="2" xfId="0" applyNumberFormat="1" applyFont="1" applyFill="1" applyBorder="1" applyAlignment="1">
      <alignment horizontal="left" vertical="center" wrapText="1"/>
    </xf>
    <xf numFmtId="14" fontId="22" fillId="3" borderId="0" xfId="0" applyNumberFormat="1" applyFont="1" applyFill="1" applyAlignment="1">
      <alignment horizontal="center" vertical="center"/>
    </xf>
    <xf numFmtId="14" fontId="22" fillId="3" borderId="2" xfId="0" applyNumberFormat="1" applyFont="1" applyFill="1" applyBorder="1" applyAlignment="1">
      <alignment horizontal="left" vertical="center"/>
    </xf>
    <xf numFmtId="169" fontId="22" fillId="4" borderId="2" xfId="0" applyNumberFormat="1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4" borderId="2" xfId="0" applyFont="1" applyFill="1" applyBorder="1" applyAlignment="1">
      <alignment horizontal="left" vertical="center"/>
    </xf>
    <xf numFmtId="166" fontId="23" fillId="4" borderId="1" xfId="2" applyNumberFormat="1" applyFont="1" applyFill="1" applyBorder="1" applyAlignment="1">
      <alignment vertical="center"/>
    </xf>
    <xf numFmtId="0" fontId="22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left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22" fillId="3" borderId="2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43" fontId="22" fillId="7" borderId="1" xfId="5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66" fontId="22" fillId="0" borderId="0" xfId="5" applyNumberFormat="1" applyFont="1" applyAlignment="1">
      <alignment horizontal="center" vertical="center"/>
    </xf>
    <xf numFmtId="167" fontId="23" fillId="4" borderId="7" xfId="2" applyNumberFormat="1" applyFont="1" applyFill="1" applyBorder="1" applyAlignment="1">
      <alignment horizontal="center" vertical="center"/>
    </xf>
    <xf numFmtId="1" fontId="22" fillId="0" borderId="0" xfId="0" applyNumberFormat="1" applyFont="1" applyAlignment="1">
      <alignment horizontal="left" vertical="center"/>
    </xf>
    <xf numFmtId="43" fontId="22" fillId="0" borderId="0" xfId="0" applyNumberFormat="1" applyFont="1" applyAlignment="1">
      <alignment horizontal="center" vertical="center"/>
    </xf>
    <xf numFmtId="9" fontId="22" fillId="0" borderId="0" xfId="3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6" fillId="0" borderId="0" xfId="0" applyFont="1" applyAlignment="1">
      <alignment horizontal="left"/>
    </xf>
    <xf numFmtId="166" fontId="26" fillId="0" borderId="0" xfId="5" applyNumberFormat="1" applyFont="1" applyAlignment="1">
      <alignment horizontal="center"/>
    </xf>
    <xf numFmtId="0" fontId="28" fillId="0" borderId="0" xfId="0" applyFont="1"/>
    <xf numFmtId="166" fontId="28" fillId="0" borderId="0" xfId="5" applyNumberFormat="1" applyFont="1" applyAlignment="1">
      <alignment horizontal="center"/>
    </xf>
    <xf numFmtId="0" fontId="22" fillId="0" borderId="0" xfId="0" applyFont="1"/>
    <xf numFmtId="166" fontId="22" fillId="0" borderId="0" xfId="5" applyNumberFormat="1" applyFont="1" applyAlignment="1">
      <alignment horizontal="center"/>
    </xf>
    <xf numFmtId="1" fontId="15" fillId="3" borderId="1" xfId="0" quotePrefix="1" applyNumberFormat="1" applyFont="1" applyFill="1" applyBorder="1" applyAlignment="1">
      <alignment horizontal="left"/>
    </xf>
    <xf numFmtId="0" fontId="15" fillId="19" borderId="1" xfId="0" applyFont="1" applyFill="1" applyBorder="1"/>
    <xf numFmtId="1" fontId="15" fillId="3" borderId="1" xfId="0" applyNumberFormat="1" applyFont="1" applyFill="1" applyBorder="1" applyAlignment="1">
      <alignment horizontal="center"/>
    </xf>
    <xf numFmtId="0" fontId="15" fillId="3" borderId="2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left" vertical="center"/>
    </xf>
    <xf numFmtId="168" fontId="29" fillId="16" borderId="8" xfId="1" applyNumberFormat="1" applyFont="1" applyFill="1" applyBorder="1" applyAlignment="1">
      <alignment horizontal="center" vertical="center"/>
    </xf>
    <xf numFmtId="167" fontId="30" fillId="4" borderId="8" xfId="2" applyNumberFormat="1" applyFont="1" applyFill="1" applyBorder="1" applyAlignment="1">
      <alignment horizontal="center" vertical="center"/>
    </xf>
    <xf numFmtId="167" fontId="30" fillId="16" borderId="8" xfId="2" applyNumberFormat="1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left" vertical="center"/>
    </xf>
    <xf numFmtId="0" fontId="29" fillId="4" borderId="8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 wrapText="1"/>
    </xf>
    <xf numFmtId="166" fontId="31" fillId="5" borderId="1" xfId="1" applyNumberFormat="1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31" fillId="3" borderId="1" xfId="0" applyFont="1" applyFill="1" applyBorder="1" applyAlignment="1">
      <alignment horizontal="center" vertical="center"/>
    </xf>
    <xf numFmtId="0" fontId="32" fillId="3" borderId="1" xfId="2" applyFont="1" applyFill="1" applyBorder="1" applyAlignment="1">
      <alignment horizontal="center" vertical="center" wrapText="1"/>
    </xf>
    <xf numFmtId="0" fontId="33" fillId="3" borderId="1" xfId="2" applyFont="1" applyFill="1" applyBorder="1" applyAlignment="1">
      <alignment horizontal="left" vertical="center"/>
    </xf>
    <xf numFmtId="166" fontId="32" fillId="3" borderId="1" xfId="2" applyNumberFormat="1" applyFont="1" applyFill="1" applyBorder="1" applyAlignment="1">
      <alignment horizontal="left" vertical="center"/>
    </xf>
    <xf numFmtId="167" fontId="32" fillId="3" borderId="1" xfId="2" applyNumberFormat="1" applyFont="1" applyFill="1" applyBorder="1" applyAlignment="1">
      <alignment horizontal="center" vertical="center"/>
    </xf>
    <xf numFmtId="0" fontId="32" fillId="3" borderId="1" xfId="2" applyFont="1" applyFill="1" applyBorder="1" applyAlignment="1">
      <alignment horizontal="left" vertical="center"/>
    </xf>
    <xf numFmtId="14" fontId="31" fillId="3" borderId="2" xfId="0" applyNumberFormat="1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left" vertical="center"/>
    </xf>
    <xf numFmtId="0" fontId="31" fillId="3" borderId="5" xfId="0" applyFont="1" applyFill="1" applyBorder="1" applyAlignment="1">
      <alignment horizontal="center" vertical="center"/>
    </xf>
    <xf numFmtId="0" fontId="32" fillId="3" borderId="1" xfId="2" quotePrefix="1" applyFont="1" applyFill="1" applyBorder="1" applyAlignment="1">
      <alignment horizontal="left" vertical="center"/>
    </xf>
    <xf numFmtId="14" fontId="31" fillId="3" borderId="1" xfId="0" applyNumberFormat="1" applyFont="1" applyFill="1" applyBorder="1" applyAlignment="1">
      <alignment horizontal="left" vertical="center"/>
    </xf>
    <xf numFmtId="0" fontId="31" fillId="15" borderId="1" xfId="0" applyFont="1" applyFill="1" applyBorder="1" applyAlignment="1">
      <alignment horizontal="center" vertical="center"/>
    </xf>
    <xf numFmtId="0" fontId="32" fillId="15" borderId="1" xfId="2" applyFont="1" applyFill="1" applyBorder="1" applyAlignment="1">
      <alignment horizontal="center" vertical="center" wrapText="1"/>
    </xf>
    <xf numFmtId="0" fontId="33" fillId="15" borderId="1" xfId="2" applyFont="1" applyFill="1" applyBorder="1" applyAlignment="1">
      <alignment horizontal="left" vertical="center"/>
    </xf>
    <xf numFmtId="166" fontId="32" fillId="5" borderId="1" xfId="2" applyNumberFormat="1" applyFont="1" applyFill="1" applyBorder="1" applyAlignment="1">
      <alignment horizontal="left" vertical="center"/>
    </xf>
    <xf numFmtId="167" fontId="32" fillId="4" borderId="1" xfId="2" applyNumberFormat="1" applyFont="1" applyFill="1" applyBorder="1" applyAlignment="1">
      <alignment horizontal="center" vertical="center"/>
    </xf>
    <xf numFmtId="167" fontId="32" fillId="5" borderId="1" xfId="2" applyNumberFormat="1" applyFont="1" applyFill="1" applyBorder="1" applyAlignment="1">
      <alignment horizontal="center" vertical="center"/>
    </xf>
    <xf numFmtId="0" fontId="32" fillId="4" borderId="1" xfId="2" applyFont="1" applyFill="1" applyBorder="1" applyAlignment="1">
      <alignment horizontal="left" vertical="center"/>
    </xf>
    <xf numFmtId="0" fontId="31" fillId="4" borderId="2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3" borderId="1" xfId="2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32" fillId="15" borderId="1" xfId="2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4" fontId="34" fillId="3" borderId="2" xfId="0" applyNumberFormat="1" applyFont="1" applyFill="1" applyBorder="1" applyAlignment="1">
      <alignment horizontal="left" vertical="center" wrapText="1"/>
    </xf>
    <xf numFmtId="0" fontId="32" fillId="15" borderId="1" xfId="2" applyFont="1" applyFill="1" applyBorder="1" applyAlignment="1">
      <alignment vertical="center"/>
    </xf>
    <xf numFmtId="0" fontId="34" fillId="4" borderId="2" xfId="0" applyFont="1" applyFill="1" applyBorder="1" applyAlignment="1">
      <alignment horizontal="left" vertical="center" wrapText="1"/>
    </xf>
    <xf numFmtId="14" fontId="31" fillId="3" borderId="1" xfId="0" applyNumberFormat="1" applyFont="1" applyFill="1" applyBorder="1" applyAlignment="1">
      <alignment horizontal="center" vertical="center"/>
    </xf>
    <xf numFmtId="0" fontId="32" fillId="15" borderId="1" xfId="2" applyFont="1" applyFill="1" applyBorder="1" applyAlignment="1">
      <alignment horizontal="left" vertical="center"/>
    </xf>
    <xf numFmtId="0" fontId="34" fillId="4" borderId="1" xfId="2" applyFont="1" applyFill="1" applyBorder="1" applyAlignment="1">
      <alignment horizontal="left" vertical="center"/>
    </xf>
    <xf numFmtId="0" fontId="32" fillId="3" borderId="1" xfId="2" applyFont="1" applyFill="1" applyBorder="1" applyAlignment="1">
      <alignment horizontal="left"/>
    </xf>
    <xf numFmtId="0" fontId="33" fillId="3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left" vertical="center" wrapText="1"/>
    </xf>
    <xf numFmtId="0" fontId="35" fillId="3" borderId="1" xfId="0" applyFont="1" applyFill="1" applyBorder="1" applyAlignment="1">
      <alignment horizontal="left" vertical="center"/>
    </xf>
    <xf numFmtId="0" fontId="31" fillId="3" borderId="2" xfId="0" applyFont="1" applyFill="1" applyBorder="1" applyAlignment="1">
      <alignment horizontal="left" vertical="center" wrapText="1"/>
    </xf>
    <xf numFmtId="0" fontId="32" fillId="3" borderId="2" xfId="2" applyFont="1" applyFill="1" applyBorder="1" applyAlignment="1">
      <alignment horizontal="center" vertical="center"/>
    </xf>
    <xf numFmtId="0" fontId="32" fillId="15" borderId="2" xfId="2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left" vertical="center"/>
    </xf>
    <xf numFmtId="0" fontId="31" fillId="4" borderId="1" xfId="0" applyFont="1" applyFill="1" applyBorder="1" applyAlignment="1">
      <alignment horizontal="left" vertical="center" wrapText="1"/>
    </xf>
    <xf numFmtId="0" fontId="32" fillId="3" borderId="1" xfId="2" applyFont="1" applyFill="1" applyBorder="1"/>
    <xf numFmtId="0" fontId="33" fillId="3" borderId="0" xfId="0" applyFont="1" applyFill="1" applyAlignment="1">
      <alignment horizontal="left" vertical="center"/>
    </xf>
    <xf numFmtId="0" fontId="31" fillId="9" borderId="1" xfId="0" applyFont="1" applyFill="1" applyBorder="1" applyAlignment="1">
      <alignment horizontal="center" vertical="center"/>
    </xf>
    <xf numFmtId="0" fontId="32" fillId="9" borderId="2" xfId="2" applyFont="1" applyFill="1" applyBorder="1" applyAlignment="1">
      <alignment horizontal="center" vertical="center"/>
    </xf>
    <xf numFmtId="0" fontId="33" fillId="9" borderId="1" xfId="2" applyFont="1" applyFill="1" applyBorder="1" applyAlignment="1">
      <alignment horizontal="left" vertical="center"/>
    </xf>
    <xf numFmtId="166" fontId="32" fillId="9" borderId="1" xfId="2" applyNumberFormat="1" applyFont="1" applyFill="1" applyBorder="1" applyAlignment="1">
      <alignment horizontal="left" vertical="center"/>
    </xf>
    <xf numFmtId="167" fontId="32" fillId="9" borderId="1" xfId="2" applyNumberFormat="1" applyFont="1" applyFill="1" applyBorder="1" applyAlignment="1">
      <alignment horizontal="center" vertical="center"/>
    </xf>
    <xf numFmtId="0" fontId="32" fillId="9" borderId="1" xfId="2" applyFont="1" applyFill="1" applyBorder="1" applyAlignment="1">
      <alignment horizontal="left" vertical="center"/>
    </xf>
    <xf numFmtId="0" fontId="31" fillId="9" borderId="2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/>
    </xf>
    <xf numFmtId="14" fontId="31" fillId="9" borderId="0" xfId="0" applyNumberFormat="1" applyFont="1" applyFill="1" applyAlignment="1">
      <alignment horizontal="center" vertical="center"/>
    </xf>
    <xf numFmtId="14" fontId="31" fillId="3" borderId="1" xfId="0" applyNumberFormat="1" applyFont="1" applyFill="1" applyBorder="1" applyAlignment="1">
      <alignment horizontal="left" vertical="center" wrapText="1"/>
    </xf>
    <xf numFmtId="0" fontId="33" fillId="3" borderId="2" xfId="2" applyFont="1" applyFill="1" applyBorder="1" applyAlignment="1">
      <alignment horizontal="center" vertical="center"/>
    </xf>
    <xf numFmtId="14" fontId="31" fillId="3" borderId="0" xfId="0" applyNumberFormat="1" applyFont="1" applyFill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3" fillId="10" borderId="1" xfId="2" applyFont="1" applyFill="1" applyBorder="1" applyAlignment="1">
      <alignment horizontal="left" vertical="center"/>
    </xf>
    <xf numFmtId="0" fontId="31" fillId="10" borderId="1" xfId="0" applyFont="1" applyFill="1" applyBorder="1" applyAlignment="1">
      <alignment horizontal="left" vertical="center"/>
    </xf>
    <xf numFmtId="14" fontId="31" fillId="4" borderId="2" xfId="0" applyNumberFormat="1" applyFont="1" applyFill="1" applyBorder="1" applyAlignment="1">
      <alignment horizontal="left" vertical="center" wrapText="1"/>
    </xf>
    <xf numFmtId="0" fontId="31" fillId="9" borderId="5" xfId="0" applyFont="1" applyFill="1" applyBorder="1" applyAlignment="1">
      <alignment horizontal="center" vertical="center"/>
    </xf>
    <xf numFmtId="0" fontId="32" fillId="3" borderId="2" xfId="2" applyFont="1" applyFill="1" applyBorder="1" applyAlignment="1">
      <alignment horizontal="center"/>
    </xf>
    <xf numFmtId="14" fontId="31" fillId="0" borderId="1" xfId="0" applyNumberFormat="1" applyFont="1" applyBorder="1" applyAlignment="1">
      <alignment horizontal="center" vertical="center"/>
    </xf>
    <xf numFmtId="0" fontId="35" fillId="4" borderId="2" xfId="0" applyFont="1" applyFill="1" applyBorder="1" applyAlignment="1">
      <alignment horizontal="left" vertical="center" wrapText="1"/>
    </xf>
    <xf numFmtId="0" fontId="31" fillId="4" borderId="2" xfId="0" applyFont="1" applyFill="1" applyBorder="1" applyAlignment="1">
      <alignment horizontal="left" vertical="center"/>
    </xf>
    <xf numFmtId="14" fontId="31" fillId="3" borderId="2" xfId="0" applyNumberFormat="1" applyFont="1" applyFill="1" applyBorder="1" applyAlignment="1">
      <alignment horizontal="left" vertical="center"/>
    </xf>
    <xf numFmtId="14" fontId="31" fillId="9" borderId="2" xfId="0" applyNumberFormat="1" applyFont="1" applyFill="1" applyBorder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14" fontId="31" fillId="4" borderId="1" xfId="0" applyNumberFormat="1" applyFont="1" applyFill="1" applyBorder="1" applyAlignment="1">
      <alignment horizontal="center" vertical="center"/>
    </xf>
    <xf numFmtId="14" fontId="31" fillId="4" borderId="0" xfId="0" applyNumberFormat="1" applyFont="1" applyFill="1" applyAlignment="1">
      <alignment horizontal="center" vertical="center"/>
    </xf>
    <xf numFmtId="0" fontId="31" fillId="3" borderId="2" xfId="0" applyFont="1" applyFill="1" applyBorder="1" applyAlignment="1">
      <alignment horizontal="left" vertical="center"/>
    </xf>
    <xf numFmtId="14" fontId="31" fillId="4" borderId="1" xfId="0" applyNumberFormat="1" applyFont="1" applyFill="1" applyBorder="1" applyAlignment="1">
      <alignment horizontal="left" vertical="center"/>
    </xf>
    <xf numFmtId="0" fontId="31" fillId="9" borderId="2" xfId="0" applyFont="1" applyFill="1" applyBorder="1" applyAlignment="1">
      <alignment horizontal="left" vertical="center"/>
    </xf>
    <xf numFmtId="0" fontId="31" fillId="10" borderId="5" xfId="0" applyFont="1" applyFill="1" applyBorder="1" applyAlignment="1">
      <alignment horizontal="center" vertical="center"/>
    </xf>
    <xf numFmtId="0" fontId="32" fillId="10" borderId="2" xfId="2" applyFont="1" applyFill="1" applyBorder="1" applyAlignment="1">
      <alignment horizontal="center" vertical="center"/>
    </xf>
    <xf numFmtId="166" fontId="32" fillId="10" borderId="1" xfId="2" applyNumberFormat="1" applyFont="1" applyFill="1" applyBorder="1" applyAlignment="1">
      <alignment horizontal="left" vertical="center"/>
    </xf>
    <xf numFmtId="167" fontId="32" fillId="10" borderId="1" xfId="2" applyNumberFormat="1" applyFont="1" applyFill="1" applyBorder="1" applyAlignment="1">
      <alignment horizontal="center" vertical="center"/>
    </xf>
    <xf numFmtId="0" fontId="32" fillId="10" borderId="1" xfId="2" applyFont="1" applyFill="1" applyBorder="1" applyAlignment="1">
      <alignment horizontal="left" vertical="center"/>
    </xf>
    <xf numFmtId="0" fontId="31" fillId="10" borderId="2" xfId="0" applyFont="1" applyFill="1" applyBorder="1" applyAlignment="1">
      <alignment horizontal="left" vertical="center"/>
    </xf>
    <xf numFmtId="0" fontId="31" fillId="10" borderId="1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36" fillId="3" borderId="1" xfId="0" applyFont="1" applyFill="1" applyBorder="1" applyAlignment="1">
      <alignment horizontal="left"/>
    </xf>
    <xf numFmtId="0" fontId="31" fillId="3" borderId="1" xfId="0" applyFont="1" applyFill="1" applyBorder="1" applyAlignment="1">
      <alignment horizontal="left"/>
    </xf>
    <xf numFmtId="0" fontId="33" fillId="3" borderId="1" xfId="2" applyFont="1" applyFill="1" applyBorder="1" applyAlignment="1">
      <alignment horizontal="center" vertical="center"/>
    </xf>
    <xf numFmtId="0" fontId="33" fillId="4" borderId="1" xfId="2" applyFont="1" applyFill="1" applyBorder="1" applyAlignment="1">
      <alignment horizontal="center" vertical="center"/>
    </xf>
    <xf numFmtId="167" fontId="32" fillId="3" borderId="8" xfId="2" applyNumberFormat="1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166" fontId="31" fillId="0" borderId="0" xfId="1" applyNumberFormat="1" applyFont="1" applyBorder="1" applyAlignment="1">
      <alignment horizontal="center" vertical="center"/>
    </xf>
    <xf numFmtId="167" fontId="32" fillId="4" borderId="0" xfId="2" applyNumberFormat="1" applyFont="1" applyFill="1" applyBorder="1" applyAlignment="1">
      <alignment horizontal="center" vertical="center"/>
    </xf>
    <xf numFmtId="1" fontId="31" fillId="0" borderId="0" xfId="0" applyNumberFormat="1" applyFont="1" applyAlignment="1">
      <alignment horizontal="left" vertical="center"/>
    </xf>
    <xf numFmtId="43" fontId="31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left" vertical="center"/>
    </xf>
    <xf numFmtId="9" fontId="31" fillId="0" borderId="0" xfId="3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66" fontId="31" fillId="0" borderId="0" xfId="1" applyNumberFormat="1" applyFont="1" applyAlignment="1">
      <alignment horizontal="center" vertical="center"/>
    </xf>
    <xf numFmtId="0" fontId="31" fillId="0" borderId="9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166" fontId="16" fillId="7" borderId="1" xfId="2" applyNumberFormat="1" applyFont="1" applyFill="1" applyBorder="1" applyAlignment="1">
      <alignment horizontal="center" vertical="center"/>
    </xf>
    <xf numFmtId="166" fontId="16" fillId="7" borderId="1" xfId="2" applyNumberFormat="1" applyFont="1" applyFill="1" applyBorder="1" applyAlignment="1">
      <alignment horizontal="left" vertical="center"/>
    </xf>
    <xf numFmtId="166" fontId="16" fillId="7" borderId="1" xfId="2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center" vertical="center"/>
    </xf>
    <xf numFmtId="0" fontId="15" fillId="4" borderId="1" xfId="0" quotePrefix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9" fillId="0" borderId="0" xfId="0" applyFont="1"/>
    <xf numFmtId="0" fontId="2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40" fillId="0" borderId="0" xfId="0" applyFont="1"/>
    <xf numFmtId="0" fontId="38" fillId="0" borderId="0" xfId="0" applyFont="1" applyAlignment="1">
      <alignment horizontal="right"/>
    </xf>
    <xf numFmtId="0" fontId="41" fillId="0" borderId="0" xfId="0" applyFont="1" applyAlignment="1" applyProtection="1">
      <alignment horizontal="center"/>
      <protection locked="0"/>
    </xf>
    <xf numFmtId="0" fontId="42" fillId="3" borderId="0" xfId="0" applyFont="1" applyFill="1" applyAlignment="1">
      <alignment horizontal="center"/>
    </xf>
    <xf numFmtId="0" fontId="40" fillId="0" borderId="0" xfId="0" applyFont="1" applyAlignment="1" applyProtection="1">
      <alignment horizontal="left" vertical="center"/>
      <protection locked="0"/>
    </xf>
    <xf numFmtId="170" fontId="38" fillId="0" borderId="0" xfId="0" applyNumberFormat="1" applyFont="1" applyAlignment="1" applyProtection="1">
      <alignment horizontal="center" vertical="center"/>
      <protection locked="0"/>
    </xf>
    <xf numFmtId="0" fontId="40" fillId="0" borderId="0" xfId="0" applyFont="1" applyAlignment="1">
      <alignment horizontal="left" vertical="center"/>
    </xf>
    <xf numFmtId="0" fontId="43" fillId="20" borderId="1" xfId="0" applyFont="1" applyFill="1" applyBorder="1" applyAlignment="1">
      <alignment horizontal="left" vertical="center"/>
    </xf>
    <xf numFmtId="0" fontId="43" fillId="20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wrapText="1"/>
    </xf>
    <xf numFmtId="0" fontId="43" fillId="4" borderId="1" xfId="0" applyFont="1" applyFill="1" applyBorder="1" applyAlignment="1">
      <alignment horizontal="center" vertical="center"/>
    </xf>
    <xf numFmtId="164" fontId="43" fillId="4" borderId="1" xfId="0" applyNumberFormat="1" applyFont="1" applyFill="1" applyBorder="1" applyAlignment="1">
      <alignment horizontal="center" vertical="center"/>
    </xf>
    <xf numFmtId="1" fontId="45" fillId="4" borderId="1" xfId="0" applyNumberFormat="1" applyFont="1" applyFill="1" applyBorder="1" applyAlignment="1" applyProtection="1">
      <alignment horizontal="center" vertical="center"/>
      <protection locked="0"/>
    </xf>
    <xf numFmtId="0" fontId="46" fillId="3" borderId="0" xfId="6" applyFont="1" applyFill="1" applyAlignment="1">
      <alignment horizontal="center"/>
    </xf>
    <xf numFmtId="0" fontId="46" fillId="0" borderId="0" xfId="0" applyFon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/>
    </xf>
    <xf numFmtId="164" fontId="0" fillId="0" borderId="0" xfId="0" applyNumberFormat="1"/>
    <xf numFmtId="0" fontId="47" fillId="20" borderId="2" xfId="0" applyFont="1" applyFill="1" applyBorder="1" applyAlignment="1">
      <alignment horizontal="center"/>
    </xf>
    <xf numFmtId="0" fontId="47" fillId="20" borderId="3" xfId="0" applyFont="1" applyFill="1" applyBorder="1" applyAlignment="1">
      <alignment horizontal="center"/>
    </xf>
    <xf numFmtId="0" fontId="47" fillId="20" borderId="4" xfId="0" applyFont="1" applyFill="1" applyBorder="1" applyAlignment="1">
      <alignment horizontal="center"/>
    </xf>
    <xf numFmtId="164" fontId="47" fillId="20" borderId="1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39" fillId="0" borderId="10" xfId="0" applyFont="1" applyBorder="1"/>
    <xf numFmtId="0" fontId="49" fillId="0" borderId="0" xfId="0" applyFont="1" applyAlignment="1">
      <alignment horizontal="center" vertical="center"/>
    </xf>
    <xf numFmtId="0" fontId="51" fillId="0" borderId="0" xfId="0" applyFont="1"/>
    <xf numFmtId="0" fontId="5" fillId="0" borderId="0" xfId="0" applyFont="1" applyAlignment="1">
      <alignment horizontal="right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right"/>
    </xf>
    <xf numFmtId="170" fontId="52" fillId="0" borderId="0" xfId="0" applyNumberFormat="1" applyFont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4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4" fillId="4" borderId="1" xfId="0" applyFont="1" applyFill="1" applyBorder="1" applyAlignment="1">
      <alignment horizontal="left"/>
    </xf>
    <xf numFmtId="0" fontId="44" fillId="4" borderId="0" xfId="0" applyFont="1" applyFill="1" applyAlignment="1">
      <alignment horizontal="left"/>
    </xf>
    <xf numFmtId="0" fontId="44" fillId="4" borderId="0" xfId="0" applyFont="1" applyFill="1"/>
    <xf numFmtId="0" fontId="0" fillId="0" borderId="10" xfId="0" applyBorder="1"/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8" fillId="9" borderId="0" xfId="0" applyNumberFormat="1" applyFont="1" applyFill="1" applyAlignment="1">
      <alignment horizontal="center" vertical="center"/>
    </xf>
    <xf numFmtId="14" fontId="15" fillId="9" borderId="1" xfId="0" applyNumberFormat="1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16" fillId="9" borderId="1" xfId="2" quotePrefix="1" applyFont="1" applyFill="1" applyBorder="1" applyAlignment="1">
      <alignment horizontal="left"/>
    </xf>
    <xf numFmtId="0" fontId="15" fillId="9" borderId="1" xfId="0" applyFont="1" applyFill="1" applyBorder="1" applyAlignment="1">
      <alignment horizontal="left" vertical="center" wrapText="1"/>
    </xf>
    <xf numFmtId="0" fontId="15" fillId="9" borderId="1" xfId="0" quotePrefix="1" applyFont="1" applyFill="1" applyBorder="1" applyAlignment="1">
      <alignment horizontal="left" vertical="center"/>
    </xf>
    <xf numFmtId="0" fontId="17" fillId="9" borderId="1" xfId="2" applyFont="1" applyFill="1" applyBorder="1" applyAlignment="1">
      <alignment horizontal="center" vertical="center"/>
    </xf>
    <xf numFmtId="0" fontId="16" fillId="9" borderId="1" xfId="2" applyFont="1" applyFill="1" applyBorder="1" applyAlignment="1">
      <alignment horizontal="center"/>
    </xf>
    <xf numFmtId="0" fontId="16" fillId="9" borderId="1" xfId="2" applyFont="1" applyFill="1" applyBorder="1" applyAlignment="1">
      <alignment horizontal="left"/>
    </xf>
    <xf numFmtId="14" fontId="15" fillId="9" borderId="1" xfId="0" applyNumberFormat="1" applyFont="1" applyFill="1" applyBorder="1" applyAlignment="1">
      <alignment horizontal="left" vertical="center" wrapText="1"/>
    </xf>
    <xf numFmtId="1" fontId="18" fillId="9" borderId="1" xfId="0" quotePrefix="1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/>
    </xf>
    <xf numFmtId="166" fontId="16" fillId="9" borderId="1" xfId="2" applyNumberFormat="1" applyFont="1" applyFill="1" applyBorder="1" applyAlignment="1">
      <alignment horizontal="right" vertical="center"/>
    </xf>
    <xf numFmtId="49" fontId="16" fillId="9" borderId="1" xfId="2" quotePrefix="1" applyNumberFormat="1" applyFont="1" applyFill="1" applyBorder="1" applyAlignment="1">
      <alignment horizontal="left" vertical="center"/>
    </xf>
    <xf numFmtId="0" fontId="15" fillId="9" borderId="1" xfId="0" quotePrefix="1" applyFont="1" applyFill="1" applyBorder="1" applyAlignment="1">
      <alignment horizontal="center" vertical="center"/>
    </xf>
    <xf numFmtId="0" fontId="16" fillId="9" borderId="1" xfId="2" applyFont="1" applyFill="1" applyBorder="1"/>
    <xf numFmtId="166" fontId="16" fillId="9" borderId="1" xfId="2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left"/>
    </xf>
    <xf numFmtId="1" fontId="15" fillId="9" borderId="1" xfId="0" quotePrefix="1" applyNumberFormat="1" applyFont="1" applyFill="1" applyBorder="1" applyAlignment="1">
      <alignment horizontal="left"/>
    </xf>
    <xf numFmtId="0" fontId="15" fillId="21" borderId="1" xfId="0" applyFont="1" applyFill="1" applyBorder="1"/>
    <xf numFmtId="1" fontId="15" fillId="9" borderId="1" xfId="0" applyNumberFormat="1" applyFont="1" applyFill="1" applyBorder="1" applyAlignment="1">
      <alignment horizontal="center"/>
    </xf>
    <xf numFmtId="1" fontId="15" fillId="9" borderId="1" xfId="0" quotePrefix="1" applyNumberFormat="1" applyFont="1" applyFill="1" applyBorder="1" applyAlignment="1">
      <alignment horizontal="left" vertical="center"/>
    </xf>
    <xf numFmtId="49" fontId="16" fillId="9" borderId="1" xfId="2" applyNumberFormat="1" applyFont="1" applyFill="1" applyBorder="1" applyAlignment="1">
      <alignment horizontal="left" vertical="center"/>
    </xf>
    <xf numFmtId="0" fontId="16" fillId="9" borderId="1" xfId="2" applyFont="1" applyFill="1" applyBorder="1" applyAlignment="1">
      <alignment vertical="center"/>
    </xf>
    <xf numFmtId="166" fontId="16" fillId="9" borderId="1" xfId="2" applyNumberFormat="1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 wrapText="1"/>
    </xf>
    <xf numFmtId="0" fontId="16" fillId="9" borderId="1" xfId="2" applyFont="1" applyFill="1" applyBorder="1" applyAlignment="1">
      <alignment horizontal="center" vertical="center" wrapText="1"/>
    </xf>
    <xf numFmtId="165" fontId="16" fillId="7" borderId="1" xfId="1" applyNumberFormat="1" applyFont="1" applyFill="1" applyBorder="1" applyAlignment="1">
      <alignment horizontal="center" vertical="center"/>
    </xf>
    <xf numFmtId="165" fontId="16" fillId="4" borderId="1" xfId="1" applyNumberFormat="1" applyFont="1" applyFill="1" applyBorder="1" applyAlignment="1">
      <alignment horizontal="center" vertical="center"/>
    </xf>
    <xf numFmtId="165" fontId="16" fillId="7" borderId="1" xfId="1" applyNumberFormat="1" applyFont="1" applyFill="1" applyBorder="1" applyAlignment="1">
      <alignment vertical="center"/>
    </xf>
    <xf numFmtId="165" fontId="16" fillId="9" borderId="1" xfId="1" applyNumberFormat="1" applyFont="1" applyFill="1" applyBorder="1" applyAlignment="1">
      <alignment vertical="center"/>
    </xf>
    <xf numFmtId="165" fontId="16" fillId="9" borderId="1" xfId="1" applyNumberFormat="1" applyFont="1" applyFill="1" applyBorder="1" applyAlignment="1">
      <alignment horizontal="center" vertical="center"/>
    </xf>
    <xf numFmtId="2" fontId="16" fillId="9" borderId="1" xfId="2" quotePrefix="1" applyNumberFormat="1" applyFont="1" applyFill="1" applyBorder="1" applyAlignment="1">
      <alignment horizontal="left" vertical="center"/>
    </xf>
    <xf numFmtId="165" fontId="21" fillId="9" borderId="8" xfId="5" applyNumberFormat="1" applyFont="1" applyFill="1" applyBorder="1" applyAlignment="1">
      <alignment horizontal="center"/>
    </xf>
    <xf numFmtId="165" fontId="16" fillId="9" borderId="1" xfId="1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 wrapText="1"/>
    </xf>
    <xf numFmtId="165" fontId="16" fillId="10" borderId="1" xfId="1" applyNumberFormat="1" applyFont="1" applyFill="1" applyBorder="1" applyAlignment="1">
      <alignment vertical="center"/>
    </xf>
    <xf numFmtId="165" fontId="16" fillId="10" borderId="1" xfId="1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0" fontId="15" fillId="22" borderId="1" xfId="0" applyFont="1" applyFill="1" applyBorder="1"/>
    <xf numFmtId="1" fontId="15" fillId="4" borderId="1" xfId="0" quotePrefix="1" applyNumberFormat="1" applyFont="1" applyFill="1" applyBorder="1" applyAlignment="1">
      <alignment horizontal="left"/>
    </xf>
    <xf numFmtId="0" fontId="20" fillId="4" borderId="1" xfId="0" applyFont="1" applyFill="1" applyBorder="1" applyAlignment="1">
      <alignment horizontal="left"/>
    </xf>
    <xf numFmtId="0" fontId="8" fillId="23" borderId="0" xfId="0" applyFont="1" applyFill="1" applyAlignment="1">
      <alignment horizontal="center" vertical="center"/>
    </xf>
    <xf numFmtId="0" fontId="16" fillId="23" borderId="1" xfId="2" applyFont="1" applyFill="1" applyBorder="1" applyAlignment="1">
      <alignment horizontal="left" vertical="center"/>
    </xf>
    <xf numFmtId="0" fontId="16" fillId="23" borderId="1" xfId="2" quotePrefix="1" applyFont="1" applyFill="1" applyBorder="1" applyAlignment="1">
      <alignment horizontal="left" vertical="center"/>
    </xf>
    <xf numFmtId="166" fontId="16" fillId="23" borderId="1" xfId="2" applyNumberFormat="1" applyFont="1" applyFill="1" applyBorder="1" applyAlignment="1">
      <alignment vertical="center"/>
    </xf>
    <xf numFmtId="0" fontId="17" fillId="23" borderId="1" xfId="2" applyFont="1" applyFill="1" applyBorder="1" applyAlignment="1">
      <alignment horizontal="left" vertical="center"/>
    </xf>
    <xf numFmtId="0" fontId="16" fillId="23" borderId="1" xfId="2" applyFont="1" applyFill="1" applyBorder="1" applyAlignment="1">
      <alignment horizontal="center" vertical="center"/>
    </xf>
    <xf numFmtId="14" fontId="21" fillId="9" borderId="1" xfId="0" applyNumberFormat="1" applyFont="1" applyFill="1" applyBorder="1" applyAlignment="1">
      <alignment horizontal="left" vertical="center" wrapText="1"/>
    </xf>
    <xf numFmtId="165" fontId="16" fillId="9" borderId="1" xfId="1" applyNumberFormat="1" applyFont="1" applyFill="1" applyBorder="1" applyAlignment="1">
      <alignment horizontal="right" vertical="center"/>
    </xf>
    <xf numFmtId="2" fontId="16" fillId="4" borderId="1" xfId="2" quotePrefix="1" applyNumberFormat="1" applyFont="1" applyFill="1" applyBorder="1" applyAlignment="1">
      <alignment horizontal="left" vertical="center"/>
    </xf>
    <xf numFmtId="0" fontId="16" fillId="4" borderId="1" xfId="2" applyFont="1" applyFill="1" applyBorder="1"/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31" fillId="15" borderId="2" xfId="0" applyFont="1" applyFill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readingOrder="1"/>
    </xf>
    <xf numFmtId="0" fontId="0" fillId="0" borderId="0" xfId="0" applyAlignment="1">
      <alignment horizontal="right" readingOrder="2"/>
    </xf>
    <xf numFmtId="0" fontId="50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wrapText="1" readingOrder="2"/>
    </xf>
    <xf numFmtId="0" fontId="3" fillId="3" borderId="1" xfId="0" applyFont="1" applyFill="1" applyBorder="1" applyAlignment="1">
      <alignment horizontal="center"/>
    </xf>
  </cellXfs>
  <cellStyles count="7">
    <cellStyle name="Comma" xfId="1" builtinId="3"/>
    <cellStyle name="Comma 2" xfId="5" xr:uid="{5ACA69C1-3E42-4FB6-8CAC-6A76C4807CB1}"/>
    <cellStyle name="Explanatory Text" xfId="2" builtinId="53"/>
    <cellStyle name="Hyperlink" xfId="6" builtinId="8"/>
    <cellStyle name="Normal" xfId="0" builtinId="0"/>
    <cellStyle name="Normal 2" xfId="4" xr:uid="{962790A8-8D24-4232-B418-629B63FE2B2B}"/>
    <cellStyle name="Percent" xfId="3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2D050"/>
      <color rgb="FFC7B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123826</xdr:rowOff>
    </xdr:from>
    <xdr:ext cx="883047" cy="934603"/>
    <xdr:pic>
      <xdr:nvPicPr>
        <xdr:cNvPr id="2" name="Picture 1">
          <a:extLst>
            <a:ext uri="{FF2B5EF4-FFF2-40B4-BE49-F238E27FC236}">
              <a16:creationId xmlns:a16="http://schemas.microsoft.com/office/drawing/2014/main" id="{53F1C438-06E9-4EFA-92E1-8E60A379C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5326"/>
          <a:ext cx="883047" cy="9346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65422" cy="1028825"/>
    <xdr:pic>
      <xdr:nvPicPr>
        <xdr:cNvPr id="2" name="Picture 1">
          <a:extLst>
            <a:ext uri="{FF2B5EF4-FFF2-40B4-BE49-F238E27FC236}">
              <a16:creationId xmlns:a16="http://schemas.microsoft.com/office/drawing/2014/main" id="{D856578D-D26C-4826-A28F-C9AE99C1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422" cy="102882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 morooj Dairy" id="{FA58A1D0-5A45-4C54-AD97-BE06C2C11911}" userId="c3a7e7557f033fa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7" dT="2024-12-17T11:28:01.13" personId="{FA58A1D0-5A45-4C54-AD97-BE06C2C11911}" id="{06CBC45F-82B2-41CB-8CBF-612CE42A1BCD}">
    <text>Update Bank Acc 17-12-2024
'00510061527001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6" dT="2024-12-26T19:50:31.53" personId="{FA58A1D0-5A45-4C54-AD97-BE06C2C11911}" id="{C6442D3E-3644-4CD8-85DD-057D9A6B62AD}">
    <text>13.45 RO Feeds 2-12-2024 + 303.350 RO BT 26-12-2024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1E5E-B3CA-4114-BB49-59EAD4E37197}">
  <dimension ref="A1:J11"/>
  <sheetViews>
    <sheetView view="pageBreakPreview" zoomScale="130" zoomScaleNormal="100" zoomScaleSheetLayoutView="130" workbookViewId="0">
      <pane xSplit="2" ySplit="1" topLeftCell="C2" activePane="bottomRight" state="frozen"/>
      <selection activeCell="H259" sqref="H259"/>
      <selection pane="topRight" activeCell="H259" sqref="H259"/>
      <selection pane="bottomLeft" activeCell="H259" sqref="H259"/>
      <selection pane="bottomRight" activeCell="H4" sqref="H4"/>
    </sheetView>
  </sheetViews>
  <sheetFormatPr defaultColWidth="9" defaultRowHeight="12" x14ac:dyDescent="0.25"/>
  <cols>
    <col min="1" max="1" width="7.28515625" style="5" customWidth="1"/>
    <col min="2" max="2" width="8.28515625" style="5" customWidth="1"/>
    <col min="3" max="3" width="40.28515625" style="6" customWidth="1"/>
    <col min="4" max="4" width="13.42578125" style="8" customWidth="1"/>
    <col min="5" max="5" width="12" style="5" customWidth="1"/>
    <col min="6" max="8" width="14" style="5" customWidth="1"/>
    <col min="9" max="9" width="11.7109375" style="6" bestFit="1" customWidth="1"/>
    <col min="10" max="10" width="22.5703125" style="5" bestFit="1" customWidth="1"/>
    <col min="11" max="16384" width="9" style="5"/>
  </cols>
  <sheetData>
    <row r="1" spans="1:10" ht="34.5" customHeight="1" x14ac:dyDescent="0.25">
      <c r="A1" s="647" t="s">
        <v>0</v>
      </c>
      <c r="B1" s="647"/>
      <c r="C1" s="647"/>
      <c r="D1" s="647"/>
      <c r="E1" s="647"/>
      <c r="F1" s="647"/>
      <c r="G1" s="647"/>
      <c r="H1" s="647"/>
      <c r="I1" s="647"/>
      <c r="J1" s="647"/>
    </row>
    <row r="2" spans="1:10" ht="30" customHeight="1" x14ac:dyDescent="0.25">
      <c r="A2" s="33" t="s">
        <v>1</v>
      </c>
      <c r="B2" s="33" t="s">
        <v>2</v>
      </c>
      <c r="C2" s="36" t="s">
        <v>3</v>
      </c>
      <c r="D2" s="37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6" t="s">
        <v>9</v>
      </c>
      <c r="J2" s="33" t="s">
        <v>10</v>
      </c>
    </row>
    <row r="3" spans="1:10" s="114" customFormat="1" ht="21.75" customHeight="1" x14ac:dyDescent="0.25">
      <c r="A3" s="19">
        <v>1</v>
      </c>
      <c r="B3" s="23">
        <v>1040</v>
      </c>
      <c r="C3" s="31" t="s">
        <v>11</v>
      </c>
      <c r="D3" s="22">
        <v>422.1</v>
      </c>
      <c r="E3" s="15">
        <v>0.4</v>
      </c>
      <c r="F3" s="15">
        <f t="shared" ref="F3:F4" si="0">D3*E3</f>
        <v>168.84000000000003</v>
      </c>
      <c r="G3" s="15">
        <f>164.9+3.94</f>
        <v>168.84</v>
      </c>
      <c r="H3" s="110">
        <f t="shared" ref="H3:H4" si="1">F3-G3</f>
        <v>0</v>
      </c>
      <c r="I3" s="112">
        <v>25082374</v>
      </c>
      <c r="J3" s="113" t="s">
        <v>12</v>
      </c>
    </row>
    <row r="4" spans="1:10" s="114" customFormat="1" ht="21.75" customHeight="1" x14ac:dyDescent="0.25">
      <c r="A4" s="19">
        <v>5</v>
      </c>
      <c r="B4" s="23">
        <v>1728</v>
      </c>
      <c r="C4" s="31" t="s">
        <v>13</v>
      </c>
      <c r="D4" s="22">
        <v>500.9</v>
      </c>
      <c r="E4" s="15">
        <v>0.4</v>
      </c>
      <c r="F4" s="15">
        <f t="shared" si="0"/>
        <v>200.36</v>
      </c>
      <c r="G4" s="15">
        <f>198.85+1.51</f>
        <v>200.35999999999999</v>
      </c>
      <c r="H4" s="110">
        <f t="shared" si="1"/>
        <v>0</v>
      </c>
      <c r="I4" s="112">
        <v>8977778</v>
      </c>
      <c r="J4" s="111" t="s">
        <v>14</v>
      </c>
    </row>
    <row r="5" spans="1:10" s="17" customFormat="1" x14ac:dyDescent="0.25">
      <c r="A5" s="19"/>
      <c r="B5" s="19"/>
      <c r="C5" s="30"/>
      <c r="D5" s="121">
        <f>SUM(D3:D4)</f>
        <v>923</v>
      </c>
      <c r="E5" s="15"/>
      <c r="F5" s="15">
        <f>SUM(F3:F4)</f>
        <v>369.20000000000005</v>
      </c>
      <c r="G5" s="15">
        <f>SUM(G3:G4)</f>
        <v>369.2</v>
      </c>
      <c r="H5" s="15">
        <f>SUM(H3:H4)</f>
        <v>0</v>
      </c>
      <c r="I5" s="30"/>
      <c r="J5" s="19"/>
    </row>
    <row r="6" spans="1:10" s="17" customFormat="1" x14ac:dyDescent="0.25">
      <c r="B6" s="18"/>
      <c r="C6" s="122"/>
      <c r="D6" s="123" t="s">
        <v>15</v>
      </c>
      <c r="F6" s="124"/>
      <c r="G6" s="124"/>
      <c r="H6" s="124"/>
      <c r="I6" s="18"/>
    </row>
    <row r="7" spans="1:10" s="17" customFormat="1" x14ac:dyDescent="0.25">
      <c r="B7" s="18"/>
      <c r="C7" s="122"/>
      <c r="F7" s="18"/>
      <c r="G7" s="18"/>
      <c r="H7" s="18"/>
      <c r="I7" s="124"/>
    </row>
    <row r="8" spans="1:10" s="17" customFormat="1" x14ac:dyDescent="0.25">
      <c r="C8" s="18"/>
      <c r="D8" s="122"/>
      <c r="I8" s="18"/>
    </row>
    <row r="9" spans="1:10" s="17" customFormat="1" x14ac:dyDescent="0.25">
      <c r="C9" s="18"/>
      <c r="D9" s="122"/>
      <c r="I9" s="18"/>
    </row>
    <row r="10" spans="1:10" s="17" customFormat="1" x14ac:dyDescent="0.25">
      <c r="C10" s="18"/>
      <c r="D10" s="122"/>
      <c r="I10" s="18"/>
    </row>
    <row r="11" spans="1:10" x14ac:dyDescent="0.25">
      <c r="A11" s="6" t="s">
        <v>16</v>
      </c>
      <c r="F11" s="5" t="s">
        <v>17</v>
      </c>
    </row>
  </sheetData>
  <autoFilter ref="A2:J6" xr:uid="{00000000-0009-0000-0000-000000000000}"/>
  <mergeCells count="1">
    <mergeCell ref="A1:J1"/>
  </mergeCells>
  <conditionalFormatting sqref="B3">
    <cfRule type="duplicateValues" dxfId="127" priority="1"/>
  </conditionalFormatting>
  <pageMargins left="0.7" right="0.7" top="0.75" bottom="0.75" header="0.3" footer="0.3"/>
  <pageSetup paperSize="8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9360-BA50-422E-AA29-753CD04866A3}">
  <sheetPr filterMode="1"/>
  <dimension ref="A1:T41"/>
  <sheetViews>
    <sheetView workbookViewId="0">
      <pane xSplit="3" ySplit="2" topLeftCell="D3" activePane="bottomRight" state="frozen"/>
      <selection activeCell="H259" sqref="H259"/>
      <selection pane="topRight" activeCell="H259" sqref="H259"/>
      <selection pane="bottomLeft" activeCell="H259" sqref="H259"/>
      <selection pane="bottomRight" activeCell="C49" sqref="C49"/>
    </sheetView>
  </sheetViews>
  <sheetFormatPr defaultColWidth="9" defaultRowHeight="12" x14ac:dyDescent="0.25"/>
  <cols>
    <col min="1" max="1" width="9.140625" style="5" customWidth="1"/>
    <col min="2" max="2" width="6.85546875" style="5" customWidth="1"/>
    <col min="3" max="3" width="25.5703125" style="6" customWidth="1"/>
    <col min="4" max="4" width="13.42578125" style="8" customWidth="1"/>
    <col min="5" max="5" width="12" style="5" customWidth="1"/>
    <col min="6" max="6" width="18.5703125" style="5" customWidth="1"/>
    <col min="7" max="7" width="20.7109375" style="5" customWidth="1"/>
    <col min="8" max="8" width="23.5703125" style="5" customWidth="1"/>
    <col min="9" max="9" width="11.7109375" style="6" bestFit="1" customWidth="1"/>
    <col min="10" max="10" width="15.85546875" style="7" customWidth="1"/>
    <col min="11" max="11" width="14.85546875" style="6" customWidth="1"/>
    <col min="12" max="12" width="17.42578125" style="6" customWidth="1"/>
    <col min="13" max="13" width="11.28515625" style="6" bestFit="1" customWidth="1"/>
    <col min="14" max="14" width="16.42578125" style="5" bestFit="1" customWidth="1"/>
    <col min="15" max="16384" width="9" style="5"/>
  </cols>
  <sheetData>
    <row r="1" spans="1:15" ht="34.5" customHeight="1" x14ac:dyDescent="0.25">
      <c r="A1" s="648" t="s">
        <v>18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50"/>
    </row>
    <row r="2" spans="1:15" ht="30" customHeight="1" x14ac:dyDescent="0.25">
      <c r="A2" s="38" t="s">
        <v>1</v>
      </c>
      <c r="B2" s="38" t="s">
        <v>2</v>
      </c>
      <c r="C2" s="39" t="s">
        <v>3</v>
      </c>
      <c r="D2" s="40" t="s">
        <v>4</v>
      </c>
      <c r="E2" s="38" t="s">
        <v>5</v>
      </c>
      <c r="F2" s="38" t="s">
        <v>6</v>
      </c>
      <c r="G2" s="38" t="s">
        <v>7</v>
      </c>
      <c r="H2" s="38" t="s">
        <v>19</v>
      </c>
      <c r="I2" s="39" t="s">
        <v>9</v>
      </c>
      <c r="J2" s="39" t="s">
        <v>20</v>
      </c>
      <c r="K2" s="39" t="s">
        <v>21</v>
      </c>
      <c r="L2" s="39" t="s">
        <v>22</v>
      </c>
      <c r="M2" s="39" t="s">
        <v>23</v>
      </c>
      <c r="N2" s="38" t="s">
        <v>10</v>
      </c>
    </row>
    <row r="3" spans="1:15" s="86" customFormat="1" ht="21.75" customHeight="1" x14ac:dyDescent="0.25">
      <c r="A3" s="79">
        <v>1</v>
      </c>
      <c r="B3" s="80">
        <v>1106</v>
      </c>
      <c r="C3" s="81" t="s">
        <v>24</v>
      </c>
      <c r="D3" s="82">
        <v>1380</v>
      </c>
      <c r="E3" s="83">
        <v>0.4</v>
      </c>
      <c r="F3" s="110">
        <f t="shared" ref="F3:F8" si="0">D3*E3</f>
        <v>552</v>
      </c>
      <c r="G3" s="110">
        <f>164.9+3.94+383.16</f>
        <v>552</v>
      </c>
      <c r="H3" s="110">
        <f t="shared" ref="H3:H8" si="1">F3-G3</f>
        <v>0</v>
      </c>
      <c r="I3" s="84">
        <v>5502751</v>
      </c>
      <c r="J3" s="84" t="s">
        <v>25</v>
      </c>
      <c r="K3" s="84" t="s">
        <v>26</v>
      </c>
      <c r="L3" s="84" t="s">
        <v>27</v>
      </c>
      <c r="M3" s="84">
        <v>99270001</v>
      </c>
      <c r="N3" s="85" t="s">
        <v>28</v>
      </c>
    </row>
    <row r="4" spans="1:15" s="86" customFormat="1" ht="21.75" customHeight="1" x14ac:dyDescent="0.25">
      <c r="A4" s="79">
        <v>4</v>
      </c>
      <c r="B4" s="88">
        <v>1333</v>
      </c>
      <c r="C4" s="81" t="s">
        <v>29</v>
      </c>
      <c r="D4" s="82">
        <v>839.1</v>
      </c>
      <c r="E4" s="83">
        <v>0.4</v>
      </c>
      <c r="F4" s="27">
        <f t="shared" si="0"/>
        <v>335.64000000000004</v>
      </c>
      <c r="G4" s="27">
        <f>334.65+0.99</f>
        <v>335.64</v>
      </c>
      <c r="H4" s="27">
        <f t="shared" si="1"/>
        <v>0</v>
      </c>
      <c r="I4" s="84">
        <v>1736679</v>
      </c>
      <c r="J4" s="87" t="s">
        <v>30</v>
      </c>
      <c r="K4" s="84" t="s">
        <v>31</v>
      </c>
      <c r="L4" s="84" t="s">
        <v>32</v>
      </c>
      <c r="M4" s="84">
        <v>99482212</v>
      </c>
      <c r="N4" s="85" t="s">
        <v>33</v>
      </c>
      <c r="O4" s="135">
        <v>45691</v>
      </c>
    </row>
    <row r="5" spans="1:15" s="54" customFormat="1" ht="21.75" hidden="1" customHeight="1" x14ac:dyDescent="0.25">
      <c r="A5" s="150">
        <v>5</v>
      </c>
      <c r="B5" s="50">
        <v>1382</v>
      </c>
      <c r="C5" s="43" t="s">
        <v>34</v>
      </c>
      <c r="D5" s="28">
        <v>920</v>
      </c>
      <c r="E5" s="27">
        <v>0.4</v>
      </c>
      <c r="F5" s="27">
        <f t="shared" si="0"/>
        <v>368</v>
      </c>
      <c r="G5" s="27">
        <f>367.75+0.25</f>
        <v>368</v>
      </c>
      <c r="H5" s="27">
        <f t="shared" si="1"/>
        <v>0</v>
      </c>
      <c r="I5" s="25">
        <v>886492</v>
      </c>
      <c r="J5" s="26" t="s">
        <v>35</v>
      </c>
      <c r="K5" s="25" t="s">
        <v>31</v>
      </c>
      <c r="L5" s="25" t="s">
        <v>32</v>
      </c>
      <c r="M5" s="25">
        <v>99494166</v>
      </c>
      <c r="N5" s="32" t="s">
        <v>36</v>
      </c>
      <c r="O5" s="116">
        <v>45600</v>
      </c>
    </row>
    <row r="6" spans="1:15" s="86" customFormat="1" ht="21.75" customHeight="1" x14ac:dyDescent="0.25">
      <c r="A6" s="79">
        <v>6</v>
      </c>
      <c r="B6" s="88">
        <v>1384</v>
      </c>
      <c r="C6" s="81" t="s">
        <v>37</v>
      </c>
      <c r="D6" s="82">
        <v>459</v>
      </c>
      <c r="E6" s="83">
        <v>0.4</v>
      </c>
      <c r="F6" s="27">
        <f t="shared" si="0"/>
        <v>183.60000000000002</v>
      </c>
      <c r="G6" s="27">
        <f>183.02+0.58</f>
        <v>183.60000000000002</v>
      </c>
      <c r="H6" s="27">
        <f t="shared" si="1"/>
        <v>0</v>
      </c>
      <c r="I6" s="84">
        <v>4426701</v>
      </c>
      <c r="J6" s="87" t="s">
        <v>38</v>
      </c>
      <c r="K6" s="84" t="s">
        <v>31</v>
      </c>
      <c r="L6" s="84" t="s">
        <v>32</v>
      </c>
      <c r="M6" s="84">
        <v>92634991</v>
      </c>
      <c r="N6" s="85" t="s">
        <v>12</v>
      </c>
      <c r="O6" s="135">
        <v>45658</v>
      </c>
    </row>
    <row r="7" spans="1:15" s="54" customFormat="1" ht="21.75" hidden="1" customHeight="1" x14ac:dyDescent="0.25">
      <c r="A7" s="150">
        <v>7</v>
      </c>
      <c r="B7" s="50">
        <v>1386</v>
      </c>
      <c r="C7" s="43" t="s">
        <v>39</v>
      </c>
      <c r="D7" s="28">
        <v>924</v>
      </c>
      <c r="E7" s="27">
        <v>0.4</v>
      </c>
      <c r="F7" s="27">
        <f t="shared" si="0"/>
        <v>369.6</v>
      </c>
      <c r="G7" s="27">
        <f>368.6+1</f>
        <v>369.6</v>
      </c>
      <c r="H7" s="27">
        <f t="shared" si="1"/>
        <v>0</v>
      </c>
      <c r="I7" s="25">
        <v>711799</v>
      </c>
      <c r="J7" s="26" t="s">
        <v>40</v>
      </c>
      <c r="K7" s="25" t="s">
        <v>31</v>
      </c>
      <c r="L7" s="25" t="s">
        <v>32</v>
      </c>
      <c r="M7" s="25">
        <v>92394924</v>
      </c>
      <c r="N7" s="32" t="s">
        <v>41</v>
      </c>
      <c r="O7" s="116">
        <v>45601</v>
      </c>
    </row>
    <row r="8" spans="1:15" s="86" customFormat="1" ht="21.75" hidden="1" customHeight="1" x14ac:dyDescent="0.25">
      <c r="A8" s="79">
        <v>13</v>
      </c>
      <c r="B8" s="88">
        <v>1417</v>
      </c>
      <c r="C8" s="81" t="s">
        <v>42</v>
      </c>
      <c r="D8" s="82">
        <v>689.5</v>
      </c>
      <c r="E8" s="83">
        <v>0.4</v>
      </c>
      <c r="F8" s="27">
        <f t="shared" si="0"/>
        <v>275.8</v>
      </c>
      <c r="G8" s="27">
        <f>274.6+1.2</f>
        <v>275.8</v>
      </c>
      <c r="H8" s="27">
        <f t="shared" si="1"/>
        <v>0</v>
      </c>
      <c r="I8" s="84">
        <v>1252579</v>
      </c>
      <c r="J8" s="87" t="s">
        <v>43</v>
      </c>
      <c r="K8" s="84" t="s">
        <v>31</v>
      </c>
      <c r="L8" s="84" t="s">
        <v>32</v>
      </c>
      <c r="M8" s="84">
        <v>98520912</v>
      </c>
      <c r="N8" s="85" t="s">
        <v>44</v>
      </c>
      <c r="O8" s="135">
        <v>45635</v>
      </c>
    </row>
    <row r="9" spans="1:15" s="54" customFormat="1" ht="21.75" hidden="1" customHeight="1" x14ac:dyDescent="0.25">
      <c r="A9" s="150">
        <v>14</v>
      </c>
      <c r="B9" s="151">
        <v>1435</v>
      </c>
      <c r="C9" s="43" t="s">
        <v>45</v>
      </c>
      <c r="D9" s="28">
        <v>1376.5</v>
      </c>
      <c r="E9" s="27">
        <v>0.4</v>
      </c>
      <c r="F9" s="27">
        <f t="shared" ref="F9:F17" si="2">D9*E9</f>
        <v>550.6</v>
      </c>
      <c r="G9" s="27">
        <f>548.8+1.8</f>
        <v>550.59999999999991</v>
      </c>
      <c r="H9" s="27">
        <f t="shared" ref="H9:H17" si="3">F9-G9</f>
        <v>0</v>
      </c>
      <c r="I9" s="25">
        <v>1305522</v>
      </c>
      <c r="J9" s="26" t="s">
        <v>46</v>
      </c>
      <c r="K9" s="25" t="s">
        <v>31</v>
      </c>
      <c r="L9" s="25" t="s">
        <v>32</v>
      </c>
      <c r="M9" s="25">
        <v>93246263</v>
      </c>
      <c r="N9" s="32" t="s">
        <v>47</v>
      </c>
      <c r="O9" s="116">
        <v>45601</v>
      </c>
    </row>
    <row r="10" spans="1:15" s="54" customFormat="1" ht="21.75" hidden="1" customHeight="1" x14ac:dyDescent="0.25">
      <c r="A10" s="150">
        <v>17</v>
      </c>
      <c r="B10" s="50">
        <v>1462</v>
      </c>
      <c r="C10" s="43" t="s">
        <v>48</v>
      </c>
      <c r="D10" s="28">
        <v>460</v>
      </c>
      <c r="E10" s="27">
        <v>0.4</v>
      </c>
      <c r="F10" s="27">
        <f t="shared" si="2"/>
        <v>184</v>
      </c>
      <c r="G10" s="27">
        <f>181.45+2.55</f>
        <v>184</v>
      </c>
      <c r="H10" s="27">
        <f t="shared" si="3"/>
        <v>0</v>
      </c>
      <c r="I10" s="25">
        <v>9664038</v>
      </c>
      <c r="J10" s="25" t="s">
        <v>49</v>
      </c>
      <c r="K10" s="25" t="s">
        <v>31</v>
      </c>
      <c r="L10" s="25" t="s">
        <v>32</v>
      </c>
      <c r="M10" s="25">
        <v>92989674</v>
      </c>
      <c r="N10" s="32" t="s">
        <v>14</v>
      </c>
      <c r="O10" s="116">
        <v>45601</v>
      </c>
    </row>
    <row r="11" spans="1:15" s="54" customFormat="1" ht="21.75" hidden="1" customHeight="1" x14ac:dyDescent="0.25">
      <c r="A11" s="150">
        <v>18</v>
      </c>
      <c r="B11" s="50">
        <v>1463</v>
      </c>
      <c r="C11" s="43" t="s">
        <v>50</v>
      </c>
      <c r="D11" s="28">
        <v>779.9</v>
      </c>
      <c r="E11" s="27">
        <v>0.4</v>
      </c>
      <c r="F11" s="27">
        <f t="shared" si="2"/>
        <v>311.96000000000004</v>
      </c>
      <c r="G11" s="27">
        <f>308.94+3.02</f>
        <v>311.95999999999998</v>
      </c>
      <c r="H11" s="27">
        <f t="shared" si="3"/>
        <v>0</v>
      </c>
      <c r="I11" s="25">
        <v>3798072</v>
      </c>
      <c r="J11" s="26" t="s">
        <v>51</v>
      </c>
      <c r="K11" s="25" t="s">
        <v>52</v>
      </c>
      <c r="L11" s="25" t="s">
        <v>53</v>
      </c>
      <c r="M11" s="25">
        <v>99480608</v>
      </c>
      <c r="N11" s="32" t="s">
        <v>54</v>
      </c>
      <c r="O11" s="116">
        <v>45623</v>
      </c>
    </row>
    <row r="12" spans="1:15" s="86" customFormat="1" ht="21.75" customHeight="1" x14ac:dyDescent="0.25">
      <c r="A12" s="79">
        <v>20</v>
      </c>
      <c r="B12" s="88">
        <v>1711</v>
      </c>
      <c r="C12" s="81" t="s">
        <v>55</v>
      </c>
      <c r="D12" s="82">
        <v>714</v>
      </c>
      <c r="E12" s="83">
        <v>0.4</v>
      </c>
      <c r="F12" s="27">
        <f t="shared" si="2"/>
        <v>285.60000000000002</v>
      </c>
      <c r="G12" s="27">
        <f>281.3+4.3</f>
        <v>285.60000000000002</v>
      </c>
      <c r="H12" s="27">
        <f t="shared" si="3"/>
        <v>0</v>
      </c>
      <c r="I12" s="84">
        <v>638353</v>
      </c>
      <c r="J12" s="90" t="s">
        <v>56</v>
      </c>
      <c r="K12" s="84" t="s">
        <v>31</v>
      </c>
      <c r="L12" s="84" t="s">
        <v>32</v>
      </c>
      <c r="M12" s="84">
        <v>99292727</v>
      </c>
      <c r="N12" s="89" t="s">
        <v>33</v>
      </c>
      <c r="O12" s="135">
        <v>45691</v>
      </c>
    </row>
    <row r="13" spans="1:15" s="54" customFormat="1" ht="21.75" hidden="1" customHeight="1" x14ac:dyDescent="0.25">
      <c r="A13" s="150">
        <v>21</v>
      </c>
      <c r="B13" s="50">
        <v>1712</v>
      </c>
      <c r="C13" s="43" t="s">
        <v>57</v>
      </c>
      <c r="D13" s="28">
        <v>434.6</v>
      </c>
      <c r="E13" s="27">
        <v>0.4</v>
      </c>
      <c r="F13" s="27">
        <f t="shared" si="2"/>
        <v>173.84000000000003</v>
      </c>
      <c r="G13" s="27">
        <f>72.75+97+4.09</f>
        <v>173.84</v>
      </c>
      <c r="H13" s="27">
        <f t="shared" si="3"/>
        <v>0</v>
      </c>
      <c r="I13" s="25">
        <v>788958</v>
      </c>
      <c r="J13" s="57" t="s">
        <v>58</v>
      </c>
      <c r="K13" s="25" t="s">
        <v>31</v>
      </c>
      <c r="L13" s="25" t="s">
        <v>32</v>
      </c>
      <c r="M13" s="25"/>
      <c r="N13" s="75">
        <v>45635</v>
      </c>
      <c r="O13" s="116">
        <v>45609</v>
      </c>
    </row>
    <row r="14" spans="1:15" s="86" customFormat="1" ht="21.75" hidden="1" customHeight="1" x14ac:dyDescent="0.25">
      <c r="A14" s="79">
        <v>22</v>
      </c>
      <c r="B14" s="88">
        <v>1714</v>
      </c>
      <c r="C14" s="81" t="s">
        <v>59</v>
      </c>
      <c r="D14" s="82">
        <v>458.9</v>
      </c>
      <c r="E14" s="83">
        <v>0.4</v>
      </c>
      <c r="F14" s="110">
        <f t="shared" si="2"/>
        <v>183.56</v>
      </c>
      <c r="G14" s="110">
        <f>179.45+4.11</f>
        <v>183.56</v>
      </c>
      <c r="H14" s="110">
        <f t="shared" si="3"/>
        <v>0</v>
      </c>
      <c r="I14" s="84">
        <v>6285703</v>
      </c>
      <c r="J14" s="90" t="s">
        <v>60</v>
      </c>
      <c r="K14" s="84" t="s">
        <v>31</v>
      </c>
      <c r="L14" s="84" t="s">
        <v>32</v>
      </c>
      <c r="M14" s="84"/>
      <c r="N14" s="89" t="s">
        <v>61</v>
      </c>
      <c r="O14" s="135">
        <v>45573</v>
      </c>
    </row>
    <row r="15" spans="1:15" s="86" customFormat="1" ht="21.75" hidden="1" customHeight="1" x14ac:dyDescent="0.25">
      <c r="A15" s="150">
        <v>23</v>
      </c>
      <c r="B15" s="50">
        <v>1715</v>
      </c>
      <c r="C15" s="43" t="s">
        <v>62</v>
      </c>
      <c r="D15" s="28">
        <v>449.6</v>
      </c>
      <c r="E15" s="27">
        <v>0.4</v>
      </c>
      <c r="F15" s="27">
        <f t="shared" si="2"/>
        <v>179.84000000000003</v>
      </c>
      <c r="G15" s="27">
        <f>177.1+2.74</f>
        <v>179.84</v>
      </c>
      <c r="H15" s="27">
        <f t="shared" si="3"/>
        <v>0</v>
      </c>
      <c r="I15" s="25">
        <v>6511663</v>
      </c>
      <c r="J15" s="57" t="s">
        <v>63</v>
      </c>
      <c r="K15" s="25" t="s">
        <v>31</v>
      </c>
      <c r="L15" s="25" t="s">
        <v>32</v>
      </c>
      <c r="M15" s="25"/>
      <c r="N15" s="24" t="s">
        <v>64</v>
      </c>
      <c r="O15" s="135">
        <v>45630</v>
      </c>
    </row>
    <row r="16" spans="1:15" s="54" customFormat="1" ht="21.75" hidden="1" customHeight="1" x14ac:dyDescent="0.25">
      <c r="A16" s="150">
        <v>24</v>
      </c>
      <c r="B16" s="50">
        <v>1723</v>
      </c>
      <c r="C16" s="43" t="s">
        <v>65</v>
      </c>
      <c r="D16" s="28">
        <v>529</v>
      </c>
      <c r="E16" s="27">
        <v>0.4</v>
      </c>
      <c r="F16" s="27">
        <f t="shared" si="2"/>
        <v>211.60000000000002</v>
      </c>
      <c r="G16" s="27">
        <f>207.2+4.4</f>
        <v>211.6</v>
      </c>
      <c r="H16" s="27">
        <f t="shared" si="3"/>
        <v>0</v>
      </c>
      <c r="I16" s="25">
        <v>6631224</v>
      </c>
      <c r="J16" s="26" t="s">
        <v>66</v>
      </c>
      <c r="K16" s="25" t="s">
        <v>31</v>
      </c>
      <c r="L16" s="25" t="s">
        <v>32</v>
      </c>
      <c r="M16" s="25">
        <v>92666839</v>
      </c>
      <c r="N16" s="24" t="s">
        <v>47</v>
      </c>
      <c r="O16" s="116">
        <v>45602</v>
      </c>
    </row>
    <row r="17" spans="1:20" s="54" customFormat="1" ht="21.75" hidden="1" customHeight="1" x14ac:dyDescent="0.25">
      <c r="A17" s="150">
        <v>25</v>
      </c>
      <c r="B17" s="50">
        <v>1724</v>
      </c>
      <c r="C17" s="43" t="s">
        <v>67</v>
      </c>
      <c r="D17" s="28">
        <v>460</v>
      </c>
      <c r="E17" s="27">
        <v>0.4</v>
      </c>
      <c r="F17" s="27">
        <f t="shared" si="2"/>
        <v>184</v>
      </c>
      <c r="G17" s="27">
        <f>181.45+2.55</f>
        <v>184</v>
      </c>
      <c r="H17" s="27">
        <f t="shared" si="3"/>
        <v>0</v>
      </c>
      <c r="I17" s="25">
        <v>10795143</v>
      </c>
      <c r="J17" s="117" t="s">
        <v>68</v>
      </c>
      <c r="K17" s="25" t="s">
        <v>26</v>
      </c>
      <c r="L17" s="25" t="s">
        <v>27</v>
      </c>
      <c r="M17" s="25">
        <v>99494166</v>
      </c>
      <c r="N17" s="32" t="s">
        <v>14</v>
      </c>
      <c r="O17" s="116">
        <v>45601</v>
      </c>
    </row>
    <row r="18" spans="1:20" s="54" customFormat="1" ht="21.75" hidden="1" customHeight="1" x14ac:dyDescent="0.25">
      <c r="A18" s="150">
        <v>29</v>
      </c>
      <c r="B18" s="50">
        <v>1755</v>
      </c>
      <c r="C18" s="43" t="s">
        <v>69</v>
      </c>
      <c r="D18" s="28">
        <v>908.4</v>
      </c>
      <c r="E18" s="27">
        <v>0.4</v>
      </c>
      <c r="F18" s="27">
        <f t="shared" ref="F18:F24" si="4">D18*E18</f>
        <v>363.36</v>
      </c>
      <c r="G18" s="27">
        <f>362.5+0.86</f>
        <v>363.36</v>
      </c>
      <c r="H18" s="27">
        <f t="shared" ref="H18:H24" si="5">F18-G18</f>
        <v>0</v>
      </c>
      <c r="I18" s="25">
        <v>10592143</v>
      </c>
      <c r="J18" s="26" t="s">
        <v>70</v>
      </c>
      <c r="K18" s="25" t="s">
        <v>71</v>
      </c>
      <c r="L18" s="25" t="s">
        <v>72</v>
      </c>
      <c r="M18" s="25"/>
      <c r="N18" s="24" t="s">
        <v>73</v>
      </c>
      <c r="O18" s="116">
        <v>45614</v>
      </c>
    </row>
    <row r="19" spans="1:20" s="54" customFormat="1" ht="21.75" hidden="1" customHeight="1" x14ac:dyDescent="0.25">
      <c r="A19" s="150">
        <v>30</v>
      </c>
      <c r="B19" s="50">
        <v>1758</v>
      </c>
      <c r="C19" s="43" t="s">
        <v>74</v>
      </c>
      <c r="D19" s="28">
        <v>842.8</v>
      </c>
      <c r="E19" s="27">
        <v>0.4</v>
      </c>
      <c r="F19" s="27">
        <f t="shared" si="4"/>
        <v>337.12</v>
      </c>
      <c r="G19" s="27">
        <f>169.75+164.9+2.47</f>
        <v>337.12</v>
      </c>
      <c r="H19" s="27">
        <f t="shared" si="5"/>
        <v>0</v>
      </c>
      <c r="I19" s="25">
        <v>2443662</v>
      </c>
      <c r="J19" s="26" t="s">
        <v>75</v>
      </c>
      <c r="K19" s="25" t="s">
        <v>31</v>
      </c>
      <c r="L19" s="25" t="s">
        <v>32</v>
      </c>
      <c r="M19" s="25">
        <v>99608818</v>
      </c>
      <c r="N19" s="75" t="s">
        <v>76</v>
      </c>
    </row>
    <row r="20" spans="1:20" s="86" customFormat="1" ht="21.75" customHeight="1" x14ac:dyDescent="0.25">
      <c r="A20" s="79">
        <v>35</v>
      </c>
      <c r="B20" s="88">
        <v>1787</v>
      </c>
      <c r="C20" s="81" t="s">
        <v>77</v>
      </c>
      <c r="D20" s="82">
        <v>460</v>
      </c>
      <c r="E20" s="83">
        <v>0.4</v>
      </c>
      <c r="F20" s="110">
        <f t="shared" si="4"/>
        <v>184</v>
      </c>
      <c r="G20" s="110">
        <f>181.55+2.45</f>
        <v>184</v>
      </c>
      <c r="H20" s="110">
        <f t="shared" si="5"/>
        <v>0</v>
      </c>
      <c r="I20" s="84">
        <v>22980157</v>
      </c>
      <c r="J20" s="87" t="s">
        <v>78</v>
      </c>
      <c r="K20" s="84" t="s">
        <v>31</v>
      </c>
      <c r="L20" s="84" t="s">
        <v>32</v>
      </c>
      <c r="M20" s="84">
        <v>91490491</v>
      </c>
      <c r="N20" s="89" t="s">
        <v>79</v>
      </c>
    </row>
    <row r="21" spans="1:20" s="86" customFormat="1" ht="21.75" customHeight="1" x14ac:dyDescent="0.25">
      <c r="A21" s="79">
        <v>36</v>
      </c>
      <c r="B21" s="88">
        <v>1791</v>
      </c>
      <c r="C21" s="81" t="s">
        <v>80</v>
      </c>
      <c r="D21" s="82">
        <v>460</v>
      </c>
      <c r="E21" s="83">
        <v>0.4</v>
      </c>
      <c r="F21" s="110">
        <f t="shared" si="4"/>
        <v>184</v>
      </c>
      <c r="G21" s="110">
        <f>177.32+6.68</f>
        <v>184</v>
      </c>
      <c r="H21" s="110">
        <f t="shared" si="5"/>
        <v>0</v>
      </c>
      <c r="I21" s="84">
        <v>5335073</v>
      </c>
      <c r="J21" s="87" t="s">
        <v>81</v>
      </c>
      <c r="K21" s="84" t="s">
        <v>31</v>
      </c>
      <c r="L21" s="84" t="s">
        <v>32</v>
      </c>
      <c r="M21" s="84">
        <v>99806280</v>
      </c>
      <c r="N21" s="89" t="s">
        <v>79</v>
      </c>
    </row>
    <row r="22" spans="1:20" s="54" customFormat="1" ht="21.75" hidden="1" customHeight="1" x14ac:dyDescent="0.25">
      <c r="A22" s="150">
        <v>37</v>
      </c>
      <c r="B22" s="50">
        <v>1794</v>
      </c>
      <c r="C22" s="43" t="s">
        <v>82</v>
      </c>
      <c r="D22" s="28">
        <v>498.2</v>
      </c>
      <c r="E22" s="27">
        <v>0.4</v>
      </c>
      <c r="F22" s="27">
        <f t="shared" si="4"/>
        <v>199.28</v>
      </c>
      <c r="G22" s="27">
        <f>199+0.28</f>
        <v>199.28</v>
      </c>
      <c r="H22" s="27">
        <f t="shared" si="5"/>
        <v>0</v>
      </c>
      <c r="I22" s="25">
        <v>6122928</v>
      </c>
      <c r="J22" s="26" t="s">
        <v>83</v>
      </c>
      <c r="K22" s="25" t="s">
        <v>31</v>
      </c>
      <c r="L22" s="25" t="s">
        <v>32</v>
      </c>
      <c r="M22" s="25"/>
      <c r="N22" s="24" t="s">
        <v>54</v>
      </c>
      <c r="O22" s="116">
        <v>45602</v>
      </c>
    </row>
    <row r="23" spans="1:20" s="54" customFormat="1" ht="21.75" hidden="1" customHeight="1" x14ac:dyDescent="0.25">
      <c r="A23" s="150">
        <v>38</v>
      </c>
      <c r="B23" s="50">
        <v>1798</v>
      </c>
      <c r="C23" s="43" t="s">
        <v>84</v>
      </c>
      <c r="D23" s="28">
        <v>474.8</v>
      </c>
      <c r="E23" s="27">
        <v>0.4</v>
      </c>
      <c r="F23" s="27">
        <f t="shared" si="4"/>
        <v>189.92000000000002</v>
      </c>
      <c r="G23" s="27">
        <f>189.15+0.77</f>
        <v>189.92000000000002</v>
      </c>
      <c r="H23" s="27">
        <f t="shared" si="5"/>
        <v>0</v>
      </c>
      <c r="I23" s="25">
        <v>5314229</v>
      </c>
      <c r="J23" s="59" t="s">
        <v>85</v>
      </c>
      <c r="K23" s="25" t="s">
        <v>52</v>
      </c>
      <c r="L23" s="25" t="s">
        <v>53</v>
      </c>
      <c r="M23" s="25"/>
      <c r="N23" s="24" t="s">
        <v>73</v>
      </c>
      <c r="O23" s="116">
        <v>45623</v>
      </c>
    </row>
    <row r="24" spans="1:20" s="86" customFormat="1" ht="21.75" hidden="1" customHeight="1" x14ac:dyDescent="0.25">
      <c r="A24" s="150">
        <v>39</v>
      </c>
      <c r="B24" s="50">
        <v>1808</v>
      </c>
      <c r="C24" s="43" t="s">
        <v>86</v>
      </c>
      <c r="D24" s="28">
        <v>421</v>
      </c>
      <c r="E24" s="27">
        <v>0.4</v>
      </c>
      <c r="F24" s="27">
        <f t="shared" si="4"/>
        <v>168.4</v>
      </c>
      <c r="G24" s="27">
        <f>168.15+0.25</f>
        <v>168.4</v>
      </c>
      <c r="H24" s="27">
        <f t="shared" si="5"/>
        <v>0</v>
      </c>
      <c r="I24" s="25">
        <v>611136</v>
      </c>
      <c r="J24" s="57" t="s">
        <v>87</v>
      </c>
      <c r="K24" s="25" t="s">
        <v>26</v>
      </c>
      <c r="L24" s="25" t="s">
        <v>27</v>
      </c>
      <c r="M24" s="25"/>
      <c r="N24" s="24" t="s">
        <v>12</v>
      </c>
      <c r="O24" s="116">
        <v>45651</v>
      </c>
      <c r="P24" s="54"/>
      <c r="Q24" s="54"/>
      <c r="R24" s="54"/>
      <c r="S24" s="54"/>
      <c r="T24" s="54"/>
    </row>
    <row r="25" spans="1:20" s="86" customFormat="1" ht="21.75" hidden="1" customHeight="1" x14ac:dyDescent="0.2">
      <c r="A25" s="79">
        <v>43</v>
      </c>
      <c r="B25" s="128">
        <v>1826</v>
      </c>
      <c r="C25" s="129" t="s">
        <v>88</v>
      </c>
      <c r="D25" s="103">
        <v>454.5</v>
      </c>
      <c r="E25" s="104">
        <v>0.4</v>
      </c>
      <c r="F25" s="104">
        <f t="shared" ref="F25:F26" si="6">D25*E25</f>
        <v>181.8</v>
      </c>
      <c r="G25" s="104">
        <f>F25</f>
        <v>181.8</v>
      </c>
      <c r="H25" s="104">
        <f t="shared" ref="H25:H26" si="7">F25-G25</f>
        <v>0</v>
      </c>
      <c r="I25" s="130">
        <v>381215</v>
      </c>
      <c r="J25" s="131" t="s">
        <v>89</v>
      </c>
      <c r="K25" s="130" t="s">
        <v>90</v>
      </c>
      <c r="L25" s="132" t="s">
        <v>32</v>
      </c>
      <c r="M25" s="133">
        <v>95110746</v>
      </c>
      <c r="N25" s="100"/>
      <c r="O25" s="86" t="s">
        <v>91</v>
      </c>
    </row>
    <row r="26" spans="1:20" s="86" customFormat="1" ht="21.75" customHeight="1" x14ac:dyDescent="0.25">
      <c r="A26" s="79">
        <v>45</v>
      </c>
      <c r="B26" s="88">
        <v>3763</v>
      </c>
      <c r="C26" s="84" t="s">
        <v>92</v>
      </c>
      <c r="D26" s="82">
        <v>447.6</v>
      </c>
      <c r="E26" s="83">
        <v>0.4</v>
      </c>
      <c r="F26" s="110">
        <f t="shared" si="6"/>
        <v>179.04000000000002</v>
      </c>
      <c r="G26" s="110">
        <f>178.26+0.78</f>
        <v>179.04</v>
      </c>
      <c r="H26" s="110">
        <f t="shared" si="7"/>
        <v>0</v>
      </c>
      <c r="I26" s="84">
        <v>19189247</v>
      </c>
      <c r="J26" s="87" t="s">
        <v>93</v>
      </c>
      <c r="K26" s="84" t="s">
        <v>31</v>
      </c>
      <c r="L26" s="84" t="s">
        <v>32</v>
      </c>
      <c r="M26" s="84">
        <v>99846685</v>
      </c>
      <c r="N26" s="89" t="s">
        <v>47</v>
      </c>
    </row>
    <row r="27" spans="1:20" x14ac:dyDescent="0.25">
      <c r="A27" s="11"/>
      <c r="B27" s="11"/>
      <c r="C27" s="12"/>
      <c r="D27" s="61">
        <f>SUM(D3:D26)</f>
        <v>15841.4</v>
      </c>
      <c r="E27" s="15"/>
      <c r="F27" s="14">
        <f>SUM(F3:F26)</f>
        <v>6336.5599999999995</v>
      </c>
      <c r="G27" s="14">
        <f>SUM(G3:G26)</f>
        <v>6336.5599999999995</v>
      </c>
      <c r="H27" s="14">
        <f>SUM(H3:H26)</f>
        <v>0</v>
      </c>
      <c r="I27" s="12"/>
      <c r="J27" s="13"/>
      <c r="K27" s="12"/>
      <c r="L27" s="12"/>
      <c r="M27" s="12"/>
      <c r="N27" s="11"/>
      <c r="P27" s="17"/>
    </row>
    <row r="28" spans="1:20" x14ac:dyDescent="0.25">
      <c r="B28" s="6"/>
      <c r="C28" s="8"/>
      <c r="D28" s="5"/>
      <c r="E28" s="15"/>
      <c r="F28" s="7"/>
      <c r="G28" s="7"/>
      <c r="H28" s="7"/>
      <c r="J28" s="6"/>
      <c r="L28" s="5"/>
      <c r="M28" s="5"/>
      <c r="P28" s="17"/>
    </row>
    <row r="29" spans="1:20" x14ac:dyDescent="0.25">
      <c r="B29" s="6"/>
      <c r="C29" s="8"/>
      <c r="D29" s="10" t="s">
        <v>15</v>
      </c>
      <c r="E29" s="10"/>
      <c r="F29" s="6"/>
      <c r="G29" s="6"/>
      <c r="H29" s="6"/>
      <c r="I29" s="7"/>
      <c r="J29" s="6"/>
      <c r="M29" s="5"/>
      <c r="P29" s="17"/>
    </row>
    <row r="30" spans="1:20" x14ac:dyDescent="0.25">
      <c r="K30" s="9"/>
      <c r="L30" s="9"/>
      <c r="P30" s="17"/>
    </row>
    <row r="31" spans="1:20" x14ac:dyDescent="0.25">
      <c r="H31" s="78">
        <f>H27-118.06</f>
        <v>-118.06</v>
      </c>
      <c r="P31" s="17"/>
    </row>
    <row r="32" spans="1:20" x14ac:dyDescent="0.25">
      <c r="G32" s="77">
        <f>G27/F27</f>
        <v>1</v>
      </c>
      <c r="P32" s="17"/>
    </row>
    <row r="33" spans="16:16" x14ac:dyDescent="0.25">
      <c r="P33" s="17"/>
    </row>
    <row r="34" spans="16:16" x14ac:dyDescent="0.25">
      <c r="P34" s="17"/>
    </row>
    <row r="35" spans="16:16" x14ac:dyDescent="0.25">
      <c r="P35" s="17"/>
    </row>
    <row r="36" spans="16:16" x14ac:dyDescent="0.25">
      <c r="P36" s="17"/>
    </row>
    <row r="37" spans="16:16" x14ac:dyDescent="0.25">
      <c r="P37" s="17"/>
    </row>
    <row r="38" spans="16:16" x14ac:dyDescent="0.25">
      <c r="P38" s="17"/>
    </row>
    <row r="39" spans="16:16" x14ac:dyDescent="0.25">
      <c r="P39" s="17"/>
    </row>
    <row r="40" spans="16:16" x14ac:dyDescent="0.25">
      <c r="P40" s="17"/>
    </row>
    <row r="41" spans="16:16" x14ac:dyDescent="0.25">
      <c r="P41" s="17"/>
    </row>
  </sheetData>
  <autoFilter ref="A2:N27" xr:uid="{F6759360-BA50-422E-AA29-753CD04866A3}">
    <filterColumn colId="7">
      <filters>
        <filter val="0.100"/>
        <filter val="0.580"/>
        <filter val="0.780"/>
        <filter val="0.990"/>
        <filter val="15.880"/>
        <filter val="2.450"/>
        <filter val="4.300"/>
        <filter val="6.680"/>
      </filters>
    </filterColumn>
  </autoFilter>
  <mergeCells count="1">
    <mergeCell ref="A1:N1"/>
  </mergeCells>
  <conditionalFormatting sqref="B9">
    <cfRule type="duplicateValues" dxfId="126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5198-ACB6-4B7A-8AEF-AF9F21C53A44}">
  <dimension ref="A1:Z68"/>
  <sheetViews>
    <sheetView view="pageBreakPreview" zoomScaleNormal="100" zoomScaleSheetLayoutView="100" workbookViewId="0">
      <pane xSplit="2" ySplit="1" topLeftCell="D34" activePane="bottomRight" state="frozen"/>
      <selection activeCell="H259" sqref="H259"/>
      <selection pane="topRight" activeCell="H259" sqref="H259"/>
      <selection pane="bottomLeft" activeCell="H259" sqref="H259"/>
      <selection pane="bottomRight" activeCell="E59" sqref="E59"/>
    </sheetView>
  </sheetViews>
  <sheetFormatPr defaultColWidth="9" defaultRowHeight="12" x14ac:dyDescent="0.25"/>
  <cols>
    <col min="1" max="1" width="7.28515625" style="5" customWidth="1"/>
    <col min="2" max="2" width="13" style="5" customWidth="1"/>
    <col min="3" max="3" width="40.28515625" style="6" customWidth="1"/>
    <col min="4" max="4" width="13.42578125" style="8" customWidth="1"/>
    <col min="5" max="5" width="12" style="5" customWidth="1"/>
    <col min="6" max="6" width="21.42578125" style="5" customWidth="1"/>
    <col min="7" max="7" width="13.28515625" style="5" customWidth="1"/>
    <col min="8" max="8" width="15.42578125" style="5" customWidth="1"/>
    <col min="9" max="9" width="11.7109375" style="6" bestFit="1" customWidth="1"/>
    <col min="10" max="10" width="15.85546875" style="7" hidden="1" customWidth="1"/>
    <col min="11" max="11" width="14.85546875" style="6" hidden="1" customWidth="1"/>
    <col min="12" max="12" width="17.42578125" style="6" hidden="1" customWidth="1"/>
    <col min="13" max="13" width="11.28515625" style="6" hidden="1" customWidth="1"/>
    <col min="14" max="14" width="12.5703125" style="5" bestFit="1" customWidth="1"/>
    <col min="15" max="15" width="20.42578125" style="5" bestFit="1" customWidth="1"/>
    <col min="16" max="16" width="10" style="5" bestFit="1" customWidth="1"/>
    <col min="17" max="17" width="9" style="5"/>
    <col min="18" max="18" width="40.28515625" style="6" bestFit="1" customWidth="1"/>
    <col min="19" max="19" width="15.85546875" style="6" customWidth="1"/>
    <col min="20" max="20" width="8.7109375" style="5" bestFit="1" customWidth="1"/>
    <col min="21" max="21" width="8.7109375" style="5" customWidth="1"/>
    <col min="22" max="22" width="14.85546875" style="5" bestFit="1" customWidth="1"/>
    <col min="23" max="23" width="13.140625" style="5" bestFit="1" customWidth="1"/>
    <col min="24" max="24" width="15.140625" style="5" bestFit="1" customWidth="1"/>
    <col min="25" max="25" width="8.140625" style="5" bestFit="1" customWidth="1"/>
    <col min="26" max="16384" width="9" style="5"/>
  </cols>
  <sheetData>
    <row r="1" spans="1:25" ht="34.5" customHeight="1" x14ac:dyDescent="0.25">
      <c r="A1" s="651" t="s">
        <v>94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</row>
    <row r="2" spans="1:25" ht="30" customHeight="1" x14ac:dyDescent="0.25">
      <c r="A2" s="38" t="s">
        <v>1</v>
      </c>
      <c r="B2" s="38" t="s">
        <v>2</v>
      </c>
      <c r="C2" s="39" t="s">
        <v>3</v>
      </c>
      <c r="D2" s="40" t="s">
        <v>4</v>
      </c>
      <c r="E2" s="38" t="s">
        <v>5</v>
      </c>
      <c r="F2" s="38" t="s">
        <v>6</v>
      </c>
      <c r="G2" s="38"/>
      <c r="H2" s="38"/>
      <c r="I2" s="39" t="s">
        <v>9</v>
      </c>
      <c r="J2" s="39" t="s">
        <v>20</v>
      </c>
      <c r="K2" s="39" t="s">
        <v>21</v>
      </c>
      <c r="L2" s="39" t="s">
        <v>22</v>
      </c>
      <c r="M2" s="39" t="s">
        <v>23</v>
      </c>
      <c r="N2" s="38" t="s">
        <v>10</v>
      </c>
      <c r="P2" s="5" t="s">
        <v>2</v>
      </c>
      <c r="R2" s="6" t="s">
        <v>3</v>
      </c>
      <c r="T2" s="5" t="s">
        <v>9</v>
      </c>
      <c r="V2" s="5" t="s">
        <v>20</v>
      </c>
      <c r="X2" s="5" t="s">
        <v>22</v>
      </c>
    </row>
    <row r="3" spans="1:25" ht="21.75" customHeight="1" x14ac:dyDescent="0.25">
      <c r="A3" s="19">
        <v>1</v>
      </c>
      <c r="B3" s="91">
        <v>1001</v>
      </c>
      <c r="C3" s="31" t="s">
        <v>95</v>
      </c>
      <c r="D3" s="119">
        <v>268.89999999999998</v>
      </c>
      <c r="E3" s="15">
        <v>0.4</v>
      </c>
      <c r="F3" s="110">
        <f>D3*E3</f>
        <v>107.56</v>
      </c>
      <c r="G3" s="110">
        <f>F3</f>
        <v>107.56</v>
      </c>
      <c r="H3" s="282">
        <f>F3-G3</f>
        <v>0</v>
      </c>
      <c r="I3" s="20">
        <v>2130934</v>
      </c>
      <c r="J3" s="21" t="s">
        <v>96</v>
      </c>
      <c r="K3" s="20" t="s">
        <v>31</v>
      </c>
      <c r="L3" s="20" t="s">
        <v>32</v>
      </c>
      <c r="M3" s="20">
        <v>92911133</v>
      </c>
      <c r="N3" s="108">
        <v>45544</v>
      </c>
      <c r="O3" s="5" t="s">
        <v>97</v>
      </c>
      <c r="P3" s="5">
        <v>1001</v>
      </c>
      <c r="Q3" s="5" t="b">
        <f t="shared" ref="Q3:Q15" si="0">P3=B3</f>
        <v>1</v>
      </c>
      <c r="R3" s="6" t="s">
        <v>95</v>
      </c>
      <c r="S3" s="6" t="b">
        <f t="shared" ref="S3:S15" si="1">R3=C3</f>
        <v>1</v>
      </c>
      <c r="T3" s="5">
        <v>2130934</v>
      </c>
      <c r="U3" s="5" t="b">
        <f>T3=I3</f>
        <v>1</v>
      </c>
      <c r="V3" s="5" t="s">
        <v>96</v>
      </c>
      <c r="W3" s="5" t="b">
        <f>V3=J3</f>
        <v>1</v>
      </c>
      <c r="X3" s="5" t="s">
        <v>32</v>
      </c>
      <c r="Y3" s="5" t="b">
        <f>X3=L3</f>
        <v>1</v>
      </c>
    </row>
    <row r="4" spans="1:25" ht="21.75" customHeight="1" x14ac:dyDescent="0.25">
      <c r="A4" s="19">
        <v>14</v>
      </c>
      <c r="B4" s="23">
        <v>1122</v>
      </c>
      <c r="C4" s="31" t="s">
        <v>98</v>
      </c>
      <c r="D4" s="22">
        <v>263.8</v>
      </c>
      <c r="E4" s="15">
        <v>0.4</v>
      </c>
      <c r="F4" s="27">
        <f t="shared" ref="F4:F15" si="2">D4*E4</f>
        <v>105.52000000000001</v>
      </c>
      <c r="G4" s="27">
        <f>105.1+0.42</f>
        <v>105.52</v>
      </c>
      <c r="H4" s="27">
        <f t="shared" ref="H4:H15" si="3">F4-G4</f>
        <v>0</v>
      </c>
      <c r="I4" s="20">
        <v>5219876</v>
      </c>
      <c r="J4" s="20" t="s">
        <v>99</v>
      </c>
      <c r="K4" s="20" t="s">
        <v>31</v>
      </c>
      <c r="L4" s="20" t="s">
        <v>32</v>
      </c>
      <c r="M4" s="20">
        <v>99066779</v>
      </c>
      <c r="N4" s="33" t="s">
        <v>100</v>
      </c>
      <c r="O4" s="98">
        <v>45621</v>
      </c>
      <c r="P4" s="5">
        <v>1122</v>
      </c>
      <c r="Q4" s="5" t="b">
        <f t="shared" si="0"/>
        <v>1</v>
      </c>
      <c r="R4" s="6" t="s">
        <v>98</v>
      </c>
      <c r="S4" s="6" t="b">
        <f t="shared" si="1"/>
        <v>1</v>
      </c>
      <c r="T4" s="5">
        <v>5219876</v>
      </c>
      <c r="U4" s="5" t="b">
        <f t="shared" ref="U4:U15" si="4">T4=I4</f>
        <v>1</v>
      </c>
      <c r="V4" s="5" t="s">
        <v>99</v>
      </c>
      <c r="W4" s="5" t="b">
        <f t="shared" ref="W4:W15" si="5">V4=J4</f>
        <v>1</v>
      </c>
      <c r="X4" s="5" t="s">
        <v>32</v>
      </c>
      <c r="Y4" s="5" t="b">
        <f t="shared" ref="Y4:Y15" si="6">X4=L4</f>
        <v>1</v>
      </c>
    </row>
    <row r="5" spans="1:25" ht="21.75" customHeight="1" x14ac:dyDescent="0.25">
      <c r="A5" s="19">
        <v>15</v>
      </c>
      <c r="B5" s="23">
        <v>1135</v>
      </c>
      <c r="C5" s="31" t="s">
        <v>101</v>
      </c>
      <c r="D5" s="22">
        <v>591.70000000000005</v>
      </c>
      <c r="E5" s="15">
        <v>0.4</v>
      </c>
      <c r="F5" s="27">
        <f t="shared" si="2"/>
        <v>236.68000000000004</v>
      </c>
      <c r="G5" s="27">
        <f>235.75+0.93</f>
        <v>236.68</v>
      </c>
      <c r="H5" s="27">
        <f t="shared" si="3"/>
        <v>0</v>
      </c>
      <c r="I5" s="20">
        <v>19202954</v>
      </c>
      <c r="J5" s="21" t="s">
        <v>102</v>
      </c>
      <c r="K5" s="20" t="s">
        <v>52</v>
      </c>
      <c r="L5" s="20" t="s">
        <v>53</v>
      </c>
      <c r="M5" s="20">
        <v>92771786</v>
      </c>
      <c r="N5" s="33" t="s">
        <v>100</v>
      </c>
      <c r="O5" s="98">
        <v>45601</v>
      </c>
      <c r="P5" s="5">
        <v>1135</v>
      </c>
      <c r="Q5" s="5" t="b">
        <f t="shared" si="0"/>
        <v>1</v>
      </c>
      <c r="R5" s="6" t="s">
        <v>101</v>
      </c>
      <c r="S5" s="6" t="b">
        <f t="shared" si="1"/>
        <v>1</v>
      </c>
      <c r="T5" s="5">
        <v>19202954</v>
      </c>
      <c r="U5" s="5" t="b">
        <f t="shared" si="4"/>
        <v>1</v>
      </c>
      <c r="V5" s="5" t="s">
        <v>102</v>
      </c>
      <c r="W5" s="5" t="b">
        <f t="shared" si="5"/>
        <v>1</v>
      </c>
      <c r="X5" s="5" t="s">
        <v>53</v>
      </c>
      <c r="Y5" s="5" t="b">
        <f t="shared" si="6"/>
        <v>1</v>
      </c>
    </row>
    <row r="6" spans="1:25" ht="21.75" customHeight="1" x14ac:dyDescent="0.25">
      <c r="A6" s="19">
        <v>26</v>
      </c>
      <c r="B6" s="23">
        <v>1247</v>
      </c>
      <c r="C6" s="31" t="s">
        <v>103</v>
      </c>
      <c r="D6" s="22">
        <v>528</v>
      </c>
      <c r="E6" s="15">
        <v>0.4</v>
      </c>
      <c r="F6" s="27">
        <f t="shared" si="2"/>
        <v>211.20000000000002</v>
      </c>
      <c r="G6" s="27">
        <f>208.35+2.85</f>
        <v>211.2</v>
      </c>
      <c r="H6" s="27">
        <f t="shared" si="3"/>
        <v>0</v>
      </c>
      <c r="I6" s="20">
        <v>4748561</v>
      </c>
      <c r="J6" s="21" t="s">
        <v>104</v>
      </c>
      <c r="K6" s="20" t="s">
        <v>52</v>
      </c>
      <c r="L6" s="20" t="s">
        <v>53</v>
      </c>
      <c r="M6" s="20">
        <v>92345282</v>
      </c>
      <c r="N6" s="33" t="s">
        <v>100</v>
      </c>
      <c r="O6" s="98">
        <v>45637</v>
      </c>
      <c r="P6" s="5">
        <v>1247</v>
      </c>
      <c r="Q6" s="5" t="b">
        <f t="shared" si="0"/>
        <v>1</v>
      </c>
      <c r="R6" s="6" t="s">
        <v>103</v>
      </c>
      <c r="S6" s="6" t="b">
        <f t="shared" si="1"/>
        <v>1</v>
      </c>
      <c r="T6" s="5">
        <v>4748561</v>
      </c>
      <c r="U6" s="5" t="b">
        <f t="shared" si="4"/>
        <v>1</v>
      </c>
      <c r="V6" s="5" t="s">
        <v>104</v>
      </c>
      <c r="W6" s="5" t="b">
        <f t="shared" si="5"/>
        <v>1</v>
      </c>
      <c r="X6" s="5" t="s">
        <v>53</v>
      </c>
      <c r="Y6" s="5" t="b">
        <f t="shared" si="6"/>
        <v>1</v>
      </c>
    </row>
    <row r="7" spans="1:25" ht="21.75" customHeight="1" x14ac:dyDescent="0.25">
      <c r="A7" s="19">
        <v>28</v>
      </c>
      <c r="B7" s="23">
        <v>1258</v>
      </c>
      <c r="C7" s="31" t="s">
        <v>105</v>
      </c>
      <c r="D7" s="22">
        <v>698.9</v>
      </c>
      <c r="E7" s="15">
        <v>0.4</v>
      </c>
      <c r="F7" s="27">
        <f t="shared" si="2"/>
        <v>279.56</v>
      </c>
      <c r="G7" s="27">
        <f>279.04+0.52</f>
        <v>279.56</v>
      </c>
      <c r="H7" s="27">
        <f t="shared" si="3"/>
        <v>0</v>
      </c>
      <c r="I7" s="20">
        <v>1924174</v>
      </c>
      <c r="J7" s="20" t="s">
        <v>106</v>
      </c>
      <c r="K7" s="20" t="s">
        <v>52</v>
      </c>
      <c r="L7" s="20" t="s">
        <v>53</v>
      </c>
      <c r="M7" s="20">
        <v>99297990</v>
      </c>
      <c r="N7" s="33" t="s">
        <v>100</v>
      </c>
      <c r="O7" s="98">
        <v>45644</v>
      </c>
      <c r="P7" s="5">
        <v>1258</v>
      </c>
      <c r="Q7" s="5" t="b">
        <f t="shared" si="0"/>
        <v>1</v>
      </c>
      <c r="R7" s="6" t="s">
        <v>105</v>
      </c>
      <c r="S7" s="6" t="b">
        <f t="shared" si="1"/>
        <v>1</v>
      </c>
      <c r="T7" s="5">
        <v>1924174</v>
      </c>
      <c r="U7" s="5" t="b">
        <f t="shared" si="4"/>
        <v>1</v>
      </c>
      <c r="V7" s="5" t="s">
        <v>106</v>
      </c>
      <c r="W7" s="5" t="b">
        <f t="shared" si="5"/>
        <v>1</v>
      </c>
      <c r="X7" s="5" t="s">
        <v>53</v>
      </c>
      <c r="Y7" s="5" t="b">
        <f t="shared" si="6"/>
        <v>1</v>
      </c>
    </row>
    <row r="8" spans="1:25" ht="21.75" customHeight="1" x14ac:dyDescent="0.25">
      <c r="A8" s="19">
        <v>30</v>
      </c>
      <c r="B8" s="23">
        <v>1261</v>
      </c>
      <c r="C8" s="20" t="s">
        <v>107</v>
      </c>
      <c r="D8" s="22">
        <v>347.9</v>
      </c>
      <c r="E8" s="15">
        <v>0.4</v>
      </c>
      <c r="F8" s="27">
        <f t="shared" si="2"/>
        <v>139.16</v>
      </c>
      <c r="G8" s="27">
        <f>138.09+1.07</f>
        <v>139.16</v>
      </c>
      <c r="H8" s="27">
        <f t="shared" si="3"/>
        <v>0</v>
      </c>
      <c r="I8" s="25">
        <v>14429332</v>
      </c>
      <c r="J8" s="21" t="s">
        <v>108</v>
      </c>
      <c r="K8" s="20" t="s">
        <v>31</v>
      </c>
      <c r="L8" s="20" t="s">
        <v>32</v>
      </c>
      <c r="M8" s="20">
        <v>92939445</v>
      </c>
      <c r="N8" s="108">
        <v>45588</v>
      </c>
      <c r="O8" s="98">
        <v>45607</v>
      </c>
      <c r="P8" s="5">
        <v>1261</v>
      </c>
      <c r="Q8" s="5" t="b">
        <f t="shared" si="0"/>
        <v>1</v>
      </c>
      <c r="R8" s="6" t="s">
        <v>107</v>
      </c>
      <c r="S8" s="6" t="b">
        <f t="shared" si="1"/>
        <v>1</v>
      </c>
      <c r="T8" s="5">
        <v>14429332</v>
      </c>
      <c r="U8" s="5" t="b">
        <f t="shared" si="4"/>
        <v>1</v>
      </c>
      <c r="V8" s="5" t="s">
        <v>108</v>
      </c>
      <c r="W8" s="5" t="b">
        <f t="shared" si="5"/>
        <v>1</v>
      </c>
      <c r="X8" s="5" t="s">
        <v>32</v>
      </c>
      <c r="Y8" s="5" t="b">
        <f t="shared" si="6"/>
        <v>1</v>
      </c>
    </row>
    <row r="9" spans="1:25" ht="21.75" customHeight="1" x14ac:dyDescent="0.25">
      <c r="A9" s="24">
        <v>31</v>
      </c>
      <c r="B9" s="29">
        <v>1268</v>
      </c>
      <c r="C9" s="43" t="s">
        <v>109</v>
      </c>
      <c r="D9" s="28">
        <v>440</v>
      </c>
      <c r="E9" s="27">
        <v>0.4</v>
      </c>
      <c r="F9" s="27">
        <f t="shared" si="2"/>
        <v>176</v>
      </c>
      <c r="G9" s="27">
        <f>174.58+1.42</f>
        <v>176</v>
      </c>
      <c r="H9" s="27">
        <f t="shared" si="3"/>
        <v>0</v>
      </c>
      <c r="I9" s="25">
        <v>722058</v>
      </c>
      <c r="J9" s="26" t="s">
        <v>110</v>
      </c>
      <c r="K9" s="25" t="s">
        <v>31</v>
      </c>
      <c r="L9" s="25" t="s">
        <v>32</v>
      </c>
      <c r="M9" s="25">
        <v>92848609</v>
      </c>
      <c r="N9" s="108">
        <v>45635</v>
      </c>
      <c r="O9" s="98">
        <v>45573</v>
      </c>
      <c r="P9" s="5">
        <v>1268</v>
      </c>
      <c r="Q9" s="5" t="b">
        <f t="shared" si="0"/>
        <v>1</v>
      </c>
      <c r="R9" s="6" t="s">
        <v>109</v>
      </c>
      <c r="S9" s="6" t="b">
        <f t="shared" si="1"/>
        <v>1</v>
      </c>
      <c r="T9" s="5">
        <v>722058</v>
      </c>
      <c r="U9" s="5" t="b">
        <f t="shared" si="4"/>
        <v>1</v>
      </c>
      <c r="V9" s="5" t="s">
        <v>110</v>
      </c>
      <c r="W9" s="5" t="b">
        <f t="shared" si="5"/>
        <v>1</v>
      </c>
      <c r="X9" s="5" t="s">
        <v>32</v>
      </c>
      <c r="Y9" s="5" t="b">
        <f t="shared" si="6"/>
        <v>1</v>
      </c>
    </row>
    <row r="10" spans="1:25" ht="21.75" customHeight="1" x14ac:dyDescent="0.25">
      <c r="A10" s="100">
        <v>32</v>
      </c>
      <c r="B10" s="101">
        <v>1282</v>
      </c>
      <c r="C10" s="102" t="s">
        <v>111</v>
      </c>
      <c r="D10" s="103">
        <v>588.70000000000005</v>
      </c>
      <c r="E10" s="104">
        <v>0.4</v>
      </c>
      <c r="F10" s="104">
        <f t="shared" si="2"/>
        <v>235.48000000000002</v>
      </c>
      <c r="G10" s="104">
        <f>234.2+1.28</f>
        <v>235.48</v>
      </c>
      <c r="H10" s="104">
        <f t="shared" si="3"/>
        <v>0</v>
      </c>
      <c r="I10" s="105">
        <v>2997747</v>
      </c>
      <c r="J10" s="115" t="s">
        <v>112</v>
      </c>
      <c r="K10" s="105" t="s">
        <v>71</v>
      </c>
      <c r="L10" s="105" t="s">
        <v>72</v>
      </c>
      <c r="M10" s="105">
        <v>92660969</v>
      </c>
      <c r="N10" s="126" t="s">
        <v>113</v>
      </c>
      <c r="O10" s="106" t="s">
        <v>114</v>
      </c>
      <c r="P10" s="5">
        <v>1282</v>
      </c>
      <c r="Q10" s="5" t="b">
        <f t="shared" si="0"/>
        <v>1</v>
      </c>
      <c r="R10" s="6" t="s">
        <v>111</v>
      </c>
      <c r="S10" s="6" t="b">
        <f t="shared" si="1"/>
        <v>1</v>
      </c>
      <c r="T10" s="5">
        <v>2997747</v>
      </c>
      <c r="U10" s="5" t="b">
        <f t="shared" si="4"/>
        <v>1</v>
      </c>
      <c r="V10" s="5" t="s">
        <v>112</v>
      </c>
      <c r="W10" s="5" t="b">
        <f t="shared" si="5"/>
        <v>1</v>
      </c>
      <c r="X10" s="5" t="s">
        <v>72</v>
      </c>
      <c r="Y10" s="5" t="b">
        <f t="shared" si="6"/>
        <v>1</v>
      </c>
    </row>
    <row r="11" spans="1:25" ht="21.75" customHeight="1" x14ac:dyDescent="0.25">
      <c r="A11" s="19">
        <v>33</v>
      </c>
      <c r="B11" s="23">
        <v>1284</v>
      </c>
      <c r="C11" s="31" t="s">
        <v>115</v>
      </c>
      <c r="D11" s="22">
        <v>572</v>
      </c>
      <c r="E11" s="15">
        <v>0.4</v>
      </c>
      <c r="F11" s="27">
        <f t="shared" si="2"/>
        <v>228.8</v>
      </c>
      <c r="G11" s="27">
        <f>227.95+0.85</f>
        <v>228.79999999999998</v>
      </c>
      <c r="H11" s="27">
        <f t="shared" si="3"/>
        <v>0</v>
      </c>
      <c r="I11" s="20">
        <v>1177598</v>
      </c>
      <c r="J11" s="21" t="s">
        <v>116</v>
      </c>
      <c r="K11" s="20" t="s">
        <v>52</v>
      </c>
      <c r="L11" s="20" t="s">
        <v>53</v>
      </c>
      <c r="M11" s="20">
        <v>92825228</v>
      </c>
      <c r="N11" s="33">
        <v>45635</v>
      </c>
      <c r="O11" s="98" t="s">
        <v>15</v>
      </c>
      <c r="P11" s="5">
        <v>1284</v>
      </c>
      <c r="Q11" s="5" t="b">
        <f t="shared" si="0"/>
        <v>1</v>
      </c>
      <c r="R11" s="6" t="s">
        <v>115</v>
      </c>
      <c r="S11" s="6" t="b">
        <f t="shared" si="1"/>
        <v>1</v>
      </c>
      <c r="T11" s="5">
        <v>1177598</v>
      </c>
      <c r="U11" s="5" t="b">
        <f t="shared" si="4"/>
        <v>1</v>
      </c>
      <c r="V11" s="5" t="s">
        <v>116</v>
      </c>
      <c r="W11" s="5" t="b">
        <f t="shared" si="5"/>
        <v>1</v>
      </c>
      <c r="X11" s="5" t="s">
        <v>53</v>
      </c>
      <c r="Y11" s="5" t="b">
        <f t="shared" si="6"/>
        <v>1</v>
      </c>
    </row>
    <row r="12" spans="1:25" ht="21.75" customHeight="1" x14ac:dyDescent="0.25">
      <c r="A12" s="19">
        <v>37</v>
      </c>
      <c r="B12" s="23">
        <v>1328</v>
      </c>
      <c r="C12" s="31" t="s">
        <v>117</v>
      </c>
      <c r="D12" s="22">
        <v>390.9</v>
      </c>
      <c r="E12" s="15">
        <v>0.4</v>
      </c>
      <c r="F12" s="27">
        <f t="shared" si="2"/>
        <v>156.36000000000001</v>
      </c>
      <c r="G12" s="27">
        <f>152.75+3.61</f>
        <v>156.36000000000001</v>
      </c>
      <c r="H12" s="27">
        <f t="shared" si="3"/>
        <v>0</v>
      </c>
      <c r="I12" s="20">
        <v>782833</v>
      </c>
      <c r="J12" s="21" t="s">
        <v>118</v>
      </c>
      <c r="K12" s="20" t="s">
        <v>52</v>
      </c>
      <c r="L12" s="20" t="s">
        <v>53</v>
      </c>
      <c r="M12" s="20">
        <v>92475895</v>
      </c>
      <c r="N12" s="108">
        <v>45575</v>
      </c>
      <c r="O12" s="98">
        <v>45601</v>
      </c>
      <c r="P12" s="5">
        <v>1328</v>
      </c>
      <c r="Q12" s="5" t="b">
        <f t="shared" si="0"/>
        <v>1</v>
      </c>
      <c r="R12" s="6" t="s">
        <v>117</v>
      </c>
      <c r="S12" s="6" t="b">
        <f t="shared" si="1"/>
        <v>1</v>
      </c>
      <c r="T12" s="5">
        <v>782833</v>
      </c>
      <c r="U12" s="5" t="b">
        <f t="shared" si="4"/>
        <v>1</v>
      </c>
      <c r="V12" s="5" t="s">
        <v>118</v>
      </c>
      <c r="W12" s="5" t="b">
        <f t="shared" si="5"/>
        <v>1</v>
      </c>
      <c r="X12" s="5" t="s">
        <v>53</v>
      </c>
      <c r="Y12" s="5" t="b">
        <f t="shared" si="6"/>
        <v>1</v>
      </c>
    </row>
    <row r="13" spans="1:25" ht="21.75" customHeight="1" x14ac:dyDescent="0.25">
      <c r="A13" s="19">
        <v>38</v>
      </c>
      <c r="B13" s="23">
        <v>1330</v>
      </c>
      <c r="C13" s="49" t="s">
        <v>119</v>
      </c>
      <c r="D13" s="22">
        <v>601.6</v>
      </c>
      <c r="E13" s="15">
        <v>0.4</v>
      </c>
      <c r="F13" s="104">
        <f t="shared" si="2"/>
        <v>240.64000000000001</v>
      </c>
      <c r="G13" s="104">
        <f>237.65+2.99</f>
        <v>240.64000000000001</v>
      </c>
      <c r="H13" s="104">
        <f t="shared" si="3"/>
        <v>0</v>
      </c>
      <c r="I13" s="20">
        <v>12194826</v>
      </c>
      <c r="J13" s="21" t="s">
        <v>120</v>
      </c>
      <c r="K13" s="20" t="s">
        <v>121</v>
      </c>
      <c r="L13" s="20" t="s">
        <v>122</v>
      </c>
      <c r="M13" s="20">
        <v>91299100</v>
      </c>
      <c r="N13" s="108">
        <v>45567</v>
      </c>
      <c r="O13" s="98">
        <v>45686</v>
      </c>
      <c r="P13" s="5">
        <v>1330</v>
      </c>
      <c r="Q13" s="5" t="b">
        <f t="shared" si="0"/>
        <v>1</v>
      </c>
      <c r="R13" s="6" t="s">
        <v>119</v>
      </c>
      <c r="S13" s="6" t="b">
        <f t="shared" si="1"/>
        <v>1</v>
      </c>
      <c r="T13" s="5">
        <v>12194826</v>
      </c>
      <c r="U13" s="5" t="b">
        <f t="shared" si="4"/>
        <v>1</v>
      </c>
      <c r="V13" s="5" t="s">
        <v>120</v>
      </c>
      <c r="W13" s="5" t="b">
        <f t="shared" si="5"/>
        <v>1</v>
      </c>
      <c r="X13" s="5" t="s">
        <v>122</v>
      </c>
      <c r="Y13" s="5" t="b">
        <f t="shared" si="6"/>
        <v>1</v>
      </c>
    </row>
    <row r="14" spans="1:25" ht="21.75" customHeight="1" x14ac:dyDescent="0.25">
      <c r="A14" s="19">
        <v>48</v>
      </c>
      <c r="B14" s="23">
        <v>1396</v>
      </c>
      <c r="C14" s="31" t="s">
        <v>123</v>
      </c>
      <c r="D14" s="22">
        <v>386.6</v>
      </c>
      <c r="E14" s="15">
        <v>0.4</v>
      </c>
      <c r="F14" s="27">
        <f t="shared" si="2"/>
        <v>154.64000000000001</v>
      </c>
      <c r="G14" s="27">
        <f>152.54+2.1</f>
        <v>154.63999999999999</v>
      </c>
      <c r="H14" s="27">
        <f t="shared" si="3"/>
        <v>0</v>
      </c>
      <c r="I14" s="20">
        <v>905845</v>
      </c>
      <c r="J14" s="21" t="s">
        <v>124</v>
      </c>
      <c r="K14" s="20" t="s">
        <v>31</v>
      </c>
      <c r="L14" s="20" t="s">
        <v>32</v>
      </c>
      <c r="M14" s="20">
        <v>99696204</v>
      </c>
      <c r="N14" s="108">
        <v>45567</v>
      </c>
      <c r="O14" s="98">
        <v>45628</v>
      </c>
      <c r="P14" s="5">
        <v>1396</v>
      </c>
      <c r="Q14" s="5" t="b">
        <f t="shared" si="0"/>
        <v>1</v>
      </c>
      <c r="R14" s="6" t="s">
        <v>123</v>
      </c>
      <c r="S14" s="6" t="b">
        <f t="shared" si="1"/>
        <v>1</v>
      </c>
      <c r="T14" s="5">
        <v>905845</v>
      </c>
      <c r="U14" s="5" t="b">
        <f t="shared" si="4"/>
        <v>1</v>
      </c>
      <c r="V14" s="5" t="s">
        <v>124</v>
      </c>
      <c r="W14" s="5" t="b">
        <f t="shared" si="5"/>
        <v>1</v>
      </c>
      <c r="X14" s="5" t="s">
        <v>32</v>
      </c>
      <c r="Y14" s="5" t="b">
        <f t="shared" si="6"/>
        <v>1</v>
      </c>
    </row>
    <row r="15" spans="1:25" ht="21.75" customHeight="1" x14ac:dyDescent="0.25">
      <c r="A15" s="19">
        <v>49</v>
      </c>
      <c r="B15" s="23">
        <v>1397</v>
      </c>
      <c r="C15" s="31" t="s">
        <v>125</v>
      </c>
      <c r="D15" s="22">
        <v>327.2</v>
      </c>
      <c r="E15" s="15">
        <v>0.4</v>
      </c>
      <c r="F15" s="27">
        <f t="shared" si="2"/>
        <v>130.88</v>
      </c>
      <c r="G15" s="27">
        <f>128.65+2.23</f>
        <v>130.88</v>
      </c>
      <c r="H15" s="27">
        <f t="shared" si="3"/>
        <v>0</v>
      </c>
      <c r="I15" s="20">
        <v>1292885</v>
      </c>
      <c r="J15" s="21" t="s">
        <v>126</v>
      </c>
      <c r="K15" s="20" t="s">
        <v>127</v>
      </c>
      <c r="L15" s="20" t="s">
        <v>128</v>
      </c>
      <c r="M15" s="20">
        <v>92307552</v>
      </c>
      <c r="N15" s="33" t="s">
        <v>73</v>
      </c>
      <c r="O15" s="98">
        <v>45656</v>
      </c>
      <c r="P15" s="5">
        <v>1397</v>
      </c>
      <c r="Q15" s="5" t="b">
        <f t="shared" si="0"/>
        <v>1</v>
      </c>
      <c r="R15" s="6" t="s">
        <v>125</v>
      </c>
      <c r="S15" s="6" t="b">
        <f t="shared" si="1"/>
        <v>1</v>
      </c>
      <c r="T15" s="5">
        <v>1292885</v>
      </c>
      <c r="U15" s="5" t="b">
        <f t="shared" si="4"/>
        <v>1</v>
      </c>
      <c r="V15" s="5" t="s">
        <v>126</v>
      </c>
      <c r="W15" s="5" t="b">
        <f t="shared" si="5"/>
        <v>1</v>
      </c>
      <c r="X15" s="5" t="s">
        <v>128</v>
      </c>
      <c r="Y15" s="5" t="b">
        <f t="shared" si="6"/>
        <v>1</v>
      </c>
    </row>
    <row r="16" spans="1:25" ht="21.75" customHeight="1" x14ac:dyDescent="0.25">
      <c r="A16" s="19">
        <v>66</v>
      </c>
      <c r="B16" s="23">
        <v>1421</v>
      </c>
      <c r="C16" s="31" t="s">
        <v>129</v>
      </c>
      <c r="D16" s="22">
        <v>638</v>
      </c>
      <c r="E16" s="15">
        <v>0.4</v>
      </c>
      <c r="F16" s="110">
        <f t="shared" ref="F16:F32" si="7">D16*E16</f>
        <v>255.20000000000002</v>
      </c>
      <c r="G16" s="110">
        <f>252.8+2.4</f>
        <v>255.20000000000002</v>
      </c>
      <c r="H16" s="110">
        <f t="shared" ref="H16:H32" si="8">F16-G16</f>
        <v>0</v>
      </c>
      <c r="I16" s="20">
        <v>15314262</v>
      </c>
      <c r="J16" s="21" t="s">
        <v>130</v>
      </c>
      <c r="K16" s="20" t="s">
        <v>31</v>
      </c>
      <c r="L16" s="20" t="s">
        <v>32</v>
      </c>
      <c r="M16" s="20">
        <v>90333361</v>
      </c>
      <c r="N16" s="33" t="s">
        <v>73</v>
      </c>
      <c r="P16" s="5">
        <v>1421</v>
      </c>
      <c r="Q16" s="5" t="b">
        <f t="shared" ref="Q16:Q32" si="9">P16=B16</f>
        <v>1</v>
      </c>
      <c r="R16" s="6" t="s">
        <v>129</v>
      </c>
      <c r="S16" s="6" t="b">
        <f t="shared" ref="S16:S32" si="10">R16=C16</f>
        <v>1</v>
      </c>
      <c r="T16" s="5">
        <v>15314262</v>
      </c>
      <c r="U16" s="5" t="b">
        <f t="shared" ref="U16:U32" si="11">T16=I16</f>
        <v>1</v>
      </c>
      <c r="V16" s="5" t="s">
        <v>130</v>
      </c>
      <c r="W16" s="5" t="b">
        <f t="shared" ref="W16:W32" si="12">V16=J16</f>
        <v>1</v>
      </c>
      <c r="X16" s="5" t="s">
        <v>32</v>
      </c>
      <c r="Y16" s="5" t="b">
        <f t="shared" ref="Y16:Y32" si="13">X16=L16</f>
        <v>1</v>
      </c>
    </row>
    <row r="17" spans="1:25" ht="21.75" customHeight="1" x14ac:dyDescent="0.25">
      <c r="A17" s="19">
        <v>67</v>
      </c>
      <c r="B17" s="23">
        <v>1423</v>
      </c>
      <c r="C17" s="31" t="s">
        <v>131</v>
      </c>
      <c r="D17" s="22">
        <v>593.20000000000005</v>
      </c>
      <c r="E17" s="15">
        <v>0.4</v>
      </c>
      <c r="F17" s="27">
        <f t="shared" si="7"/>
        <v>237.28000000000003</v>
      </c>
      <c r="G17" s="27">
        <f>232.8+4.48</f>
        <v>237.28</v>
      </c>
      <c r="H17" s="27">
        <f t="shared" si="8"/>
        <v>0</v>
      </c>
      <c r="I17" s="20">
        <v>5044397</v>
      </c>
      <c r="J17" s="21" t="s">
        <v>132</v>
      </c>
      <c r="K17" s="20" t="s">
        <v>31</v>
      </c>
      <c r="L17" s="20" t="s">
        <v>32</v>
      </c>
      <c r="M17" s="20">
        <v>99580550</v>
      </c>
      <c r="N17" s="33" t="s">
        <v>133</v>
      </c>
      <c r="O17" s="98">
        <v>45677</v>
      </c>
      <c r="P17" s="5">
        <v>1423</v>
      </c>
      <c r="Q17" s="5" t="b">
        <f t="shared" si="9"/>
        <v>1</v>
      </c>
      <c r="R17" s="6" t="s">
        <v>131</v>
      </c>
      <c r="S17" s="6" t="b">
        <f t="shared" si="10"/>
        <v>1</v>
      </c>
      <c r="T17" s="5">
        <v>5044397</v>
      </c>
      <c r="U17" s="5" t="b">
        <f t="shared" si="11"/>
        <v>1</v>
      </c>
      <c r="V17" s="5" t="s">
        <v>132</v>
      </c>
      <c r="W17" s="5" t="b">
        <f t="shared" si="12"/>
        <v>1</v>
      </c>
      <c r="X17" s="5" t="s">
        <v>32</v>
      </c>
      <c r="Y17" s="5" t="b">
        <f t="shared" si="13"/>
        <v>1</v>
      </c>
    </row>
    <row r="18" spans="1:25" ht="21.75" customHeight="1" x14ac:dyDescent="0.25">
      <c r="A18" s="19">
        <v>70</v>
      </c>
      <c r="B18" s="23">
        <v>1427</v>
      </c>
      <c r="C18" s="31" t="s">
        <v>134</v>
      </c>
      <c r="D18" s="22">
        <v>305.10000000000002</v>
      </c>
      <c r="E18" s="15">
        <v>0.4</v>
      </c>
      <c r="F18" s="27">
        <f t="shared" si="7"/>
        <v>122.04000000000002</v>
      </c>
      <c r="G18" s="27">
        <f>118.99+3.05</f>
        <v>122.03999999999999</v>
      </c>
      <c r="H18" s="27">
        <f t="shared" si="8"/>
        <v>0</v>
      </c>
      <c r="I18" s="20">
        <v>24171637</v>
      </c>
      <c r="J18" s="21" t="s">
        <v>135</v>
      </c>
      <c r="K18" s="20" t="s">
        <v>31</v>
      </c>
      <c r="L18" s="20" t="s">
        <v>32</v>
      </c>
      <c r="M18" s="20">
        <v>97030409</v>
      </c>
      <c r="N18" s="108">
        <v>45635</v>
      </c>
      <c r="O18" s="98">
        <v>45665</v>
      </c>
      <c r="P18" s="5">
        <v>1427</v>
      </c>
      <c r="Q18" s="5" t="b">
        <f t="shared" si="9"/>
        <v>1</v>
      </c>
      <c r="R18" s="6" t="s">
        <v>134</v>
      </c>
      <c r="S18" s="6" t="b">
        <f t="shared" si="10"/>
        <v>1</v>
      </c>
      <c r="T18" s="5">
        <v>24171637</v>
      </c>
      <c r="U18" s="5" t="b">
        <f t="shared" si="11"/>
        <v>1</v>
      </c>
      <c r="V18" s="5" t="s">
        <v>135</v>
      </c>
      <c r="W18" s="5" t="b">
        <f t="shared" si="12"/>
        <v>1</v>
      </c>
      <c r="X18" s="5" t="s">
        <v>32</v>
      </c>
      <c r="Y18" s="5" t="b">
        <f t="shared" si="13"/>
        <v>1</v>
      </c>
    </row>
    <row r="19" spans="1:25" ht="21.75" customHeight="1" x14ac:dyDescent="0.25">
      <c r="A19" s="19">
        <v>72</v>
      </c>
      <c r="B19" s="23">
        <v>1430</v>
      </c>
      <c r="C19" s="31" t="s">
        <v>136</v>
      </c>
      <c r="D19" s="22">
        <v>308</v>
      </c>
      <c r="E19" s="15">
        <v>0.4</v>
      </c>
      <c r="F19" s="27">
        <f t="shared" si="7"/>
        <v>123.2</v>
      </c>
      <c r="G19" s="27">
        <f>122.04+1.16</f>
        <v>123.2</v>
      </c>
      <c r="H19" s="27">
        <f t="shared" si="8"/>
        <v>0</v>
      </c>
      <c r="I19" s="20">
        <v>564698</v>
      </c>
      <c r="J19" s="21" t="s">
        <v>137</v>
      </c>
      <c r="K19" s="20" t="s">
        <v>31</v>
      </c>
      <c r="L19" s="20" t="s">
        <v>32</v>
      </c>
      <c r="M19" s="20">
        <v>99189793</v>
      </c>
      <c r="N19" s="33" t="s">
        <v>100</v>
      </c>
      <c r="O19" s="98">
        <v>45600</v>
      </c>
      <c r="P19" s="5">
        <v>1430</v>
      </c>
      <c r="Q19" s="5" t="b">
        <f t="shared" si="9"/>
        <v>1</v>
      </c>
      <c r="R19" s="6" t="s">
        <v>136</v>
      </c>
      <c r="S19" s="6" t="b">
        <f t="shared" si="10"/>
        <v>1</v>
      </c>
      <c r="T19" s="5">
        <v>564698</v>
      </c>
      <c r="U19" s="5" t="b">
        <f t="shared" si="11"/>
        <v>1</v>
      </c>
      <c r="V19" s="5" t="s">
        <v>137</v>
      </c>
      <c r="W19" s="5" t="b">
        <f t="shared" si="12"/>
        <v>1</v>
      </c>
      <c r="X19" s="5" t="s">
        <v>32</v>
      </c>
      <c r="Y19" s="5" t="b">
        <f t="shared" si="13"/>
        <v>1</v>
      </c>
    </row>
    <row r="20" spans="1:25" ht="21.75" customHeight="1" x14ac:dyDescent="0.25">
      <c r="A20" s="19">
        <v>75</v>
      </c>
      <c r="B20" s="35">
        <v>1434</v>
      </c>
      <c r="C20" s="31" t="s">
        <v>138</v>
      </c>
      <c r="D20" s="22">
        <v>336.1</v>
      </c>
      <c r="E20" s="15">
        <v>0.4</v>
      </c>
      <c r="F20" s="27">
        <f t="shared" si="7"/>
        <v>134.44000000000003</v>
      </c>
      <c r="G20" s="27">
        <f>131.06+3.38</f>
        <v>134.44</v>
      </c>
      <c r="H20" s="27">
        <f t="shared" si="8"/>
        <v>0</v>
      </c>
      <c r="I20" s="20">
        <v>19197503</v>
      </c>
      <c r="J20" s="21" t="s">
        <v>139</v>
      </c>
      <c r="K20" s="20" t="s">
        <v>31</v>
      </c>
      <c r="L20" s="20" t="s">
        <v>32</v>
      </c>
      <c r="M20" s="20">
        <v>92466605</v>
      </c>
      <c r="N20" s="33" t="s">
        <v>140</v>
      </c>
      <c r="O20" s="98">
        <v>45614</v>
      </c>
      <c r="P20" s="5">
        <v>1434</v>
      </c>
      <c r="Q20" s="5" t="b">
        <f t="shared" si="9"/>
        <v>1</v>
      </c>
      <c r="R20" s="6" t="s">
        <v>138</v>
      </c>
      <c r="S20" s="6" t="b">
        <f t="shared" si="10"/>
        <v>1</v>
      </c>
      <c r="T20" s="5">
        <v>19197503</v>
      </c>
      <c r="U20" s="5" t="b">
        <f t="shared" si="11"/>
        <v>1</v>
      </c>
      <c r="V20" s="5" t="s">
        <v>139</v>
      </c>
      <c r="W20" s="5" t="b">
        <f t="shared" si="12"/>
        <v>1</v>
      </c>
      <c r="X20" s="5" t="s">
        <v>32</v>
      </c>
      <c r="Y20" s="5" t="b">
        <f t="shared" si="13"/>
        <v>1</v>
      </c>
    </row>
    <row r="21" spans="1:25" ht="21.75" customHeight="1" x14ac:dyDescent="0.25">
      <c r="A21" s="19">
        <v>76</v>
      </c>
      <c r="B21" s="35">
        <v>1435</v>
      </c>
      <c r="C21" s="31" t="s">
        <v>45</v>
      </c>
      <c r="D21" s="22">
        <v>968</v>
      </c>
      <c r="E21" s="15">
        <v>0.4</v>
      </c>
      <c r="F21" s="27">
        <f t="shared" si="7"/>
        <v>387.20000000000005</v>
      </c>
      <c r="G21" s="27">
        <f>383.15+4.05</f>
        <v>387.2</v>
      </c>
      <c r="H21" s="27">
        <f t="shared" si="8"/>
        <v>0</v>
      </c>
      <c r="I21" s="20">
        <v>1305522</v>
      </c>
      <c r="J21" s="21" t="s">
        <v>46</v>
      </c>
      <c r="K21" s="20" t="s">
        <v>31</v>
      </c>
      <c r="L21" s="20" t="s">
        <v>32</v>
      </c>
      <c r="M21" s="20">
        <v>93246263</v>
      </c>
      <c r="N21" s="33" t="s">
        <v>141</v>
      </c>
      <c r="O21" s="5" t="s">
        <v>142</v>
      </c>
      <c r="P21" s="5">
        <v>1435</v>
      </c>
      <c r="Q21" s="5" t="b">
        <f t="shared" si="9"/>
        <v>1</v>
      </c>
      <c r="R21" s="6" t="s">
        <v>45</v>
      </c>
      <c r="S21" s="6" t="b">
        <f t="shared" si="10"/>
        <v>1</v>
      </c>
      <c r="T21" s="5">
        <v>1305522</v>
      </c>
      <c r="U21" s="5" t="b">
        <f t="shared" si="11"/>
        <v>1</v>
      </c>
      <c r="V21" s="5" t="s">
        <v>46</v>
      </c>
      <c r="W21" s="5" t="b">
        <f t="shared" si="12"/>
        <v>1</v>
      </c>
      <c r="X21" s="5" t="s">
        <v>32</v>
      </c>
      <c r="Y21" s="5" t="b">
        <f t="shared" si="13"/>
        <v>1</v>
      </c>
    </row>
    <row r="22" spans="1:25" ht="21.75" customHeight="1" x14ac:dyDescent="0.25">
      <c r="A22" s="19">
        <v>77</v>
      </c>
      <c r="B22" s="35">
        <v>1437</v>
      </c>
      <c r="C22" s="31" t="s">
        <v>143</v>
      </c>
      <c r="D22" s="22">
        <v>638</v>
      </c>
      <c r="E22" s="15">
        <v>0.4</v>
      </c>
      <c r="F22" s="27">
        <f t="shared" si="7"/>
        <v>255.20000000000002</v>
      </c>
      <c r="G22" s="27">
        <f>254.5+0.7</f>
        <v>255.2</v>
      </c>
      <c r="H22" s="27">
        <f t="shared" si="8"/>
        <v>0</v>
      </c>
      <c r="I22" s="20">
        <v>9685144</v>
      </c>
      <c r="J22" s="21" t="s">
        <v>144</v>
      </c>
      <c r="K22" s="20" t="s">
        <v>127</v>
      </c>
      <c r="L22" s="20" t="s">
        <v>128</v>
      </c>
      <c r="M22" s="20">
        <v>96907302</v>
      </c>
      <c r="N22" s="108">
        <v>45544</v>
      </c>
      <c r="O22" s="98">
        <v>45614</v>
      </c>
      <c r="P22" s="5">
        <v>1437</v>
      </c>
      <c r="Q22" s="5" t="b">
        <f t="shared" si="9"/>
        <v>1</v>
      </c>
      <c r="R22" s="6" t="s">
        <v>143</v>
      </c>
      <c r="S22" s="6" t="b">
        <f t="shared" si="10"/>
        <v>1</v>
      </c>
      <c r="T22" s="5">
        <v>9685144</v>
      </c>
      <c r="U22" s="5" t="b">
        <f t="shared" si="11"/>
        <v>1</v>
      </c>
      <c r="V22" s="5" t="s">
        <v>144</v>
      </c>
      <c r="W22" s="5" t="b">
        <f t="shared" si="12"/>
        <v>1</v>
      </c>
      <c r="X22" s="5" t="s">
        <v>128</v>
      </c>
      <c r="Y22" s="5" t="b">
        <f t="shared" si="13"/>
        <v>1</v>
      </c>
    </row>
    <row r="23" spans="1:25" ht="21.75" customHeight="1" x14ac:dyDescent="0.25">
      <c r="A23" s="19">
        <v>78</v>
      </c>
      <c r="B23" s="23">
        <v>1438</v>
      </c>
      <c r="C23" s="31" t="s">
        <v>145</v>
      </c>
      <c r="D23" s="22">
        <v>968</v>
      </c>
      <c r="E23" s="15">
        <v>0.4</v>
      </c>
      <c r="F23" s="27">
        <f t="shared" si="7"/>
        <v>387.20000000000005</v>
      </c>
      <c r="G23" s="27">
        <f>383.15+4.05</f>
        <v>387.2</v>
      </c>
      <c r="H23" s="27">
        <f t="shared" si="8"/>
        <v>0</v>
      </c>
      <c r="I23" s="20">
        <v>656621</v>
      </c>
      <c r="J23" s="21" t="s">
        <v>146</v>
      </c>
      <c r="K23" s="20" t="s">
        <v>26</v>
      </c>
      <c r="L23" s="20" t="s">
        <v>27</v>
      </c>
      <c r="M23" s="20">
        <v>92509804</v>
      </c>
      <c r="N23" s="108">
        <v>45581</v>
      </c>
      <c r="O23" s="98">
        <v>45637</v>
      </c>
      <c r="P23" s="5">
        <v>1438</v>
      </c>
      <c r="Q23" s="5" t="b">
        <f t="shared" si="9"/>
        <v>1</v>
      </c>
      <c r="R23" s="6" t="s">
        <v>145</v>
      </c>
      <c r="S23" s="6" t="b">
        <f t="shared" si="10"/>
        <v>1</v>
      </c>
      <c r="T23" s="5">
        <v>656621</v>
      </c>
      <c r="U23" s="5" t="b">
        <f t="shared" si="11"/>
        <v>1</v>
      </c>
      <c r="V23" s="5" t="s">
        <v>146</v>
      </c>
      <c r="W23" s="5" t="b">
        <f t="shared" si="12"/>
        <v>1</v>
      </c>
      <c r="X23" s="5" t="s">
        <v>27</v>
      </c>
      <c r="Y23" s="5" t="b">
        <f t="shared" si="13"/>
        <v>1</v>
      </c>
    </row>
    <row r="24" spans="1:25" ht="21.75" customHeight="1" x14ac:dyDescent="0.2">
      <c r="A24" s="19">
        <v>82</v>
      </c>
      <c r="B24" s="62">
        <v>1448</v>
      </c>
      <c r="C24" s="31" t="s">
        <v>147</v>
      </c>
      <c r="D24" s="22">
        <v>270.7</v>
      </c>
      <c r="E24" s="15">
        <v>0.4</v>
      </c>
      <c r="F24" s="27">
        <f t="shared" si="7"/>
        <v>108.28</v>
      </c>
      <c r="G24" s="27">
        <f>107.86+0.42</f>
        <v>108.28</v>
      </c>
      <c r="H24" s="27">
        <f t="shared" si="8"/>
        <v>0</v>
      </c>
      <c r="I24" s="46">
        <v>26433121</v>
      </c>
      <c r="J24" s="46" t="s">
        <v>148</v>
      </c>
      <c r="K24" s="46" t="s">
        <v>31</v>
      </c>
      <c r="L24" s="20" t="s">
        <v>32</v>
      </c>
      <c r="M24" s="46">
        <v>93229244</v>
      </c>
      <c r="N24" s="120">
        <v>45635</v>
      </c>
      <c r="O24" s="98">
        <v>45656</v>
      </c>
      <c r="P24" s="5">
        <v>1448</v>
      </c>
      <c r="Q24" s="5" t="b">
        <f t="shared" si="9"/>
        <v>1</v>
      </c>
      <c r="R24" s="6" t="s">
        <v>147</v>
      </c>
      <c r="S24" s="6" t="b">
        <f t="shared" si="10"/>
        <v>1</v>
      </c>
      <c r="T24" s="5">
        <v>26433121</v>
      </c>
      <c r="U24" s="5" t="b">
        <f t="shared" si="11"/>
        <v>1</v>
      </c>
      <c r="V24" s="5" t="s">
        <v>148</v>
      </c>
      <c r="W24" s="5" t="b">
        <f t="shared" si="12"/>
        <v>1</v>
      </c>
      <c r="X24" s="5" t="s">
        <v>32</v>
      </c>
      <c r="Y24" s="5" t="b">
        <f t="shared" si="13"/>
        <v>1</v>
      </c>
    </row>
    <row r="25" spans="1:25" ht="21.75" customHeight="1" x14ac:dyDescent="0.25">
      <c r="A25" s="19">
        <v>90</v>
      </c>
      <c r="B25" s="23">
        <v>1468</v>
      </c>
      <c r="C25" s="34" t="s">
        <v>149</v>
      </c>
      <c r="D25" s="22">
        <v>655.7</v>
      </c>
      <c r="E25" s="15">
        <v>0.4</v>
      </c>
      <c r="F25" s="27">
        <f t="shared" si="7"/>
        <v>262.28000000000003</v>
      </c>
      <c r="G25" s="27">
        <f>258.14+4.14</f>
        <v>262.27999999999997</v>
      </c>
      <c r="H25" s="27">
        <f t="shared" si="8"/>
        <v>0</v>
      </c>
      <c r="I25" s="20">
        <v>6996485</v>
      </c>
      <c r="J25" s="21" t="s">
        <v>150</v>
      </c>
      <c r="K25" s="20" t="s">
        <v>31</v>
      </c>
      <c r="L25" s="20" t="s">
        <v>32</v>
      </c>
      <c r="M25" s="20">
        <v>92947741</v>
      </c>
      <c r="N25" s="19" t="s">
        <v>133</v>
      </c>
      <c r="O25" s="98">
        <v>45642</v>
      </c>
      <c r="P25" s="54">
        <v>1468</v>
      </c>
      <c r="Q25" s="5" t="b">
        <f t="shared" si="9"/>
        <v>1</v>
      </c>
      <c r="R25" s="6" t="s">
        <v>149</v>
      </c>
      <c r="S25" s="6" t="b">
        <f t="shared" si="10"/>
        <v>1</v>
      </c>
      <c r="T25" s="5">
        <v>6996485</v>
      </c>
      <c r="U25" s="5" t="b">
        <f t="shared" si="11"/>
        <v>1</v>
      </c>
      <c r="V25" s="5" t="s">
        <v>150</v>
      </c>
      <c r="W25" s="5" t="b">
        <f t="shared" si="12"/>
        <v>1</v>
      </c>
      <c r="X25" s="5" t="s">
        <v>32</v>
      </c>
      <c r="Y25" s="5" t="b">
        <f t="shared" si="13"/>
        <v>1</v>
      </c>
    </row>
    <row r="26" spans="1:25" ht="21.75" customHeight="1" x14ac:dyDescent="0.25">
      <c r="A26" s="19">
        <v>93</v>
      </c>
      <c r="B26" s="23">
        <v>1475</v>
      </c>
      <c r="C26" s="34" t="s">
        <v>151</v>
      </c>
      <c r="D26" s="22">
        <v>330.1</v>
      </c>
      <c r="E26" s="15">
        <v>0.4</v>
      </c>
      <c r="F26" s="27">
        <f t="shared" si="7"/>
        <v>132.04000000000002</v>
      </c>
      <c r="G26" s="27">
        <f>130.82+1.22</f>
        <v>132.04</v>
      </c>
      <c r="H26" s="27">
        <f t="shared" si="8"/>
        <v>0</v>
      </c>
      <c r="I26" s="20">
        <v>4584011</v>
      </c>
      <c r="J26" s="21" t="s">
        <v>152</v>
      </c>
      <c r="K26" s="20" t="s">
        <v>31</v>
      </c>
      <c r="L26" s="20" t="s">
        <v>32</v>
      </c>
      <c r="M26" s="20">
        <v>98822862</v>
      </c>
      <c r="N26" s="19" t="s">
        <v>133</v>
      </c>
      <c r="O26" s="118">
        <v>45684</v>
      </c>
      <c r="P26" s="54">
        <v>1475</v>
      </c>
      <c r="Q26" s="5" t="b">
        <f t="shared" si="9"/>
        <v>1</v>
      </c>
      <c r="R26" s="6" t="s">
        <v>151</v>
      </c>
      <c r="S26" s="6" t="b">
        <f t="shared" si="10"/>
        <v>1</v>
      </c>
      <c r="T26" s="5">
        <v>4584011</v>
      </c>
      <c r="U26" s="5" t="b">
        <f t="shared" si="11"/>
        <v>1</v>
      </c>
      <c r="V26" s="5" t="s">
        <v>152</v>
      </c>
      <c r="W26" s="5" t="b">
        <f t="shared" si="12"/>
        <v>1</v>
      </c>
      <c r="X26" s="5" t="s">
        <v>32</v>
      </c>
      <c r="Y26" s="5" t="b">
        <f t="shared" si="13"/>
        <v>1</v>
      </c>
    </row>
    <row r="27" spans="1:25" s="17" customFormat="1" ht="21.75" customHeight="1" x14ac:dyDescent="0.25">
      <c r="A27" s="19">
        <v>103</v>
      </c>
      <c r="B27" s="23">
        <v>1706</v>
      </c>
      <c r="C27" s="31" t="s">
        <v>153</v>
      </c>
      <c r="D27" s="22">
        <v>302.60000000000002</v>
      </c>
      <c r="E27" s="15">
        <v>0.4</v>
      </c>
      <c r="F27" s="27">
        <f t="shared" si="7"/>
        <v>121.04000000000002</v>
      </c>
      <c r="G27" s="27">
        <f>118.25+2.79</f>
        <v>121.04</v>
      </c>
      <c r="H27" s="27">
        <f t="shared" si="8"/>
        <v>0</v>
      </c>
      <c r="I27" s="20">
        <v>2520947</v>
      </c>
      <c r="J27" s="30" t="s">
        <v>154</v>
      </c>
      <c r="K27" s="20" t="s">
        <v>155</v>
      </c>
      <c r="L27" s="30" t="s">
        <v>156</v>
      </c>
      <c r="M27" s="20">
        <v>92246641</v>
      </c>
      <c r="N27" s="19" t="s">
        <v>73</v>
      </c>
      <c r="O27" s="118">
        <v>45573</v>
      </c>
      <c r="P27" s="17">
        <v>1706</v>
      </c>
      <c r="Q27" s="5" t="b">
        <f t="shared" si="9"/>
        <v>1</v>
      </c>
      <c r="R27" s="18" t="s">
        <v>153</v>
      </c>
      <c r="S27" s="6" t="b">
        <f t="shared" si="10"/>
        <v>1</v>
      </c>
      <c r="T27" s="17">
        <v>2520947</v>
      </c>
      <c r="U27" s="5" t="b">
        <f t="shared" si="11"/>
        <v>1</v>
      </c>
      <c r="V27" s="17" t="s">
        <v>154</v>
      </c>
      <c r="W27" s="5" t="b">
        <f t="shared" si="12"/>
        <v>1</v>
      </c>
      <c r="X27" s="17" t="s">
        <v>156</v>
      </c>
      <c r="Y27" s="5" t="b">
        <f t="shared" si="13"/>
        <v>1</v>
      </c>
    </row>
    <row r="28" spans="1:25" s="17" customFormat="1" ht="21.75" customHeight="1" x14ac:dyDescent="0.25">
      <c r="A28" s="19">
        <v>108</v>
      </c>
      <c r="B28" s="23">
        <v>1713</v>
      </c>
      <c r="C28" s="31" t="s">
        <v>157</v>
      </c>
      <c r="D28" s="22">
        <v>352</v>
      </c>
      <c r="E28" s="15">
        <v>0.4</v>
      </c>
      <c r="F28" s="27">
        <f t="shared" si="7"/>
        <v>140.80000000000001</v>
      </c>
      <c r="G28" s="27">
        <f>138.7+2.1</f>
        <v>140.79999999999998</v>
      </c>
      <c r="H28" s="27">
        <f t="shared" si="8"/>
        <v>0</v>
      </c>
      <c r="I28" s="20">
        <v>19890467</v>
      </c>
      <c r="J28" s="48" t="s">
        <v>158</v>
      </c>
      <c r="K28" s="20" t="s">
        <v>52</v>
      </c>
      <c r="L28" s="20" t="s">
        <v>53</v>
      </c>
      <c r="M28" s="20"/>
      <c r="N28" s="109">
        <v>45635</v>
      </c>
      <c r="O28" s="118" t="s">
        <v>15</v>
      </c>
      <c r="P28" s="17">
        <v>1713</v>
      </c>
      <c r="Q28" s="5" t="b">
        <f t="shared" si="9"/>
        <v>1</v>
      </c>
      <c r="R28" s="18" t="s">
        <v>157</v>
      </c>
      <c r="S28" s="6" t="b">
        <f t="shared" si="10"/>
        <v>1</v>
      </c>
      <c r="T28" s="17">
        <v>19890467</v>
      </c>
      <c r="U28" s="5" t="b">
        <f t="shared" si="11"/>
        <v>1</v>
      </c>
      <c r="V28" s="17" t="s">
        <v>158</v>
      </c>
      <c r="W28" s="5" t="b">
        <f t="shared" si="12"/>
        <v>1</v>
      </c>
      <c r="X28" s="17" t="s">
        <v>53</v>
      </c>
      <c r="Y28" s="5" t="b">
        <f t="shared" si="13"/>
        <v>1</v>
      </c>
    </row>
    <row r="29" spans="1:25" s="17" customFormat="1" ht="21.75" customHeight="1" x14ac:dyDescent="0.25">
      <c r="A29" s="125">
        <v>113</v>
      </c>
      <c r="B29" s="101">
        <v>1718</v>
      </c>
      <c r="C29" s="102" t="s">
        <v>159</v>
      </c>
      <c r="D29" s="103">
        <v>330</v>
      </c>
      <c r="E29" s="104">
        <v>0.4</v>
      </c>
      <c r="F29" s="104">
        <f t="shared" si="7"/>
        <v>132</v>
      </c>
      <c r="G29" s="104">
        <f>F29</f>
        <v>132</v>
      </c>
      <c r="H29" s="104">
        <f t="shared" si="8"/>
        <v>0</v>
      </c>
      <c r="I29" s="105">
        <v>18656137</v>
      </c>
      <c r="J29" s="127" t="s">
        <v>160</v>
      </c>
      <c r="K29" s="105" t="s">
        <v>155</v>
      </c>
      <c r="L29" s="105" t="s">
        <v>156</v>
      </c>
      <c r="M29" s="105"/>
      <c r="N29" s="100" t="s">
        <v>73</v>
      </c>
      <c r="O29" s="17" t="s">
        <v>161</v>
      </c>
      <c r="P29" s="17">
        <v>1718</v>
      </c>
      <c r="Q29" s="5" t="b">
        <f t="shared" si="9"/>
        <v>1</v>
      </c>
      <c r="R29" s="18" t="s">
        <v>159</v>
      </c>
      <c r="S29" s="6" t="b">
        <f t="shared" si="10"/>
        <v>1</v>
      </c>
      <c r="T29" s="17">
        <v>18656137</v>
      </c>
      <c r="U29" s="5" t="b">
        <f t="shared" si="11"/>
        <v>1</v>
      </c>
      <c r="V29" s="17" t="s">
        <v>160</v>
      </c>
      <c r="W29" s="5" t="b">
        <f t="shared" si="12"/>
        <v>1</v>
      </c>
      <c r="X29" s="17" t="s">
        <v>156</v>
      </c>
      <c r="Y29" s="5" t="b">
        <f t="shared" si="13"/>
        <v>1</v>
      </c>
    </row>
    <row r="30" spans="1:25" s="17" customFormat="1" ht="21.75" customHeight="1" x14ac:dyDescent="0.25">
      <c r="A30" s="19">
        <v>122</v>
      </c>
      <c r="B30" s="23">
        <v>1730</v>
      </c>
      <c r="C30" s="31" t="s">
        <v>162</v>
      </c>
      <c r="D30" s="22">
        <v>385.5</v>
      </c>
      <c r="E30" s="15">
        <v>0.4</v>
      </c>
      <c r="F30" s="110">
        <f t="shared" si="7"/>
        <v>154.20000000000002</v>
      </c>
      <c r="G30" s="110">
        <f>152.97+1.23</f>
        <v>154.19999999999999</v>
      </c>
      <c r="H30" s="110">
        <f t="shared" si="8"/>
        <v>0</v>
      </c>
      <c r="I30" s="20">
        <v>18458405</v>
      </c>
      <c r="J30" s="48" t="s">
        <v>163</v>
      </c>
      <c r="K30" s="20" t="s">
        <v>31</v>
      </c>
      <c r="L30" s="20" t="s">
        <v>32</v>
      </c>
      <c r="M30" s="20">
        <v>98566660</v>
      </c>
      <c r="N30" s="109">
        <v>45635</v>
      </c>
      <c r="P30" s="17">
        <v>1730</v>
      </c>
      <c r="Q30" s="5" t="b">
        <f t="shared" si="9"/>
        <v>1</v>
      </c>
      <c r="R30" s="18" t="s">
        <v>162</v>
      </c>
      <c r="S30" s="6" t="b">
        <f t="shared" si="10"/>
        <v>1</v>
      </c>
      <c r="T30" s="17">
        <v>18458405</v>
      </c>
      <c r="U30" s="5" t="b">
        <f t="shared" si="11"/>
        <v>1</v>
      </c>
      <c r="V30" s="17" t="s">
        <v>163</v>
      </c>
      <c r="W30" s="5" t="b">
        <f t="shared" si="12"/>
        <v>1</v>
      </c>
      <c r="X30" s="17" t="s">
        <v>32</v>
      </c>
      <c r="Y30" s="5" t="b">
        <f t="shared" si="13"/>
        <v>1</v>
      </c>
    </row>
    <row r="31" spans="1:25" s="17" customFormat="1" ht="21.75" customHeight="1" x14ac:dyDescent="0.25">
      <c r="A31" s="19">
        <v>126</v>
      </c>
      <c r="B31" s="23">
        <v>1736</v>
      </c>
      <c r="C31" s="31" t="s">
        <v>164</v>
      </c>
      <c r="D31" s="22">
        <v>282.39999999999998</v>
      </c>
      <c r="E31" s="15">
        <v>0.4</v>
      </c>
      <c r="F31" s="27">
        <f t="shared" si="7"/>
        <v>112.96</v>
      </c>
      <c r="G31" s="27">
        <f>112.13+0.83</f>
        <v>112.96</v>
      </c>
      <c r="H31" s="27">
        <f t="shared" si="8"/>
        <v>0</v>
      </c>
      <c r="I31" s="20">
        <v>960639</v>
      </c>
      <c r="J31" s="48" t="s">
        <v>165</v>
      </c>
      <c r="K31" s="20" t="s">
        <v>31</v>
      </c>
      <c r="L31" s="20" t="s">
        <v>32</v>
      </c>
      <c r="M31" s="20"/>
      <c r="N31" s="19" t="s">
        <v>100</v>
      </c>
      <c r="O31" s="118">
        <v>45621</v>
      </c>
      <c r="P31" s="17">
        <v>1736</v>
      </c>
      <c r="Q31" s="5" t="b">
        <f t="shared" si="9"/>
        <v>1</v>
      </c>
      <c r="R31" s="18" t="s">
        <v>164</v>
      </c>
      <c r="S31" s="6" t="b">
        <f t="shared" si="10"/>
        <v>1</v>
      </c>
      <c r="T31" s="17">
        <v>960639</v>
      </c>
      <c r="U31" s="5" t="b">
        <f t="shared" si="11"/>
        <v>1</v>
      </c>
      <c r="V31" s="17" t="s">
        <v>165</v>
      </c>
      <c r="W31" s="5" t="b">
        <f t="shared" si="12"/>
        <v>1</v>
      </c>
      <c r="X31" s="17" t="s">
        <v>32</v>
      </c>
      <c r="Y31" s="5" t="b">
        <f t="shared" si="13"/>
        <v>1</v>
      </c>
    </row>
    <row r="32" spans="1:25" s="17" customFormat="1" ht="21.75" customHeight="1" x14ac:dyDescent="0.25">
      <c r="A32" s="19">
        <v>128</v>
      </c>
      <c r="B32" s="23">
        <v>1738</v>
      </c>
      <c r="C32" s="31" t="s">
        <v>166</v>
      </c>
      <c r="D32" s="22">
        <v>329.7</v>
      </c>
      <c r="E32" s="15">
        <v>0.4</v>
      </c>
      <c r="F32" s="96">
        <f t="shared" si="7"/>
        <v>131.88</v>
      </c>
      <c r="G32" s="96">
        <f>115.5+16.38</f>
        <v>131.88</v>
      </c>
      <c r="H32" s="96">
        <f t="shared" si="8"/>
        <v>0</v>
      </c>
      <c r="I32" s="20">
        <v>23187863</v>
      </c>
      <c r="J32" s="48" t="s">
        <v>167</v>
      </c>
      <c r="K32" s="20" t="s">
        <v>31</v>
      </c>
      <c r="L32" s="20" t="s">
        <v>32</v>
      </c>
      <c r="M32" s="20">
        <v>99464736</v>
      </c>
      <c r="N32" s="109">
        <v>45567</v>
      </c>
      <c r="O32" s="325" t="s">
        <v>168</v>
      </c>
      <c r="P32" s="17">
        <v>1738</v>
      </c>
      <c r="Q32" s="5" t="b">
        <f t="shared" si="9"/>
        <v>1</v>
      </c>
      <c r="R32" s="18" t="s">
        <v>166</v>
      </c>
      <c r="S32" s="6" t="b">
        <f t="shared" si="10"/>
        <v>1</v>
      </c>
      <c r="T32" s="17">
        <v>23187863</v>
      </c>
      <c r="U32" s="5" t="b">
        <f t="shared" si="11"/>
        <v>1</v>
      </c>
      <c r="V32" s="17" t="s">
        <v>167</v>
      </c>
      <c r="W32" s="5" t="b">
        <f t="shared" si="12"/>
        <v>1</v>
      </c>
      <c r="X32" s="17" t="s">
        <v>32</v>
      </c>
      <c r="Y32" s="5" t="b">
        <f t="shared" si="13"/>
        <v>1</v>
      </c>
    </row>
    <row r="33" spans="1:26" s="17" customFormat="1" ht="21.75" customHeight="1" x14ac:dyDescent="0.25">
      <c r="A33" s="19">
        <v>135</v>
      </c>
      <c r="B33" s="23">
        <v>1748</v>
      </c>
      <c r="C33" s="31" t="s">
        <v>169</v>
      </c>
      <c r="D33" s="22">
        <v>307.89999999999998</v>
      </c>
      <c r="E33" s="15">
        <v>0.4</v>
      </c>
      <c r="F33" s="27">
        <f t="shared" ref="F33:F44" si="14">D33*E33</f>
        <v>123.16</v>
      </c>
      <c r="G33" s="27">
        <f>119.85+3.31</f>
        <v>123.16</v>
      </c>
      <c r="H33" s="27">
        <f t="shared" ref="H33:H44" si="15">F33-G33</f>
        <v>0</v>
      </c>
      <c r="I33" s="20">
        <v>1354182</v>
      </c>
      <c r="J33" s="48" t="s">
        <v>170</v>
      </c>
      <c r="K33" s="20" t="s">
        <v>31</v>
      </c>
      <c r="L33" s="20" t="s">
        <v>32</v>
      </c>
      <c r="M33" s="20">
        <v>98953022</v>
      </c>
      <c r="N33" s="109">
        <v>45544</v>
      </c>
      <c r="O33" s="118">
        <v>45600</v>
      </c>
      <c r="P33" s="17">
        <v>1748</v>
      </c>
      <c r="Q33" s="5" t="b">
        <f t="shared" ref="Q33:Q44" si="16">P33=B33</f>
        <v>1</v>
      </c>
      <c r="R33" s="18" t="s">
        <v>169</v>
      </c>
      <c r="S33" s="6" t="b">
        <f t="shared" ref="S33:S40" si="17">R33=C33</f>
        <v>1</v>
      </c>
      <c r="T33" s="17">
        <v>1354182</v>
      </c>
      <c r="U33" s="5" t="b">
        <f t="shared" ref="U33:U44" si="18">T33=I33</f>
        <v>1</v>
      </c>
      <c r="V33" s="17" t="s">
        <v>170</v>
      </c>
      <c r="W33" s="5" t="b">
        <f t="shared" ref="W33:W44" si="19">V33=J33</f>
        <v>1</v>
      </c>
      <c r="X33" s="17" t="s">
        <v>32</v>
      </c>
      <c r="Y33" s="5" t="b">
        <f t="shared" ref="Y33:Y44" si="20">X33=L33</f>
        <v>1</v>
      </c>
    </row>
    <row r="34" spans="1:26" s="17" customFormat="1" ht="21.75" customHeight="1" x14ac:dyDescent="0.25">
      <c r="A34" s="19">
        <v>138</v>
      </c>
      <c r="B34" s="23">
        <v>1752</v>
      </c>
      <c r="C34" s="31" t="s">
        <v>171</v>
      </c>
      <c r="D34" s="22">
        <v>346.4</v>
      </c>
      <c r="E34" s="15">
        <v>0.4</v>
      </c>
      <c r="F34" s="27">
        <f t="shared" si="14"/>
        <v>138.56</v>
      </c>
      <c r="G34" s="27">
        <f>136.86+1.7</f>
        <v>138.56</v>
      </c>
      <c r="H34" s="27">
        <f t="shared" si="15"/>
        <v>0</v>
      </c>
      <c r="I34" s="20">
        <v>2808921</v>
      </c>
      <c r="J34" s="21" t="s">
        <v>139</v>
      </c>
      <c r="K34" s="20" t="s">
        <v>31</v>
      </c>
      <c r="L34" s="20" t="s">
        <v>32</v>
      </c>
      <c r="M34" s="20">
        <v>92740803</v>
      </c>
      <c r="N34" s="19" t="s">
        <v>140</v>
      </c>
      <c r="O34" s="118">
        <v>45614</v>
      </c>
      <c r="P34" s="17">
        <v>1752</v>
      </c>
      <c r="Q34" s="5" t="b">
        <f t="shared" si="16"/>
        <v>1</v>
      </c>
      <c r="R34" s="18" t="s">
        <v>171</v>
      </c>
      <c r="S34" s="6" t="b">
        <f t="shared" si="17"/>
        <v>1</v>
      </c>
      <c r="T34" s="17">
        <v>2808921</v>
      </c>
      <c r="U34" s="5" t="b">
        <f t="shared" si="18"/>
        <v>1</v>
      </c>
      <c r="V34" s="17" t="s">
        <v>139</v>
      </c>
      <c r="W34" s="5" t="b">
        <f t="shared" si="19"/>
        <v>1</v>
      </c>
      <c r="X34" s="17" t="s">
        <v>32</v>
      </c>
      <c r="Y34" s="5" t="b">
        <f t="shared" si="20"/>
        <v>1</v>
      </c>
    </row>
    <row r="35" spans="1:26" s="17" customFormat="1" ht="21.75" customHeight="1" x14ac:dyDescent="0.25">
      <c r="A35" s="19">
        <v>149</v>
      </c>
      <c r="B35" s="23">
        <v>1768</v>
      </c>
      <c r="C35" s="31" t="s">
        <v>172</v>
      </c>
      <c r="D35" s="22">
        <v>324.7</v>
      </c>
      <c r="E35" s="15">
        <v>0.4</v>
      </c>
      <c r="F35" s="110">
        <f t="shared" si="14"/>
        <v>129.88</v>
      </c>
      <c r="G35" s="110">
        <f>126.1+3.78</f>
        <v>129.88</v>
      </c>
      <c r="H35" s="110">
        <f t="shared" si="15"/>
        <v>0</v>
      </c>
      <c r="I35" s="20">
        <v>13899464</v>
      </c>
      <c r="J35" s="30" t="s">
        <v>173</v>
      </c>
      <c r="K35" s="20" t="s">
        <v>31</v>
      </c>
      <c r="L35" s="20" t="s">
        <v>32</v>
      </c>
      <c r="M35" s="20">
        <v>99166449</v>
      </c>
      <c r="N35" s="19" t="s">
        <v>133</v>
      </c>
      <c r="P35" s="17">
        <v>1768</v>
      </c>
      <c r="Q35" s="5" t="b">
        <f t="shared" si="16"/>
        <v>1</v>
      </c>
      <c r="R35" s="18" t="s">
        <v>172</v>
      </c>
      <c r="S35" s="6" t="b">
        <f t="shared" si="17"/>
        <v>1</v>
      </c>
      <c r="T35" s="17">
        <v>13899464</v>
      </c>
      <c r="U35" s="5" t="b">
        <f t="shared" si="18"/>
        <v>1</v>
      </c>
      <c r="V35" s="17" t="s">
        <v>173</v>
      </c>
      <c r="W35" s="5" t="b">
        <f t="shared" si="19"/>
        <v>1</v>
      </c>
      <c r="X35" s="17" t="s">
        <v>32</v>
      </c>
      <c r="Y35" s="5" t="b">
        <f t="shared" si="20"/>
        <v>1</v>
      </c>
    </row>
    <row r="36" spans="1:26" s="17" customFormat="1" ht="21.75" customHeight="1" x14ac:dyDescent="0.25">
      <c r="A36" s="19">
        <v>152</v>
      </c>
      <c r="B36" s="23">
        <v>1771</v>
      </c>
      <c r="C36" s="31" t="s">
        <v>174</v>
      </c>
      <c r="D36" s="22">
        <v>330</v>
      </c>
      <c r="E36" s="15">
        <v>0.4</v>
      </c>
      <c r="F36" s="27">
        <f t="shared" si="14"/>
        <v>132</v>
      </c>
      <c r="G36" s="27">
        <f>130.95+1.05</f>
        <v>132</v>
      </c>
      <c r="H36" s="27">
        <f t="shared" si="15"/>
        <v>0</v>
      </c>
      <c r="I36" s="20">
        <v>5044401</v>
      </c>
      <c r="J36" s="21" t="s">
        <v>132</v>
      </c>
      <c r="K36" s="20" t="s">
        <v>31</v>
      </c>
      <c r="L36" s="20" t="s">
        <v>32</v>
      </c>
      <c r="M36" s="20">
        <v>93556616</v>
      </c>
      <c r="N36" s="19" t="s">
        <v>133</v>
      </c>
      <c r="O36" s="118">
        <v>45635</v>
      </c>
      <c r="P36" s="17">
        <v>1771</v>
      </c>
      <c r="Q36" s="5" t="b">
        <f t="shared" si="16"/>
        <v>1</v>
      </c>
      <c r="R36" s="18" t="s">
        <v>174</v>
      </c>
      <c r="S36" s="6" t="b">
        <f t="shared" si="17"/>
        <v>1</v>
      </c>
      <c r="T36" s="17">
        <v>5044401</v>
      </c>
      <c r="U36" s="5" t="b">
        <f t="shared" si="18"/>
        <v>1</v>
      </c>
      <c r="V36" s="17" t="s">
        <v>132</v>
      </c>
      <c r="W36" s="5" t="b">
        <f t="shared" si="19"/>
        <v>1</v>
      </c>
      <c r="X36" s="17" t="s">
        <v>32</v>
      </c>
      <c r="Y36" s="5" t="b">
        <f t="shared" si="20"/>
        <v>1</v>
      </c>
    </row>
    <row r="37" spans="1:26" s="17" customFormat="1" ht="21.75" customHeight="1" x14ac:dyDescent="0.25">
      <c r="A37" s="19">
        <v>155</v>
      </c>
      <c r="B37" s="23">
        <v>1774</v>
      </c>
      <c r="C37" s="31" t="s">
        <v>175</v>
      </c>
      <c r="D37" s="22">
        <v>329.7</v>
      </c>
      <c r="E37" s="15">
        <v>0.4</v>
      </c>
      <c r="F37" s="27">
        <f t="shared" si="14"/>
        <v>131.88</v>
      </c>
      <c r="G37" s="27">
        <f>131.25+0.63</f>
        <v>131.88</v>
      </c>
      <c r="H37" s="27">
        <f t="shared" si="15"/>
        <v>0</v>
      </c>
      <c r="I37" s="20">
        <v>20865047</v>
      </c>
      <c r="J37" s="21" t="s">
        <v>176</v>
      </c>
      <c r="K37" s="20" t="s">
        <v>31</v>
      </c>
      <c r="L37" s="20" t="s">
        <v>32</v>
      </c>
      <c r="M37" s="20">
        <v>98825083</v>
      </c>
      <c r="N37" s="109">
        <v>45567</v>
      </c>
      <c r="O37" s="118">
        <v>45663</v>
      </c>
      <c r="P37" s="17">
        <v>1774</v>
      </c>
      <c r="Q37" s="5" t="b">
        <f t="shared" si="16"/>
        <v>1</v>
      </c>
      <c r="R37" s="18" t="s">
        <v>175</v>
      </c>
      <c r="S37" s="6" t="b">
        <f t="shared" si="17"/>
        <v>1</v>
      </c>
      <c r="T37" s="17">
        <v>20865047</v>
      </c>
      <c r="U37" s="5" t="b">
        <f t="shared" si="18"/>
        <v>1</v>
      </c>
      <c r="V37" s="17" t="s">
        <v>176</v>
      </c>
      <c r="W37" s="5" t="b">
        <f t="shared" si="19"/>
        <v>1</v>
      </c>
      <c r="X37" s="17" t="s">
        <v>32</v>
      </c>
      <c r="Y37" s="5" t="b">
        <f t="shared" si="20"/>
        <v>1</v>
      </c>
    </row>
    <row r="38" spans="1:26" s="17" customFormat="1" ht="21.75" customHeight="1" x14ac:dyDescent="0.25">
      <c r="A38" s="19">
        <v>163</v>
      </c>
      <c r="B38" s="23">
        <v>1783</v>
      </c>
      <c r="C38" s="31" t="s">
        <v>177</v>
      </c>
      <c r="D38" s="22">
        <v>272.5</v>
      </c>
      <c r="E38" s="15">
        <v>0.4</v>
      </c>
      <c r="F38" s="27">
        <f t="shared" si="14"/>
        <v>109</v>
      </c>
      <c r="G38" s="27">
        <f>106.38+2.62</f>
        <v>109</v>
      </c>
      <c r="H38" s="27">
        <f t="shared" si="15"/>
        <v>0</v>
      </c>
      <c r="I38" s="20">
        <v>1500187</v>
      </c>
      <c r="J38" s="21" t="s">
        <v>178</v>
      </c>
      <c r="K38" s="20" t="s">
        <v>31</v>
      </c>
      <c r="L38" s="20" t="s">
        <v>32</v>
      </c>
      <c r="M38" s="20">
        <v>91159122</v>
      </c>
      <c r="N38" s="109">
        <v>45544</v>
      </c>
      <c r="O38" s="118">
        <v>45600</v>
      </c>
      <c r="P38" s="17">
        <v>1783</v>
      </c>
      <c r="Q38" s="5" t="b">
        <f t="shared" si="16"/>
        <v>1</v>
      </c>
      <c r="R38" s="18" t="s">
        <v>177</v>
      </c>
      <c r="S38" s="6" t="b">
        <f t="shared" si="17"/>
        <v>1</v>
      </c>
      <c r="T38" s="17">
        <v>1500187</v>
      </c>
      <c r="U38" s="5" t="b">
        <f t="shared" si="18"/>
        <v>1</v>
      </c>
      <c r="V38" s="17" t="s">
        <v>178</v>
      </c>
      <c r="W38" s="5" t="b">
        <f t="shared" si="19"/>
        <v>1</v>
      </c>
      <c r="X38" s="17" t="s">
        <v>32</v>
      </c>
      <c r="Y38" s="5" t="b">
        <f t="shared" si="20"/>
        <v>1</v>
      </c>
    </row>
    <row r="39" spans="1:26" s="17" customFormat="1" ht="21.75" customHeight="1" x14ac:dyDescent="0.25">
      <c r="A39" s="19">
        <v>165</v>
      </c>
      <c r="B39" s="23">
        <v>1785</v>
      </c>
      <c r="C39" s="31" t="s">
        <v>179</v>
      </c>
      <c r="D39" s="22">
        <v>326.10000000000002</v>
      </c>
      <c r="E39" s="15">
        <v>0.4</v>
      </c>
      <c r="F39" s="110">
        <f t="shared" si="14"/>
        <v>130.44000000000003</v>
      </c>
      <c r="G39" s="110">
        <f>126.4+4.04</f>
        <v>130.44</v>
      </c>
      <c r="H39" s="110">
        <f t="shared" si="15"/>
        <v>0</v>
      </c>
      <c r="I39" s="20">
        <v>7374743</v>
      </c>
      <c r="J39" s="21" t="s">
        <v>180</v>
      </c>
      <c r="K39" s="20" t="s">
        <v>31</v>
      </c>
      <c r="L39" s="20" t="s">
        <v>32</v>
      </c>
      <c r="M39" s="20">
        <v>93875087</v>
      </c>
      <c r="N39" s="19" t="s">
        <v>100</v>
      </c>
      <c r="P39" s="17">
        <v>1785</v>
      </c>
      <c r="Q39" s="5" t="b">
        <f t="shared" si="16"/>
        <v>1</v>
      </c>
      <c r="R39" s="18" t="s">
        <v>179</v>
      </c>
      <c r="S39" s="6" t="b">
        <f t="shared" si="17"/>
        <v>1</v>
      </c>
      <c r="T39" s="17">
        <v>7374743</v>
      </c>
      <c r="U39" s="5" t="b">
        <f t="shared" si="18"/>
        <v>1</v>
      </c>
      <c r="V39" s="17" t="s">
        <v>180</v>
      </c>
      <c r="W39" s="5" t="b">
        <f t="shared" si="19"/>
        <v>1</v>
      </c>
      <c r="X39" s="17" t="s">
        <v>32</v>
      </c>
      <c r="Y39" s="5" t="b">
        <f t="shared" si="20"/>
        <v>1</v>
      </c>
    </row>
    <row r="40" spans="1:26" s="17" customFormat="1" ht="21.75" customHeight="1" x14ac:dyDescent="0.25">
      <c r="A40" s="19">
        <v>166</v>
      </c>
      <c r="B40" s="23">
        <v>1786</v>
      </c>
      <c r="C40" s="31" t="s">
        <v>181</v>
      </c>
      <c r="D40" s="22">
        <v>314</v>
      </c>
      <c r="E40" s="15">
        <v>0.4</v>
      </c>
      <c r="F40" s="333">
        <f t="shared" si="14"/>
        <v>125.60000000000001</v>
      </c>
      <c r="G40" s="333">
        <f>121.25+4.35</f>
        <v>125.6</v>
      </c>
      <c r="H40" s="333">
        <f t="shared" si="15"/>
        <v>0</v>
      </c>
      <c r="I40" s="20">
        <v>5614637</v>
      </c>
      <c r="J40" s="21" t="s">
        <v>182</v>
      </c>
      <c r="K40" s="20" t="s">
        <v>31</v>
      </c>
      <c r="L40" s="20" t="s">
        <v>32</v>
      </c>
      <c r="M40" s="20">
        <v>92924645</v>
      </c>
      <c r="N40" s="109">
        <v>45567</v>
      </c>
      <c r="O40" s="118">
        <v>45686</v>
      </c>
      <c r="P40" s="17">
        <v>1786</v>
      </c>
      <c r="Q40" s="5" t="b">
        <f t="shared" si="16"/>
        <v>1</v>
      </c>
      <c r="R40" s="18" t="s">
        <v>181</v>
      </c>
      <c r="S40" s="6" t="b">
        <f t="shared" si="17"/>
        <v>1</v>
      </c>
      <c r="T40" s="17">
        <v>5614637</v>
      </c>
      <c r="U40" s="5" t="b">
        <f t="shared" si="18"/>
        <v>1</v>
      </c>
      <c r="V40" s="17" t="s">
        <v>182</v>
      </c>
      <c r="W40" s="5" t="b">
        <f t="shared" si="19"/>
        <v>1</v>
      </c>
      <c r="X40" s="17" t="s">
        <v>32</v>
      </c>
      <c r="Y40" s="5" t="b">
        <f t="shared" si="20"/>
        <v>1</v>
      </c>
    </row>
    <row r="41" spans="1:26" s="17" customFormat="1" ht="21.75" customHeight="1" x14ac:dyDescent="0.25">
      <c r="A41" s="19">
        <v>178</v>
      </c>
      <c r="B41" s="23">
        <v>1799</v>
      </c>
      <c r="C41" s="31" t="s">
        <v>183</v>
      </c>
      <c r="D41" s="22">
        <v>308.3</v>
      </c>
      <c r="E41" s="15">
        <v>0.4</v>
      </c>
      <c r="F41" s="27">
        <f t="shared" si="14"/>
        <v>123.32000000000001</v>
      </c>
      <c r="G41" s="27">
        <f>121.01+2.31</f>
        <v>123.32000000000001</v>
      </c>
      <c r="H41" s="27">
        <f t="shared" si="15"/>
        <v>0</v>
      </c>
      <c r="I41" s="20">
        <v>5219843</v>
      </c>
      <c r="J41" s="21" t="s">
        <v>184</v>
      </c>
      <c r="K41" s="20" t="s">
        <v>31</v>
      </c>
      <c r="L41" s="20" t="s">
        <v>32</v>
      </c>
      <c r="M41" s="20"/>
      <c r="N41" s="19" t="s">
        <v>100</v>
      </c>
      <c r="O41" s="118">
        <v>45621</v>
      </c>
      <c r="P41" s="17">
        <v>1799</v>
      </c>
      <c r="Q41" s="5" t="b">
        <f t="shared" si="16"/>
        <v>1</v>
      </c>
      <c r="R41" s="18" t="s">
        <v>183</v>
      </c>
      <c r="S41" s="6" t="b">
        <f t="shared" ref="S41:S46" si="21">R41=C41</f>
        <v>1</v>
      </c>
      <c r="T41" s="17">
        <v>5219843</v>
      </c>
      <c r="U41" s="5" t="b">
        <f t="shared" si="18"/>
        <v>1</v>
      </c>
      <c r="V41" s="17" t="s">
        <v>184</v>
      </c>
      <c r="W41" s="5" t="b">
        <f t="shared" si="19"/>
        <v>1</v>
      </c>
      <c r="X41" s="17" t="s">
        <v>32</v>
      </c>
      <c r="Y41" s="5" t="b">
        <f t="shared" si="20"/>
        <v>1</v>
      </c>
    </row>
    <row r="42" spans="1:26" s="17" customFormat="1" ht="21.75" customHeight="1" x14ac:dyDescent="0.2">
      <c r="A42" s="19">
        <v>179</v>
      </c>
      <c r="B42" s="23">
        <v>1800</v>
      </c>
      <c r="C42" s="31" t="s">
        <v>185</v>
      </c>
      <c r="D42" s="22">
        <v>333</v>
      </c>
      <c r="E42" s="15">
        <v>0.4</v>
      </c>
      <c r="F42" s="110">
        <f t="shared" si="14"/>
        <v>133.20000000000002</v>
      </c>
      <c r="G42" s="110">
        <f>131.65+1.55</f>
        <v>133.20000000000002</v>
      </c>
      <c r="H42" s="110">
        <f t="shared" si="15"/>
        <v>0</v>
      </c>
      <c r="I42" s="20">
        <v>7293505</v>
      </c>
      <c r="J42" s="58" t="s">
        <v>186</v>
      </c>
      <c r="K42" s="20" t="s">
        <v>31</v>
      </c>
      <c r="L42" s="20" t="s">
        <v>32</v>
      </c>
      <c r="M42" s="20">
        <v>99189910</v>
      </c>
      <c r="N42" s="19"/>
      <c r="P42" s="17">
        <v>1800</v>
      </c>
      <c r="Q42" s="5" t="b">
        <f t="shared" si="16"/>
        <v>1</v>
      </c>
      <c r="R42" s="18" t="s">
        <v>185</v>
      </c>
      <c r="S42" s="6" t="b">
        <f t="shared" si="21"/>
        <v>1</v>
      </c>
      <c r="T42" s="17">
        <v>7293505</v>
      </c>
      <c r="U42" s="5" t="b">
        <f t="shared" si="18"/>
        <v>1</v>
      </c>
      <c r="V42" s="17" t="s">
        <v>186</v>
      </c>
      <c r="W42" s="5" t="b">
        <f t="shared" si="19"/>
        <v>1</v>
      </c>
      <c r="X42" s="17" t="s">
        <v>32</v>
      </c>
      <c r="Y42" s="5" t="b">
        <f t="shared" si="20"/>
        <v>1</v>
      </c>
    </row>
    <row r="43" spans="1:26" s="17" customFormat="1" ht="21.75" customHeight="1" x14ac:dyDescent="0.25">
      <c r="A43" s="19">
        <v>180</v>
      </c>
      <c r="B43" s="23">
        <v>1801</v>
      </c>
      <c r="C43" s="31" t="s">
        <v>187</v>
      </c>
      <c r="D43" s="22">
        <v>352</v>
      </c>
      <c r="E43" s="15">
        <v>0.4</v>
      </c>
      <c r="F43" s="110">
        <f t="shared" si="14"/>
        <v>140.80000000000001</v>
      </c>
      <c r="G43" s="110">
        <f>139.3+1.5</f>
        <v>140.80000000000001</v>
      </c>
      <c r="H43" s="110">
        <f t="shared" si="15"/>
        <v>0</v>
      </c>
      <c r="I43" s="20">
        <v>655141</v>
      </c>
      <c r="J43" s="21" t="s">
        <v>188</v>
      </c>
      <c r="K43" s="20" t="s">
        <v>155</v>
      </c>
      <c r="L43" s="20" t="s">
        <v>156</v>
      </c>
      <c r="M43" s="20"/>
      <c r="N43" s="19" t="s">
        <v>189</v>
      </c>
      <c r="O43" s="17" t="s">
        <v>190</v>
      </c>
      <c r="P43" s="17">
        <v>1801</v>
      </c>
      <c r="Q43" s="5" t="b">
        <f t="shared" si="16"/>
        <v>1</v>
      </c>
      <c r="R43" s="18" t="s">
        <v>187</v>
      </c>
      <c r="S43" s="6" t="b">
        <f t="shared" si="21"/>
        <v>1</v>
      </c>
      <c r="T43" s="17">
        <v>655141</v>
      </c>
      <c r="U43" s="5" t="b">
        <f t="shared" si="18"/>
        <v>1</v>
      </c>
      <c r="V43" s="17" t="s">
        <v>188</v>
      </c>
      <c r="W43" s="5" t="b">
        <f t="shared" si="19"/>
        <v>1</v>
      </c>
      <c r="X43" s="17" t="s">
        <v>156</v>
      </c>
      <c r="Y43" s="5" t="b">
        <f t="shared" si="20"/>
        <v>1</v>
      </c>
    </row>
    <row r="44" spans="1:26" s="54" customFormat="1" ht="21.75" customHeight="1" x14ac:dyDescent="0.2">
      <c r="A44" s="19">
        <v>190</v>
      </c>
      <c r="B44" s="23">
        <v>1816</v>
      </c>
      <c r="C44" s="31" t="s">
        <v>191</v>
      </c>
      <c r="D44" s="22">
        <v>351.9</v>
      </c>
      <c r="E44" s="15">
        <v>0.4</v>
      </c>
      <c r="F44" s="27">
        <f t="shared" si="14"/>
        <v>140.76</v>
      </c>
      <c r="G44" s="27">
        <f>137.56+3.2</f>
        <v>140.76</v>
      </c>
      <c r="H44" s="27">
        <f t="shared" si="15"/>
        <v>0</v>
      </c>
      <c r="I44" s="20">
        <v>15694259</v>
      </c>
      <c r="J44" s="58" t="s">
        <v>192</v>
      </c>
      <c r="K44" s="20" t="s">
        <v>31</v>
      </c>
      <c r="L44" s="20" t="s">
        <v>32</v>
      </c>
      <c r="M44" s="20"/>
      <c r="N44" s="109">
        <v>45586</v>
      </c>
      <c r="O44" s="116">
        <v>45601</v>
      </c>
      <c r="P44" s="54">
        <v>1816</v>
      </c>
      <c r="Q44" s="54" t="b">
        <f t="shared" si="16"/>
        <v>1</v>
      </c>
      <c r="R44" s="117" t="s">
        <v>191</v>
      </c>
      <c r="S44" s="117" t="b">
        <f t="shared" si="21"/>
        <v>1</v>
      </c>
      <c r="T44" s="54">
        <v>15694259</v>
      </c>
      <c r="U44" s="54" t="b">
        <f t="shared" si="18"/>
        <v>1</v>
      </c>
      <c r="V44" s="54" t="s">
        <v>192</v>
      </c>
      <c r="W44" s="54" t="b">
        <f t="shared" si="19"/>
        <v>1</v>
      </c>
      <c r="X44" s="54" t="s">
        <v>32</v>
      </c>
      <c r="Y44" s="54" t="b">
        <f t="shared" si="20"/>
        <v>1</v>
      </c>
    </row>
    <row r="45" spans="1:26" s="17" customFormat="1" ht="21.75" customHeight="1" x14ac:dyDescent="0.25">
      <c r="A45" s="19">
        <v>196</v>
      </c>
      <c r="B45" s="23">
        <v>1822</v>
      </c>
      <c r="C45" s="20" t="s">
        <v>193</v>
      </c>
      <c r="D45" s="22">
        <v>316.39999999999998</v>
      </c>
      <c r="E45" s="15">
        <v>0.4</v>
      </c>
      <c r="F45" s="27">
        <f t="shared" ref="F45:F48" si="22">D45*E45</f>
        <v>126.56</v>
      </c>
      <c r="G45" s="27">
        <f>122.45+4.11</f>
        <v>126.56</v>
      </c>
      <c r="H45" s="27">
        <f t="shared" ref="H45:H48" si="23">F45-G45</f>
        <v>0</v>
      </c>
      <c r="I45" s="20">
        <v>22005737</v>
      </c>
      <c r="J45" s="21" t="s">
        <v>152</v>
      </c>
      <c r="K45" s="20" t="s">
        <v>31</v>
      </c>
      <c r="L45" s="20" t="s">
        <v>32</v>
      </c>
      <c r="M45" s="20"/>
      <c r="N45" s="19" t="s">
        <v>133</v>
      </c>
      <c r="O45" s="118">
        <v>45684</v>
      </c>
      <c r="P45" s="54">
        <v>1822</v>
      </c>
      <c r="Q45" s="5" t="b">
        <f t="shared" ref="Q45:Q48" si="24">P45=B45</f>
        <v>1</v>
      </c>
      <c r="R45" s="18" t="s">
        <v>194</v>
      </c>
      <c r="S45" s="6" t="b">
        <f t="shared" si="21"/>
        <v>1</v>
      </c>
      <c r="T45" s="17">
        <v>22005737</v>
      </c>
      <c r="U45" s="5" t="b">
        <f t="shared" ref="U45:U48" si="25">T45=I45</f>
        <v>1</v>
      </c>
      <c r="W45" s="5" t="b">
        <f t="shared" ref="W45:W48" si="26">V45=J45</f>
        <v>0</v>
      </c>
      <c r="Y45" s="5" t="b">
        <f t="shared" ref="Y45:Y48" si="27">X45=L45</f>
        <v>0</v>
      </c>
    </row>
    <row r="46" spans="1:26" s="17" customFormat="1" ht="21.75" customHeight="1" x14ac:dyDescent="0.25">
      <c r="A46" s="19">
        <v>198</v>
      </c>
      <c r="B46" s="23">
        <v>1824</v>
      </c>
      <c r="C46" s="20" t="s">
        <v>195</v>
      </c>
      <c r="D46" s="22">
        <v>274.7</v>
      </c>
      <c r="E46" s="15">
        <v>0.4</v>
      </c>
      <c r="F46" s="27">
        <f t="shared" si="22"/>
        <v>109.88</v>
      </c>
      <c r="G46" s="27">
        <f>105.66+4.22</f>
        <v>109.88</v>
      </c>
      <c r="H46" s="27">
        <f t="shared" si="23"/>
        <v>0</v>
      </c>
      <c r="I46" s="20">
        <v>766709</v>
      </c>
      <c r="J46" s="21" t="s">
        <v>196</v>
      </c>
      <c r="K46" s="20" t="s">
        <v>71</v>
      </c>
      <c r="L46" s="20" t="s">
        <v>72</v>
      </c>
      <c r="M46" s="20"/>
      <c r="N46" s="19" t="s">
        <v>133</v>
      </c>
      <c r="O46" s="118">
        <v>45643</v>
      </c>
      <c r="P46" s="54">
        <v>1824</v>
      </c>
      <c r="Q46" s="5" t="b">
        <f t="shared" si="24"/>
        <v>1</v>
      </c>
      <c r="R46" s="18" t="s">
        <v>197</v>
      </c>
      <c r="S46" s="6" t="b">
        <f t="shared" si="21"/>
        <v>1</v>
      </c>
      <c r="T46" s="17">
        <v>766709</v>
      </c>
      <c r="U46" s="5" t="b">
        <f t="shared" si="25"/>
        <v>1</v>
      </c>
      <c r="W46" s="5" t="b">
        <f t="shared" si="26"/>
        <v>0</v>
      </c>
      <c r="Y46" s="5" t="b">
        <f t="shared" si="27"/>
        <v>0</v>
      </c>
    </row>
    <row r="47" spans="1:26" ht="21.75" customHeight="1" x14ac:dyDescent="0.25">
      <c r="A47" s="19">
        <v>205</v>
      </c>
      <c r="B47" s="23">
        <v>3250</v>
      </c>
      <c r="C47" s="20" t="s">
        <v>198</v>
      </c>
      <c r="D47" s="22">
        <v>603.4</v>
      </c>
      <c r="E47" s="15">
        <v>0.4</v>
      </c>
      <c r="F47" s="27">
        <f t="shared" si="22"/>
        <v>241.36</v>
      </c>
      <c r="G47" s="27">
        <f>240.77+0.59</f>
        <v>241.36</v>
      </c>
      <c r="H47" s="27">
        <f t="shared" si="23"/>
        <v>0</v>
      </c>
      <c r="I47" s="36">
        <v>1357047</v>
      </c>
      <c r="J47" s="48" t="s">
        <v>199</v>
      </c>
      <c r="K47" s="20" t="s">
        <v>26</v>
      </c>
      <c r="L47" s="20" t="s">
        <v>27</v>
      </c>
      <c r="M47" s="20">
        <v>91177550</v>
      </c>
      <c r="N47" s="109">
        <v>45635</v>
      </c>
      <c r="O47" s="98">
        <v>45601</v>
      </c>
      <c r="P47" s="17">
        <v>3250</v>
      </c>
      <c r="Q47" s="5" t="b">
        <f t="shared" si="24"/>
        <v>1</v>
      </c>
      <c r="R47" s="18" t="s">
        <v>198</v>
      </c>
      <c r="S47" s="6" t="b">
        <f t="shared" ref="S47:S48" si="28">R47=C47</f>
        <v>1</v>
      </c>
      <c r="T47" s="17">
        <v>1357047</v>
      </c>
      <c r="U47" s="5" t="b">
        <f t="shared" si="25"/>
        <v>1</v>
      </c>
      <c r="V47" s="17" t="s">
        <v>199</v>
      </c>
      <c r="W47" s="5" t="b">
        <f t="shared" si="26"/>
        <v>1</v>
      </c>
      <c r="X47" s="17" t="s">
        <v>27</v>
      </c>
      <c r="Y47" s="5" t="b">
        <f t="shared" si="27"/>
        <v>1</v>
      </c>
      <c r="Z47" s="17"/>
    </row>
    <row r="48" spans="1:26" s="17" customFormat="1" ht="21.75" customHeight="1" x14ac:dyDescent="0.25">
      <c r="A48" s="19">
        <v>219</v>
      </c>
      <c r="B48" s="23">
        <v>3826</v>
      </c>
      <c r="C48" s="20" t="s">
        <v>200</v>
      </c>
      <c r="D48" s="22">
        <v>350.8</v>
      </c>
      <c r="E48" s="15">
        <v>0.4</v>
      </c>
      <c r="F48" s="110">
        <f t="shared" si="22"/>
        <v>140.32000000000002</v>
      </c>
      <c r="G48" s="110">
        <f>135.8+4.52</f>
        <v>140.32000000000002</v>
      </c>
      <c r="H48" s="110">
        <f t="shared" si="23"/>
        <v>0</v>
      </c>
      <c r="I48" s="20">
        <v>4919671</v>
      </c>
      <c r="J48" s="21" t="s">
        <v>201</v>
      </c>
      <c r="K48" s="20" t="s">
        <v>31</v>
      </c>
      <c r="L48" s="20" t="s">
        <v>32</v>
      </c>
      <c r="M48" s="20">
        <v>92516644</v>
      </c>
      <c r="N48" s="109">
        <v>45575</v>
      </c>
      <c r="O48" s="17" t="s">
        <v>202</v>
      </c>
      <c r="P48" s="17">
        <v>3826</v>
      </c>
      <c r="Q48" s="5" t="b">
        <f t="shared" si="24"/>
        <v>1</v>
      </c>
      <c r="R48" s="18" t="s">
        <v>203</v>
      </c>
      <c r="S48" s="6" t="b">
        <f t="shared" si="28"/>
        <v>0</v>
      </c>
      <c r="T48" s="17">
        <v>4919699</v>
      </c>
      <c r="U48" s="5" t="b">
        <f t="shared" si="25"/>
        <v>0</v>
      </c>
      <c r="V48" s="17" t="s">
        <v>204</v>
      </c>
      <c r="W48" s="5" t="b">
        <f t="shared" si="26"/>
        <v>0</v>
      </c>
      <c r="X48" s="17" t="s">
        <v>32</v>
      </c>
      <c r="Y48" s="5" t="b">
        <f t="shared" si="27"/>
        <v>1</v>
      </c>
    </row>
    <row r="49" spans="1:26" x14ac:dyDescent="0.25">
      <c r="A49" s="11"/>
      <c r="B49" s="11"/>
      <c r="C49" s="12"/>
      <c r="D49" s="16">
        <f>SUM(D3:D48)</f>
        <v>19441.100000000009</v>
      </c>
      <c r="E49" s="15"/>
      <c r="F49" s="14">
        <f>SUM(F3:F48)</f>
        <v>7776.44</v>
      </c>
      <c r="G49" s="14">
        <f>SUM(G3:G48)</f>
        <v>7776.44</v>
      </c>
      <c r="H49" s="14">
        <f>SUM(H3:H48)</f>
        <v>0</v>
      </c>
      <c r="I49" s="12"/>
      <c r="J49" s="13"/>
      <c r="K49" s="12"/>
      <c r="L49" s="12"/>
      <c r="M49" s="12"/>
      <c r="N49" s="11"/>
      <c r="P49" s="17"/>
      <c r="Q49" s="17"/>
      <c r="R49" s="18"/>
      <c r="S49" s="18"/>
      <c r="T49" s="17"/>
      <c r="U49" s="17"/>
      <c r="V49" s="17"/>
      <c r="W49" s="17"/>
      <c r="X49" s="17"/>
      <c r="Y49" s="17"/>
      <c r="Z49" s="17"/>
    </row>
    <row r="50" spans="1:26" x14ac:dyDescent="0.25">
      <c r="B50" s="6"/>
      <c r="C50" s="8"/>
      <c r="D50" s="5"/>
      <c r="E50" s="64"/>
      <c r="F50" s="7"/>
      <c r="G50" s="7"/>
      <c r="H50" s="7"/>
      <c r="J50" s="6"/>
      <c r="L50" s="5"/>
      <c r="M50" s="5"/>
      <c r="P50" s="17"/>
      <c r="Q50" s="17"/>
      <c r="R50" s="18"/>
      <c r="S50" s="18"/>
      <c r="T50" s="17"/>
      <c r="U50" s="17"/>
      <c r="V50" s="17"/>
      <c r="W50" s="17"/>
      <c r="X50" s="17"/>
      <c r="Y50" s="17"/>
      <c r="Z50" s="17"/>
    </row>
    <row r="51" spans="1:26" x14ac:dyDescent="0.25">
      <c r="B51" s="6"/>
      <c r="C51" s="8"/>
      <c r="D51" s="5"/>
      <c r="E51" s="10"/>
      <c r="F51" s="6"/>
      <c r="G51" s="107">
        <f>G49/F49</f>
        <v>1</v>
      </c>
      <c r="H51" s="6"/>
      <c r="I51" s="7"/>
      <c r="J51" s="6"/>
      <c r="M51" s="5"/>
      <c r="P51" s="17"/>
      <c r="Q51" s="17"/>
      <c r="R51" s="18"/>
      <c r="S51" s="18"/>
      <c r="T51" s="17"/>
      <c r="U51" s="17"/>
      <c r="V51" s="17"/>
      <c r="W51" s="17"/>
      <c r="X51" s="17"/>
      <c r="Y51" s="17"/>
      <c r="Z51" s="17"/>
    </row>
    <row r="52" spans="1:26" x14ac:dyDescent="0.25">
      <c r="K52" s="9"/>
      <c r="L52" s="9"/>
      <c r="Z52" s="17"/>
    </row>
    <row r="53" spans="1:26" x14ac:dyDescent="0.25">
      <c r="P53" s="17"/>
      <c r="Q53" s="17"/>
      <c r="R53" s="18"/>
      <c r="S53" s="18"/>
      <c r="T53" s="17"/>
      <c r="U53" s="17"/>
      <c r="V53" s="17"/>
      <c r="W53" s="17"/>
      <c r="X53" s="17"/>
      <c r="Y53" s="17"/>
      <c r="Z53" s="17"/>
    </row>
    <row r="54" spans="1:26" x14ac:dyDescent="0.25">
      <c r="P54" s="17"/>
      <c r="Q54" s="17"/>
      <c r="R54" s="18"/>
      <c r="S54" s="18"/>
      <c r="T54" s="17"/>
      <c r="U54" s="17"/>
      <c r="V54" s="17"/>
      <c r="W54" s="17"/>
      <c r="X54" s="17"/>
      <c r="Y54" s="17"/>
      <c r="Z54" s="17"/>
    </row>
    <row r="55" spans="1:26" ht="21" x14ac:dyDescent="0.35">
      <c r="A55" s="65" t="s">
        <v>205</v>
      </c>
      <c r="B55" s="66" t="s">
        <v>206</v>
      </c>
      <c r="C55" s="65"/>
      <c r="D55" s="67"/>
      <c r="E55" s="65"/>
      <c r="F55" s="4"/>
      <c r="G55" s="4"/>
      <c r="H55" s="4"/>
      <c r="I55" s="4"/>
      <c r="J55" s="68"/>
      <c r="P55" s="17"/>
      <c r="Q55" s="17"/>
      <c r="R55" s="18"/>
      <c r="S55" s="18"/>
      <c r="T55" s="17"/>
      <c r="U55" s="17"/>
      <c r="V55" s="17"/>
      <c r="W55" s="17"/>
      <c r="X55" s="17"/>
      <c r="Y55" s="17"/>
      <c r="Z55" s="17"/>
    </row>
    <row r="56" spans="1:26" ht="15.75" x14ac:dyDescent="0.25">
      <c r="A56" s="4"/>
      <c r="B56" s="4"/>
      <c r="C56" s="4"/>
      <c r="D56" s="69"/>
      <c r="E56" s="4"/>
      <c r="F56" s="4"/>
      <c r="G56" s="4"/>
      <c r="H56" s="4"/>
      <c r="I56" s="4"/>
      <c r="J56" s="68"/>
      <c r="P56" s="17"/>
      <c r="Q56" s="17"/>
      <c r="R56" s="18"/>
      <c r="S56" s="18"/>
      <c r="T56" s="17"/>
      <c r="U56" s="17"/>
      <c r="V56" s="17"/>
      <c r="W56" s="17"/>
      <c r="X56" s="17"/>
      <c r="Y56" s="17"/>
      <c r="Z56" s="17"/>
    </row>
    <row r="57" spans="1:26" ht="15.75" x14ac:dyDescent="0.25">
      <c r="A57" s="70"/>
      <c r="B57" s="70"/>
      <c r="C57" s="70"/>
      <c r="D57" s="71"/>
      <c r="E57" s="70"/>
      <c r="F57" s="70"/>
      <c r="G57" s="70"/>
      <c r="H57" s="70"/>
      <c r="I57" s="70"/>
      <c r="J57" s="72"/>
      <c r="P57" s="17"/>
      <c r="Q57" s="17"/>
      <c r="R57" s="18"/>
      <c r="S57" s="18"/>
      <c r="T57" s="17"/>
      <c r="U57" s="17"/>
      <c r="V57" s="17"/>
      <c r="W57" s="17"/>
      <c r="X57" s="17"/>
      <c r="Y57" s="17"/>
      <c r="Z57" s="17"/>
    </row>
    <row r="58" spans="1:26" ht="15.75" x14ac:dyDescent="0.25">
      <c r="A58" s="70" t="s">
        <v>207</v>
      </c>
      <c r="B58" s="70"/>
      <c r="C58" s="70"/>
      <c r="D58" s="71"/>
      <c r="E58" s="70" t="s">
        <v>16</v>
      </c>
      <c r="F58" s="70"/>
      <c r="G58" s="70"/>
      <c r="H58" s="70"/>
      <c r="I58" s="70"/>
      <c r="J58" s="72" t="s">
        <v>208</v>
      </c>
      <c r="P58" s="17"/>
      <c r="Q58" s="17"/>
      <c r="R58" s="18"/>
      <c r="S58" s="18"/>
      <c r="T58" s="17"/>
      <c r="U58" s="17"/>
      <c r="V58" s="17"/>
      <c r="W58" s="17"/>
      <c r="X58" s="17"/>
      <c r="Y58" s="17"/>
      <c r="Z58" s="17"/>
    </row>
    <row r="59" spans="1:26" ht="15.75" x14ac:dyDescent="0.25">
      <c r="A59" s="70" t="s">
        <v>209</v>
      </c>
      <c r="B59" s="70"/>
      <c r="C59" s="70"/>
      <c r="D59" s="71"/>
      <c r="E59" s="70" t="s">
        <v>210</v>
      </c>
      <c r="F59" s="70"/>
      <c r="G59" s="70"/>
      <c r="H59" s="70"/>
      <c r="I59" s="70"/>
      <c r="J59" s="72" t="s">
        <v>211</v>
      </c>
      <c r="P59" s="17"/>
      <c r="Q59" s="17"/>
      <c r="R59" s="18"/>
      <c r="S59" s="18"/>
      <c r="T59" s="17"/>
      <c r="U59" s="17"/>
      <c r="V59" s="17"/>
      <c r="W59" s="17"/>
      <c r="X59" s="17"/>
      <c r="Y59" s="17"/>
      <c r="Z59" s="17"/>
    </row>
    <row r="60" spans="1:26" x14ac:dyDescent="0.25">
      <c r="P60" s="17"/>
      <c r="Q60" s="17"/>
      <c r="R60" s="18"/>
      <c r="S60" s="18"/>
      <c r="T60" s="17"/>
      <c r="U60" s="17"/>
      <c r="V60" s="17"/>
      <c r="W60" s="17"/>
      <c r="X60" s="17"/>
      <c r="Y60" s="17"/>
      <c r="Z60" s="17"/>
    </row>
    <row r="61" spans="1:26" x14ac:dyDescent="0.25">
      <c r="P61" s="17"/>
      <c r="Q61" s="17"/>
      <c r="R61" s="18"/>
      <c r="S61" s="18"/>
      <c r="T61" s="17"/>
      <c r="U61" s="17"/>
      <c r="V61" s="17"/>
      <c r="W61" s="17"/>
      <c r="X61" s="17"/>
      <c r="Y61" s="17"/>
      <c r="Z61" s="17"/>
    </row>
    <row r="62" spans="1:26" x14ac:dyDescent="0.25">
      <c r="P62" s="17"/>
      <c r="Q62" s="17"/>
      <c r="R62" s="18"/>
      <c r="S62" s="18"/>
      <c r="T62" s="17"/>
      <c r="U62" s="17"/>
      <c r="V62" s="17"/>
      <c r="W62" s="17"/>
      <c r="X62" s="17"/>
      <c r="Y62" s="17"/>
      <c r="Z62" s="17"/>
    </row>
    <row r="63" spans="1:26" x14ac:dyDescent="0.25">
      <c r="P63" s="17"/>
      <c r="Q63" s="17"/>
      <c r="R63" s="18"/>
      <c r="S63" s="18"/>
      <c r="T63" s="17"/>
      <c r="U63" s="17"/>
      <c r="V63" s="17"/>
      <c r="W63" s="17"/>
      <c r="X63" s="17"/>
      <c r="Y63" s="17"/>
      <c r="Z63" s="17"/>
    </row>
    <row r="64" spans="1:26" x14ac:dyDescent="0.25">
      <c r="P64" s="17"/>
      <c r="Q64" s="17"/>
      <c r="R64" s="18"/>
      <c r="S64" s="18"/>
      <c r="T64" s="17"/>
      <c r="U64" s="17"/>
      <c r="V64" s="17"/>
      <c r="W64" s="17"/>
      <c r="X64" s="17"/>
      <c r="Y64" s="17"/>
    </row>
    <row r="65" spans="16:25" x14ac:dyDescent="0.25">
      <c r="P65" s="17"/>
      <c r="Q65" s="17"/>
      <c r="R65" s="18"/>
      <c r="S65" s="18"/>
      <c r="T65" s="17"/>
      <c r="U65" s="17"/>
      <c r="V65" s="17"/>
      <c r="W65" s="17"/>
      <c r="X65" s="17"/>
      <c r="Y65" s="17"/>
    </row>
    <row r="66" spans="16:25" x14ac:dyDescent="0.25">
      <c r="P66" s="17"/>
      <c r="Q66" s="17"/>
      <c r="R66" s="18"/>
      <c r="S66" s="18"/>
      <c r="T66" s="17"/>
      <c r="U66" s="17"/>
      <c r="V66" s="17"/>
      <c r="W66" s="17"/>
      <c r="X66" s="17"/>
      <c r="Y66" s="17"/>
    </row>
    <row r="67" spans="16:25" x14ac:dyDescent="0.25">
      <c r="P67" s="17"/>
      <c r="Q67" s="17"/>
      <c r="R67" s="18"/>
      <c r="S67" s="18"/>
      <c r="T67" s="17"/>
      <c r="U67" s="17"/>
      <c r="V67" s="17"/>
      <c r="W67" s="17"/>
      <c r="X67" s="17"/>
      <c r="Y67" s="17"/>
    </row>
    <row r="68" spans="16:25" x14ac:dyDescent="0.25">
      <c r="P68" s="17"/>
      <c r="Q68" s="17"/>
      <c r="R68" s="18"/>
      <c r="S68" s="18"/>
      <c r="T68" s="17"/>
      <c r="U68" s="17"/>
      <c r="V68" s="17"/>
      <c r="W68" s="17"/>
      <c r="X68" s="17"/>
      <c r="Y68" s="17"/>
    </row>
  </sheetData>
  <autoFilter ref="A2:N49" xr:uid="{C7575198-ACB6-4B7A-8AEF-AF9F21C53A44}"/>
  <mergeCells count="1">
    <mergeCell ref="A1:N1"/>
  </mergeCells>
  <conditionalFormatting sqref="B9">
    <cfRule type="duplicateValues" dxfId="125" priority="1"/>
  </conditionalFormatting>
  <conditionalFormatting sqref="B10">
    <cfRule type="duplicateValues" dxfId="124" priority="8"/>
  </conditionalFormatting>
  <conditionalFormatting sqref="B12:B13">
    <cfRule type="duplicateValues" dxfId="123" priority="12"/>
  </conditionalFormatting>
  <conditionalFormatting sqref="B21">
    <cfRule type="duplicateValues" dxfId="122" priority="3"/>
  </conditionalFormatting>
  <conditionalFormatting sqref="B22">
    <cfRule type="duplicateValues" dxfId="121" priority="2"/>
  </conditionalFormatting>
  <pageMargins left="0.7" right="0.7" top="0.75" bottom="0.75" header="0.3" footer="0.3"/>
  <pageSetup paperSize="8" scale="87" orientation="landscape" r:id="rId1"/>
  <colBreaks count="1" manualBreakCount="1">
    <brk id="14" max="23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20D2-F22C-4EB7-8141-E87B87B363AD}">
  <dimension ref="A1:T234"/>
  <sheetViews>
    <sheetView view="pageBreakPreview" zoomScale="83" zoomScaleNormal="100" zoomScaleSheetLayoutView="83" workbookViewId="0">
      <pane xSplit="2" ySplit="1" topLeftCell="C202" activePane="bottomRight" state="frozen"/>
      <selection activeCell="I26" sqref="I26"/>
      <selection pane="topRight" activeCell="I26" sqref="I26"/>
      <selection pane="bottomLeft" activeCell="I26" sqref="I26"/>
      <selection pane="bottomRight" activeCell="I224" sqref="I224"/>
    </sheetView>
  </sheetViews>
  <sheetFormatPr defaultColWidth="9" defaultRowHeight="13.5" x14ac:dyDescent="0.25"/>
  <cols>
    <col min="1" max="1" width="7.28515625" style="169" customWidth="1"/>
    <col min="2" max="2" width="8.28515625" style="169" customWidth="1"/>
    <col min="3" max="3" width="56.140625" style="260" bestFit="1" customWidth="1"/>
    <col min="4" max="4" width="13.42578125" style="261" customWidth="1"/>
    <col min="5" max="5" width="12" style="169" customWidth="1"/>
    <col min="6" max="8" width="13.42578125" style="169" customWidth="1"/>
    <col min="9" max="9" width="13.7109375" style="260" customWidth="1"/>
    <col min="10" max="10" width="16.28515625" style="263" customWidth="1"/>
    <col min="11" max="11" width="14.85546875" style="260" customWidth="1"/>
    <col min="12" max="12" width="17.42578125" style="260" customWidth="1"/>
    <col min="13" max="13" width="11.42578125" style="260" bestFit="1" customWidth="1"/>
    <col min="14" max="14" width="12.7109375" style="169" bestFit="1" customWidth="1"/>
    <col min="15" max="15" width="23.5703125" style="169" bestFit="1" customWidth="1"/>
    <col min="16" max="20" width="10.85546875" style="169" bestFit="1" customWidth="1"/>
    <col min="21" max="16384" width="9" style="169"/>
  </cols>
  <sheetData>
    <row r="1" spans="1:16" ht="34.5" customHeight="1" x14ac:dyDescent="0.25">
      <c r="A1" s="652" t="s">
        <v>212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</row>
    <row r="2" spans="1:16" ht="30" customHeight="1" x14ac:dyDescent="0.25">
      <c r="A2" s="170" t="s">
        <v>1</v>
      </c>
      <c r="B2" s="170" t="s">
        <v>2</v>
      </c>
      <c r="C2" s="171" t="s">
        <v>3</v>
      </c>
      <c r="D2" s="172" t="s">
        <v>4</v>
      </c>
      <c r="E2" s="170" t="s">
        <v>5</v>
      </c>
      <c r="F2" s="170" t="s">
        <v>6</v>
      </c>
      <c r="G2" s="170" t="s">
        <v>7</v>
      </c>
      <c r="H2" s="170" t="s">
        <v>19</v>
      </c>
      <c r="I2" s="171" t="s">
        <v>9</v>
      </c>
      <c r="J2" s="171" t="s">
        <v>20</v>
      </c>
      <c r="K2" s="171" t="s">
        <v>21</v>
      </c>
      <c r="L2" s="171" t="s">
        <v>22</v>
      </c>
      <c r="M2" s="171" t="s">
        <v>23</v>
      </c>
      <c r="N2" s="170" t="s">
        <v>10</v>
      </c>
    </row>
    <row r="3" spans="1:16" ht="21.75" customHeight="1" x14ac:dyDescent="0.25">
      <c r="A3" s="173">
        <v>1</v>
      </c>
      <c r="B3" s="174">
        <v>1001</v>
      </c>
      <c r="C3" s="175" t="s">
        <v>95</v>
      </c>
      <c r="D3" s="176">
        <v>340.5</v>
      </c>
      <c r="E3" s="177">
        <v>0.4</v>
      </c>
      <c r="F3" s="149">
        <f>D3*E3</f>
        <v>136.20000000000002</v>
      </c>
      <c r="G3" s="149">
        <f>F3</f>
        <v>136.20000000000002</v>
      </c>
      <c r="H3" s="149">
        <f>F3-G3</f>
        <v>0</v>
      </c>
      <c r="I3" s="178">
        <v>2130934</v>
      </c>
      <c r="J3" s="179" t="s">
        <v>96</v>
      </c>
      <c r="K3" s="178" t="s">
        <v>31</v>
      </c>
      <c r="L3" s="178" t="s">
        <v>32</v>
      </c>
      <c r="M3" s="178">
        <v>92911133</v>
      </c>
      <c r="N3" s="180"/>
    </row>
    <row r="4" spans="1:16" ht="21.75" customHeight="1" x14ac:dyDescent="0.25">
      <c r="A4" s="141">
        <v>2</v>
      </c>
      <c r="B4" s="158">
        <v>1007</v>
      </c>
      <c r="C4" s="143" t="s">
        <v>213</v>
      </c>
      <c r="D4" s="181">
        <v>1844</v>
      </c>
      <c r="E4" s="182">
        <v>0.4</v>
      </c>
      <c r="F4" s="149">
        <f t="shared" ref="F4:F67" si="0">D4*E4</f>
        <v>737.6</v>
      </c>
      <c r="G4" s="149">
        <f>736.13+1.47</f>
        <v>737.6</v>
      </c>
      <c r="H4" s="149">
        <f t="shared" ref="H4:H67" si="1">F4-G4</f>
        <v>0</v>
      </c>
      <c r="I4" s="159">
        <v>1515504</v>
      </c>
      <c r="J4" s="159" t="s">
        <v>214</v>
      </c>
      <c r="K4" s="144" t="s">
        <v>71</v>
      </c>
      <c r="L4" s="144" t="s">
        <v>72</v>
      </c>
      <c r="M4" s="183">
        <v>91748840</v>
      </c>
      <c r="N4" s="145">
        <v>45595</v>
      </c>
      <c r="O4" s="184">
        <v>45614</v>
      </c>
    </row>
    <row r="5" spans="1:16" s="187" customFormat="1" ht="21.75" customHeight="1" x14ac:dyDescent="0.25">
      <c r="A5" s="141">
        <v>3</v>
      </c>
      <c r="B5" s="158">
        <v>1028</v>
      </c>
      <c r="C5" s="143" t="s">
        <v>215</v>
      </c>
      <c r="D5" s="185">
        <v>400.3</v>
      </c>
      <c r="E5" s="182">
        <v>0.4</v>
      </c>
      <c r="F5" s="182">
        <f t="shared" si="0"/>
        <v>160.12</v>
      </c>
      <c r="G5" s="182">
        <f>160.05+0.07</f>
        <v>160.12</v>
      </c>
      <c r="H5" s="186">
        <f t="shared" si="1"/>
        <v>0</v>
      </c>
      <c r="I5" s="144">
        <v>802875</v>
      </c>
      <c r="J5" s="159" t="s">
        <v>216</v>
      </c>
      <c r="K5" s="144" t="s">
        <v>31</v>
      </c>
      <c r="L5" s="144" t="s">
        <v>32</v>
      </c>
      <c r="M5" s="144">
        <v>99498677</v>
      </c>
      <c r="N5" s="145">
        <v>45593</v>
      </c>
    </row>
    <row r="6" spans="1:16" ht="21.75" customHeight="1" x14ac:dyDescent="0.25">
      <c r="A6" s="141">
        <v>4</v>
      </c>
      <c r="B6" s="142">
        <v>1033</v>
      </c>
      <c r="C6" s="143" t="s">
        <v>217</v>
      </c>
      <c r="D6" s="185">
        <v>810</v>
      </c>
      <c r="E6" s="182">
        <v>0.4</v>
      </c>
      <c r="F6" s="149">
        <f t="shared" si="0"/>
        <v>324</v>
      </c>
      <c r="G6" s="149">
        <f>319.28+4.72</f>
        <v>324</v>
      </c>
      <c r="H6" s="149">
        <f t="shared" si="1"/>
        <v>0</v>
      </c>
      <c r="I6" s="144">
        <v>10132435</v>
      </c>
      <c r="J6" s="159" t="s">
        <v>218</v>
      </c>
      <c r="K6" s="144" t="s">
        <v>52</v>
      </c>
      <c r="L6" s="144" t="s">
        <v>53</v>
      </c>
      <c r="M6" s="144">
        <v>92268168</v>
      </c>
      <c r="N6" s="188" t="s">
        <v>219</v>
      </c>
      <c r="O6" s="184">
        <v>45567</v>
      </c>
      <c r="P6" s="184">
        <v>45601</v>
      </c>
    </row>
    <row r="7" spans="1:16" ht="21.75" customHeight="1" x14ac:dyDescent="0.25">
      <c r="A7" s="173">
        <v>5</v>
      </c>
      <c r="B7" s="189">
        <v>1040</v>
      </c>
      <c r="C7" s="175" t="s">
        <v>11</v>
      </c>
      <c r="D7" s="190">
        <v>331</v>
      </c>
      <c r="E7" s="177">
        <v>0.4</v>
      </c>
      <c r="F7" s="149">
        <f t="shared" si="0"/>
        <v>132.4</v>
      </c>
      <c r="G7" s="149">
        <f>F7</f>
        <v>132.4</v>
      </c>
      <c r="H7" s="149">
        <f t="shared" si="1"/>
        <v>0</v>
      </c>
      <c r="I7" s="178">
        <v>25082374</v>
      </c>
      <c r="J7" s="179" t="s">
        <v>220</v>
      </c>
      <c r="K7" s="178" t="s">
        <v>31</v>
      </c>
      <c r="L7" s="178" t="s">
        <v>32</v>
      </c>
      <c r="M7" s="178">
        <v>99816344</v>
      </c>
      <c r="N7" s="180"/>
    </row>
    <row r="8" spans="1:16" ht="21.75" customHeight="1" x14ac:dyDescent="0.25">
      <c r="A8" s="173">
        <v>6</v>
      </c>
      <c r="B8" s="189">
        <v>1044</v>
      </c>
      <c r="C8" s="175" t="s">
        <v>221</v>
      </c>
      <c r="D8" s="190">
        <v>405</v>
      </c>
      <c r="E8" s="177">
        <v>0.4</v>
      </c>
      <c r="F8" s="149">
        <f t="shared" si="0"/>
        <v>162</v>
      </c>
      <c r="G8" s="149">
        <f t="shared" ref="G8:G10" si="2">F8</f>
        <v>162</v>
      </c>
      <c r="H8" s="149">
        <f t="shared" si="1"/>
        <v>0</v>
      </c>
      <c r="I8" s="178">
        <v>81904</v>
      </c>
      <c r="J8" s="179" t="s">
        <v>222</v>
      </c>
      <c r="K8" s="178" t="s">
        <v>31</v>
      </c>
      <c r="L8" s="178" t="s">
        <v>32</v>
      </c>
      <c r="M8" s="178">
        <v>99494120</v>
      </c>
      <c r="N8" s="180"/>
    </row>
    <row r="9" spans="1:16" s="187" customFormat="1" ht="21.75" customHeight="1" x14ac:dyDescent="0.25">
      <c r="A9" s="173">
        <v>7</v>
      </c>
      <c r="B9" s="189">
        <v>1080</v>
      </c>
      <c r="C9" s="175" t="s">
        <v>223</v>
      </c>
      <c r="D9" s="190">
        <v>354.1</v>
      </c>
      <c r="E9" s="177">
        <v>0.4</v>
      </c>
      <c r="F9" s="149">
        <f t="shared" si="0"/>
        <v>141.64000000000001</v>
      </c>
      <c r="G9" s="149">
        <f t="shared" si="2"/>
        <v>141.64000000000001</v>
      </c>
      <c r="H9" s="149">
        <f t="shared" si="1"/>
        <v>0</v>
      </c>
      <c r="I9" s="178">
        <v>78762</v>
      </c>
      <c r="J9" s="179" t="s">
        <v>224</v>
      </c>
      <c r="K9" s="178" t="s">
        <v>31</v>
      </c>
      <c r="L9" s="178" t="s">
        <v>32</v>
      </c>
      <c r="M9" s="178">
        <v>92440088</v>
      </c>
      <c r="N9" s="180"/>
    </row>
    <row r="10" spans="1:16" s="187" customFormat="1" ht="21.75" customHeight="1" x14ac:dyDescent="0.25">
      <c r="A10" s="173">
        <v>8</v>
      </c>
      <c r="B10" s="189">
        <v>1089</v>
      </c>
      <c r="C10" s="191" t="s">
        <v>225</v>
      </c>
      <c r="D10" s="190">
        <v>641</v>
      </c>
      <c r="E10" s="177">
        <v>0.4</v>
      </c>
      <c r="F10" s="149">
        <f t="shared" si="0"/>
        <v>256.40000000000003</v>
      </c>
      <c r="G10" s="149">
        <f t="shared" si="2"/>
        <v>256.40000000000003</v>
      </c>
      <c r="H10" s="149">
        <f t="shared" si="1"/>
        <v>0</v>
      </c>
      <c r="I10" s="178">
        <v>892683</v>
      </c>
      <c r="J10" s="178" t="s">
        <v>226</v>
      </c>
      <c r="K10" s="178" t="s">
        <v>26</v>
      </c>
      <c r="L10" s="178" t="s">
        <v>27</v>
      </c>
      <c r="M10" s="178">
        <v>99506162</v>
      </c>
      <c r="N10" s="192"/>
    </row>
    <row r="11" spans="1:16" s="187" customFormat="1" ht="21.75" customHeight="1" x14ac:dyDescent="0.25">
      <c r="A11" s="141">
        <v>9</v>
      </c>
      <c r="B11" s="142">
        <v>1096</v>
      </c>
      <c r="C11" s="143" t="s">
        <v>227</v>
      </c>
      <c r="D11" s="185">
        <v>607.9</v>
      </c>
      <c r="E11" s="182">
        <v>0.4</v>
      </c>
      <c r="F11" s="149">
        <f t="shared" si="0"/>
        <v>243.16</v>
      </c>
      <c r="G11" s="149">
        <f>242.43+0.73</f>
        <v>243.16</v>
      </c>
      <c r="H11" s="149">
        <f t="shared" si="1"/>
        <v>0</v>
      </c>
      <c r="I11" s="144">
        <v>1959918</v>
      </c>
      <c r="J11" s="144" t="s">
        <v>228</v>
      </c>
      <c r="K11" s="144" t="s">
        <v>71</v>
      </c>
      <c r="L11" s="144" t="s">
        <v>72</v>
      </c>
      <c r="M11" s="144">
        <v>92699781</v>
      </c>
      <c r="N11" s="193">
        <v>45593</v>
      </c>
      <c r="O11" s="194">
        <v>45609</v>
      </c>
    </row>
    <row r="12" spans="1:16" s="187" customFormat="1" ht="21.75" customHeight="1" x14ac:dyDescent="0.25">
      <c r="A12" s="173">
        <v>10</v>
      </c>
      <c r="B12" s="189">
        <v>1106</v>
      </c>
      <c r="C12" s="175" t="s">
        <v>24</v>
      </c>
      <c r="D12" s="190">
        <v>1188</v>
      </c>
      <c r="E12" s="177">
        <v>0.4</v>
      </c>
      <c r="F12" s="149">
        <f t="shared" si="0"/>
        <v>475.20000000000005</v>
      </c>
      <c r="G12" s="149">
        <f>F12</f>
        <v>475.20000000000005</v>
      </c>
      <c r="H12" s="149">
        <f t="shared" si="1"/>
        <v>0</v>
      </c>
      <c r="I12" s="178">
        <v>5502751</v>
      </c>
      <c r="J12" s="178" t="s">
        <v>25</v>
      </c>
      <c r="K12" s="178" t="s">
        <v>26</v>
      </c>
      <c r="L12" s="178" t="s">
        <v>27</v>
      </c>
      <c r="M12" s="178">
        <v>99270001</v>
      </c>
      <c r="N12" s="180"/>
    </row>
    <row r="13" spans="1:16" ht="21.75" customHeight="1" x14ac:dyDescent="0.25">
      <c r="A13" s="141">
        <v>11</v>
      </c>
      <c r="B13" s="142">
        <v>1110</v>
      </c>
      <c r="C13" s="143" t="s">
        <v>229</v>
      </c>
      <c r="D13" s="185">
        <v>621</v>
      </c>
      <c r="E13" s="182">
        <v>0.4</v>
      </c>
      <c r="F13" s="149">
        <f t="shared" si="0"/>
        <v>248.4</v>
      </c>
      <c r="G13" s="149">
        <f>F13</f>
        <v>248.4</v>
      </c>
      <c r="H13" s="149">
        <f t="shared" si="1"/>
        <v>0</v>
      </c>
      <c r="I13" s="144">
        <v>934298</v>
      </c>
      <c r="J13" s="144" t="s">
        <v>230</v>
      </c>
      <c r="K13" s="144" t="s">
        <v>31</v>
      </c>
      <c r="L13" s="144" t="s">
        <v>32</v>
      </c>
      <c r="M13" s="144">
        <v>92811415</v>
      </c>
      <c r="N13" s="145">
        <v>45607</v>
      </c>
    </row>
    <row r="14" spans="1:16" ht="21.75" customHeight="1" x14ac:dyDescent="0.25">
      <c r="A14" s="173">
        <v>12</v>
      </c>
      <c r="B14" s="189">
        <v>1111</v>
      </c>
      <c r="C14" s="175" t="s">
        <v>231</v>
      </c>
      <c r="D14" s="190">
        <v>711</v>
      </c>
      <c r="E14" s="177">
        <v>0.4</v>
      </c>
      <c r="F14" s="149">
        <f t="shared" si="0"/>
        <v>284.40000000000003</v>
      </c>
      <c r="G14" s="149">
        <f>F14</f>
        <v>284.40000000000003</v>
      </c>
      <c r="H14" s="149">
        <f t="shared" si="1"/>
        <v>0</v>
      </c>
      <c r="I14" s="178">
        <v>15571992</v>
      </c>
      <c r="J14" s="179" t="s">
        <v>232</v>
      </c>
      <c r="K14" s="178" t="s">
        <v>52</v>
      </c>
      <c r="L14" s="178" t="s">
        <v>53</v>
      </c>
      <c r="M14" s="178">
        <v>92708951</v>
      </c>
      <c r="N14" s="180"/>
    </row>
    <row r="15" spans="1:16" ht="21.75" customHeight="1" x14ac:dyDescent="0.25">
      <c r="A15" s="173">
        <v>13</v>
      </c>
      <c r="B15" s="189">
        <v>1119</v>
      </c>
      <c r="C15" s="191" t="s">
        <v>233</v>
      </c>
      <c r="D15" s="190">
        <v>510</v>
      </c>
      <c r="E15" s="177">
        <v>0.4</v>
      </c>
      <c r="F15" s="149">
        <f t="shared" si="0"/>
        <v>204</v>
      </c>
      <c r="G15" s="149">
        <f>F15</f>
        <v>204</v>
      </c>
      <c r="H15" s="149">
        <f t="shared" si="1"/>
        <v>0</v>
      </c>
      <c r="I15" s="178">
        <v>24000245</v>
      </c>
      <c r="J15" s="178" t="s">
        <v>234</v>
      </c>
      <c r="K15" s="178" t="s">
        <v>31</v>
      </c>
      <c r="L15" s="178" t="s">
        <v>32</v>
      </c>
      <c r="M15" s="178">
        <v>90911369</v>
      </c>
      <c r="N15" s="192"/>
    </row>
    <row r="16" spans="1:16" ht="21.75" customHeight="1" x14ac:dyDescent="0.25">
      <c r="A16" s="141">
        <v>14</v>
      </c>
      <c r="B16" s="142">
        <v>1122</v>
      </c>
      <c r="C16" s="143" t="s">
        <v>98</v>
      </c>
      <c r="D16" s="185">
        <v>367.7</v>
      </c>
      <c r="E16" s="182">
        <v>0.4</v>
      </c>
      <c r="F16" s="149">
        <f t="shared" si="0"/>
        <v>147.08000000000001</v>
      </c>
      <c r="G16" s="149">
        <f>F16</f>
        <v>147.08000000000001</v>
      </c>
      <c r="H16" s="149">
        <f t="shared" si="1"/>
        <v>0</v>
      </c>
      <c r="I16" s="144">
        <v>5219876</v>
      </c>
      <c r="J16" s="144" t="s">
        <v>99</v>
      </c>
      <c r="K16" s="144" t="s">
        <v>31</v>
      </c>
      <c r="L16" s="144" t="s">
        <v>32</v>
      </c>
      <c r="M16" s="144">
        <v>99066779</v>
      </c>
      <c r="N16" s="145">
        <v>45621</v>
      </c>
    </row>
    <row r="17" spans="1:15" ht="21.75" customHeight="1" x14ac:dyDescent="0.25">
      <c r="A17" s="141">
        <v>15</v>
      </c>
      <c r="B17" s="142">
        <v>1135</v>
      </c>
      <c r="C17" s="143" t="s">
        <v>101</v>
      </c>
      <c r="D17" s="185">
        <v>729</v>
      </c>
      <c r="E17" s="182">
        <v>0.4</v>
      </c>
      <c r="F17" s="149">
        <f t="shared" si="0"/>
        <v>291.60000000000002</v>
      </c>
      <c r="G17" s="149">
        <f>290.07+1.53</f>
        <v>291.59999999999997</v>
      </c>
      <c r="H17" s="149">
        <f t="shared" si="1"/>
        <v>0</v>
      </c>
      <c r="I17" s="144">
        <v>19202954</v>
      </c>
      <c r="J17" s="159" t="s">
        <v>102</v>
      </c>
      <c r="K17" s="144" t="s">
        <v>52</v>
      </c>
      <c r="L17" s="144" t="s">
        <v>53</v>
      </c>
      <c r="M17" s="144">
        <v>92771786</v>
      </c>
      <c r="N17" s="145">
        <v>45601</v>
      </c>
      <c r="O17" s="184">
        <v>45628</v>
      </c>
    </row>
    <row r="18" spans="1:15" ht="21.75" customHeight="1" x14ac:dyDescent="0.25">
      <c r="A18" s="141">
        <v>16</v>
      </c>
      <c r="B18" s="142">
        <v>1141</v>
      </c>
      <c r="C18" s="143" t="s">
        <v>235</v>
      </c>
      <c r="D18" s="185">
        <v>746.7</v>
      </c>
      <c r="E18" s="182">
        <v>0.4</v>
      </c>
      <c r="F18" s="149">
        <f t="shared" si="0"/>
        <v>298.68</v>
      </c>
      <c r="G18" s="149">
        <f>298.14+0.54</f>
        <v>298.68</v>
      </c>
      <c r="H18" s="149">
        <f t="shared" si="1"/>
        <v>0</v>
      </c>
      <c r="I18" s="144">
        <v>11753992</v>
      </c>
      <c r="J18" s="159" t="s">
        <v>236</v>
      </c>
      <c r="K18" s="144" t="s">
        <v>31</v>
      </c>
      <c r="L18" s="144" t="s">
        <v>32</v>
      </c>
      <c r="M18" s="144">
        <v>99205960</v>
      </c>
      <c r="N18" s="145">
        <v>45575</v>
      </c>
      <c r="O18" s="184">
        <v>45609</v>
      </c>
    </row>
    <row r="19" spans="1:15" ht="21.75" customHeight="1" x14ac:dyDescent="0.25">
      <c r="A19" s="173">
        <v>17</v>
      </c>
      <c r="B19" s="189">
        <v>1154</v>
      </c>
      <c r="C19" s="178" t="s">
        <v>237</v>
      </c>
      <c r="D19" s="190">
        <v>1058.0999999999999</v>
      </c>
      <c r="E19" s="177">
        <v>0.4</v>
      </c>
      <c r="F19" s="149">
        <f t="shared" si="0"/>
        <v>423.24</v>
      </c>
      <c r="G19" s="149">
        <f>F19</f>
        <v>423.24</v>
      </c>
      <c r="H19" s="149">
        <f t="shared" si="1"/>
        <v>0</v>
      </c>
      <c r="I19" s="195">
        <v>18654817</v>
      </c>
      <c r="J19" s="179" t="s">
        <v>238</v>
      </c>
      <c r="K19" s="178" t="s">
        <v>31</v>
      </c>
      <c r="L19" s="178" t="s">
        <v>32</v>
      </c>
      <c r="M19" s="178">
        <v>98887846</v>
      </c>
      <c r="N19" s="180"/>
    </row>
    <row r="20" spans="1:15" ht="21.75" customHeight="1" x14ac:dyDescent="0.25">
      <c r="A20" s="141">
        <v>18</v>
      </c>
      <c r="B20" s="142">
        <v>1161</v>
      </c>
      <c r="C20" s="143" t="s">
        <v>239</v>
      </c>
      <c r="D20" s="185">
        <v>405</v>
      </c>
      <c r="E20" s="182">
        <v>0.4</v>
      </c>
      <c r="F20" s="182">
        <f t="shared" si="0"/>
        <v>162</v>
      </c>
      <c r="G20" s="182">
        <f>160.05+1.95</f>
        <v>162</v>
      </c>
      <c r="H20" s="182">
        <f t="shared" si="1"/>
        <v>0</v>
      </c>
      <c r="I20" s="144">
        <v>257926</v>
      </c>
      <c r="J20" s="159" t="s">
        <v>240</v>
      </c>
      <c r="K20" s="144" t="s">
        <v>71</v>
      </c>
      <c r="L20" s="144" t="s">
        <v>72</v>
      </c>
      <c r="M20" s="144">
        <v>99589267</v>
      </c>
      <c r="N20" s="145">
        <v>45601</v>
      </c>
      <c r="O20" s="184">
        <v>45718</v>
      </c>
    </row>
    <row r="21" spans="1:15" ht="21.75" customHeight="1" x14ac:dyDescent="0.25">
      <c r="A21" s="173">
        <v>19</v>
      </c>
      <c r="B21" s="189">
        <v>1168</v>
      </c>
      <c r="C21" s="175" t="s">
        <v>241</v>
      </c>
      <c r="D21" s="190">
        <v>645</v>
      </c>
      <c r="E21" s="177">
        <v>0.4</v>
      </c>
      <c r="F21" s="149">
        <f t="shared" si="0"/>
        <v>258</v>
      </c>
      <c r="G21" s="149">
        <f>F21</f>
        <v>258</v>
      </c>
      <c r="H21" s="149">
        <f t="shared" si="1"/>
        <v>0</v>
      </c>
      <c r="I21" s="178">
        <v>15498714</v>
      </c>
      <c r="J21" s="179" t="s">
        <v>242</v>
      </c>
      <c r="K21" s="178" t="s">
        <v>121</v>
      </c>
      <c r="L21" s="178" t="s">
        <v>122</v>
      </c>
      <c r="M21" s="178">
        <v>99292524</v>
      </c>
      <c r="N21" s="180"/>
    </row>
    <row r="22" spans="1:15" ht="21.75" customHeight="1" x14ac:dyDescent="0.25">
      <c r="A22" s="173">
        <v>20</v>
      </c>
      <c r="B22" s="189">
        <v>1177</v>
      </c>
      <c r="C22" s="191" t="s">
        <v>243</v>
      </c>
      <c r="D22" s="190">
        <v>430</v>
      </c>
      <c r="E22" s="177">
        <v>0.4</v>
      </c>
      <c r="F22" s="149">
        <f t="shared" si="0"/>
        <v>172</v>
      </c>
      <c r="G22" s="149">
        <f>F22</f>
        <v>172</v>
      </c>
      <c r="H22" s="149">
        <f t="shared" si="1"/>
        <v>0</v>
      </c>
      <c r="I22" s="178">
        <v>219353</v>
      </c>
      <c r="J22" s="179" t="s">
        <v>244</v>
      </c>
      <c r="K22" s="178" t="s">
        <v>52</v>
      </c>
      <c r="L22" s="178" t="s">
        <v>53</v>
      </c>
      <c r="M22" s="196">
        <v>99485534</v>
      </c>
      <c r="N22" s="192"/>
    </row>
    <row r="23" spans="1:15" ht="21.75" customHeight="1" x14ac:dyDescent="0.25">
      <c r="A23" s="141">
        <v>21</v>
      </c>
      <c r="B23" s="142">
        <v>1178</v>
      </c>
      <c r="C23" s="143" t="s">
        <v>245</v>
      </c>
      <c r="D23" s="185">
        <v>753.5</v>
      </c>
      <c r="E23" s="182">
        <v>0.4</v>
      </c>
      <c r="F23" s="149">
        <f t="shared" si="0"/>
        <v>301.40000000000003</v>
      </c>
      <c r="G23" s="149">
        <f>296.86+4.54</f>
        <v>301.40000000000003</v>
      </c>
      <c r="H23" s="149">
        <f t="shared" si="1"/>
        <v>0</v>
      </c>
      <c r="I23" s="157">
        <v>970872</v>
      </c>
      <c r="J23" s="157" t="s">
        <v>246</v>
      </c>
      <c r="K23" s="157" t="s">
        <v>26</v>
      </c>
      <c r="L23" s="157" t="s">
        <v>27</v>
      </c>
      <c r="M23" s="157">
        <v>99485535</v>
      </c>
      <c r="N23" s="145">
        <v>45567</v>
      </c>
      <c r="O23" s="184">
        <v>45607</v>
      </c>
    </row>
    <row r="24" spans="1:15" ht="21.75" customHeight="1" x14ac:dyDescent="0.25">
      <c r="A24" s="141">
        <v>22</v>
      </c>
      <c r="B24" s="142">
        <v>1224</v>
      </c>
      <c r="C24" s="143" t="s">
        <v>247</v>
      </c>
      <c r="D24" s="185">
        <v>827.1</v>
      </c>
      <c r="E24" s="182">
        <v>0.4</v>
      </c>
      <c r="F24" s="182">
        <f t="shared" si="0"/>
        <v>330.84000000000003</v>
      </c>
      <c r="G24" s="182">
        <f>329.8+1.04</f>
        <v>330.84000000000003</v>
      </c>
      <c r="H24" s="182">
        <f t="shared" si="1"/>
        <v>0</v>
      </c>
      <c r="I24" s="144">
        <v>24911691</v>
      </c>
      <c r="J24" s="197" t="s">
        <v>248</v>
      </c>
      <c r="K24" s="144" t="s">
        <v>31</v>
      </c>
      <c r="L24" s="144" t="s">
        <v>32</v>
      </c>
      <c r="M24" s="144">
        <v>99192216</v>
      </c>
      <c r="N24" s="145">
        <v>45595</v>
      </c>
      <c r="O24" s="184">
        <v>45644</v>
      </c>
    </row>
    <row r="25" spans="1:15" s="187" customFormat="1" ht="21.75" customHeight="1" x14ac:dyDescent="0.25">
      <c r="A25" s="173">
        <v>23</v>
      </c>
      <c r="B25" s="189">
        <v>1225</v>
      </c>
      <c r="C25" s="175" t="s">
        <v>249</v>
      </c>
      <c r="D25" s="190">
        <v>586.9</v>
      </c>
      <c r="E25" s="177">
        <v>0.4</v>
      </c>
      <c r="F25" s="149">
        <f t="shared" si="0"/>
        <v>234.76</v>
      </c>
      <c r="G25" s="149">
        <f>F25</f>
        <v>234.76</v>
      </c>
      <c r="H25" s="149">
        <f t="shared" si="1"/>
        <v>0</v>
      </c>
      <c r="I25" s="178">
        <v>9642357</v>
      </c>
      <c r="J25" s="198" t="s">
        <v>250</v>
      </c>
      <c r="K25" s="178" t="s">
        <v>251</v>
      </c>
      <c r="L25" s="178" t="s">
        <v>252</v>
      </c>
      <c r="M25" s="178">
        <v>99777877</v>
      </c>
      <c r="N25" s="180"/>
    </row>
    <row r="26" spans="1:15" s="202" customFormat="1" ht="21.75" customHeight="1" x14ac:dyDescent="0.25">
      <c r="A26" s="141">
        <v>24</v>
      </c>
      <c r="B26" s="142">
        <v>1235</v>
      </c>
      <c r="C26" s="199" t="s">
        <v>253</v>
      </c>
      <c r="D26" s="185">
        <v>783</v>
      </c>
      <c r="E26" s="182">
        <v>0.4</v>
      </c>
      <c r="F26" s="149">
        <f t="shared" si="0"/>
        <v>313.20000000000005</v>
      </c>
      <c r="G26" s="149">
        <f>312.66+0.54</f>
        <v>313.20000000000005</v>
      </c>
      <c r="H26" s="149">
        <f t="shared" si="1"/>
        <v>0</v>
      </c>
      <c r="I26" s="155">
        <v>1992436</v>
      </c>
      <c r="J26" s="200" t="s">
        <v>254</v>
      </c>
      <c r="K26" s="201" t="s">
        <v>90</v>
      </c>
      <c r="L26" s="144" t="s">
        <v>32</v>
      </c>
      <c r="M26" s="201">
        <v>99484668</v>
      </c>
      <c r="N26" s="145">
        <v>45586</v>
      </c>
    </row>
    <row r="27" spans="1:15" ht="21.75" customHeight="1" x14ac:dyDescent="0.25">
      <c r="A27" s="141">
        <v>25</v>
      </c>
      <c r="B27" s="142">
        <v>1241</v>
      </c>
      <c r="C27" s="143" t="s">
        <v>255</v>
      </c>
      <c r="D27" s="185">
        <v>652.20000000000005</v>
      </c>
      <c r="E27" s="182">
        <v>0.4</v>
      </c>
      <c r="F27" s="149">
        <f t="shared" si="0"/>
        <v>260.88000000000005</v>
      </c>
      <c r="G27" s="149">
        <f>258.07+2.81</f>
        <v>260.88</v>
      </c>
      <c r="H27" s="149">
        <f t="shared" si="1"/>
        <v>0</v>
      </c>
      <c r="I27" s="144">
        <v>5343254</v>
      </c>
      <c r="J27" s="144" t="s">
        <v>256</v>
      </c>
      <c r="K27" s="144" t="s">
        <v>31</v>
      </c>
      <c r="L27" s="144" t="s">
        <v>32</v>
      </c>
      <c r="M27" s="144">
        <v>98964664</v>
      </c>
      <c r="N27" s="145">
        <v>45567</v>
      </c>
      <c r="O27" s="193" t="s">
        <v>257</v>
      </c>
    </row>
    <row r="28" spans="1:15" ht="21.75" customHeight="1" x14ac:dyDescent="0.25">
      <c r="A28" s="141">
        <v>26</v>
      </c>
      <c r="B28" s="142">
        <v>1247</v>
      </c>
      <c r="C28" s="143" t="s">
        <v>103</v>
      </c>
      <c r="D28" s="185">
        <v>648</v>
      </c>
      <c r="E28" s="182">
        <v>0.4</v>
      </c>
      <c r="F28" s="182">
        <f t="shared" si="0"/>
        <v>259.2</v>
      </c>
      <c r="G28" s="182">
        <f>259.05+0.15</f>
        <v>259.2</v>
      </c>
      <c r="H28" s="182">
        <f t="shared" si="1"/>
        <v>0</v>
      </c>
      <c r="I28" s="144">
        <v>4748561</v>
      </c>
      <c r="J28" s="159" t="s">
        <v>104</v>
      </c>
      <c r="K28" s="144" t="s">
        <v>52</v>
      </c>
      <c r="L28" s="144" t="s">
        <v>53</v>
      </c>
      <c r="M28" s="144">
        <v>92345282</v>
      </c>
      <c r="N28" s="145">
        <v>45637</v>
      </c>
      <c r="O28" s="184">
        <v>45644</v>
      </c>
    </row>
    <row r="29" spans="1:15" ht="21.75" customHeight="1" x14ac:dyDescent="0.25">
      <c r="A29" s="173">
        <v>27</v>
      </c>
      <c r="B29" s="189">
        <v>1252</v>
      </c>
      <c r="C29" s="175" t="s">
        <v>258</v>
      </c>
      <c r="D29" s="190">
        <v>594</v>
      </c>
      <c r="E29" s="177">
        <v>0.4</v>
      </c>
      <c r="F29" s="149">
        <f t="shared" si="0"/>
        <v>237.60000000000002</v>
      </c>
      <c r="G29" s="149">
        <f>F29</f>
        <v>237.60000000000002</v>
      </c>
      <c r="H29" s="149">
        <f t="shared" si="1"/>
        <v>0</v>
      </c>
      <c r="I29" s="178">
        <v>2433959</v>
      </c>
      <c r="J29" s="179" t="s">
        <v>259</v>
      </c>
      <c r="K29" s="178" t="s">
        <v>52</v>
      </c>
      <c r="L29" s="178" t="s">
        <v>53</v>
      </c>
      <c r="M29" s="178">
        <v>93555999</v>
      </c>
      <c r="N29" s="180"/>
    </row>
    <row r="30" spans="1:15" ht="21.75" customHeight="1" x14ac:dyDescent="0.25">
      <c r="A30" s="173">
        <v>28</v>
      </c>
      <c r="B30" s="189">
        <v>1258</v>
      </c>
      <c r="C30" s="175" t="s">
        <v>105</v>
      </c>
      <c r="D30" s="190">
        <v>810</v>
      </c>
      <c r="E30" s="177">
        <v>0.4</v>
      </c>
      <c r="F30" s="149">
        <f t="shared" si="0"/>
        <v>324</v>
      </c>
      <c r="G30" s="149">
        <f>F30</f>
        <v>324</v>
      </c>
      <c r="H30" s="149">
        <f t="shared" si="1"/>
        <v>0</v>
      </c>
      <c r="I30" s="178">
        <v>1924174</v>
      </c>
      <c r="J30" s="178" t="s">
        <v>106</v>
      </c>
      <c r="K30" s="178" t="s">
        <v>52</v>
      </c>
      <c r="L30" s="178" t="s">
        <v>53</v>
      </c>
      <c r="M30" s="178">
        <v>99297990</v>
      </c>
      <c r="N30" s="180"/>
    </row>
    <row r="31" spans="1:15" ht="21.75" customHeight="1" x14ac:dyDescent="0.25">
      <c r="A31" s="141">
        <v>29</v>
      </c>
      <c r="B31" s="142">
        <v>1260</v>
      </c>
      <c r="C31" s="143" t="s">
        <v>260</v>
      </c>
      <c r="D31" s="185">
        <v>756</v>
      </c>
      <c r="E31" s="182">
        <v>0.4</v>
      </c>
      <c r="F31" s="149">
        <f t="shared" si="0"/>
        <v>302.40000000000003</v>
      </c>
      <c r="G31" s="149">
        <f>299.43+2.97</f>
        <v>302.40000000000003</v>
      </c>
      <c r="H31" s="149">
        <f t="shared" si="1"/>
        <v>0</v>
      </c>
      <c r="I31" s="144">
        <v>18363579</v>
      </c>
      <c r="J31" s="203" t="s">
        <v>261</v>
      </c>
      <c r="K31" s="144" t="s">
        <v>52</v>
      </c>
      <c r="L31" s="144" t="s">
        <v>53</v>
      </c>
      <c r="M31" s="144">
        <v>98217444</v>
      </c>
      <c r="N31" s="193">
        <v>45595</v>
      </c>
      <c r="O31" s="193">
        <v>45621</v>
      </c>
    </row>
    <row r="32" spans="1:15" ht="21.75" customHeight="1" x14ac:dyDescent="0.25">
      <c r="A32" s="141">
        <v>30</v>
      </c>
      <c r="B32" s="142">
        <v>1261</v>
      </c>
      <c r="C32" s="144" t="s">
        <v>107</v>
      </c>
      <c r="D32" s="185">
        <v>423.5</v>
      </c>
      <c r="E32" s="182">
        <v>0.4</v>
      </c>
      <c r="F32" s="149">
        <f t="shared" si="0"/>
        <v>169.4</v>
      </c>
      <c r="G32" s="149">
        <f>168.68+0.72</f>
        <v>169.4</v>
      </c>
      <c r="H32" s="149">
        <f t="shared" si="1"/>
        <v>0</v>
      </c>
      <c r="I32" s="144">
        <v>14429332</v>
      </c>
      <c r="J32" s="159" t="s">
        <v>108</v>
      </c>
      <c r="K32" s="144" t="s">
        <v>31</v>
      </c>
      <c r="L32" s="144" t="s">
        <v>32</v>
      </c>
      <c r="M32" s="144">
        <v>92939445</v>
      </c>
      <c r="N32" s="145">
        <v>45607</v>
      </c>
      <c r="O32" s="184">
        <v>45623</v>
      </c>
    </row>
    <row r="33" spans="1:15" ht="21.75" customHeight="1" x14ac:dyDescent="0.25">
      <c r="A33" s="141">
        <v>31</v>
      </c>
      <c r="B33" s="142">
        <v>1268</v>
      </c>
      <c r="C33" s="143" t="s">
        <v>109</v>
      </c>
      <c r="D33" s="185">
        <v>540</v>
      </c>
      <c r="E33" s="182">
        <v>0.4</v>
      </c>
      <c r="F33" s="149">
        <f t="shared" si="0"/>
        <v>216</v>
      </c>
      <c r="G33" s="149">
        <f>212.58+3.42</f>
        <v>216</v>
      </c>
      <c r="H33" s="149">
        <f t="shared" si="1"/>
        <v>0</v>
      </c>
      <c r="I33" s="144">
        <v>722058</v>
      </c>
      <c r="J33" s="159" t="s">
        <v>110</v>
      </c>
      <c r="K33" s="144" t="s">
        <v>31</v>
      </c>
      <c r="L33" s="144" t="s">
        <v>32</v>
      </c>
      <c r="M33" s="144">
        <v>92848609</v>
      </c>
      <c r="N33" s="145">
        <v>45573</v>
      </c>
      <c r="O33" s="184">
        <v>45600</v>
      </c>
    </row>
    <row r="34" spans="1:15" ht="21.75" customHeight="1" x14ac:dyDescent="0.25">
      <c r="A34" s="204">
        <v>32</v>
      </c>
      <c r="B34" s="205">
        <v>1282</v>
      </c>
      <c r="C34" s="206" t="s">
        <v>111</v>
      </c>
      <c r="D34" s="207">
        <v>702</v>
      </c>
      <c r="E34" s="208">
        <v>0.4</v>
      </c>
      <c r="F34" s="149">
        <f t="shared" si="0"/>
        <v>280.8</v>
      </c>
      <c r="G34" s="149">
        <f>F34</f>
        <v>280.8</v>
      </c>
      <c r="H34" s="149">
        <f t="shared" si="1"/>
        <v>0</v>
      </c>
      <c r="I34" s="209">
        <v>2997747</v>
      </c>
      <c r="J34" s="210" t="s">
        <v>112</v>
      </c>
      <c r="K34" s="209" t="s">
        <v>71</v>
      </c>
      <c r="L34" s="209" t="s">
        <v>72</v>
      </c>
      <c r="M34" s="209">
        <v>92660969</v>
      </c>
      <c r="N34" s="211" t="s">
        <v>262</v>
      </c>
    </row>
    <row r="35" spans="1:15" ht="21.75" customHeight="1" x14ac:dyDescent="0.25">
      <c r="A35" s="141">
        <v>33</v>
      </c>
      <c r="B35" s="142">
        <v>1284</v>
      </c>
      <c r="C35" s="143" t="s">
        <v>115</v>
      </c>
      <c r="D35" s="185">
        <v>702</v>
      </c>
      <c r="E35" s="182">
        <v>0.4</v>
      </c>
      <c r="F35" s="149">
        <f t="shared" si="0"/>
        <v>280.8</v>
      </c>
      <c r="G35" s="149">
        <f>280.45+0.35</f>
        <v>280.8</v>
      </c>
      <c r="H35" s="149">
        <f t="shared" si="1"/>
        <v>0</v>
      </c>
      <c r="I35" s="144">
        <v>1177598</v>
      </c>
      <c r="J35" s="159" t="s">
        <v>116</v>
      </c>
      <c r="K35" s="144" t="s">
        <v>52</v>
      </c>
      <c r="L35" s="144" t="s">
        <v>53</v>
      </c>
      <c r="M35" s="144">
        <v>92825228</v>
      </c>
      <c r="N35" s="145">
        <v>45573</v>
      </c>
      <c r="O35" s="184">
        <v>45602</v>
      </c>
    </row>
    <row r="36" spans="1:15" ht="21.75" customHeight="1" x14ac:dyDescent="0.25">
      <c r="A36" s="173">
        <v>34</v>
      </c>
      <c r="B36" s="189">
        <v>1300</v>
      </c>
      <c r="C36" s="212" t="s">
        <v>263</v>
      </c>
      <c r="D36" s="190">
        <v>862.2</v>
      </c>
      <c r="E36" s="177">
        <v>0.4</v>
      </c>
      <c r="F36" s="149">
        <f t="shared" si="0"/>
        <v>344.88000000000005</v>
      </c>
      <c r="G36" s="149">
        <f>F36</f>
        <v>344.88000000000005</v>
      </c>
      <c r="H36" s="149">
        <f t="shared" si="1"/>
        <v>0</v>
      </c>
      <c r="I36" s="213">
        <v>19534277</v>
      </c>
      <c r="J36" s="179" t="s">
        <v>264</v>
      </c>
      <c r="K36" s="178" t="s">
        <v>31</v>
      </c>
      <c r="L36" s="178" t="s">
        <v>32</v>
      </c>
      <c r="M36" s="178">
        <v>99710505</v>
      </c>
      <c r="N36" s="180"/>
    </row>
    <row r="37" spans="1:15" ht="21.75" customHeight="1" x14ac:dyDescent="0.25">
      <c r="A37" s="141">
        <v>35</v>
      </c>
      <c r="B37" s="142">
        <v>1306</v>
      </c>
      <c r="C37" s="156" t="s">
        <v>265</v>
      </c>
      <c r="D37" s="185">
        <v>428.4</v>
      </c>
      <c r="E37" s="182">
        <v>0.4</v>
      </c>
      <c r="F37" s="149">
        <f t="shared" si="0"/>
        <v>171.36</v>
      </c>
      <c r="G37" s="149">
        <f>168.53+2.83</f>
        <v>171.36</v>
      </c>
      <c r="H37" s="149">
        <f t="shared" si="1"/>
        <v>0</v>
      </c>
      <c r="I37" s="157">
        <v>2006904</v>
      </c>
      <c r="J37" s="214" t="s">
        <v>266</v>
      </c>
      <c r="K37" s="157" t="s">
        <v>31</v>
      </c>
      <c r="L37" s="144" t="s">
        <v>32</v>
      </c>
      <c r="M37" s="157">
        <v>96137717</v>
      </c>
      <c r="N37" s="145">
        <v>45600</v>
      </c>
    </row>
    <row r="38" spans="1:15" ht="21.75" customHeight="1" x14ac:dyDescent="0.25">
      <c r="A38" s="173">
        <v>36</v>
      </c>
      <c r="B38" s="189">
        <v>1315</v>
      </c>
      <c r="C38" s="175" t="s">
        <v>267</v>
      </c>
      <c r="D38" s="190">
        <v>367.4</v>
      </c>
      <c r="E38" s="177">
        <v>0.4</v>
      </c>
      <c r="F38" s="149">
        <f t="shared" si="0"/>
        <v>146.96</v>
      </c>
      <c r="G38" s="149">
        <f>F38</f>
        <v>146.96</v>
      </c>
      <c r="H38" s="149">
        <f t="shared" si="1"/>
        <v>0</v>
      </c>
      <c r="I38" s="178">
        <v>19528845</v>
      </c>
      <c r="J38" s="179" t="s">
        <v>268</v>
      </c>
      <c r="K38" s="178" t="s">
        <v>31</v>
      </c>
      <c r="L38" s="178" t="s">
        <v>32</v>
      </c>
      <c r="M38" s="178">
        <v>92432606</v>
      </c>
      <c r="N38" s="180"/>
    </row>
    <row r="39" spans="1:15" ht="21.75" customHeight="1" x14ac:dyDescent="0.25">
      <c r="A39" s="141">
        <v>37</v>
      </c>
      <c r="B39" s="142">
        <v>1328</v>
      </c>
      <c r="C39" s="143" t="s">
        <v>117</v>
      </c>
      <c r="D39" s="185">
        <v>482.7</v>
      </c>
      <c r="E39" s="182">
        <v>0.4</v>
      </c>
      <c r="F39" s="149">
        <f t="shared" si="0"/>
        <v>193.08</v>
      </c>
      <c r="G39" s="149">
        <f>F39</f>
        <v>193.08</v>
      </c>
      <c r="H39" s="149">
        <f t="shared" si="1"/>
        <v>0</v>
      </c>
      <c r="I39" s="144">
        <v>782833</v>
      </c>
      <c r="J39" s="159" t="s">
        <v>118</v>
      </c>
      <c r="K39" s="144" t="s">
        <v>52</v>
      </c>
      <c r="L39" s="144" t="s">
        <v>53</v>
      </c>
      <c r="M39" s="144">
        <v>92475895</v>
      </c>
      <c r="N39" s="145">
        <v>45601</v>
      </c>
    </row>
    <row r="40" spans="1:15" ht="21.75" customHeight="1" x14ac:dyDescent="0.25">
      <c r="A40" s="173">
        <v>38</v>
      </c>
      <c r="B40" s="189">
        <v>1330</v>
      </c>
      <c r="C40" s="212" t="s">
        <v>119</v>
      </c>
      <c r="D40" s="190">
        <v>738</v>
      </c>
      <c r="E40" s="177">
        <v>0.4</v>
      </c>
      <c r="F40" s="149">
        <f t="shared" si="0"/>
        <v>295.2</v>
      </c>
      <c r="G40" s="149">
        <f>F40</f>
        <v>295.2</v>
      </c>
      <c r="H40" s="149">
        <f t="shared" si="1"/>
        <v>0</v>
      </c>
      <c r="I40" s="178">
        <v>12194826</v>
      </c>
      <c r="J40" s="179" t="s">
        <v>120</v>
      </c>
      <c r="K40" s="178" t="s">
        <v>121</v>
      </c>
      <c r="L40" s="178" t="s">
        <v>122</v>
      </c>
      <c r="M40" s="178">
        <v>91299100</v>
      </c>
      <c r="N40" s="180"/>
    </row>
    <row r="41" spans="1:15" s="187" customFormat="1" ht="21.75" customHeight="1" x14ac:dyDescent="0.25">
      <c r="A41" s="141">
        <v>39</v>
      </c>
      <c r="B41" s="142">
        <v>1331</v>
      </c>
      <c r="C41" s="143" t="s">
        <v>269</v>
      </c>
      <c r="D41" s="185">
        <v>405</v>
      </c>
      <c r="E41" s="182">
        <v>0.4</v>
      </c>
      <c r="F41" s="149">
        <f t="shared" si="0"/>
        <v>162</v>
      </c>
      <c r="G41" s="149">
        <f>159.32+2.68</f>
        <v>162</v>
      </c>
      <c r="H41" s="149">
        <f t="shared" si="1"/>
        <v>0</v>
      </c>
      <c r="I41" s="144">
        <v>2107763</v>
      </c>
      <c r="J41" s="159" t="s">
        <v>270</v>
      </c>
      <c r="K41" s="144" t="s">
        <v>71</v>
      </c>
      <c r="L41" s="144" t="s">
        <v>72</v>
      </c>
      <c r="M41" s="144">
        <v>93536009</v>
      </c>
      <c r="N41" s="145">
        <v>45593</v>
      </c>
      <c r="O41" s="194">
        <v>45628</v>
      </c>
    </row>
    <row r="42" spans="1:15" ht="21.75" customHeight="1" x14ac:dyDescent="0.25">
      <c r="A42" s="173">
        <v>40</v>
      </c>
      <c r="B42" s="189">
        <v>1333</v>
      </c>
      <c r="C42" s="175" t="s">
        <v>29</v>
      </c>
      <c r="D42" s="190">
        <v>650</v>
      </c>
      <c r="E42" s="177">
        <v>0.4</v>
      </c>
      <c r="F42" s="149">
        <f t="shared" si="0"/>
        <v>260</v>
      </c>
      <c r="G42" s="149">
        <f>F42</f>
        <v>260</v>
      </c>
      <c r="H42" s="149">
        <f t="shared" si="1"/>
        <v>0</v>
      </c>
      <c r="I42" s="178">
        <v>1736679</v>
      </c>
      <c r="J42" s="179" t="s">
        <v>30</v>
      </c>
      <c r="K42" s="178" t="s">
        <v>31</v>
      </c>
      <c r="L42" s="178" t="s">
        <v>32</v>
      </c>
      <c r="M42" s="178">
        <v>99482212</v>
      </c>
      <c r="N42" s="180"/>
    </row>
    <row r="43" spans="1:15" ht="21.75" customHeight="1" x14ac:dyDescent="0.25">
      <c r="A43" s="141">
        <v>41</v>
      </c>
      <c r="B43" s="142">
        <v>1382</v>
      </c>
      <c r="C43" s="143" t="s">
        <v>34</v>
      </c>
      <c r="D43" s="185">
        <v>783</v>
      </c>
      <c r="E43" s="182">
        <v>0.4</v>
      </c>
      <c r="F43" s="149">
        <f t="shared" si="0"/>
        <v>313.20000000000005</v>
      </c>
      <c r="G43" s="149">
        <f>F43</f>
        <v>313.20000000000005</v>
      </c>
      <c r="H43" s="149">
        <f t="shared" si="1"/>
        <v>0</v>
      </c>
      <c r="I43" s="144">
        <v>886492</v>
      </c>
      <c r="J43" s="159" t="s">
        <v>35</v>
      </c>
      <c r="K43" s="144" t="s">
        <v>31</v>
      </c>
      <c r="L43" s="144" t="s">
        <v>32</v>
      </c>
      <c r="M43" s="144">
        <v>99494166</v>
      </c>
      <c r="N43" s="145">
        <v>45601</v>
      </c>
    </row>
    <row r="44" spans="1:15" ht="21.75" customHeight="1" x14ac:dyDescent="0.25">
      <c r="A44" s="173">
        <v>42</v>
      </c>
      <c r="B44" s="189">
        <v>1384</v>
      </c>
      <c r="C44" s="175" t="s">
        <v>37</v>
      </c>
      <c r="D44" s="190">
        <v>376.5</v>
      </c>
      <c r="E44" s="177">
        <v>0.4</v>
      </c>
      <c r="F44" s="149">
        <f t="shared" si="0"/>
        <v>150.6</v>
      </c>
      <c r="G44" s="149">
        <f>F44</f>
        <v>150.6</v>
      </c>
      <c r="H44" s="149">
        <f t="shared" si="1"/>
        <v>0</v>
      </c>
      <c r="I44" s="178">
        <v>4426701</v>
      </c>
      <c r="J44" s="179" t="s">
        <v>38</v>
      </c>
      <c r="K44" s="178" t="s">
        <v>31</v>
      </c>
      <c r="L44" s="178" t="s">
        <v>32</v>
      </c>
      <c r="M44" s="178">
        <v>92634991</v>
      </c>
      <c r="N44" s="180"/>
    </row>
    <row r="45" spans="1:15" ht="21.75" customHeight="1" x14ac:dyDescent="0.25">
      <c r="A45" s="141">
        <v>43</v>
      </c>
      <c r="B45" s="142">
        <v>1386</v>
      </c>
      <c r="C45" s="143" t="s">
        <v>39</v>
      </c>
      <c r="D45" s="185">
        <v>864</v>
      </c>
      <c r="E45" s="182">
        <v>0.4</v>
      </c>
      <c r="F45" s="149">
        <f t="shared" si="0"/>
        <v>345.6</v>
      </c>
      <c r="G45" s="149">
        <f>343.35+2.25</f>
        <v>345.6</v>
      </c>
      <c r="H45" s="149">
        <f t="shared" si="1"/>
        <v>0</v>
      </c>
      <c r="I45" s="144">
        <v>711799</v>
      </c>
      <c r="J45" s="159" t="s">
        <v>40</v>
      </c>
      <c r="K45" s="144" t="s">
        <v>31</v>
      </c>
      <c r="L45" s="144" t="s">
        <v>32</v>
      </c>
      <c r="M45" s="144">
        <v>92394924</v>
      </c>
      <c r="N45" s="145">
        <v>45601</v>
      </c>
      <c r="O45" s="184">
        <v>45621</v>
      </c>
    </row>
    <row r="46" spans="1:15" ht="21.75" customHeight="1" x14ac:dyDescent="0.25">
      <c r="A46" s="173">
        <v>44</v>
      </c>
      <c r="B46" s="189">
        <v>1387</v>
      </c>
      <c r="C46" s="175" t="s">
        <v>271</v>
      </c>
      <c r="D46" s="190">
        <v>721</v>
      </c>
      <c r="E46" s="177">
        <v>0.4</v>
      </c>
      <c r="F46" s="149">
        <f t="shared" si="0"/>
        <v>288.40000000000003</v>
      </c>
      <c r="G46" s="149">
        <f>F46</f>
        <v>288.40000000000003</v>
      </c>
      <c r="H46" s="149">
        <f t="shared" si="1"/>
        <v>0</v>
      </c>
      <c r="I46" s="178">
        <v>6759716</v>
      </c>
      <c r="J46" s="179" t="s">
        <v>272</v>
      </c>
      <c r="K46" s="178" t="s">
        <v>71</v>
      </c>
      <c r="L46" s="178" t="s">
        <v>72</v>
      </c>
      <c r="M46" s="178">
        <v>91907675</v>
      </c>
      <c r="N46" s="180"/>
    </row>
    <row r="47" spans="1:15" ht="21.75" customHeight="1" x14ac:dyDescent="0.25">
      <c r="A47" s="141">
        <v>45</v>
      </c>
      <c r="B47" s="142">
        <v>1388</v>
      </c>
      <c r="C47" s="143" t="s">
        <v>273</v>
      </c>
      <c r="D47" s="185">
        <v>432</v>
      </c>
      <c r="E47" s="182">
        <v>0.4</v>
      </c>
      <c r="F47" s="149">
        <f t="shared" si="0"/>
        <v>172.8</v>
      </c>
      <c r="G47" s="149">
        <f>168.93+3.87</f>
        <v>172.8</v>
      </c>
      <c r="H47" s="149">
        <f t="shared" si="1"/>
        <v>0</v>
      </c>
      <c r="I47" s="144">
        <v>18610874</v>
      </c>
      <c r="J47" s="159" t="s">
        <v>274</v>
      </c>
      <c r="K47" s="144" t="s">
        <v>52</v>
      </c>
      <c r="L47" s="144" t="s">
        <v>53</v>
      </c>
      <c r="M47" s="144">
        <v>93955577</v>
      </c>
      <c r="N47" s="145">
        <v>45595</v>
      </c>
      <c r="O47" s="184">
        <v>45600</v>
      </c>
    </row>
    <row r="48" spans="1:15" ht="21.75" customHeight="1" x14ac:dyDescent="0.25">
      <c r="A48" s="141">
        <v>46</v>
      </c>
      <c r="B48" s="142">
        <v>1389</v>
      </c>
      <c r="C48" s="143" t="s">
        <v>275</v>
      </c>
      <c r="D48" s="185">
        <v>1080</v>
      </c>
      <c r="E48" s="182">
        <v>0.4</v>
      </c>
      <c r="F48" s="149">
        <f t="shared" si="0"/>
        <v>432</v>
      </c>
      <c r="G48" s="149">
        <f>429.7+2.3</f>
        <v>432</v>
      </c>
      <c r="H48" s="149">
        <f t="shared" si="1"/>
        <v>0</v>
      </c>
      <c r="I48" s="144">
        <v>1036354</v>
      </c>
      <c r="J48" s="159" t="s">
        <v>276</v>
      </c>
      <c r="K48" s="144" t="s">
        <v>52</v>
      </c>
      <c r="L48" s="144" t="s">
        <v>53</v>
      </c>
      <c r="M48" s="144">
        <v>92413881</v>
      </c>
      <c r="N48" s="145">
        <v>45567</v>
      </c>
      <c r="O48" s="184">
        <v>45600</v>
      </c>
    </row>
    <row r="49" spans="1:16" s="202" customFormat="1" ht="21.75" customHeight="1" x14ac:dyDescent="0.25">
      <c r="A49" s="141">
        <v>47</v>
      </c>
      <c r="B49" s="142">
        <v>1394</v>
      </c>
      <c r="C49" s="143" t="s">
        <v>277</v>
      </c>
      <c r="D49" s="185">
        <v>434.8</v>
      </c>
      <c r="E49" s="182">
        <v>0.4</v>
      </c>
      <c r="F49" s="149">
        <f t="shared" si="0"/>
        <v>173.92000000000002</v>
      </c>
      <c r="G49" s="149">
        <f>171.3+2.62</f>
        <v>173.92000000000002</v>
      </c>
      <c r="H49" s="149">
        <f t="shared" si="1"/>
        <v>0</v>
      </c>
      <c r="I49" s="144">
        <v>25656187</v>
      </c>
      <c r="J49" s="144" t="s">
        <v>278</v>
      </c>
      <c r="K49" s="144" t="s">
        <v>31</v>
      </c>
      <c r="L49" s="159" t="s">
        <v>32</v>
      </c>
      <c r="M49" s="144">
        <v>98987848</v>
      </c>
      <c r="N49" s="145">
        <v>45586</v>
      </c>
      <c r="O49" s="193">
        <v>45621</v>
      </c>
    </row>
    <row r="50" spans="1:16" ht="21.75" customHeight="1" x14ac:dyDescent="0.25">
      <c r="A50" s="141">
        <v>48</v>
      </c>
      <c r="B50" s="142">
        <v>1396</v>
      </c>
      <c r="C50" s="143" t="s">
        <v>123</v>
      </c>
      <c r="D50" s="185">
        <v>476.3</v>
      </c>
      <c r="E50" s="182">
        <v>0.4</v>
      </c>
      <c r="F50" s="182">
        <f t="shared" si="0"/>
        <v>190.52</v>
      </c>
      <c r="G50" s="182">
        <f>187.05+3.47</f>
        <v>190.52</v>
      </c>
      <c r="H50" s="182">
        <f t="shared" si="1"/>
        <v>0</v>
      </c>
      <c r="I50" s="144">
        <v>905845</v>
      </c>
      <c r="J50" s="159" t="s">
        <v>124</v>
      </c>
      <c r="K50" s="144" t="s">
        <v>31</v>
      </c>
      <c r="L50" s="144" t="s">
        <v>32</v>
      </c>
      <c r="M50" s="144">
        <v>99696204</v>
      </c>
      <c r="N50" s="145">
        <v>45628</v>
      </c>
      <c r="O50" s="184">
        <v>45650</v>
      </c>
    </row>
    <row r="51" spans="1:16" ht="21.75" customHeight="1" x14ac:dyDescent="0.25">
      <c r="A51" s="173">
        <v>49</v>
      </c>
      <c r="B51" s="189">
        <v>1397</v>
      </c>
      <c r="C51" s="175" t="s">
        <v>125</v>
      </c>
      <c r="D51" s="190">
        <v>392.3</v>
      </c>
      <c r="E51" s="177">
        <v>0.4</v>
      </c>
      <c r="F51" s="149">
        <f t="shared" si="0"/>
        <v>156.92000000000002</v>
      </c>
      <c r="G51" s="149">
        <f>F51</f>
        <v>156.92000000000002</v>
      </c>
      <c r="H51" s="149">
        <f t="shared" si="1"/>
        <v>0</v>
      </c>
      <c r="I51" s="178">
        <v>1292885</v>
      </c>
      <c r="J51" s="179" t="s">
        <v>126</v>
      </c>
      <c r="K51" s="178" t="s">
        <v>127</v>
      </c>
      <c r="L51" s="178" t="s">
        <v>128</v>
      </c>
      <c r="M51" s="178">
        <v>92307552</v>
      </c>
      <c r="N51" s="180"/>
    </row>
    <row r="52" spans="1:16" ht="21.75" customHeight="1" x14ac:dyDescent="0.25">
      <c r="A52" s="141">
        <v>50</v>
      </c>
      <c r="B52" s="142">
        <v>1398</v>
      </c>
      <c r="C52" s="143" t="s">
        <v>279</v>
      </c>
      <c r="D52" s="185">
        <v>311.3</v>
      </c>
      <c r="E52" s="182">
        <v>0.4</v>
      </c>
      <c r="F52" s="149">
        <f t="shared" si="0"/>
        <v>124.52000000000001</v>
      </c>
      <c r="G52" s="149">
        <f>121.62+2.9</f>
        <v>124.52000000000001</v>
      </c>
      <c r="H52" s="149">
        <f t="shared" si="1"/>
        <v>0</v>
      </c>
      <c r="I52" s="144">
        <v>1161437</v>
      </c>
      <c r="J52" s="144" t="s">
        <v>280</v>
      </c>
      <c r="K52" s="144" t="s">
        <v>121</v>
      </c>
      <c r="L52" s="144" t="s">
        <v>122</v>
      </c>
      <c r="M52" s="144">
        <v>91135580</v>
      </c>
      <c r="N52" s="145">
        <v>45567</v>
      </c>
      <c r="O52" s="145">
        <v>45607</v>
      </c>
    </row>
    <row r="53" spans="1:16" s="187" customFormat="1" ht="21.75" customHeight="1" x14ac:dyDescent="0.25">
      <c r="A53" s="141">
        <v>51</v>
      </c>
      <c r="B53" s="142">
        <v>1400</v>
      </c>
      <c r="C53" s="143" t="s">
        <v>281</v>
      </c>
      <c r="D53" s="185">
        <v>732</v>
      </c>
      <c r="E53" s="182">
        <v>0.4</v>
      </c>
      <c r="F53" s="182">
        <f t="shared" si="0"/>
        <v>292.8</v>
      </c>
      <c r="G53" s="182">
        <f>141.25+150.05+1.5</f>
        <v>292.8</v>
      </c>
      <c r="H53" s="186">
        <f t="shared" si="1"/>
        <v>0</v>
      </c>
      <c r="I53" s="144">
        <v>7223707</v>
      </c>
      <c r="J53" s="159" t="s">
        <v>282</v>
      </c>
      <c r="K53" s="144" t="s">
        <v>26</v>
      </c>
      <c r="L53" s="144" t="s">
        <v>27</v>
      </c>
      <c r="M53" s="144">
        <v>92616136</v>
      </c>
      <c r="N53" s="145">
        <v>45595</v>
      </c>
      <c r="O53" s="194">
        <v>45637</v>
      </c>
      <c r="P53" s="194">
        <v>45691</v>
      </c>
    </row>
    <row r="54" spans="1:16" ht="21.75" customHeight="1" x14ac:dyDescent="0.25">
      <c r="A54" s="141">
        <v>52</v>
      </c>
      <c r="B54" s="142">
        <v>1403</v>
      </c>
      <c r="C54" s="143" t="s">
        <v>283</v>
      </c>
      <c r="D54" s="185">
        <v>606.6</v>
      </c>
      <c r="E54" s="182">
        <v>0.4</v>
      </c>
      <c r="F54" s="149">
        <f t="shared" si="0"/>
        <v>242.64000000000001</v>
      </c>
      <c r="G54" s="149">
        <f>F54</f>
        <v>242.64000000000001</v>
      </c>
      <c r="H54" s="149">
        <f t="shared" si="1"/>
        <v>0</v>
      </c>
      <c r="I54" s="144">
        <v>499044</v>
      </c>
      <c r="J54" s="144" t="s">
        <v>284</v>
      </c>
      <c r="K54" s="144" t="s">
        <v>31</v>
      </c>
      <c r="L54" s="144" t="s">
        <v>32</v>
      </c>
      <c r="M54" s="144">
        <v>92226988</v>
      </c>
      <c r="N54" s="145">
        <v>45607</v>
      </c>
    </row>
    <row r="55" spans="1:16" ht="21.75" customHeight="1" x14ac:dyDescent="0.25">
      <c r="A55" s="141">
        <v>53</v>
      </c>
      <c r="B55" s="215">
        <v>1406</v>
      </c>
      <c r="C55" s="143" t="s">
        <v>285</v>
      </c>
      <c r="D55" s="185">
        <v>539</v>
      </c>
      <c r="E55" s="182">
        <v>0.4</v>
      </c>
      <c r="F55" s="149">
        <f t="shared" si="0"/>
        <v>215.60000000000002</v>
      </c>
      <c r="G55" s="149">
        <f>215.6</f>
        <v>215.6</v>
      </c>
      <c r="H55" s="149">
        <f t="shared" si="1"/>
        <v>0</v>
      </c>
      <c r="I55" s="144">
        <v>880849</v>
      </c>
      <c r="J55" s="159" t="s">
        <v>286</v>
      </c>
      <c r="K55" s="144" t="s">
        <v>71</v>
      </c>
      <c r="L55" s="144" t="s">
        <v>72</v>
      </c>
      <c r="M55" s="144">
        <v>99365157</v>
      </c>
      <c r="N55" s="145">
        <v>45574</v>
      </c>
    </row>
    <row r="56" spans="1:16" s="217" customFormat="1" ht="21.75" customHeight="1" x14ac:dyDescent="0.25">
      <c r="A56" s="173">
        <v>54</v>
      </c>
      <c r="B56" s="216">
        <v>1408</v>
      </c>
      <c r="C56" s="178" t="s">
        <v>287</v>
      </c>
      <c r="D56" s="190">
        <v>1566</v>
      </c>
      <c r="E56" s="177">
        <v>0.4</v>
      </c>
      <c r="F56" s="149">
        <f t="shared" si="0"/>
        <v>626.40000000000009</v>
      </c>
      <c r="G56" s="149">
        <f>F56</f>
        <v>626.40000000000009</v>
      </c>
      <c r="H56" s="149">
        <f t="shared" si="1"/>
        <v>0</v>
      </c>
      <c r="I56" s="178">
        <v>997465</v>
      </c>
      <c r="J56" s="179" t="s">
        <v>288</v>
      </c>
      <c r="K56" s="178" t="s">
        <v>31</v>
      </c>
      <c r="L56" s="178" t="s">
        <v>32</v>
      </c>
      <c r="M56" s="178">
        <v>99490975</v>
      </c>
      <c r="N56" s="180"/>
    </row>
    <row r="57" spans="1:16" ht="21.75" customHeight="1" x14ac:dyDescent="0.25">
      <c r="A57" s="141">
        <v>55</v>
      </c>
      <c r="B57" s="215">
        <v>1409</v>
      </c>
      <c r="C57" s="143" t="s">
        <v>289</v>
      </c>
      <c r="D57" s="218">
        <v>604.29999999999995</v>
      </c>
      <c r="E57" s="182">
        <v>0.4</v>
      </c>
      <c r="F57" s="149">
        <f t="shared" si="0"/>
        <v>241.72</v>
      </c>
      <c r="G57" s="149">
        <f>234.09+7.63</f>
        <v>241.72</v>
      </c>
      <c r="H57" s="149">
        <f t="shared" si="1"/>
        <v>0</v>
      </c>
      <c r="I57" s="144">
        <v>7279409</v>
      </c>
      <c r="J57" s="159" t="s">
        <v>290</v>
      </c>
      <c r="K57" s="144" t="s">
        <v>31</v>
      </c>
      <c r="L57" s="144" t="s">
        <v>32</v>
      </c>
      <c r="M57" s="144">
        <v>99626634</v>
      </c>
      <c r="N57" s="188" t="s">
        <v>291</v>
      </c>
      <c r="O57" s="184">
        <v>45621</v>
      </c>
    </row>
    <row r="58" spans="1:16" ht="21.75" customHeight="1" x14ac:dyDescent="0.25">
      <c r="A58" s="141">
        <v>56</v>
      </c>
      <c r="B58" s="215">
        <v>1410</v>
      </c>
      <c r="C58" s="143" t="s">
        <v>292</v>
      </c>
      <c r="D58" s="181">
        <v>656.9</v>
      </c>
      <c r="E58" s="182">
        <v>0.4</v>
      </c>
      <c r="F58" s="149">
        <f t="shared" si="0"/>
        <v>262.76</v>
      </c>
      <c r="G58" s="149">
        <f>F58</f>
        <v>262.76</v>
      </c>
      <c r="H58" s="149">
        <f t="shared" si="1"/>
        <v>0</v>
      </c>
      <c r="I58" s="144">
        <v>757372</v>
      </c>
      <c r="J58" s="159" t="s">
        <v>293</v>
      </c>
      <c r="K58" s="144" t="s">
        <v>31</v>
      </c>
      <c r="L58" s="144" t="s">
        <v>32</v>
      </c>
      <c r="M58" s="144">
        <v>92018800</v>
      </c>
      <c r="N58" s="145">
        <v>45614</v>
      </c>
    </row>
    <row r="59" spans="1:16" ht="21.75" customHeight="1" x14ac:dyDescent="0.25">
      <c r="A59" s="141">
        <v>57</v>
      </c>
      <c r="B59" s="215">
        <v>1411</v>
      </c>
      <c r="C59" s="143" t="s">
        <v>294</v>
      </c>
      <c r="D59" s="185">
        <v>729</v>
      </c>
      <c r="E59" s="182">
        <v>0.4</v>
      </c>
      <c r="F59" s="149">
        <f t="shared" si="0"/>
        <v>291.60000000000002</v>
      </c>
      <c r="G59" s="149">
        <f>288.4+3.2</f>
        <v>291.59999999999997</v>
      </c>
      <c r="H59" s="149">
        <f t="shared" si="1"/>
        <v>0</v>
      </c>
      <c r="I59" s="144">
        <v>1650389</v>
      </c>
      <c r="J59" s="159" t="s">
        <v>295</v>
      </c>
      <c r="K59" s="144" t="s">
        <v>31</v>
      </c>
      <c r="L59" s="144" t="s">
        <v>32</v>
      </c>
      <c r="M59" s="144">
        <v>92294150</v>
      </c>
      <c r="N59" s="145">
        <v>45567</v>
      </c>
      <c r="O59" s="184">
        <v>45601</v>
      </c>
    </row>
    <row r="60" spans="1:16" ht="21.75" customHeight="1" x14ac:dyDescent="0.25">
      <c r="A60" s="173">
        <v>58</v>
      </c>
      <c r="B60" s="189">
        <v>1412</v>
      </c>
      <c r="C60" s="175" t="s">
        <v>296</v>
      </c>
      <c r="D60" s="190">
        <v>810</v>
      </c>
      <c r="E60" s="177">
        <v>0.4</v>
      </c>
      <c r="F60" s="149">
        <f t="shared" si="0"/>
        <v>324</v>
      </c>
      <c r="G60" s="149">
        <f>F60</f>
        <v>324</v>
      </c>
      <c r="H60" s="149">
        <f t="shared" si="1"/>
        <v>0</v>
      </c>
      <c r="I60" s="178">
        <v>312227</v>
      </c>
      <c r="J60" s="178" t="s">
        <v>297</v>
      </c>
      <c r="K60" s="178" t="s">
        <v>31</v>
      </c>
      <c r="L60" s="178" t="s">
        <v>32</v>
      </c>
      <c r="M60" s="178">
        <v>95414124</v>
      </c>
      <c r="N60" s="180"/>
    </row>
    <row r="61" spans="1:16" ht="21.75" customHeight="1" x14ac:dyDescent="0.25">
      <c r="A61" s="141">
        <v>59</v>
      </c>
      <c r="B61" s="142">
        <v>1413</v>
      </c>
      <c r="C61" s="144" t="s">
        <v>298</v>
      </c>
      <c r="D61" s="185">
        <v>405</v>
      </c>
      <c r="E61" s="182">
        <v>0.4</v>
      </c>
      <c r="F61" s="149">
        <f t="shared" si="0"/>
        <v>162</v>
      </c>
      <c r="G61" s="149">
        <f>159.75+2.25</f>
        <v>162</v>
      </c>
      <c r="H61" s="149">
        <f t="shared" si="1"/>
        <v>0</v>
      </c>
      <c r="I61" s="144">
        <v>539906</v>
      </c>
      <c r="J61" s="159" t="s">
        <v>299</v>
      </c>
      <c r="K61" s="144" t="s">
        <v>52</v>
      </c>
      <c r="L61" s="144" t="s">
        <v>53</v>
      </c>
      <c r="M61" s="144"/>
      <c r="N61" s="168">
        <v>45586</v>
      </c>
      <c r="O61" s="184">
        <v>45607</v>
      </c>
    </row>
    <row r="62" spans="1:16" ht="21.75" customHeight="1" x14ac:dyDescent="0.25">
      <c r="A62" s="141">
        <v>60</v>
      </c>
      <c r="B62" s="142">
        <v>1414</v>
      </c>
      <c r="C62" s="143" t="s">
        <v>300</v>
      </c>
      <c r="D62" s="185">
        <v>1195.4000000000001</v>
      </c>
      <c r="E62" s="182">
        <v>0.4</v>
      </c>
      <c r="F62" s="149">
        <f t="shared" si="0"/>
        <v>478.16000000000008</v>
      </c>
      <c r="G62" s="149">
        <f>477.45+0.71</f>
        <v>478.15999999999997</v>
      </c>
      <c r="H62" s="149">
        <f t="shared" si="1"/>
        <v>0</v>
      </c>
      <c r="I62" s="144">
        <v>9178238</v>
      </c>
      <c r="J62" s="159" t="s">
        <v>301</v>
      </c>
      <c r="K62" s="144" t="s">
        <v>52</v>
      </c>
      <c r="L62" s="144" t="s">
        <v>53</v>
      </c>
      <c r="M62" s="144">
        <v>91966140</v>
      </c>
      <c r="N62" s="145">
        <v>45593</v>
      </c>
      <c r="O62" s="184">
        <v>45610</v>
      </c>
    </row>
    <row r="63" spans="1:16" ht="21.75" customHeight="1" x14ac:dyDescent="0.25">
      <c r="A63" s="173">
        <v>61</v>
      </c>
      <c r="B63" s="189">
        <v>1415</v>
      </c>
      <c r="C63" s="175" t="s">
        <v>302</v>
      </c>
      <c r="D63" s="190">
        <v>320.8</v>
      </c>
      <c r="E63" s="177">
        <v>0.4</v>
      </c>
      <c r="F63" s="149">
        <f t="shared" si="0"/>
        <v>128.32000000000002</v>
      </c>
      <c r="G63" s="149">
        <f>F63</f>
        <v>128.32000000000002</v>
      </c>
      <c r="H63" s="149">
        <f t="shared" si="1"/>
        <v>0</v>
      </c>
      <c r="I63" s="178">
        <v>818787</v>
      </c>
      <c r="J63" s="219" t="s">
        <v>303</v>
      </c>
      <c r="K63" s="178" t="s">
        <v>52</v>
      </c>
      <c r="L63" s="178" t="s">
        <v>53</v>
      </c>
      <c r="M63" s="178">
        <v>99806280</v>
      </c>
      <c r="N63" s="180"/>
    </row>
    <row r="64" spans="1:16" ht="21.75" customHeight="1" x14ac:dyDescent="0.25">
      <c r="A64" s="141">
        <v>62</v>
      </c>
      <c r="B64" s="142">
        <v>1417</v>
      </c>
      <c r="C64" s="143" t="s">
        <v>42</v>
      </c>
      <c r="D64" s="185">
        <v>590.6</v>
      </c>
      <c r="E64" s="182">
        <v>0.4</v>
      </c>
      <c r="F64" s="149">
        <f t="shared" si="0"/>
        <v>236.24</v>
      </c>
      <c r="G64" s="149">
        <f>F64</f>
        <v>236.24</v>
      </c>
      <c r="H64" s="149">
        <f t="shared" si="1"/>
        <v>0</v>
      </c>
      <c r="I64" s="144">
        <v>1252579</v>
      </c>
      <c r="J64" s="159" t="s">
        <v>43</v>
      </c>
      <c r="K64" s="144" t="s">
        <v>31</v>
      </c>
      <c r="L64" s="144" t="s">
        <v>32</v>
      </c>
      <c r="M64" s="144">
        <v>98520912</v>
      </c>
      <c r="N64" s="145">
        <v>45635</v>
      </c>
    </row>
    <row r="65" spans="1:15" ht="21.75" customHeight="1" x14ac:dyDescent="0.25">
      <c r="A65" s="173">
        <v>63</v>
      </c>
      <c r="B65" s="189">
        <v>1418</v>
      </c>
      <c r="C65" s="175" t="s">
        <v>304</v>
      </c>
      <c r="D65" s="190">
        <v>344.5</v>
      </c>
      <c r="E65" s="177">
        <v>0.4</v>
      </c>
      <c r="F65" s="149">
        <f t="shared" si="0"/>
        <v>137.80000000000001</v>
      </c>
      <c r="G65" s="149">
        <f>F65</f>
        <v>137.80000000000001</v>
      </c>
      <c r="H65" s="149">
        <f t="shared" si="1"/>
        <v>0</v>
      </c>
      <c r="I65" s="178">
        <v>9954378</v>
      </c>
      <c r="J65" s="179" t="s">
        <v>305</v>
      </c>
      <c r="K65" s="178" t="s">
        <v>306</v>
      </c>
      <c r="L65" s="178" t="s">
        <v>307</v>
      </c>
      <c r="M65" s="178">
        <v>99282423</v>
      </c>
      <c r="N65" s="180"/>
    </row>
    <row r="66" spans="1:15" ht="21.75" customHeight="1" x14ac:dyDescent="0.25">
      <c r="A66" s="204">
        <v>64</v>
      </c>
      <c r="B66" s="205">
        <v>1419</v>
      </c>
      <c r="C66" s="206" t="s">
        <v>308</v>
      </c>
      <c r="D66" s="207">
        <v>972</v>
      </c>
      <c r="E66" s="208">
        <v>0.4</v>
      </c>
      <c r="F66" s="149">
        <f t="shared" si="0"/>
        <v>388.8</v>
      </c>
      <c r="G66" s="149">
        <f>F66</f>
        <v>388.8</v>
      </c>
      <c r="H66" s="149">
        <f t="shared" si="1"/>
        <v>0</v>
      </c>
      <c r="I66" s="209">
        <v>386821</v>
      </c>
      <c r="J66" s="210" t="s">
        <v>309</v>
      </c>
      <c r="K66" s="209" t="s">
        <v>31</v>
      </c>
      <c r="L66" s="209" t="s">
        <v>32</v>
      </c>
      <c r="M66" s="209">
        <v>99181419</v>
      </c>
      <c r="N66" s="211" t="s">
        <v>262</v>
      </c>
    </row>
    <row r="67" spans="1:15" ht="21.75" customHeight="1" x14ac:dyDescent="0.25">
      <c r="A67" s="173">
        <v>65</v>
      </c>
      <c r="B67" s="189">
        <v>1420</v>
      </c>
      <c r="C67" s="175" t="s">
        <v>310</v>
      </c>
      <c r="D67" s="190">
        <v>729</v>
      </c>
      <c r="E67" s="177">
        <v>0.4</v>
      </c>
      <c r="F67" s="149">
        <f t="shared" si="0"/>
        <v>291.60000000000002</v>
      </c>
      <c r="G67" s="149">
        <f>F67</f>
        <v>291.60000000000002</v>
      </c>
      <c r="H67" s="149">
        <f t="shared" si="1"/>
        <v>0</v>
      </c>
      <c r="I67" s="178">
        <v>5460297</v>
      </c>
      <c r="J67" s="179" t="s">
        <v>311</v>
      </c>
      <c r="K67" s="178" t="s">
        <v>31</v>
      </c>
      <c r="L67" s="178" t="s">
        <v>32</v>
      </c>
      <c r="M67" s="178">
        <v>95898899</v>
      </c>
      <c r="N67" s="180"/>
    </row>
    <row r="68" spans="1:15" ht="21.75" customHeight="1" x14ac:dyDescent="0.25">
      <c r="A68" s="173">
        <v>66</v>
      </c>
      <c r="B68" s="189">
        <v>1421</v>
      </c>
      <c r="C68" s="175" t="s">
        <v>129</v>
      </c>
      <c r="D68" s="190">
        <v>781</v>
      </c>
      <c r="E68" s="177">
        <v>0.4</v>
      </c>
      <c r="F68" s="149">
        <f t="shared" ref="F68:F131" si="3">D68*E68</f>
        <v>312.40000000000003</v>
      </c>
      <c r="G68" s="149">
        <f t="shared" ref="G68:G70" si="4">F68</f>
        <v>312.40000000000003</v>
      </c>
      <c r="H68" s="149">
        <f t="shared" ref="H68:H131" si="5">F68-G68</f>
        <v>0</v>
      </c>
      <c r="I68" s="178">
        <v>15314262</v>
      </c>
      <c r="J68" s="179" t="s">
        <v>130</v>
      </c>
      <c r="K68" s="178" t="s">
        <v>31</v>
      </c>
      <c r="L68" s="178" t="s">
        <v>32</v>
      </c>
      <c r="M68" s="178">
        <v>90333361</v>
      </c>
      <c r="N68" s="180"/>
    </row>
    <row r="69" spans="1:15" ht="21.75" customHeight="1" x14ac:dyDescent="0.25">
      <c r="A69" s="173">
        <v>67</v>
      </c>
      <c r="B69" s="189">
        <v>1423</v>
      </c>
      <c r="C69" s="175" t="s">
        <v>131</v>
      </c>
      <c r="D69" s="190">
        <v>708</v>
      </c>
      <c r="E69" s="177">
        <v>0.4</v>
      </c>
      <c r="F69" s="149">
        <f t="shared" si="3"/>
        <v>283.2</v>
      </c>
      <c r="G69" s="149">
        <f t="shared" si="4"/>
        <v>283.2</v>
      </c>
      <c r="H69" s="149">
        <f t="shared" si="5"/>
        <v>0</v>
      </c>
      <c r="I69" s="178">
        <v>5044397</v>
      </c>
      <c r="J69" s="179" t="s">
        <v>132</v>
      </c>
      <c r="K69" s="178" t="s">
        <v>31</v>
      </c>
      <c r="L69" s="178" t="s">
        <v>32</v>
      </c>
      <c r="M69" s="178">
        <v>99580550</v>
      </c>
      <c r="N69" s="180"/>
    </row>
    <row r="70" spans="1:15" ht="21.75" customHeight="1" x14ac:dyDescent="0.25">
      <c r="A70" s="173">
        <v>68</v>
      </c>
      <c r="B70" s="189">
        <v>1425</v>
      </c>
      <c r="C70" s="175" t="s">
        <v>312</v>
      </c>
      <c r="D70" s="190">
        <v>666.2</v>
      </c>
      <c r="E70" s="177">
        <v>0.4</v>
      </c>
      <c r="F70" s="149">
        <f t="shared" si="3"/>
        <v>266.48</v>
      </c>
      <c r="G70" s="149">
        <f t="shared" si="4"/>
        <v>266.48</v>
      </c>
      <c r="H70" s="149">
        <f t="shared" si="5"/>
        <v>0</v>
      </c>
      <c r="I70" s="178">
        <v>5614623</v>
      </c>
      <c r="J70" s="179" t="s">
        <v>313</v>
      </c>
      <c r="K70" s="178" t="s">
        <v>31</v>
      </c>
      <c r="L70" s="178" t="s">
        <v>32</v>
      </c>
      <c r="M70" s="178">
        <v>99583112</v>
      </c>
      <c r="N70" s="180"/>
    </row>
    <row r="71" spans="1:15" ht="21.75" customHeight="1" x14ac:dyDescent="0.25">
      <c r="A71" s="141">
        <v>69</v>
      </c>
      <c r="B71" s="215">
        <v>1426</v>
      </c>
      <c r="C71" s="143" t="s">
        <v>314</v>
      </c>
      <c r="D71" s="185">
        <v>723</v>
      </c>
      <c r="E71" s="182">
        <v>0.4</v>
      </c>
      <c r="F71" s="149">
        <f t="shared" si="3"/>
        <v>289.2</v>
      </c>
      <c r="G71" s="149">
        <f>285.45+3.75</f>
        <v>289.2</v>
      </c>
      <c r="H71" s="149">
        <f t="shared" si="5"/>
        <v>0</v>
      </c>
      <c r="I71" s="144">
        <v>2160707</v>
      </c>
      <c r="J71" s="159" t="s">
        <v>315</v>
      </c>
      <c r="K71" s="144" t="s">
        <v>71</v>
      </c>
      <c r="L71" s="144" t="s">
        <v>72</v>
      </c>
      <c r="M71" s="144">
        <v>92280327</v>
      </c>
      <c r="N71" s="145">
        <v>45567</v>
      </c>
      <c r="O71" s="184">
        <v>45600</v>
      </c>
    </row>
    <row r="72" spans="1:15" ht="21.75" customHeight="1" x14ac:dyDescent="0.25">
      <c r="A72" s="173">
        <v>70</v>
      </c>
      <c r="B72" s="189">
        <v>1427</v>
      </c>
      <c r="C72" s="175" t="s">
        <v>134</v>
      </c>
      <c r="D72" s="190">
        <v>375.3</v>
      </c>
      <c r="E72" s="177">
        <v>0.4</v>
      </c>
      <c r="F72" s="149">
        <f t="shared" si="3"/>
        <v>150.12</v>
      </c>
      <c r="G72" s="149">
        <f>F72</f>
        <v>150.12</v>
      </c>
      <c r="H72" s="149">
        <f t="shared" si="5"/>
        <v>0</v>
      </c>
      <c r="I72" s="178">
        <v>24171637</v>
      </c>
      <c r="J72" s="179" t="s">
        <v>135</v>
      </c>
      <c r="K72" s="178" t="s">
        <v>31</v>
      </c>
      <c r="L72" s="178" t="s">
        <v>32</v>
      </c>
      <c r="M72" s="178">
        <v>97030409</v>
      </c>
      <c r="N72" s="180"/>
    </row>
    <row r="73" spans="1:15" ht="21.75" customHeight="1" x14ac:dyDescent="0.25">
      <c r="A73" s="141">
        <v>71</v>
      </c>
      <c r="B73" s="142">
        <v>1428</v>
      </c>
      <c r="C73" s="143" t="s">
        <v>316</v>
      </c>
      <c r="D73" s="185">
        <v>371.7</v>
      </c>
      <c r="E73" s="182">
        <v>0.4</v>
      </c>
      <c r="F73" s="149">
        <f t="shared" si="3"/>
        <v>148.68</v>
      </c>
      <c r="G73" s="149">
        <f>147.17+1.51</f>
        <v>148.67999999999998</v>
      </c>
      <c r="H73" s="149">
        <f t="shared" si="5"/>
        <v>0</v>
      </c>
      <c r="I73" s="144">
        <v>921364</v>
      </c>
      <c r="J73" s="220" t="s">
        <v>317</v>
      </c>
      <c r="K73" s="144" t="s">
        <v>90</v>
      </c>
      <c r="L73" s="144" t="s">
        <v>32</v>
      </c>
      <c r="M73" s="144">
        <v>92599597</v>
      </c>
      <c r="N73" s="145">
        <v>45567</v>
      </c>
      <c r="O73" s="184">
        <v>45600</v>
      </c>
    </row>
    <row r="74" spans="1:15" ht="21.75" customHeight="1" x14ac:dyDescent="0.25">
      <c r="A74" s="141">
        <v>72</v>
      </c>
      <c r="B74" s="142">
        <v>1430</v>
      </c>
      <c r="C74" s="143" t="s">
        <v>136</v>
      </c>
      <c r="D74" s="185">
        <v>378</v>
      </c>
      <c r="E74" s="182">
        <v>0.4</v>
      </c>
      <c r="F74" s="149">
        <f t="shared" si="3"/>
        <v>151.20000000000002</v>
      </c>
      <c r="G74" s="149">
        <f>F74</f>
        <v>151.20000000000002</v>
      </c>
      <c r="H74" s="149">
        <f t="shared" si="5"/>
        <v>0</v>
      </c>
      <c r="I74" s="144">
        <v>564698</v>
      </c>
      <c r="J74" s="159" t="s">
        <v>137</v>
      </c>
      <c r="K74" s="144" t="s">
        <v>31</v>
      </c>
      <c r="L74" s="144" t="s">
        <v>32</v>
      </c>
      <c r="M74" s="144">
        <v>99189793</v>
      </c>
      <c r="N74" s="145">
        <v>45600</v>
      </c>
    </row>
    <row r="75" spans="1:15" ht="21.75" customHeight="1" x14ac:dyDescent="0.25">
      <c r="A75" s="173">
        <v>73</v>
      </c>
      <c r="B75" s="189">
        <v>1432</v>
      </c>
      <c r="C75" s="175" t="s">
        <v>318</v>
      </c>
      <c r="D75" s="190">
        <v>890.8</v>
      </c>
      <c r="E75" s="177">
        <v>0.4</v>
      </c>
      <c r="F75" s="149">
        <f t="shared" si="3"/>
        <v>356.32</v>
      </c>
      <c r="G75" s="149">
        <f>F75</f>
        <v>356.32</v>
      </c>
      <c r="H75" s="149">
        <f t="shared" si="5"/>
        <v>0</v>
      </c>
      <c r="I75" s="178">
        <v>5004855</v>
      </c>
      <c r="J75" s="179" t="s">
        <v>319</v>
      </c>
      <c r="K75" s="178" t="s">
        <v>52</v>
      </c>
      <c r="L75" s="178" t="s">
        <v>53</v>
      </c>
      <c r="M75" s="178">
        <v>99899962</v>
      </c>
      <c r="N75" s="180"/>
    </row>
    <row r="76" spans="1:15" ht="21.75" customHeight="1" x14ac:dyDescent="0.25">
      <c r="A76" s="141">
        <v>74</v>
      </c>
      <c r="B76" s="142">
        <v>1433</v>
      </c>
      <c r="C76" s="143" t="s">
        <v>320</v>
      </c>
      <c r="D76" s="185">
        <v>891</v>
      </c>
      <c r="E76" s="182">
        <v>0.4</v>
      </c>
      <c r="F76" s="182">
        <f t="shared" si="3"/>
        <v>356.40000000000003</v>
      </c>
      <c r="G76" s="182">
        <f>355.84+0.56</f>
        <v>356.4</v>
      </c>
      <c r="H76" s="186">
        <f t="shared" si="5"/>
        <v>0</v>
      </c>
      <c r="I76" s="144">
        <v>285841</v>
      </c>
      <c r="J76" s="159" t="s">
        <v>321</v>
      </c>
      <c r="K76" s="144" t="s">
        <v>31</v>
      </c>
      <c r="L76" s="144" t="s">
        <v>32</v>
      </c>
      <c r="M76" s="144">
        <v>92958552</v>
      </c>
      <c r="N76" s="145">
        <v>45593</v>
      </c>
      <c r="O76" s="169" t="s">
        <v>322</v>
      </c>
    </row>
    <row r="77" spans="1:15" ht="21.75" customHeight="1" x14ac:dyDescent="0.25">
      <c r="A77" s="141">
        <v>75</v>
      </c>
      <c r="B77" s="215">
        <v>1434</v>
      </c>
      <c r="C77" s="143" t="s">
        <v>138</v>
      </c>
      <c r="D77" s="185">
        <v>430</v>
      </c>
      <c r="E77" s="182">
        <v>0.4</v>
      </c>
      <c r="F77" s="182">
        <f t="shared" si="3"/>
        <v>172</v>
      </c>
      <c r="G77" s="182">
        <f>171.22+0.78</f>
        <v>172</v>
      </c>
      <c r="H77" s="182">
        <f t="shared" si="5"/>
        <v>0</v>
      </c>
      <c r="I77" s="144">
        <v>19197503</v>
      </c>
      <c r="J77" s="159" t="s">
        <v>139</v>
      </c>
      <c r="K77" s="144" t="s">
        <v>31</v>
      </c>
      <c r="L77" s="144" t="s">
        <v>32</v>
      </c>
      <c r="M77" s="144">
        <v>92466605</v>
      </c>
      <c r="N77" s="145">
        <v>45614</v>
      </c>
    </row>
    <row r="78" spans="1:15" ht="21.75" customHeight="1" x14ac:dyDescent="0.25">
      <c r="A78" s="141">
        <v>76</v>
      </c>
      <c r="B78" s="215">
        <v>1435</v>
      </c>
      <c r="C78" s="143" t="s">
        <v>45</v>
      </c>
      <c r="D78" s="185">
        <v>1188</v>
      </c>
      <c r="E78" s="182">
        <v>0.4</v>
      </c>
      <c r="F78" s="149">
        <f t="shared" si="3"/>
        <v>475.20000000000005</v>
      </c>
      <c r="G78" s="149">
        <f>474.3+0.9</f>
        <v>475.2</v>
      </c>
      <c r="H78" s="149">
        <f t="shared" si="5"/>
        <v>0</v>
      </c>
      <c r="I78" s="144">
        <v>1305522</v>
      </c>
      <c r="J78" s="159" t="s">
        <v>46</v>
      </c>
      <c r="K78" s="144" t="s">
        <v>31</v>
      </c>
      <c r="L78" s="144" t="s">
        <v>32</v>
      </c>
      <c r="M78" s="144">
        <v>93246263</v>
      </c>
      <c r="N78" s="145">
        <v>45601</v>
      </c>
      <c r="O78" s="184">
        <v>45623</v>
      </c>
    </row>
    <row r="79" spans="1:15" s="217" customFormat="1" ht="21.75" customHeight="1" x14ac:dyDescent="0.25">
      <c r="A79" s="173">
        <v>77</v>
      </c>
      <c r="B79" s="216">
        <v>1437</v>
      </c>
      <c r="C79" s="175" t="s">
        <v>143</v>
      </c>
      <c r="D79" s="190">
        <v>777</v>
      </c>
      <c r="E79" s="177">
        <v>0.4</v>
      </c>
      <c r="F79" s="149">
        <f t="shared" si="3"/>
        <v>310.8</v>
      </c>
      <c r="G79" s="149">
        <f>F79</f>
        <v>310.8</v>
      </c>
      <c r="H79" s="149">
        <f t="shared" si="5"/>
        <v>0</v>
      </c>
      <c r="I79" s="178">
        <v>9685144</v>
      </c>
      <c r="J79" s="179" t="s">
        <v>144</v>
      </c>
      <c r="K79" s="178" t="s">
        <v>127</v>
      </c>
      <c r="L79" s="178" t="s">
        <v>128</v>
      </c>
      <c r="M79" s="178">
        <v>96907302</v>
      </c>
      <c r="N79" s="180"/>
    </row>
    <row r="80" spans="1:15" ht="21.75" customHeight="1" x14ac:dyDescent="0.25">
      <c r="A80" s="141">
        <v>78</v>
      </c>
      <c r="B80" s="142">
        <v>1438</v>
      </c>
      <c r="C80" s="143" t="s">
        <v>145</v>
      </c>
      <c r="D80" s="185">
        <v>1188</v>
      </c>
      <c r="E80" s="182">
        <v>0.4</v>
      </c>
      <c r="F80" s="149">
        <f t="shared" si="3"/>
        <v>475.20000000000005</v>
      </c>
      <c r="G80" s="149">
        <f>F80</f>
        <v>475.20000000000005</v>
      </c>
      <c r="H80" s="149">
        <f t="shared" si="5"/>
        <v>0</v>
      </c>
      <c r="I80" s="144">
        <v>656621</v>
      </c>
      <c r="J80" s="159" t="s">
        <v>146</v>
      </c>
      <c r="K80" s="144" t="s">
        <v>26</v>
      </c>
      <c r="L80" s="144" t="s">
        <v>27</v>
      </c>
      <c r="M80" s="144">
        <v>92509804</v>
      </c>
      <c r="N80" s="145">
        <v>45637</v>
      </c>
    </row>
    <row r="81" spans="1:16" ht="21.75" customHeight="1" x14ac:dyDescent="0.25">
      <c r="A81" s="141">
        <v>79</v>
      </c>
      <c r="B81" s="142">
        <v>1439</v>
      </c>
      <c r="C81" s="143" t="s">
        <v>323</v>
      </c>
      <c r="D81" s="185">
        <v>568.70000000000005</v>
      </c>
      <c r="E81" s="182">
        <v>0.4</v>
      </c>
      <c r="F81" s="149">
        <f t="shared" si="3"/>
        <v>227.48000000000002</v>
      </c>
      <c r="G81" s="149">
        <f>227.14+0.34</f>
        <v>227.48</v>
      </c>
      <c r="H81" s="149">
        <f t="shared" si="5"/>
        <v>0</v>
      </c>
      <c r="I81" s="144">
        <v>18880548</v>
      </c>
      <c r="J81" s="159" t="s">
        <v>324</v>
      </c>
      <c r="K81" s="144" t="s">
        <v>31</v>
      </c>
      <c r="L81" s="144" t="s">
        <v>32</v>
      </c>
      <c r="M81" s="144">
        <v>98901515</v>
      </c>
      <c r="N81" s="145">
        <v>45593</v>
      </c>
      <c r="O81" s="184">
        <v>45621</v>
      </c>
    </row>
    <row r="82" spans="1:16" s="217" customFormat="1" ht="21.75" customHeight="1" x14ac:dyDescent="0.25">
      <c r="A82" s="173">
        <v>80</v>
      </c>
      <c r="B82" s="189">
        <v>1441</v>
      </c>
      <c r="C82" s="175" t="s">
        <v>325</v>
      </c>
      <c r="D82" s="190">
        <v>638.1</v>
      </c>
      <c r="E82" s="177">
        <v>0.4</v>
      </c>
      <c r="F82" s="149">
        <f t="shared" si="3"/>
        <v>255.24</v>
      </c>
      <c r="G82" s="149">
        <f>F82</f>
        <v>255.24</v>
      </c>
      <c r="H82" s="149">
        <f t="shared" si="5"/>
        <v>0</v>
      </c>
      <c r="I82" s="178">
        <v>7285624</v>
      </c>
      <c r="J82" s="179" t="s">
        <v>326</v>
      </c>
      <c r="K82" s="178" t="s">
        <v>121</v>
      </c>
      <c r="L82" s="178" t="s">
        <v>32</v>
      </c>
      <c r="M82" s="178">
        <v>93587666</v>
      </c>
      <c r="N82" s="180"/>
    </row>
    <row r="83" spans="1:16" s="217" customFormat="1" ht="21.75" customHeight="1" x14ac:dyDescent="0.25">
      <c r="A83" s="173">
        <v>81</v>
      </c>
      <c r="B83" s="189">
        <v>1444</v>
      </c>
      <c r="C83" s="175" t="s">
        <v>327</v>
      </c>
      <c r="D83" s="190">
        <v>858</v>
      </c>
      <c r="E83" s="177">
        <v>0.4</v>
      </c>
      <c r="F83" s="149">
        <f t="shared" si="3"/>
        <v>343.20000000000005</v>
      </c>
      <c r="G83" s="149">
        <f t="shared" ref="G83:G84" si="6">F83</f>
        <v>343.20000000000005</v>
      </c>
      <c r="H83" s="149">
        <f t="shared" si="5"/>
        <v>0</v>
      </c>
      <c r="I83" s="178">
        <v>13487202</v>
      </c>
      <c r="J83" s="179" t="s">
        <v>328</v>
      </c>
      <c r="K83" s="178" t="s">
        <v>31</v>
      </c>
      <c r="L83" s="178" t="s">
        <v>32</v>
      </c>
      <c r="M83" s="178">
        <v>92244429</v>
      </c>
      <c r="N83" s="180"/>
    </row>
    <row r="84" spans="1:16" s="217" customFormat="1" ht="21.75" customHeight="1" x14ac:dyDescent="0.25">
      <c r="A84" s="173">
        <v>82</v>
      </c>
      <c r="B84" s="221">
        <v>1448</v>
      </c>
      <c r="C84" s="175" t="s">
        <v>147</v>
      </c>
      <c r="D84" s="190">
        <v>341.4</v>
      </c>
      <c r="E84" s="177">
        <v>0.4</v>
      </c>
      <c r="F84" s="149">
        <f t="shared" si="3"/>
        <v>136.56</v>
      </c>
      <c r="G84" s="149">
        <f t="shared" si="6"/>
        <v>136.56</v>
      </c>
      <c r="H84" s="149">
        <f t="shared" si="5"/>
        <v>0</v>
      </c>
      <c r="I84" s="196">
        <v>26433121</v>
      </c>
      <c r="J84" s="196" t="s">
        <v>148</v>
      </c>
      <c r="K84" s="196" t="s">
        <v>31</v>
      </c>
      <c r="L84" s="178" t="s">
        <v>32</v>
      </c>
      <c r="M84" s="196">
        <v>93229244</v>
      </c>
      <c r="N84" s="213"/>
    </row>
    <row r="85" spans="1:16" ht="21.75" customHeight="1" x14ac:dyDescent="0.25">
      <c r="A85" s="141">
        <v>83</v>
      </c>
      <c r="B85" s="142">
        <v>1451</v>
      </c>
      <c r="C85" s="143" t="s">
        <v>329</v>
      </c>
      <c r="D85" s="185">
        <v>429.6</v>
      </c>
      <c r="E85" s="182">
        <v>0.4</v>
      </c>
      <c r="F85" s="149">
        <f t="shared" si="3"/>
        <v>171.84000000000003</v>
      </c>
      <c r="G85" s="149">
        <f>170.24+1.6</f>
        <v>171.84</v>
      </c>
      <c r="H85" s="149">
        <f t="shared" si="5"/>
        <v>0</v>
      </c>
      <c r="I85" s="144">
        <v>20337612</v>
      </c>
      <c r="J85" s="159" t="s">
        <v>330</v>
      </c>
      <c r="K85" s="144" t="s">
        <v>31</v>
      </c>
      <c r="L85" s="144" t="s">
        <v>32</v>
      </c>
      <c r="M85" s="144">
        <v>98829667</v>
      </c>
      <c r="N85" s="145">
        <v>45586</v>
      </c>
      <c r="O85" s="184">
        <v>45609</v>
      </c>
    </row>
    <row r="86" spans="1:16" s="202" customFormat="1" ht="21.75" customHeight="1" x14ac:dyDescent="0.25">
      <c r="A86" s="141">
        <v>84</v>
      </c>
      <c r="B86" s="142">
        <v>1453</v>
      </c>
      <c r="C86" s="143" t="s">
        <v>331</v>
      </c>
      <c r="D86" s="185">
        <v>404</v>
      </c>
      <c r="E86" s="182">
        <v>0.4</v>
      </c>
      <c r="F86" s="149">
        <f t="shared" si="3"/>
        <v>161.60000000000002</v>
      </c>
      <c r="G86" s="149">
        <f>F86</f>
        <v>161.60000000000002</v>
      </c>
      <c r="H86" s="149">
        <f t="shared" si="5"/>
        <v>0</v>
      </c>
      <c r="I86" s="144">
        <v>5460259</v>
      </c>
      <c r="J86" s="159" t="s">
        <v>332</v>
      </c>
      <c r="K86" s="144" t="s">
        <v>155</v>
      </c>
      <c r="L86" s="144" t="s">
        <v>156</v>
      </c>
      <c r="M86" s="144">
        <v>90199947</v>
      </c>
      <c r="N86" s="193">
        <v>45607</v>
      </c>
    </row>
    <row r="87" spans="1:16" ht="21.75" customHeight="1" x14ac:dyDescent="0.25">
      <c r="A87" s="141">
        <v>85</v>
      </c>
      <c r="B87" s="142">
        <v>1455</v>
      </c>
      <c r="C87" s="143" t="s">
        <v>333</v>
      </c>
      <c r="D87" s="185">
        <v>820.4</v>
      </c>
      <c r="E87" s="182">
        <v>0.4</v>
      </c>
      <c r="F87" s="149">
        <f t="shared" si="3"/>
        <v>328.16</v>
      </c>
      <c r="G87" s="149">
        <f>97+230.05+1.11</f>
        <v>328.16</v>
      </c>
      <c r="H87" s="149">
        <f t="shared" si="5"/>
        <v>0</v>
      </c>
      <c r="I87" s="144">
        <v>9954383</v>
      </c>
      <c r="J87" s="159" t="s">
        <v>334</v>
      </c>
      <c r="K87" s="144" t="s">
        <v>31</v>
      </c>
      <c r="L87" s="144" t="s">
        <v>32</v>
      </c>
      <c r="M87" s="144">
        <v>93270751</v>
      </c>
      <c r="N87" s="145">
        <v>45601</v>
      </c>
      <c r="O87" s="184">
        <v>45635</v>
      </c>
      <c r="P87" s="184">
        <v>45637</v>
      </c>
    </row>
    <row r="88" spans="1:16" ht="21.75" customHeight="1" x14ac:dyDescent="0.25">
      <c r="A88" s="141">
        <v>86</v>
      </c>
      <c r="B88" s="142">
        <v>1462</v>
      </c>
      <c r="C88" s="143" t="s">
        <v>48</v>
      </c>
      <c r="D88" s="185">
        <v>404</v>
      </c>
      <c r="E88" s="182">
        <v>0.4</v>
      </c>
      <c r="F88" s="149">
        <f t="shared" si="3"/>
        <v>161.60000000000002</v>
      </c>
      <c r="G88" s="149">
        <f>F88</f>
        <v>161.60000000000002</v>
      </c>
      <c r="H88" s="149">
        <f t="shared" si="5"/>
        <v>0</v>
      </c>
      <c r="I88" s="144">
        <v>9664038</v>
      </c>
      <c r="J88" s="144" t="s">
        <v>49</v>
      </c>
      <c r="K88" s="144" t="s">
        <v>31</v>
      </c>
      <c r="L88" s="144" t="s">
        <v>32</v>
      </c>
      <c r="M88" s="144">
        <v>92989674</v>
      </c>
      <c r="N88" s="145">
        <v>45601</v>
      </c>
    </row>
    <row r="89" spans="1:16" ht="21.75" customHeight="1" x14ac:dyDescent="0.25">
      <c r="A89" s="141">
        <v>87</v>
      </c>
      <c r="B89" s="142">
        <v>1463</v>
      </c>
      <c r="C89" s="143" t="s">
        <v>50</v>
      </c>
      <c r="D89" s="185">
        <v>648</v>
      </c>
      <c r="E89" s="182">
        <v>0.4</v>
      </c>
      <c r="F89" s="182">
        <f t="shared" si="3"/>
        <v>259.2</v>
      </c>
      <c r="G89" s="182">
        <f>254.03+5.17</f>
        <v>259.2</v>
      </c>
      <c r="H89" s="182">
        <f t="shared" si="5"/>
        <v>0</v>
      </c>
      <c r="I89" s="144">
        <v>3798072</v>
      </c>
      <c r="J89" s="159" t="s">
        <v>51</v>
      </c>
      <c r="K89" s="144" t="s">
        <v>52</v>
      </c>
      <c r="L89" s="144" t="s">
        <v>53</v>
      </c>
      <c r="M89" s="144">
        <v>99480608</v>
      </c>
      <c r="N89" s="145">
        <v>45623</v>
      </c>
      <c r="O89" s="184">
        <v>45643</v>
      </c>
    </row>
    <row r="90" spans="1:16" ht="21.75" customHeight="1" x14ac:dyDescent="0.25">
      <c r="A90" s="222">
        <v>88</v>
      </c>
      <c r="B90" s="223">
        <v>1464</v>
      </c>
      <c r="C90" s="224" t="s">
        <v>335</v>
      </c>
      <c r="D90" s="225">
        <v>756</v>
      </c>
      <c r="E90" s="226">
        <v>0.4</v>
      </c>
      <c r="F90" s="149">
        <f t="shared" si="3"/>
        <v>302.40000000000003</v>
      </c>
      <c r="G90" s="149">
        <f>F90</f>
        <v>302.40000000000003</v>
      </c>
      <c r="H90" s="149">
        <f t="shared" si="5"/>
        <v>0</v>
      </c>
      <c r="I90" s="227">
        <v>6352996</v>
      </c>
      <c r="J90" s="228" t="s">
        <v>336</v>
      </c>
      <c r="K90" s="227" t="s">
        <v>52</v>
      </c>
      <c r="L90" s="227" t="s">
        <v>53</v>
      </c>
      <c r="M90" s="227">
        <v>92463267</v>
      </c>
      <c r="N90" s="229"/>
    </row>
    <row r="91" spans="1:16" ht="21.75" customHeight="1" x14ac:dyDescent="0.25">
      <c r="A91" s="173">
        <v>89</v>
      </c>
      <c r="B91" s="189">
        <v>1467</v>
      </c>
      <c r="C91" s="178" t="s">
        <v>337</v>
      </c>
      <c r="D91" s="190">
        <v>580.5</v>
      </c>
      <c r="E91" s="177">
        <v>0.4</v>
      </c>
      <c r="F91" s="149">
        <f t="shared" si="3"/>
        <v>232.20000000000002</v>
      </c>
      <c r="G91" s="149">
        <f>F91</f>
        <v>232.20000000000002</v>
      </c>
      <c r="H91" s="149">
        <f t="shared" si="5"/>
        <v>0</v>
      </c>
      <c r="I91" s="178">
        <v>4279933</v>
      </c>
      <c r="J91" s="179" t="s">
        <v>338</v>
      </c>
      <c r="K91" s="178" t="s">
        <v>52</v>
      </c>
      <c r="L91" s="178" t="s">
        <v>53</v>
      </c>
      <c r="M91" s="178">
        <v>98510166</v>
      </c>
      <c r="N91" s="180"/>
    </row>
    <row r="92" spans="1:16" ht="21.75" customHeight="1" x14ac:dyDescent="0.25">
      <c r="A92" s="173">
        <v>90</v>
      </c>
      <c r="B92" s="189">
        <v>1468</v>
      </c>
      <c r="C92" s="191" t="s">
        <v>149</v>
      </c>
      <c r="D92" s="190">
        <v>810</v>
      </c>
      <c r="E92" s="177">
        <v>0.4</v>
      </c>
      <c r="F92" s="149">
        <f t="shared" si="3"/>
        <v>324</v>
      </c>
      <c r="G92" s="149">
        <f t="shared" ref="G92:G95" si="7">F92</f>
        <v>324</v>
      </c>
      <c r="H92" s="149">
        <f t="shared" si="5"/>
        <v>0</v>
      </c>
      <c r="I92" s="178">
        <v>6996485</v>
      </c>
      <c r="J92" s="179" t="s">
        <v>150</v>
      </c>
      <c r="K92" s="178" t="s">
        <v>31</v>
      </c>
      <c r="L92" s="178" t="s">
        <v>32</v>
      </c>
      <c r="M92" s="178">
        <v>92947741</v>
      </c>
      <c r="N92" s="180"/>
    </row>
    <row r="93" spans="1:16" ht="27" customHeight="1" x14ac:dyDescent="0.25">
      <c r="A93" s="173">
        <v>91</v>
      </c>
      <c r="B93" s="221">
        <v>1472</v>
      </c>
      <c r="C93" s="175" t="s">
        <v>339</v>
      </c>
      <c r="D93" s="190">
        <v>729</v>
      </c>
      <c r="E93" s="177">
        <v>0.4</v>
      </c>
      <c r="F93" s="149">
        <f t="shared" si="3"/>
        <v>291.60000000000002</v>
      </c>
      <c r="G93" s="149">
        <f t="shared" si="7"/>
        <v>291.60000000000002</v>
      </c>
      <c r="H93" s="149">
        <f t="shared" si="5"/>
        <v>0</v>
      </c>
      <c r="I93" s="178">
        <v>962967</v>
      </c>
      <c r="J93" s="179" t="s">
        <v>340</v>
      </c>
      <c r="K93" s="178" t="s">
        <v>71</v>
      </c>
      <c r="L93" s="178" t="s">
        <v>72</v>
      </c>
      <c r="M93" s="178">
        <v>99365173</v>
      </c>
      <c r="N93" s="180"/>
    </row>
    <row r="94" spans="1:16" ht="21.75" customHeight="1" x14ac:dyDescent="0.25">
      <c r="A94" s="173">
        <v>92</v>
      </c>
      <c r="B94" s="189">
        <v>1473</v>
      </c>
      <c r="C94" s="175" t="s">
        <v>341</v>
      </c>
      <c r="D94" s="190">
        <v>702</v>
      </c>
      <c r="E94" s="177">
        <v>0.4</v>
      </c>
      <c r="F94" s="149">
        <f t="shared" si="3"/>
        <v>280.8</v>
      </c>
      <c r="G94" s="149">
        <f t="shared" si="7"/>
        <v>280.8</v>
      </c>
      <c r="H94" s="149">
        <f t="shared" si="5"/>
        <v>0</v>
      </c>
      <c r="I94" s="178">
        <v>18722784</v>
      </c>
      <c r="J94" s="178" t="s">
        <v>342</v>
      </c>
      <c r="K94" s="178" t="s">
        <v>52</v>
      </c>
      <c r="L94" s="178" t="s">
        <v>53</v>
      </c>
      <c r="M94" s="178">
        <v>98900644</v>
      </c>
      <c r="N94" s="173"/>
    </row>
    <row r="95" spans="1:16" ht="21.75" customHeight="1" x14ac:dyDescent="0.25">
      <c r="A95" s="173">
        <v>93</v>
      </c>
      <c r="B95" s="189">
        <v>1475</v>
      </c>
      <c r="C95" s="191" t="s">
        <v>151</v>
      </c>
      <c r="D95" s="190">
        <v>424.9</v>
      </c>
      <c r="E95" s="177">
        <v>0.4</v>
      </c>
      <c r="F95" s="149">
        <f t="shared" si="3"/>
        <v>169.96</v>
      </c>
      <c r="G95" s="149">
        <f t="shared" si="7"/>
        <v>169.96</v>
      </c>
      <c r="H95" s="149">
        <f t="shared" si="5"/>
        <v>0</v>
      </c>
      <c r="I95" s="178">
        <v>4584011</v>
      </c>
      <c r="J95" s="179" t="s">
        <v>152</v>
      </c>
      <c r="K95" s="178" t="s">
        <v>31</v>
      </c>
      <c r="L95" s="178" t="s">
        <v>32</v>
      </c>
      <c r="M95" s="178">
        <v>98822862</v>
      </c>
      <c r="N95" s="173"/>
    </row>
    <row r="96" spans="1:16" s="202" customFormat="1" ht="21.75" customHeight="1" x14ac:dyDescent="0.25">
      <c r="A96" s="141">
        <v>94</v>
      </c>
      <c r="B96" s="142">
        <v>1476</v>
      </c>
      <c r="C96" s="144" t="s">
        <v>343</v>
      </c>
      <c r="D96" s="185">
        <v>392.1</v>
      </c>
      <c r="E96" s="182">
        <v>0.4</v>
      </c>
      <c r="F96" s="149">
        <f t="shared" si="3"/>
        <v>156.84000000000003</v>
      </c>
      <c r="G96" s="149">
        <f>154.22+2.62</f>
        <v>156.84</v>
      </c>
      <c r="H96" s="149">
        <f t="shared" si="5"/>
        <v>0</v>
      </c>
      <c r="I96" s="144">
        <v>5486858</v>
      </c>
      <c r="J96" s="159" t="s">
        <v>344</v>
      </c>
      <c r="K96" s="144" t="s">
        <v>26</v>
      </c>
      <c r="L96" s="144" t="s">
        <v>27</v>
      </c>
      <c r="M96" s="144">
        <v>99019634</v>
      </c>
      <c r="N96" s="193">
        <v>45586</v>
      </c>
      <c r="O96" s="193">
        <v>45607</v>
      </c>
    </row>
    <row r="97" spans="1:20" ht="21.75" customHeight="1" x14ac:dyDescent="0.25">
      <c r="A97" s="173">
        <v>95</v>
      </c>
      <c r="B97" s="189">
        <v>1477</v>
      </c>
      <c r="C97" s="175" t="s">
        <v>345</v>
      </c>
      <c r="D97" s="190">
        <v>405</v>
      </c>
      <c r="E97" s="177">
        <v>0.4</v>
      </c>
      <c r="F97" s="149">
        <f t="shared" si="3"/>
        <v>162</v>
      </c>
      <c r="G97" s="149">
        <f>F97</f>
        <v>162</v>
      </c>
      <c r="H97" s="149">
        <f t="shared" si="5"/>
        <v>0</v>
      </c>
      <c r="I97" s="178">
        <v>18656494</v>
      </c>
      <c r="J97" s="178" t="s">
        <v>346</v>
      </c>
      <c r="K97" s="178" t="s">
        <v>31</v>
      </c>
      <c r="L97" s="178" t="s">
        <v>32</v>
      </c>
      <c r="M97" s="178">
        <v>92610234</v>
      </c>
      <c r="N97" s="173"/>
    </row>
    <row r="98" spans="1:20" ht="21.75" customHeight="1" x14ac:dyDescent="0.25">
      <c r="A98" s="173">
        <v>96</v>
      </c>
      <c r="B98" s="189">
        <v>1480</v>
      </c>
      <c r="C98" s="175" t="s">
        <v>347</v>
      </c>
      <c r="D98" s="190">
        <v>403.2</v>
      </c>
      <c r="E98" s="177">
        <v>0.4</v>
      </c>
      <c r="F98" s="149">
        <f t="shared" si="3"/>
        <v>161.28</v>
      </c>
      <c r="G98" s="149">
        <f>F98</f>
        <v>161.28</v>
      </c>
      <c r="H98" s="149">
        <f t="shared" si="5"/>
        <v>0</v>
      </c>
      <c r="I98" s="178">
        <v>19820777</v>
      </c>
      <c r="J98" s="178" t="s">
        <v>348</v>
      </c>
      <c r="K98" s="178" t="s">
        <v>31</v>
      </c>
      <c r="L98" s="178" t="s">
        <v>32</v>
      </c>
      <c r="M98" s="178">
        <v>92525031</v>
      </c>
      <c r="N98" s="173"/>
    </row>
    <row r="99" spans="1:20" s="187" customFormat="1" ht="21.75" customHeight="1" x14ac:dyDescent="0.25">
      <c r="A99" s="154">
        <v>97</v>
      </c>
      <c r="B99" s="230">
        <v>1482</v>
      </c>
      <c r="C99" s="152" t="s">
        <v>349</v>
      </c>
      <c r="D99" s="231">
        <v>717.5</v>
      </c>
      <c r="E99" s="232">
        <v>0.4</v>
      </c>
      <c r="F99" s="149">
        <f t="shared" si="3"/>
        <v>287</v>
      </c>
      <c r="G99" s="149">
        <f>F99</f>
        <v>287</v>
      </c>
      <c r="H99" s="149">
        <f t="shared" si="5"/>
        <v>0</v>
      </c>
      <c r="I99" s="153">
        <v>4024306</v>
      </c>
      <c r="J99" s="233" t="s">
        <v>350</v>
      </c>
      <c r="K99" s="153" t="s">
        <v>52</v>
      </c>
      <c r="L99" s="153" t="s">
        <v>53</v>
      </c>
      <c r="M99" s="153">
        <v>94453330</v>
      </c>
      <c r="N99" s="154" t="s">
        <v>351</v>
      </c>
    </row>
    <row r="100" spans="1:20" s="187" customFormat="1" ht="26.25" customHeight="1" x14ac:dyDescent="0.25">
      <c r="A100" s="141">
        <v>98</v>
      </c>
      <c r="B100" s="142">
        <v>1485</v>
      </c>
      <c r="C100" s="143" t="s">
        <v>352</v>
      </c>
      <c r="D100" s="185">
        <v>457</v>
      </c>
      <c r="E100" s="182">
        <v>0.4</v>
      </c>
      <c r="F100" s="149">
        <f t="shared" si="3"/>
        <v>182.8</v>
      </c>
      <c r="G100" s="149">
        <f>181.44+1.36</f>
        <v>182.8</v>
      </c>
      <c r="H100" s="149">
        <f t="shared" si="5"/>
        <v>0</v>
      </c>
      <c r="I100" s="144">
        <v>18585573</v>
      </c>
      <c r="J100" s="159" t="s">
        <v>353</v>
      </c>
      <c r="K100" s="144" t="s">
        <v>31</v>
      </c>
      <c r="L100" s="144" t="s">
        <v>32</v>
      </c>
      <c r="M100" s="144">
        <v>92695802</v>
      </c>
      <c r="N100" s="193">
        <v>45593</v>
      </c>
      <c r="O100" s="193">
        <v>45593</v>
      </c>
      <c r="P100" s="147">
        <v>45607</v>
      </c>
    </row>
    <row r="101" spans="1:20" s="187" customFormat="1" ht="26.25" customHeight="1" x14ac:dyDescent="0.25">
      <c r="A101" s="141">
        <v>99</v>
      </c>
      <c r="B101" s="142">
        <v>1487</v>
      </c>
      <c r="C101" s="201" t="s">
        <v>354</v>
      </c>
      <c r="D101" s="185">
        <v>5.6</v>
      </c>
      <c r="E101" s="182">
        <v>0.4</v>
      </c>
      <c r="F101" s="182">
        <f t="shared" si="3"/>
        <v>2.2399999999999998</v>
      </c>
      <c r="G101" s="182">
        <f>F101</f>
        <v>2.2399999999999998</v>
      </c>
      <c r="H101" s="182">
        <f t="shared" si="5"/>
        <v>0</v>
      </c>
      <c r="I101" s="155">
        <v>19315674</v>
      </c>
      <c r="J101" s="200" t="s">
        <v>355</v>
      </c>
      <c r="K101" s="144" t="s">
        <v>31</v>
      </c>
      <c r="L101" s="144" t="s">
        <v>32</v>
      </c>
      <c r="M101" s="144">
        <v>93972300</v>
      </c>
      <c r="N101" s="145">
        <v>45658</v>
      </c>
    </row>
    <row r="102" spans="1:20" s="187" customFormat="1" ht="21.75" customHeight="1" x14ac:dyDescent="0.25">
      <c r="A102" s="141">
        <v>100</v>
      </c>
      <c r="B102" s="142">
        <v>1700</v>
      </c>
      <c r="C102" s="143" t="s">
        <v>356</v>
      </c>
      <c r="D102" s="185">
        <v>783</v>
      </c>
      <c r="E102" s="182">
        <v>0.4</v>
      </c>
      <c r="F102" s="149">
        <f t="shared" si="3"/>
        <v>313.20000000000005</v>
      </c>
      <c r="G102" s="149">
        <f>308.13+5.07</f>
        <v>313.2</v>
      </c>
      <c r="H102" s="149">
        <f t="shared" si="5"/>
        <v>0</v>
      </c>
      <c r="I102" s="144">
        <v>6332437</v>
      </c>
      <c r="J102" s="159" t="s">
        <v>357</v>
      </c>
      <c r="K102" s="144" t="s">
        <v>31</v>
      </c>
      <c r="L102" s="144" t="s">
        <v>32</v>
      </c>
      <c r="M102" s="144">
        <v>99284449</v>
      </c>
      <c r="N102" s="193">
        <v>45593</v>
      </c>
      <c r="O102" s="193" t="s">
        <v>358</v>
      </c>
    </row>
    <row r="103" spans="1:20" s="187" customFormat="1" ht="21.75" customHeight="1" x14ac:dyDescent="0.25">
      <c r="A103" s="173">
        <v>101</v>
      </c>
      <c r="B103" s="189">
        <v>1702</v>
      </c>
      <c r="C103" s="175" t="s">
        <v>359</v>
      </c>
      <c r="D103" s="190">
        <v>603.79999999999995</v>
      </c>
      <c r="E103" s="177">
        <v>0.4</v>
      </c>
      <c r="F103" s="149">
        <f t="shared" si="3"/>
        <v>241.51999999999998</v>
      </c>
      <c r="G103" s="149">
        <f>F103</f>
        <v>241.51999999999998</v>
      </c>
      <c r="H103" s="149">
        <f t="shared" si="5"/>
        <v>0</v>
      </c>
      <c r="I103" s="178">
        <v>1572875</v>
      </c>
      <c r="J103" s="238" t="s">
        <v>360</v>
      </c>
      <c r="K103" s="178" t="s">
        <v>52</v>
      </c>
      <c r="L103" s="178" t="s">
        <v>53</v>
      </c>
      <c r="M103" s="178">
        <v>99899341</v>
      </c>
      <c r="N103" s="173"/>
    </row>
    <row r="104" spans="1:20" s="187" customFormat="1" ht="21.75" customHeight="1" x14ac:dyDescent="0.25">
      <c r="A104" s="173">
        <v>102</v>
      </c>
      <c r="B104" s="189">
        <v>1704</v>
      </c>
      <c r="C104" s="175" t="s">
        <v>361</v>
      </c>
      <c r="D104" s="190">
        <v>546.9</v>
      </c>
      <c r="E104" s="177">
        <v>0.4</v>
      </c>
      <c r="F104" s="149">
        <f t="shared" si="3"/>
        <v>218.76</v>
      </c>
      <c r="G104" s="149">
        <f>F104</f>
        <v>218.76</v>
      </c>
      <c r="H104" s="149">
        <f t="shared" si="5"/>
        <v>0</v>
      </c>
      <c r="I104" s="178">
        <v>19235157</v>
      </c>
      <c r="J104" s="179" t="s">
        <v>362</v>
      </c>
      <c r="K104" s="178" t="s">
        <v>31</v>
      </c>
      <c r="L104" s="178" t="s">
        <v>32</v>
      </c>
      <c r="M104" s="178"/>
      <c r="N104" s="173"/>
    </row>
    <row r="105" spans="1:20" s="187" customFormat="1" ht="21.75" customHeight="1" x14ac:dyDescent="0.25">
      <c r="A105" s="141">
        <v>103</v>
      </c>
      <c r="B105" s="142">
        <v>1706</v>
      </c>
      <c r="C105" s="143" t="s">
        <v>153</v>
      </c>
      <c r="D105" s="185">
        <v>364.7</v>
      </c>
      <c r="E105" s="182">
        <v>0.4</v>
      </c>
      <c r="F105" s="182">
        <f t="shared" si="3"/>
        <v>145.88</v>
      </c>
      <c r="G105" s="182">
        <f>142.71+3.17</f>
        <v>145.88</v>
      </c>
      <c r="H105" s="186">
        <f t="shared" si="5"/>
        <v>0</v>
      </c>
      <c r="I105" s="144">
        <v>2520947</v>
      </c>
      <c r="J105" s="201" t="s">
        <v>154</v>
      </c>
      <c r="K105" s="144" t="s">
        <v>155</v>
      </c>
      <c r="L105" s="201" t="s">
        <v>156</v>
      </c>
      <c r="M105" s="144">
        <v>92246641</v>
      </c>
      <c r="N105" s="147">
        <v>45573</v>
      </c>
      <c r="O105" s="194">
        <v>45656</v>
      </c>
    </row>
    <row r="106" spans="1:20" s="187" customFormat="1" ht="21.75" customHeight="1" x14ac:dyDescent="0.25">
      <c r="A106" s="141">
        <v>104</v>
      </c>
      <c r="B106" s="142">
        <v>1708</v>
      </c>
      <c r="C106" s="143" t="s">
        <v>363</v>
      </c>
      <c r="D106" s="185">
        <v>1359</v>
      </c>
      <c r="E106" s="182">
        <v>0.4</v>
      </c>
      <c r="F106" s="149">
        <f t="shared" si="3"/>
        <v>543.6</v>
      </c>
      <c r="G106" s="149">
        <f>97+97+97+121.25+97+34.35</f>
        <v>543.6</v>
      </c>
      <c r="H106" s="149">
        <f t="shared" si="5"/>
        <v>0</v>
      </c>
      <c r="I106" s="144">
        <v>1331691</v>
      </c>
      <c r="J106" s="159" t="s">
        <v>364</v>
      </c>
      <c r="K106" s="144" t="s">
        <v>31</v>
      </c>
      <c r="L106" s="144" t="s">
        <v>32</v>
      </c>
      <c r="M106" s="144"/>
      <c r="N106" s="147">
        <v>45593</v>
      </c>
      <c r="O106" s="194">
        <v>45602</v>
      </c>
      <c r="P106" s="194">
        <v>45607</v>
      </c>
      <c r="R106" s="194">
        <v>45614</v>
      </c>
      <c r="S106" s="194">
        <v>45621</v>
      </c>
      <c r="T106" s="194">
        <v>45623</v>
      </c>
    </row>
    <row r="107" spans="1:20" s="187" customFormat="1" ht="21.75" customHeight="1" x14ac:dyDescent="0.25">
      <c r="A107" s="173">
        <v>105</v>
      </c>
      <c r="B107" s="189">
        <v>1709</v>
      </c>
      <c r="C107" s="175" t="s">
        <v>365</v>
      </c>
      <c r="D107" s="190">
        <v>404.7</v>
      </c>
      <c r="E107" s="177">
        <v>0.4</v>
      </c>
      <c r="F107" s="149">
        <f t="shared" si="3"/>
        <v>161.88</v>
      </c>
      <c r="G107" s="149">
        <f>F107</f>
        <v>161.88</v>
      </c>
      <c r="H107" s="149">
        <f t="shared" si="5"/>
        <v>0</v>
      </c>
      <c r="I107" s="178">
        <v>2406629</v>
      </c>
      <c r="J107" s="239" t="s">
        <v>366</v>
      </c>
      <c r="K107" s="178" t="s">
        <v>121</v>
      </c>
      <c r="L107" s="178" t="s">
        <v>122</v>
      </c>
      <c r="M107" s="178">
        <v>92771786</v>
      </c>
      <c r="N107" s="173"/>
    </row>
    <row r="108" spans="1:20" s="187" customFormat="1" ht="21.75" customHeight="1" x14ac:dyDescent="0.25">
      <c r="A108" s="173">
        <v>106</v>
      </c>
      <c r="B108" s="189">
        <v>1711</v>
      </c>
      <c r="C108" s="175" t="s">
        <v>55</v>
      </c>
      <c r="D108" s="190">
        <v>651.70000000000005</v>
      </c>
      <c r="E108" s="177">
        <v>0.4</v>
      </c>
      <c r="F108" s="149">
        <f t="shared" si="3"/>
        <v>260.68</v>
      </c>
      <c r="G108" s="149">
        <f>F108</f>
        <v>260.68</v>
      </c>
      <c r="H108" s="149">
        <f t="shared" si="5"/>
        <v>0</v>
      </c>
      <c r="I108" s="178">
        <v>638353</v>
      </c>
      <c r="J108" s="238" t="s">
        <v>56</v>
      </c>
      <c r="K108" s="178" t="s">
        <v>31</v>
      </c>
      <c r="L108" s="178" t="s">
        <v>32</v>
      </c>
      <c r="M108" s="178">
        <v>99292727</v>
      </c>
      <c r="N108" s="173"/>
    </row>
    <row r="109" spans="1:20" s="187" customFormat="1" ht="21.75" customHeight="1" x14ac:dyDescent="0.25">
      <c r="A109" s="141">
        <v>107</v>
      </c>
      <c r="B109" s="142">
        <v>1712</v>
      </c>
      <c r="C109" s="143" t="s">
        <v>57</v>
      </c>
      <c r="D109" s="185">
        <v>400.2</v>
      </c>
      <c r="E109" s="182">
        <v>0.4</v>
      </c>
      <c r="F109" s="149">
        <f t="shared" si="3"/>
        <v>160.08000000000001</v>
      </c>
      <c r="G109" s="149">
        <f>157.61+2.47</f>
        <v>160.08000000000001</v>
      </c>
      <c r="H109" s="149">
        <f t="shared" si="5"/>
        <v>0</v>
      </c>
      <c r="I109" s="144">
        <v>788958</v>
      </c>
      <c r="J109" s="197" t="s">
        <v>58</v>
      </c>
      <c r="K109" s="144" t="s">
        <v>31</v>
      </c>
      <c r="L109" s="144" t="s">
        <v>32</v>
      </c>
      <c r="M109" s="144"/>
      <c r="N109" s="147">
        <v>45609</v>
      </c>
      <c r="O109" s="194">
        <v>45643</v>
      </c>
    </row>
    <row r="110" spans="1:20" s="187" customFormat="1" ht="21.75" customHeight="1" x14ac:dyDescent="0.25">
      <c r="A110" s="141">
        <v>108</v>
      </c>
      <c r="B110" s="142">
        <v>1713</v>
      </c>
      <c r="C110" s="143" t="s">
        <v>157</v>
      </c>
      <c r="D110" s="185">
        <v>432</v>
      </c>
      <c r="E110" s="182">
        <v>0.4</v>
      </c>
      <c r="F110" s="149">
        <f t="shared" si="3"/>
        <v>172.8</v>
      </c>
      <c r="G110" s="149">
        <f>172.5+0.3</f>
        <v>172.8</v>
      </c>
      <c r="H110" s="149">
        <f t="shared" si="5"/>
        <v>0</v>
      </c>
      <c r="I110" s="144">
        <v>19890467</v>
      </c>
      <c r="J110" s="197" t="s">
        <v>158</v>
      </c>
      <c r="K110" s="144" t="s">
        <v>52</v>
      </c>
      <c r="L110" s="144" t="s">
        <v>53</v>
      </c>
      <c r="M110" s="144"/>
      <c r="N110" s="145">
        <v>45573</v>
      </c>
      <c r="O110" s="194">
        <v>45602</v>
      </c>
    </row>
    <row r="111" spans="1:20" s="187" customFormat="1" ht="21.75" customHeight="1" x14ac:dyDescent="0.25">
      <c r="A111" s="141">
        <v>109</v>
      </c>
      <c r="B111" s="142">
        <v>1714</v>
      </c>
      <c r="C111" s="143" t="s">
        <v>59</v>
      </c>
      <c r="D111" s="185">
        <v>405</v>
      </c>
      <c r="E111" s="182">
        <v>0.4</v>
      </c>
      <c r="F111" s="149">
        <f t="shared" si="3"/>
        <v>162</v>
      </c>
      <c r="G111" s="149">
        <f>131.69+30.31</f>
        <v>162</v>
      </c>
      <c r="H111" s="149">
        <f t="shared" si="5"/>
        <v>0</v>
      </c>
      <c r="I111" s="144">
        <v>6285703</v>
      </c>
      <c r="J111" s="197" t="s">
        <v>60</v>
      </c>
      <c r="K111" s="144" t="s">
        <v>31</v>
      </c>
      <c r="L111" s="144" t="s">
        <v>32</v>
      </c>
      <c r="M111" s="144"/>
      <c r="N111" s="147">
        <v>45573</v>
      </c>
      <c r="O111" s="194">
        <v>45637</v>
      </c>
    </row>
    <row r="112" spans="1:20" s="187" customFormat="1" ht="21.75" customHeight="1" x14ac:dyDescent="0.25">
      <c r="A112" s="141">
        <v>110</v>
      </c>
      <c r="B112" s="142">
        <v>1715</v>
      </c>
      <c r="C112" s="143" t="s">
        <v>62</v>
      </c>
      <c r="D112" s="185">
        <v>282.5</v>
      </c>
      <c r="E112" s="182">
        <v>0.4</v>
      </c>
      <c r="F112" s="149">
        <f t="shared" si="3"/>
        <v>113</v>
      </c>
      <c r="G112" s="149">
        <f>F112</f>
        <v>113</v>
      </c>
      <c r="H112" s="149">
        <f t="shared" si="5"/>
        <v>0</v>
      </c>
      <c r="I112" s="144">
        <v>6511663</v>
      </c>
      <c r="J112" s="197" t="s">
        <v>63</v>
      </c>
      <c r="K112" s="144" t="s">
        <v>31</v>
      </c>
      <c r="L112" s="144" t="s">
        <v>32</v>
      </c>
      <c r="M112" s="144"/>
      <c r="N112" s="141" t="s">
        <v>367</v>
      </c>
    </row>
    <row r="113" spans="1:15" s="202" customFormat="1" ht="21.75" customHeight="1" x14ac:dyDescent="0.25">
      <c r="A113" s="141">
        <v>111</v>
      </c>
      <c r="B113" s="142">
        <v>1716</v>
      </c>
      <c r="C113" s="143" t="s">
        <v>368</v>
      </c>
      <c r="D113" s="185">
        <v>852</v>
      </c>
      <c r="E113" s="182">
        <v>0.4</v>
      </c>
      <c r="F113" s="149">
        <f t="shared" si="3"/>
        <v>340.8</v>
      </c>
      <c r="G113" s="149">
        <f>340.13+0.67</f>
        <v>340.8</v>
      </c>
      <c r="H113" s="149">
        <f t="shared" si="5"/>
        <v>0</v>
      </c>
      <c r="I113" s="144">
        <v>24147445</v>
      </c>
      <c r="J113" s="201" t="s">
        <v>369</v>
      </c>
      <c r="K113" s="144" t="s">
        <v>31</v>
      </c>
      <c r="L113" s="144" t="s">
        <v>32</v>
      </c>
      <c r="M113" s="144">
        <v>92772114</v>
      </c>
      <c r="N113" s="147">
        <v>45586</v>
      </c>
      <c r="O113" s="194">
        <v>45607</v>
      </c>
    </row>
    <row r="114" spans="1:15" s="187" customFormat="1" ht="21.75" customHeight="1" x14ac:dyDescent="0.25">
      <c r="A114" s="173">
        <v>112</v>
      </c>
      <c r="B114" s="189">
        <v>1717</v>
      </c>
      <c r="C114" s="175" t="s">
        <v>370</v>
      </c>
      <c r="D114" s="190">
        <v>327</v>
      </c>
      <c r="E114" s="177">
        <v>0.4</v>
      </c>
      <c r="F114" s="149">
        <f t="shared" si="3"/>
        <v>130.80000000000001</v>
      </c>
      <c r="G114" s="149">
        <f>F114</f>
        <v>130.80000000000001</v>
      </c>
      <c r="H114" s="149">
        <f t="shared" si="5"/>
        <v>0</v>
      </c>
      <c r="I114" s="178">
        <v>3248965</v>
      </c>
      <c r="J114" s="238" t="s">
        <v>371</v>
      </c>
      <c r="K114" s="178" t="s">
        <v>31</v>
      </c>
      <c r="L114" s="178" t="s">
        <v>32</v>
      </c>
      <c r="M114" s="178">
        <v>92476390</v>
      </c>
      <c r="N114" s="173"/>
    </row>
    <row r="115" spans="1:15" s="187" customFormat="1" ht="21.75" customHeight="1" x14ac:dyDescent="0.25">
      <c r="A115" s="204">
        <v>113</v>
      </c>
      <c r="B115" s="205">
        <v>1718</v>
      </c>
      <c r="C115" s="206" t="s">
        <v>159</v>
      </c>
      <c r="D115" s="207">
        <v>405</v>
      </c>
      <c r="E115" s="208">
        <v>0.4</v>
      </c>
      <c r="F115" s="149">
        <f t="shared" si="3"/>
        <v>162</v>
      </c>
      <c r="G115" s="149">
        <f>F115</f>
        <v>162</v>
      </c>
      <c r="H115" s="149">
        <f t="shared" si="5"/>
        <v>0</v>
      </c>
      <c r="I115" s="209">
        <v>18656137</v>
      </c>
      <c r="J115" s="240" t="s">
        <v>160</v>
      </c>
      <c r="K115" s="209" t="s">
        <v>155</v>
      </c>
      <c r="L115" s="209" t="s">
        <v>156</v>
      </c>
      <c r="M115" s="209"/>
      <c r="N115" s="211" t="s">
        <v>262</v>
      </c>
    </row>
    <row r="116" spans="1:15" s="187" customFormat="1" ht="21.75" customHeight="1" x14ac:dyDescent="0.25">
      <c r="A116" s="173">
        <v>114</v>
      </c>
      <c r="B116" s="189">
        <v>1720</v>
      </c>
      <c r="C116" s="175" t="s">
        <v>372</v>
      </c>
      <c r="D116" s="190">
        <v>340.1</v>
      </c>
      <c r="E116" s="177">
        <v>0.4</v>
      </c>
      <c r="F116" s="149">
        <f t="shared" si="3"/>
        <v>136.04000000000002</v>
      </c>
      <c r="G116" s="149">
        <f>F116</f>
        <v>136.04000000000002</v>
      </c>
      <c r="H116" s="149">
        <f t="shared" si="5"/>
        <v>0</v>
      </c>
      <c r="I116" s="178">
        <v>6812881</v>
      </c>
      <c r="J116" s="238" t="s">
        <v>373</v>
      </c>
      <c r="K116" s="178" t="s">
        <v>52</v>
      </c>
      <c r="L116" s="178" t="s">
        <v>53</v>
      </c>
      <c r="M116" s="178"/>
      <c r="N116" s="173"/>
    </row>
    <row r="117" spans="1:15" s="187" customFormat="1" ht="21.75" customHeight="1" x14ac:dyDescent="0.25">
      <c r="A117" s="141">
        <v>115</v>
      </c>
      <c r="B117" s="142">
        <v>1722</v>
      </c>
      <c r="C117" s="143" t="s">
        <v>374</v>
      </c>
      <c r="D117" s="185">
        <v>530</v>
      </c>
      <c r="E117" s="182">
        <v>0.4</v>
      </c>
      <c r="F117" s="149">
        <f t="shared" si="3"/>
        <v>212</v>
      </c>
      <c r="G117" s="149">
        <f>207.27+4.73</f>
        <v>212</v>
      </c>
      <c r="H117" s="149">
        <f t="shared" si="5"/>
        <v>0</v>
      </c>
      <c r="I117" s="144">
        <v>12979647</v>
      </c>
      <c r="J117" s="197" t="s">
        <v>375</v>
      </c>
      <c r="K117" s="144" t="s">
        <v>376</v>
      </c>
      <c r="L117" s="144" t="s">
        <v>307</v>
      </c>
      <c r="M117" s="144">
        <v>98899002</v>
      </c>
      <c r="N117" s="147">
        <v>45588</v>
      </c>
      <c r="O117" s="194">
        <v>45614</v>
      </c>
    </row>
    <row r="118" spans="1:15" s="187" customFormat="1" ht="21.75" customHeight="1" x14ac:dyDescent="0.25">
      <c r="A118" s="141">
        <v>116</v>
      </c>
      <c r="B118" s="142">
        <v>1723</v>
      </c>
      <c r="C118" s="143" t="s">
        <v>65</v>
      </c>
      <c r="D118" s="185">
        <v>465</v>
      </c>
      <c r="E118" s="182">
        <v>0.4</v>
      </c>
      <c r="F118" s="149">
        <f t="shared" si="3"/>
        <v>186</v>
      </c>
      <c r="G118" s="149">
        <f>145.95+40.05</f>
        <v>186</v>
      </c>
      <c r="H118" s="149">
        <f t="shared" si="5"/>
        <v>0</v>
      </c>
      <c r="I118" s="144">
        <v>6631224</v>
      </c>
      <c r="J118" s="159" t="s">
        <v>66</v>
      </c>
      <c r="K118" s="144" t="s">
        <v>31</v>
      </c>
      <c r="L118" s="144" t="s">
        <v>32</v>
      </c>
      <c r="M118" s="144">
        <v>92666839</v>
      </c>
      <c r="N118" s="147">
        <v>45514</v>
      </c>
      <c r="O118" s="194">
        <v>45602</v>
      </c>
    </row>
    <row r="119" spans="1:15" s="187" customFormat="1" ht="21.75" customHeight="1" x14ac:dyDescent="0.25">
      <c r="A119" s="141">
        <v>117</v>
      </c>
      <c r="B119" s="142">
        <v>1724</v>
      </c>
      <c r="C119" s="143" t="s">
        <v>67</v>
      </c>
      <c r="D119" s="185">
        <v>405</v>
      </c>
      <c r="E119" s="182">
        <v>0.4</v>
      </c>
      <c r="F119" s="149">
        <f t="shared" si="3"/>
        <v>162</v>
      </c>
      <c r="G119" s="149">
        <f>F119</f>
        <v>162</v>
      </c>
      <c r="H119" s="149">
        <f t="shared" si="5"/>
        <v>0</v>
      </c>
      <c r="I119" s="144">
        <v>10795143</v>
      </c>
      <c r="J119" s="201" t="s">
        <v>68</v>
      </c>
      <c r="K119" s="144" t="s">
        <v>26</v>
      </c>
      <c r="L119" s="144" t="s">
        <v>27</v>
      </c>
      <c r="M119" s="144">
        <v>99494166</v>
      </c>
      <c r="N119" s="147">
        <v>45601</v>
      </c>
    </row>
    <row r="120" spans="1:15" s="187" customFormat="1" ht="21.75" customHeight="1" x14ac:dyDescent="0.25">
      <c r="A120" s="173">
        <v>118</v>
      </c>
      <c r="B120" s="189">
        <v>1725</v>
      </c>
      <c r="C120" s="175" t="s">
        <v>377</v>
      </c>
      <c r="D120" s="190">
        <v>808.3</v>
      </c>
      <c r="E120" s="177">
        <v>0.4</v>
      </c>
      <c r="F120" s="149">
        <f t="shared" si="3"/>
        <v>323.32</v>
      </c>
      <c r="G120" s="149">
        <f>F120</f>
        <v>323.32</v>
      </c>
      <c r="H120" s="149">
        <f t="shared" si="5"/>
        <v>0</v>
      </c>
      <c r="I120" s="178">
        <v>2223414</v>
      </c>
      <c r="J120" s="238" t="s">
        <v>378</v>
      </c>
      <c r="K120" s="178" t="s">
        <v>52</v>
      </c>
      <c r="L120" s="178" t="s">
        <v>53</v>
      </c>
      <c r="M120" s="178"/>
      <c r="N120" s="173"/>
    </row>
    <row r="121" spans="1:15" s="187" customFormat="1" ht="21.75" customHeight="1" x14ac:dyDescent="0.25">
      <c r="A121" s="141">
        <v>119</v>
      </c>
      <c r="B121" s="142">
        <v>1726</v>
      </c>
      <c r="C121" s="143" t="s">
        <v>379</v>
      </c>
      <c r="D121" s="185">
        <v>631.6</v>
      </c>
      <c r="E121" s="182">
        <v>0.4</v>
      </c>
      <c r="F121" s="149">
        <f t="shared" si="3"/>
        <v>252.64000000000001</v>
      </c>
      <c r="G121" s="149">
        <f>251.24+1.4</f>
        <v>252.64000000000001</v>
      </c>
      <c r="H121" s="149">
        <f t="shared" si="5"/>
        <v>0</v>
      </c>
      <c r="I121" s="144">
        <v>5440535</v>
      </c>
      <c r="J121" s="197" t="s">
        <v>380</v>
      </c>
      <c r="K121" s="144" t="s">
        <v>31</v>
      </c>
      <c r="L121" s="144" t="s">
        <v>32</v>
      </c>
      <c r="M121" s="144">
        <v>92023947</v>
      </c>
      <c r="N121" s="147">
        <v>45567</v>
      </c>
      <c r="O121" s="194">
        <v>45600</v>
      </c>
    </row>
    <row r="122" spans="1:15" s="187" customFormat="1" ht="21.75" customHeight="1" x14ac:dyDescent="0.25">
      <c r="A122" s="173">
        <v>120</v>
      </c>
      <c r="B122" s="189">
        <v>1728</v>
      </c>
      <c r="C122" s="175" t="s">
        <v>13</v>
      </c>
      <c r="D122" s="190">
        <v>432</v>
      </c>
      <c r="E122" s="177">
        <v>0.4</v>
      </c>
      <c r="F122" s="149">
        <f t="shared" si="3"/>
        <v>172.8</v>
      </c>
      <c r="G122" s="149">
        <f>F122</f>
        <v>172.8</v>
      </c>
      <c r="H122" s="149">
        <f t="shared" si="5"/>
        <v>0</v>
      </c>
      <c r="I122" s="178">
        <v>8977778</v>
      </c>
      <c r="J122" s="179" t="s">
        <v>381</v>
      </c>
      <c r="K122" s="178" t="s">
        <v>31</v>
      </c>
      <c r="L122" s="178" t="s">
        <v>32</v>
      </c>
      <c r="M122" s="178"/>
      <c r="N122" s="173"/>
    </row>
    <row r="123" spans="1:15" s="187" customFormat="1" ht="21.75" customHeight="1" x14ac:dyDescent="0.25">
      <c r="A123" s="141">
        <v>121</v>
      </c>
      <c r="B123" s="142">
        <v>1729</v>
      </c>
      <c r="C123" s="143" t="s">
        <v>382</v>
      </c>
      <c r="D123" s="185">
        <v>377</v>
      </c>
      <c r="E123" s="182">
        <v>0.4</v>
      </c>
      <c r="F123" s="149">
        <f t="shared" si="3"/>
        <v>150.80000000000001</v>
      </c>
      <c r="G123" s="149">
        <f>149.02+1.78</f>
        <v>150.80000000000001</v>
      </c>
      <c r="H123" s="149">
        <f t="shared" si="5"/>
        <v>0</v>
      </c>
      <c r="I123" s="144">
        <v>22975081</v>
      </c>
      <c r="J123" s="159" t="s">
        <v>383</v>
      </c>
      <c r="K123" s="144" t="s">
        <v>31</v>
      </c>
      <c r="L123" s="144" t="s">
        <v>32</v>
      </c>
      <c r="M123" s="144"/>
      <c r="N123" s="147">
        <v>45581</v>
      </c>
      <c r="O123" s="194">
        <v>45601</v>
      </c>
    </row>
    <row r="124" spans="1:15" s="187" customFormat="1" ht="21.75" customHeight="1" x14ac:dyDescent="0.25">
      <c r="A124" s="141">
        <v>122</v>
      </c>
      <c r="B124" s="142">
        <v>1730</v>
      </c>
      <c r="C124" s="143" t="s">
        <v>162</v>
      </c>
      <c r="D124" s="185">
        <v>469.3</v>
      </c>
      <c r="E124" s="182">
        <v>0.4</v>
      </c>
      <c r="F124" s="149">
        <f t="shared" si="3"/>
        <v>187.72000000000003</v>
      </c>
      <c r="G124" s="149">
        <f>183.07+4.65</f>
        <v>187.72</v>
      </c>
      <c r="H124" s="149">
        <f t="shared" si="5"/>
        <v>0</v>
      </c>
      <c r="I124" s="144">
        <v>18458405</v>
      </c>
      <c r="J124" s="197" t="s">
        <v>163</v>
      </c>
      <c r="K124" s="144" t="s">
        <v>31</v>
      </c>
      <c r="L124" s="144" t="s">
        <v>32</v>
      </c>
      <c r="M124" s="144">
        <v>98566660</v>
      </c>
      <c r="N124" s="147">
        <v>45514</v>
      </c>
      <c r="O124" s="194">
        <v>45600</v>
      </c>
    </row>
    <row r="125" spans="1:15" s="187" customFormat="1" ht="21.75" customHeight="1" x14ac:dyDescent="0.25">
      <c r="A125" s="141">
        <v>123</v>
      </c>
      <c r="B125" s="142">
        <v>1731</v>
      </c>
      <c r="C125" s="143" t="s">
        <v>384</v>
      </c>
      <c r="D125" s="185">
        <v>432</v>
      </c>
      <c r="E125" s="182">
        <v>0.4</v>
      </c>
      <c r="F125" s="149">
        <f t="shared" si="3"/>
        <v>172.8</v>
      </c>
      <c r="G125" s="149">
        <f>172.26+0.54</f>
        <v>172.79999999999998</v>
      </c>
      <c r="H125" s="149">
        <f t="shared" si="5"/>
        <v>0</v>
      </c>
      <c r="I125" s="144">
        <v>604651</v>
      </c>
      <c r="J125" s="197" t="s">
        <v>385</v>
      </c>
      <c r="K125" s="144" t="s">
        <v>31</v>
      </c>
      <c r="L125" s="144" t="s">
        <v>32</v>
      </c>
      <c r="M125" s="144">
        <v>92587799</v>
      </c>
      <c r="N125" s="147">
        <v>45580</v>
      </c>
      <c r="O125" s="194">
        <v>45602</v>
      </c>
    </row>
    <row r="126" spans="1:15" s="187" customFormat="1" ht="21.75" customHeight="1" x14ac:dyDescent="0.25">
      <c r="A126" s="173">
        <v>124</v>
      </c>
      <c r="B126" s="189">
        <v>1733</v>
      </c>
      <c r="C126" s="175" t="s">
        <v>386</v>
      </c>
      <c r="D126" s="190">
        <v>425.7</v>
      </c>
      <c r="E126" s="177">
        <v>0.4</v>
      </c>
      <c r="F126" s="149">
        <f t="shared" si="3"/>
        <v>170.28</v>
      </c>
      <c r="G126" s="149">
        <f>F126</f>
        <v>170.28</v>
      </c>
      <c r="H126" s="149">
        <f t="shared" si="5"/>
        <v>0</v>
      </c>
      <c r="I126" s="178">
        <v>24598302</v>
      </c>
      <c r="J126" s="241" t="s">
        <v>387</v>
      </c>
      <c r="K126" s="178" t="s">
        <v>52</v>
      </c>
      <c r="L126" s="178" t="s">
        <v>53</v>
      </c>
      <c r="M126" s="178"/>
      <c r="N126" s="173"/>
    </row>
    <row r="127" spans="1:15" s="187" customFormat="1" ht="21.75" customHeight="1" x14ac:dyDescent="0.25">
      <c r="A127" s="173">
        <v>125</v>
      </c>
      <c r="B127" s="189">
        <v>1734</v>
      </c>
      <c r="C127" s="175" t="s">
        <v>388</v>
      </c>
      <c r="D127" s="190">
        <v>432</v>
      </c>
      <c r="E127" s="177">
        <v>0.4</v>
      </c>
      <c r="F127" s="149">
        <f t="shared" si="3"/>
        <v>172.8</v>
      </c>
      <c r="G127" s="149">
        <f>F127</f>
        <v>172.8</v>
      </c>
      <c r="H127" s="149">
        <f t="shared" si="5"/>
        <v>0</v>
      </c>
      <c r="I127" s="178">
        <v>1105552</v>
      </c>
      <c r="J127" s="179" t="s">
        <v>389</v>
      </c>
      <c r="K127" s="178" t="s">
        <v>52</v>
      </c>
      <c r="L127" s="178" t="s">
        <v>53</v>
      </c>
      <c r="M127" s="178">
        <v>99484517</v>
      </c>
      <c r="N127" s="173"/>
    </row>
    <row r="128" spans="1:15" s="187" customFormat="1" ht="21.75" customHeight="1" x14ac:dyDescent="0.25">
      <c r="A128" s="141">
        <v>126</v>
      </c>
      <c r="B128" s="142">
        <v>1736</v>
      </c>
      <c r="C128" s="143" t="s">
        <v>164</v>
      </c>
      <c r="D128" s="185">
        <v>372.5</v>
      </c>
      <c r="E128" s="182">
        <v>0.4</v>
      </c>
      <c r="F128" s="149">
        <f t="shared" si="3"/>
        <v>149</v>
      </c>
      <c r="G128" s="149">
        <f>149</f>
        <v>149</v>
      </c>
      <c r="H128" s="149">
        <f t="shared" si="5"/>
        <v>0</v>
      </c>
      <c r="I128" s="144">
        <v>960639</v>
      </c>
      <c r="J128" s="197" t="s">
        <v>165</v>
      </c>
      <c r="K128" s="144" t="s">
        <v>31</v>
      </c>
      <c r="L128" s="144" t="s">
        <v>32</v>
      </c>
      <c r="M128" s="144"/>
      <c r="N128" s="147">
        <v>45621</v>
      </c>
    </row>
    <row r="129" spans="1:15" s="187" customFormat="1" ht="21.75" customHeight="1" x14ac:dyDescent="0.25">
      <c r="A129" s="141">
        <v>127</v>
      </c>
      <c r="B129" s="142">
        <v>1737</v>
      </c>
      <c r="C129" s="144" t="s">
        <v>390</v>
      </c>
      <c r="D129" s="185">
        <v>394.2</v>
      </c>
      <c r="E129" s="182">
        <v>0.4</v>
      </c>
      <c r="F129" s="149">
        <f t="shared" si="3"/>
        <v>157.68</v>
      </c>
      <c r="G129" s="149">
        <f>155.04+2.64</f>
        <v>157.67999999999998</v>
      </c>
      <c r="H129" s="149">
        <f t="shared" si="5"/>
        <v>0</v>
      </c>
      <c r="I129" s="144">
        <v>5566367</v>
      </c>
      <c r="J129" s="197" t="s">
        <v>391</v>
      </c>
      <c r="K129" s="144" t="s">
        <v>31</v>
      </c>
      <c r="L129" s="144" t="s">
        <v>32</v>
      </c>
      <c r="M129" s="144">
        <v>98517790</v>
      </c>
      <c r="N129" s="147">
        <v>45567</v>
      </c>
      <c r="O129" s="194">
        <v>45601</v>
      </c>
    </row>
    <row r="130" spans="1:15" s="187" customFormat="1" ht="21.75" customHeight="1" x14ac:dyDescent="0.25">
      <c r="A130" s="173">
        <v>128</v>
      </c>
      <c r="B130" s="189">
        <v>1738</v>
      </c>
      <c r="C130" s="175" t="s">
        <v>166</v>
      </c>
      <c r="D130" s="190">
        <v>405</v>
      </c>
      <c r="E130" s="177">
        <v>0.4</v>
      </c>
      <c r="F130" s="149">
        <f t="shared" si="3"/>
        <v>162</v>
      </c>
      <c r="G130" s="149">
        <f>F130</f>
        <v>162</v>
      </c>
      <c r="H130" s="149">
        <f t="shared" si="5"/>
        <v>0</v>
      </c>
      <c r="I130" s="178">
        <v>23187863</v>
      </c>
      <c r="J130" s="238" t="s">
        <v>167</v>
      </c>
      <c r="K130" s="178" t="s">
        <v>31</v>
      </c>
      <c r="L130" s="178" t="s">
        <v>32</v>
      </c>
      <c r="M130" s="178">
        <v>99464736</v>
      </c>
      <c r="N130" s="173"/>
    </row>
    <row r="131" spans="1:15" s="187" customFormat="1" ht="21.75" customHeight="1" x14ac:dyDescent="0.25">
      <c r="A131" s="141">
        <v>129</v>
      </c>
      <c r="B131" s="142">
        <v>1740</v>
      </c>
      <c r="C131" s="143" t="s">
        <v>392</v>
      </c>
      <c r="D131" s="185">
        <v>534.6</v>
      </c>
      <c r="E131" s="182">
        <v>0.4</v>
      </c>
      <c r="F131" s="149">
        <f t="shared" si="3"/>
        <v>213.84000000000003</v>
      </c>
      <c r="G131" s="149">
        <f>210.35+3.49</f>
        <v>213.84</v>
      </c>
      <c r="H131" s="149">
        <f t="shared" si="5"/>
        <v>0</v>
      </c>
      <c r="I131" s="144">
        <v>750305</v>
      </c>
      <c r="J131" s="197" t="s">
        <v>393</v>
      </c>
      <c r="K131" s="144" t="s">
        <v>31</v>
      </c>
      <c r="L131" s="144" t="s">
        <v>32</v>
      </c>
      <c r="M131" s="144"/>
      <c r="N131" s="147">
        <v>45593</v>
      </c>
      <c r="O131" s="194">
        <v>45602</v>
      </c>
    </row>
    <row r="132" spans="1:15" s="187" customFormat="1" ht="21.75" customHeight="1" x14ac:dyDescent="0.25">
      <c r="A132" s="173">
        <v>130</v>
      </c>
      <c r="B132" s="189">
        <v>1741</v>
      </c>
      <c r="C132" s="175" t="s">
        <v>394</v>
      </c>
      <c r="D132" s="190">
        <v>1353.4</v>
      </c>
      <c r="E132" s="177">
        <v>0.4</v>
      </c>
      <c r="F132" s="149">
        <f t="shared" ref="F132:F195" si="8">D132*E132</f>
        <v>541.36</v>
      </c>
      <c r="G132" s="149">
        <f>F132</f>
        <v>541.36</v>
      </c>
      <c r="H132" s="149">
        <f t="shared" ref="H132:H195" si="9">F132-G132</f>
        <v>0</v>
      </c>
      <c r="I132" s="178">
        <v>3439836</v>
      </c>
      <c r="J132" s="238" t="s">
        <v>395</v>
      </c>
      <c r="K132" s="178" t="s">
        <v>31</v>
      </c>
      <c r="L132" s="178" t="s">
        <v>32</v>
      </c>
      <c r="M132" s="178">
        <v>99070188</v>
      </c>
      <c r="N132" s="173"/>
    </row>
    <row r="133" spans="1:15" s="187" customFormat="1" ht="21.75" customHeight="1" x14ac:dyDescent="0.25">
      <c r="A133" s="173">
        <v>131</v>
      </c>
      <c r="B133" s="189">
        <v>1742</v>
      </c>
      <c r="C133" s="175" t="s">
        <v>396</v>
      </c>
      <c r="D133" s="190">
        <v>459</v>
      </c>
      <c r="E133" s="177">
        <v>0.4</v>
      </c>
      <c r="F133" s="149">
        <f t="shared" si="8"/>
        <v>183.60000000000002</v>
      </c>
      <c r="G133" s="149">
        <f>F133</f>
        <v>183.60000000000002</v>
      </c>
      <c r="H133" s="149">
        <f t="shared" si="9"/>
        <v>0</v>
      </c>
      <c r="I133" s="178">
        <v>7534942</v>
      </c>
      <c r="J133" s="238" t="s">
        <v>397</v>
      </c>
      <c r="K133" s="178" t="s">
        <v>31</v>
      </c>
      <c r="L133" s="178" t="s">
        <v>32</v>
      </c>
      <c r="M133" s="178"/>
      <c r="N133" s="173"/>
    </row>
    <row r="134" spans="1:15" s="187" customFormat="1" ht="21.75" customHeight="1" x14ac:dyDescent="0.25">
      <c r="A134" s="141">
        <v>132</v>
      </c>
      <c r="B134" s="142">
        <v>1743</v>
      </c>
      <c r="C134" s="143" t="s">
        <v>398</v>
      </c>
      <c r="D134" s="185">
        <v>801.6</v>
      </c>
      <c r="E134" s="182">
        <v>0.4</v>
      </c>
      <c r="F134" s="149">
        <f t="shared" si="8"/>
        <v>320.64000000000004</v>
      </c>
      <c r="G134" s="149">
        <f>320.01+0.63</f>
        <v>320.64</v>
      </c>
      <c r="H134" s="149">
        <f t="shared" si="9"/>
        <v>0</v>
      </c>
      <c r="I134" s="144">
        <v>14028717</v>
      </c>
      <c r="J134" s="159" t="s">
        <v>399</v>
      </c>
      <c r="K134" s="144" t="s">
        <v>155</v>
      </c>
      <c r="L134" s="144" t="s">
        <v>156</v>
      </c>
      <c r="M134" s="144">
        <v>98500770</v>
      </c>
      <c r="N134" s="147">
        <v>45567</v>
      </c>
      <c r="O134" s="147">
        <v>45601</v>
      </c>
    </row>
    <row r="135" spans="1:15" s="187" customFormat="1" ht="21.75" customHeight="1" x14ac:dyDescent="0.25">
      <c r="A135" s="141">
        <v>133</v>
      </c>
      <c r="B135" s="142">
        <v>1744</v>
      </c>
      <c r="C135" s="143" t="s">
        <v>400</v>
      </c>
      <c r="D135" s="185">
        <v>402.4</v>
      </c>
      <c r="E135" s="182">
        <v>0.4</v>
      </c>
      <c r="F135" s="149">
        <f t="shared" si="8"/>
        <v>160.96</v>
      </c>
      <c r="G135" s="149">
        <f>F135</f>
        <v>160.96</v>
      </c>
      <c r="H135" s="149">
        <f t="shared" si="9"/>
        <v>0</v>
      </c>
      <c r="I135" s="144">
        <v>6653046</v>
      </c>
      <c r="J135" s="201" t="s">
        <v>401</v>
      </c>
      <c r="K135" s="144" t="s">
        <v>52</v>
      </c>
      <c r="L135" s="144" t="s">
        <v>53</v>
      </c>
      <c r="M135" s="144">
        <v>98183585</v>
      </c>
      <c r="N135" s="147">
        <v>45601</v>
      </c>
    </row>
    <row r="136" spans="1:15" s="187" customFormat="1" ht="21.75" customHeight="1" x14ac:dyDescent="0.25">
      <c r="A136" s="173">
        <v>134</v>
      </c>
      <c r="B136" s="189">
        <v>1745</v>
      </c>
      <c r="C136" s="175" t="s">
        <v>402</v>
      </c>
      <c r="D136" s="190">
        <v>378</v>
      </c>
      <c r="E136" s="177">
        <v>0.4</v>
      </c>
      <c r="F136" s="149">
        <f t="shared" si="8"/>
        <v>151.20000000000002</v>
      </c>
      <c r="G136" s="149">
        <f>F136</f>
        <v>151.20000000000002</v>
      </c>
      <c r="H136" s="149">
        <f t="shared" si="9"/>
        <v>0</v>
      </c>
      <c r="I136" s="178">
        <v>781826</v>
      </c>
      <c r="J136" s="179" t="s">
        <v>403</v>
      </c>
      <c r="K136" s="178" t="s">
        <v>52</v>
      </c>
      <c r="L136" s="178" t="s">
        <v>53</v>
      </c>
      <c r="M136" s="178"/>
      <c r="N136" s="146"/>
    </row>
    <row r="137" spans="1:15" s="187" customFormat="1" ht="21.75" customHeight="1" x14ac:dyDescent="0.25">
      <c r="A137" s="154">
        <v>135</v>
      </c>
      <c r="B137" s="230">
        <v>1748</v>
      </c>
      <c r="C137" s="152" t="s">
        <v>169</v>
      </c>
      <c r="D137" s="231">
        <v>373</v>
      </c>
      <c r="E137" s="232">
        <v>0.4</v>
      </c>
      <c r="F137" s="149">
        <f t="shared" si="8"/>
        <v>149.20000000000002</v>
      </c>
      <c r="G137" s="149">
        <v>149.19999999999999</v>
      </c>
      <c r="H137" s="149">
        <f t="shared" si="9"/>
        <v>0</v>
      </c>
      <c r="I137" s="153">
        <v>1354182</v>
      </c>
      <c r="J137" s="242" t="s">
        <v>170</v>
      </c>
      <c r="K137" s="153" t="s">
        <v>31</v>
      </c>
      <c r="L137" s="153" t="s">
        <v>32</v>
      </c>
      <c r="M137" s="153">
        <v>98953022</v>
      </c>
      <c r="N137" s="154" t="s">
        <v>351</v>
      </c>
    </row>
    <row r="138" spans="1:15" s="187" customFormat="1" ht="21.75" customHeight="1" x14ac:dyDescent="0.25">
      <c r="A138" s="173">
        <v>136</v>
      </c>
      <c r="B138" s="189">
        <v>1749</v>
      </c>
      <c r="C138" s="175" t="s">
        <v>404</v>
      </c>
      <c r="D138" s="190">
        <v>401</v>
      </c>
      <c r="E138" s="177">
        <v>0.4</v>
      </c>
      <c r="F138" s="149">
        <f t="shared" si="8"/>
        <v>160.4</v>
      </c>
      <c r="G138" s="149">
        <f>F138</f>
        <v>160.4</v>
      </c>
      <c r="H138" s="149">
        <f t="shared" si="9"/>
        <v>0</v>
      </c>
      <c r="I138" s="178">
        <v>1304923</v>
      </c>
      <c r="J138" s="179" t="s">
        <v>405</v>
      </c>
      <c r="K138" s="178" t="s">
        <v>52</v>
      </c>
      <c r="L138" s="178" t="s">
        <v>53</v>
      </c>
      <c r="M138" s="178">
        <v>97384393</v>
      </c>
      <c r="N138" s="173"/>
    </row>
    <row r="139" spans="1:15" s="187" customFormat="1" ht="21.75" customHeight="1" x14ac:dyDescent="0.25">
      <c r="A139" s="141">
        <v>137</v>
      </c>
      <c r="B139" s="142">
        <v>1750</v>
      </c>
      <c r="C139" s="143" t="s">
        <v>406</v>
      </c>
      <c r="D139" s="185">
        <v>458</v>
      </c>
      <c r="E139" s="182">
        <v>0.4</v>
      </c>
      <c r="F139" s="149">
        <f t="shared" si="8"/>
        <v>183.20000000000002</v>
      </c>
      <c r="G139" s="149">
        <f>179.67+3.53</f>
        <v>183.2</v>
      </c>
      <c r="H139" s="149">
        <f t="shared" si="9"/>
        <v>0</v>
      </c>
      <c r="I139" s="144">
        <v>18638806</v>
      </c>
      <c r="J139" s="159" t="s">
        <v>407</v>
      </c>
      <c r="K139" s="144" t="s">
        <v>71</v>
      </c>
      <c r="L139" s="144" t="s">
        <v>72</v>
      </c>
      <c r="M139" s="144">
        <v>98595777</v>
      </c>
      <c r="N139" s="147">
        <v>45593</v>
      </c>
      <c r="O139" s="194">
        <v>45621</v>
      </c>
    </row>
    <row r="140" spans="1:15" s="187" customFormat="1" ht="21.75" customHeight="1" x14ac:dyDescent="0.25">
      <c r="A140" s="141">
        <v>138</v>
      </c>
      <c r="B140" s="142">
        <v>1752</v>
      </c>
      <c r="C140" s="143" t="s">
        <v>171</v>
      </c>
      <c r="D140" s="185">
        <v>429</v>
      </c>
      <c r="E140" s="182">
        <v>0.4</v>
      </c>
      <c r="F140" s="182">
        <f t="shared" si="8"/>
        <v>171.60000000000002</v>
      </c>
      <c r="G140" s="182">
        <f>168.05+3.55</f>
        <v>171.60000000000002</v>
      </c>
      <c r="H140" s="182">
        <f t="shared" si="9"/>
        <v>0</v>
      </c>
      <c r="I140" s="144">
        <v>2808921</v>
      </c>
      <c r="J140" s="159" t="s">
        <v>139</v>
      </c>
      <c r="K140" s="144" t="s">
        <v>31</v>
      </c>
      <c r="L140" s="144" t="s">
        <v>32</v>
      </c>
      <c r="M140" s="144">
        <v>92740803</v>
      </c>
      <c r="N140" s="147">
        <v>45614</v>
      </c>
      <c r="O140" s="194">
        <v>45656</v>
      </c>
    </row>
    <row r="141" spans="1:15" s="187" customFormat="1" ht="21.75" customHeight="1" x14ac:dyDescent="0.25">
      <c r="A141" s="141">
        <v>139</v>
      </c>
      <c r="B141" s="142">
        <v>1753</v>
      </c>
      <c r="C141" s="143" t="s">
        <v>408</v>
      </c>
      <c r="D141" s="185">
        <v>387.6</v>
      </c>
      <c r="E141" s="182">
        <v>0.4</v>
      </c>
      <c r="F141" s="149">
        <f t="shared" si="8"/>
        <v>155.04000000000002</v>
      </c>
      <c r="G141" s="149">
        <f>151.28+3.76</f>
        <v>155.04</v>
      </c>
      <c r="H141" s="149">
        <f t="shared" si="9"/>
        <v>0</v>
      </c>
      <c r="I141" s="144">
        <v>6496182</v>
      </c>
      <c r="J141" s="243" t="s">
        <v>409</v>
      </c>
      <c r="K141" s="144" t="s">
        <v>251</v>
      </c>
      <c r="L141" s="144" t="s">
        <v>252</v>
      </c>
      <c r="M141" s="144">
        <v>98595777</v>
      </c>
      <c r="N141" s="147">
        <v>45581</v>
      </c>
    </row>
    <row r="142" spans="1:15" s="187" customFormat="1" ht="21.75" customHeight="1" x14ac:dyDescent="0.25">
      <c r="A142" s="173">
        <v>140</v>
      </c>
      <c r="B142" s="189">
        <v>1754</v>
      </c>
      <c r="C142" s="175" t="s">
        <v>410</v>
      </c>
      <c r="D142" s="190">
        <v>1551.1</v>
      </c>
      <c r="E142" s="177">
        <v>0.4</v>
      </c>
      <c r="F142" s="149">
        <f t="shared" si="8"/>
        <v>620.44000000000005</v>
      </c>
      <c r="G142" s="149">
        <f>F142</f>
        <v>620.44000000000005</v>
      </c>
      <c r="H142" s="149">
        <f t="shared" si="9"/>
        <v>0</v>
      </c>
      <c r="I142" s="178">
        <v>1523934</v>
      </c>
      <c r="J142" s="179" t="s">
        <v>411</v>
      </c>
      <c r="K142" s="178" t="s">
        <v>71</v>
      </c>
      <c r="L142" s="178" t="s">
        <v>72</v>
      </c>
      <c r="M142" s="178"/>
      <c r="N142" s="173"/>
    </row>
    <row r="143" spans="1:15" s="187" customFormat="1" ht="21.75" customHeight="1" x14ac:dyDescent="0.25">
      <c r="A143" s="141">
        <v>141</v>
      </c>
      <c r="B143" s="142">
        <v>1755</v>
      </c>
      <c r="C143" s="143" t="s">
        <v>69</v>
      </c>
      <c r="D143" s="185">
        <v>756</v>
      </c>
      <c r="E143" s="182">
        <v>0.4</v>
      </c>
      <c r="F143" s="149">
        <f t="shared" si="8"/>
        <v>302.40000000000003</v>
      </c>
      <c r="G143" s="149">
        <f>299.14+3.26</f>
        <v>302.39999999999998</v>
      </c>
      <c r="H143" s="149">
        <f t="shared" si="9"/>
        <v>0</v>
      </c>
      <c r="I143" s="144">
        <v>10592143</v>
      </c>
      <c r="J143" s="159" t="s">
        <v>70</v>
      </c>
      <c r="K143" s="144" t="s">
        <v>71</v>
      </c>
      <c r="L143" s="144" t="s">
        <v>72</v>
      </c>
      <c r="M143" s="144"/>
      <c r="N143" s="147">
        <v>45614</v>
      </c>
      <c r="O143" s="194">
        <v>45630</v>
      </c>
    </row>
    <row r="144" spans="1:15" s="187" customFormat="1" ht="21.75" customHeight="1" x14ac:dyDescent="0.25">
      <c r="A144" s="173">
        <v>142</v>
      </c>
      <c r="B144" s="189">
        <v>1756</v>
      </c>
      <c r="C144" s="175" t="s">
        <v>412</v>
      </c>
      <c r="D144" s="190">
        <v>378</v>
      </c>
      <c r="E144" s="177">
        <v>0.4</v>
      </c>
      <c r="F144" s="149">
        <f t="shared" si="8"/>
        <v>151.20000000000002</v>
      </c>
      <c r="G144" s="149">
        <f>F144</f>
        <v>151.20000000000002</v>
      </c>
      <c r="H144" s="149">
        <f t="shared" si="9"/>
        <v>0</v>
      </c>
      <c r="I144" s="178">
        <v>381412</v>
      </c>
      <c r="J144" s="179" t="s">
        <v>413</v>
      </c>
      <c r="K144" s="178" t="s">
        <v>31</v>
      </c>
      <c r="L144" s="178" t="s">
        <v>32</v>
      </c>
      <c r="M144" s="178">
        <v>99293035</v>
      </c>
      <c r="N144" s="173"/>
    </row>
    <row r="145" spans="1:17" s="187" customFormat="1" ht="21.75" customHeight="1" x14ac:dyDescent="0.25">
      <c r="A145" s="141">
        <v>143</v>
      </c>
      <c r="B145" s="142">
        <v>1758</v>
      </c>
      <c r="C145" s="143" t="s">
        <v>74</v>
      </c>
      <c r="D145" s="185">
        <v>703.4</v>
      </c>
      <c r="E145" s="182">
        <v>0.4</v>
      </c>
      <c r="F145" s="149">
        <f t="shared" si="8"/>
        <v>281.36</v>
      </c>
      <c r="G145" s="149">
        <f>230.33+51.03</f>
        <v>281.36</v>
      </c>
      <c r="H145" s="149">
        <f t="shared" si="9"/>
        <v>0</v>
      </c>
      <c r="I145" s="144">
        <v>2443662</v>
      </c>
      <c r="J145" s="159" t="s">
        <v>75</v>
      </c>
      <c r="K145" s="144" t="s">
        <v>31</v>
      </c>
      <c r="L145" s="144" t="s">
        <v>32</v>
      </c>
      <c r="M145" s="144">
        <v>99608818</v>
      </c>
      <c r="N145" s="147">
        <v>45573</v>
      </c>
      <c r="O145" s="147" t="s">
        <v>414</v>
      </c>
      <c r="P145" s="147">
        <v>45601</v>
      </c>
      <c r="Q145" s="147" t="s">
        <v>15</v>
      </c>
    </row>
    <row r="146" spans="1:17" s="187" customFormat="1" ht="21.75" customHeight="1" x14ac:dyDescent="0.25">
      <c r="A146" s="141">
        <v>144</v>
      </c>
      <c r="B146" s="142">
        <v>1759</v>
      </c>
      <c r="C146" s="143" t="s">
        <v>415</v>
      </c>
      <c r="D146" s="185">
        <v>377</v>
      </c>
      <c r="E146" s="182">
        <v>0.4</v>
      </c>
      <c r="F146" s="182">
        <f t="shared" si="8"/>
        <v>150.80000000000001</v>
      </c>
      <c r="G146" s="182">
        <f>150.35+0.45</f>
        <v>150.79999999999998</v>
      </c>
      <c r="H146" s="182">
        <f t="shared" si="9"/>
        <v>0</v>
      </c>
      <c r="I146" s="144">
        <v>5029866</v>
      </c>
      <c r="J146" s="159" t="s">
        <v>416</v>
      </c>
      <c r="K146" s="144" t="s">
        <v>31</v>
      </c>
      <c r="L146" s="144" t="s">
        <v>32</v>
      </c>
      <c r="M146" s="144"/>
      <c r="N146" s="141" t="s">
        <v>417</v>
      </c>
      <c r="O146" s="194">
        <v>45718</v>
      </c>
    </row>
    <row r="147" spans="1:17" s="187" customFormat="1" ht="21.75" customHeight="1" x14ac:dyDescent="0.25">
      <c r="A147" s="141">
        <v>145</v>
      </c>
      <c r="B147" s="142">
        <v>1760</v>
      </c>
      <c r="C147" s="143" t="s">
        <v>418</v>
      </c>
      <c r="D147" s="185">
        <v>403.6</v>
      </c>
      <c r="E147" s="182">
        <v>0.4</v>
      </c>
      <c r="F147" s="149">
        <f t="shared" si="8"/>
        <v>161.44000000000003</v>
      </c>
      <c r="G147" s="149">
        <f>158.02+3.42</f>
        <v>161.44</v>
      </c>
      <c r="H147" s="149">
        <f t="shared" si="9"/>
        <v>0</v>
      </c>
      <c r="I147" s="144">
        <v>3847339</v>
      </c>
      <c r="J147" s="159" t="s">
        <v>419</v>
      </c>
      <c r="K147" s="144" t="s">
        <v>31</v>
      </c>
      <c r="L147" s="144" t="s">
        <v>32</v>
      </c>
      <c r="M147" s="144"/>
      <c r="N147" s="147">
        <v>45595</v>
      </c>
      <c r="O147" s="194">
        <v>45621</v>
      </c>
    </row>
    <row r="148" spans="1:17" s="187" customFormat="1" ht="21.75" customHeight="1" x14ac:dyDescent="0.25">
      <c r="A148" s="173">
        <v>146</v>
      </c>
      <c r="B148" s="189">
        <v>1763</v>
      </c>
      <c r="C148" s="175" t="s">
        <v>420</v>
      </c>
      <c r="D148" s="190">
        <v>374</v>
      </c>
      <c r="E148" s="177">
        <v>0.4</v>
      </c>
      <c r="F148" s="149">
        <f t="shared" si="8"/>
        <v>149.6</v>
      </c>
      <c r="G148" s="149">
        <f>F148</f>
        <v>149.6</v>
      </c>
      <c r="H148" s="149">
        <f t="shared" si="9"/>
        <v>0</v>
      </c>
      <c r="I148" s="178">
        <v>5384098</v>
      </c>
      <c r="J148" s="179" t="s">
        <v>421</v>
      </c>
      <c r="K148" s="178" t="s">
        <v>31</v>
      </c>
      <c r="L148" s="178" t="s">
        <v>32</v>
      </c>
      <c r="M148" s="178">
        <v>99199287</v>
      </c>
      <c r="N148" s="173"/>
    </row>
    <row r="149" spans="1:17" s="187" customFormat="1" ht="21.75" customHeight="1" x14ac:dyDescent="0.25">
      <c r="A149" s="173">
        <v>147</v>
      </c>
      <c r="B149" s="189">
        <v>1764</v>
      </c>
      <c r="C149" s="175" t="s">
        <v>422</v>
      </c>
      <c r="D149" s="190">
        <v>538</v>
      </c>
      <c r="E149" s="177">
        <v>0.4</v>
      </c>
      <c r="F149" s="149">
        <f t="shared" si="8"/>
        <v>215.20000000000002</v>
      </c>
      <c r="G149" s="149">
        <f>F149</f>
        <v>215.20000000000002</v>
      </c>
      <c r="H149" s="149">
        <f t="shared" si="9"/>
        <v>0</v>
      </c>
      <c r="I149" s="178">
        <v>6923798</v>
      </c>
      <c r="J149" s="238">
        <v>1023524004017</v>
      </c>
      <c r="K149" s="178" t="s">
        <v>26</v>
      </c>
      <c r="L149" s="178" t="s">
        <v>27</v>
      </c>
      <c r="M149" s="178">
        <v>93955557</v>
      </c>
      <c r="N149" s="173"/>
    </row>
    <row r="150" spans="1:17" s="187" customFormat="1" ht="21.75" customHeight="1" x14ac:dyDescent="0.25">
      <c r="A150" s="141">
        <v>148</v>
      </c>
      <c r="B150" s="142">
        <v>1766</v>
      </c>
      <c r="C150" s="143" t="s">
        <v>423</v>
      </c>
      <c r="D150" s="185">
        <v>721</v>
      </c>
      <c r="E150" s="182">
        <v>0.4</v>
      </c>
      <c r="F150" s="182">
        <f t="shared" si="8"/>
        <v>288.40000000000003</v>
      </c>
      <c r="G150" s="182">
        <f>286.15+2.25</f>
        <v>288.39999999999998</v>
      </c>
      <c r="H150" s="182">
        <f t="shared" si="9"/>
        <v>0</v>
      </c>
      <c r="I150" s="144">
        <v>19548574</v>
      </c>
      <c r="J150" s="159" t="s">
        <v>424</v>
      </c>
      <c r="K150" s="144" t="s">
        <v>31</v>
      </c>
      <c r="L150" s="144" t="s">
        <v>32</v>
      </c>
      <c r="M150" s="144">
        <v>92924743</v>
      </c>
      <c r="N150" s="147">
        <v>45601</v>
      </c>
      <c r="O150" s="194">
        <v>45670</v>
      </c>
    </row>
    <row r="151" spans="1:17" s="187" customFormat="1" ht="21.75" customHeight="1" x14ac:dyDescent="0.25">
      <c r="A151" s="173">
        <v>149</v>
      </c>
      <c r="B151" s="189">
        <v>1768</v>
      </c>
      <c r="C151" s="175" t="s">
        <v>172</v>
      </c>
      <c r="D151" s="190">
        <v>385.4</v>
      </c>
      <c r="E151" s="177">
        <v>0.4</v>
      </c>
      <c r="F151" s="149">
        <f t="shared" si="8"/>
        <v>154.16</v>
      </c>
      <c r="G151" s="149">
        <f>F151</f>
        <v>154.16</v>
      </c>
      <c r="H151" s="149">
        <f t="shared" si="9"/>
        <v>0</v>
      </c>
      <c r="I151" s="178">
        <v>13899464</v>
      </c>
      <c r="J151" s="244" t="s">
        <v>173</v>
      </c>
      <c r="K151" s="178" t="s">
        <v>31</v>
      </c>
      <c r="L151" s="178" t="s">
        <v>32</v>
      </c>
      <c r="M151" s="178">
        <v>99166449</v>
      </c>
      <c r="N151" s="173"/>
    </row>
    <row r="152" spans="1:17" s="187" customFormat="1" ht="21.75" customHeight="1" x14ac:dyDescent="0.25">
      <c r="A152" s="141">
        <v>150</v>
      </c>
      <c r="B152" s="142">
        <v>1769</v>
      </c>
      <c r="C152" s="143" t="s">
        <v>425</v>
      </c>
      <c r="D152" s="185">
        <v>388.7</v>
      </c>
      <c r="E152" s="182">
        <v>0.4</v>
      </c>
      <c r="F152" s="182">
        <f t="shared" si="8"/>
        <v>155.48000000000002</v>
      </c>
      <c r="G152" s="182">
        <f>151.75+3.73</f>
        <v>155.47999999999999</v>
      </c>
      <c r="H152" s="186">
        <f t="shared" si="9"/>
        <v>0</v>
      </c>
      <c r="I152" s="144">
        <v>19322478</v>
      </c>
      <c r="J152" s="159" t="s">
        <v>426</v>
      </c>
      <c r="K152" s="144" t="s">
        <v>31</v>
      </c>
      <c r="L152" s="144" t="s">
        <v>32</v>
      </c>
      <c r="M152" s="144">
        <v>99180404</v>
      </c>
      <c r="N152" s="147">
        <v>45567</v>
      </c>
    </row>
    <row r="153" spans="1:17" s="187" customFormat="1" ht="21.75" customHeight="1" x14ac:dyDescent="0.25">
      <c r="A153" s="173">
        <v>151</v>
      </c>
      <c r="B153" s="189">
        <v>1770</v>
      </c>
      <c r="C153" s="175" t="s">
        <v>427</v>
      </c>
      <c r="D153" s="190">
        <v>379</v>
      </c>
      <c r="E153" s="177">
        <v>0.4</v>
      </c>
      <c r="F153" s="149">
        <f t="shared" si="8"/>
        <v>151.6</v>
      </c>
      <c r="G153" s="149">
        <f>F153</f>
        <v>151.6</v>
      </c>
      <c r="H153" s="149">
        <f t="shared" si="9"/>
        <v>0</v>
      </c>
      <c r="I153" s="178">
        <v>24534799</v>
      </c>
      <c r="J153" s="179" t="s">
        <v>428</v>
      </c>
      <c r="K153" s="178" t="s">
        <v>26</v>
      </c>
      <c r="L153" s="178" t="s">
        <v>27</v>
      </c>
      <c r="M153" s="178"/>
      <c r="N153" s="173"/>
    </row>
    <row r="154" spans="1:17" s="187" customFormat="1" ht="21.75" customHeight="1" x14ac:dyDescent="0.25">
      <c r="A154" s="141">
        <v>152</v>
      </c>
      <c r="B154" s="142">
        <v>1771</v>
      </c>
      <c r="C154" s="143" t="s">
        <v>174</v>
      </c>
      <c r="D154" s="185">
        <v>405</v>
      </c>
      <c r="E154" s="182">
        <v>0.4</v>
      </c>
      <c r="F154" s="149">
        <f t="shared" si="8"/>
        <v>162</v>
      </c>
      <c r="G154" s="149">
        <f>159+3</f>
        <v>162</v>
      </c>
      <c r="H154" s="149">
        <f t="shared" si="9"/>
        <v>0</v>
      </c>
      <c r="I154" s="144">
        <v>5044401</v>
      </c>
      <c r="J154" s="159" t="s">
        <v>132</v>
      </c>
      <c r="K154" s="144" t="s">
        <v>31</v>
      </c>
      <c r="L154" s="144" t="s">
        <v>32</v>
      </c>
      <c r="M154" s="144">
        <v>93556616</v>
      </c>
      <c r="N154" s="147">
        <v>45635</v>
      </c>
      <c r="O154" s="194">
        <v>45642</v>
      </c>
    </row>
    <row r="155" spans="1:17" s="245" customFormat="1" ht="21.75" customHeight="1" x14ac:dyDescent="0.25">
      <c r="A155" s="204">
        <v>153</v>
      </c>
      <c r="B155" s="205">
        <v>1772</v>
      </c>
      <c r="C155" s="206" t="s">
        <v>429</v>
      </c>
      <c r="D155" s="207">
        <v>837</v>
      </c>
      <c r="E155" s="208">
        <v>0.4</v>
      </c>
      <c r="F155" s="149">
        <f t="shared" si="8"/>
        <v>334.8</v>
      </c>
      <c r="G155" s="149">
        <v>334.8</v>
      </c>
      <c r="H155" s="149">
        <f t="shared" si="9"/>
        <v>0</v>
      </c>
      <c r="I155" s="209">
        <v>5217694</v>
      </c>
      <c r="J155" s="210" t="s">
        <v>430</v>
      </c>
      <c r="K155" s="209" t="s">
        <v>52</v>
      </c>
      <c r="L155" s="209" t="s">
        <v>53</v>
      </c>
      <c r="M155" s="209"/>
      <c r="N155" s="204" t="s">
        <v>431</v>
      </c>
    </row>
    <row r="156" spans="1:17" s="187" customFormat="1" ht="21.75" customHeight="1" x14ac:dyDescent="0.25">
      <c r="A156" s="173">
        <v>154</v>
      </c>
      <c r="B156" s="189">
        <v>1773</v>
      </c>
      <c r="C156" s="175" t="s">
        <v>432</v>
      </c>
      <c r="D156" s="190">
        <v>351</v>
      </c>
      <c r="E156" s="177">
        <v>0.4</v>
      </c>
      <c r="F156" s="149">
        <f t="shared" si="8"/>
        <v>140.4</v>
      </c>
      <c r="G156" s="149">
        <f>F156</f>
        <v>140.4</v>
      </c>
      <c r="H156" s="149">
        <f t="shared" si="9"/>
        <v>0</v>
      </c>
      <c r="I156" s="178">
        <v>20562603</v>
      </c>
      <c r="J156" s="179" t="s">
        <v>433</v>
      </c>
      <c r="K156" s="178" t="s">
        <v>52</v>
      </c>
      <c r="L156" s="178" t="s">
        <v>53</v>
      </c>
      <c r="M156" s="178">
        <v>92755626</v>
      </c>
      <c r="N156" s="173"/>
    </row>
    <row r="157" spans="1:17" s="187" customFormat="1" ht="21.75" customHeight="1" x14ac:dyDescent="0.25">
      <c r="A157" s="173">
        <v>155</v>
      </c>
      <c r="B157" s="189">
        <v>1774</v>
      </c>
      <c r="C157" s="175" t="s">
        <v>175</v>
      </c>
      <c r="D157" s="190">
        <v>400.6</v>
      </c>
      <c r="E157" s="177">
        <v>0.4</v>
      </c>
      <c r="F157" s="149">
        <f t="shared" si="8"/>
        <v>160.24</v>
      </c>
      <c r="G157" s="149">
        <f>F157</f>
        <v>160.24</v>
      </c>
      <c r="H157" s="149">
        <f t="shared" si="9"/>
        <v>0</v>
      </c>
      <c r="I157" s="178">
        <v>20865047</v>
      </c>
      <c r="J157" s="179" t="s">
        <v>176</v>
      </c>
      <c r="K157" s="178" t="s">
        <v>31</v>
      </c>
      <c r="L157" s="178" t="s">
        <v>32</v>
      </c>
      <c r="M157" s="178">
        <v>98825083</v>
      </c>
      <c r="N157" s="173"/>
    </row>
    <row r="158" spans="1:17" s="187" customFormat="1" ht="21.75" customHeight="1" x14ac:dyDescent="0.25">
      <c r="A158" s="141">
        <v>156</v>
      </c>
      <c r="B158" s="142">
        <v>1775</v>
      </c>
      <c r="C158" s="143" t="s">
        <v>434</v>
      </c>
      <c r="D158" s="185">
        <v>644</v>
      </c>
      <c r="E158" s="182">
        <v>0.4</v>
      </c>
      <c r="F158" s="149">
        <f t="shared" si="8"/>
        <v>257.60000000000002</v>
      </c>
      <c r="G158" s="149">
        <f>253.89+3.71</f>
        <v>257.59999999999997</v>
      </c>
      <c r="H158" s="149">
        <f t="shared" si="9"/>
        <v>0</v>
      </c>
      <c r="I158" s="144">
        <v>18659223</v>
      </c>
      <c r="J158" s="246" t="s">
        <v>435</v>
      </c>
      <c r="K158" s="144" t="s">
        <v>31</v>
      </c>
      <c r="L158" s="144" t="s">
        <v>32</v>
      </c>
      <c r="M158" s="144">
        <v>93980028</v>
      </c>
      <c r="N158" s="147">
        <v>45567</v>
      </c>
      <c r="O158" s="194">
        <v>45601</v>
      </c>
    </row>
    <row r="159" spans="1:17" s="187" customFormat="1" ht="21.75" customHeight="1" x14ac:dyDescent="0.25">
      <c r="A159" s="141">
        <v>157</v>
      </c>
      <c r="B159" s="142">
        <v>1776</v>
      </c>
      <c r="C159" s="143" t="s">
        <v>436</v>
      </c>
      <c r="D159" s="185">
        <v>405</v>
      </c>
      <c r="E159" s="182">
        <v>0.4</v>
      </c>
      <c r="F159" s="149">
        <f t="shared" si="8"/>
        <v>162</v>
      </c>
      <c r="G159" s="149">
        <f>F159</f>
        <v>162</v>
      </c>
      <c r="H159" s="149">
        <f t="shared" si="9"/>
        <v>0</v>
      </c>
      <c r="I159" s="144">
        <v>30837376</v>
      </c>
      <c r="J159" s="246" t="s">
        <v>437</v>
      </c>
      <c r="K159" s="144" t="s">
        <v>31</v>
      </c>
      <c r="L159" s="144" t="s">
        <v>32</v>
      </c>
      <c r="M159" s="144">
        <v>92445594</v>
      </c>
      <c r="N159" s="147">
        <v>45637</v>
      </c>
    </row>
    <row r="160" spans="1:17" s="202" customFormat="1" ht="21.75" customHeight="1" x14ac:dyDescent="0.25">
      <c r="A160" s="141">
        <v>158</v>
      </c>
      <c r="B160" s="142">
        <v>1777</v>
      </c>
      <c r="C160" s="143" t="s">
        <v>438</v>
      </c>
      <c r="D160" s="185">
        <v>810</v>
      </c>
      <c r="E160" s="182">
        <v>0.4</v>
      </c>
      <c r="F160" s="149">
        <f t="shared" si="8"/>
        <v>324</v>
      </c>
      <c r="G160" s="149">
        <f>119.81+97+106.7+0.49</f>
        <v>324</v>
      </c>
      <c r="H160" s="149">
        <f t="shared" si="9"/>
        <v>0</v>
      </c>
      <c r="I160" s="144">
        <v>15107764</v>
      </c>
      <c r="J160" s="246" t="s">
        <v>439</v>
      </c>
      <c r="K160" s="144" t="s">
        <v>121</v>
      </c>
      <c r="L160" s="144" t="s">
        <v>122</v>
      </c>
      <c r="M160" s="144"/>
      <c r="N160" s="147">
        <v>45586</v>
      </c>
      <c r="O160" s="193">
        <v>45602</v>
      </c>
      <c r="P160" s="193">
        <v>45609</v>
      </c>
      <c r="Q160" s="193">
        <v>45621</v>
      </c>
    </row>
    <row r="161" spans="1:16" s="187" customFormat="1" ht="21.75" customHeight="1" x14ac:dyDescent="0.25">
      <c r="A161" s="173">
        <v>159</v>
      </c>
      <c r="B161" s="189">
        <v>1778</v>
      </c>
      <c r="C161" s="175" t="s">
        <v>440</v>
      </c>
      <c r="D161" s="190">
        <v>405</v>
      </c>
      <c r="E161" s="177">
        <v>0.4</v>
      </c>
      <c r="F161" s="149">
        <f t="shared" si="8"/>
        <v>162</v>
      </c>
      <c r="G161" s="149">
        <f>F161</f>
        <v>162</v>
      </c>
      <c r="H161" s="149">
        <f t="shared" si="9"/>
        <v>0</v>
      </c>
      <c r="I161" s="178">
        <v>24984002</v>
      </c>
      <c r="J161" s="179" t="s">
        <v>441</v>
      </c>
      <c r="K161" s="178" t="s">
        <v>31</v>
      </c>
      <c r="L161" s="178" t="s">
        <v>32</v>
      </c>
      <c r="M161" s="178">
        <v>99033018</v>
      </c>
      <c r="N161" s="173"/>
    </row>
    <row r="162" spans="1:16" s="187" customFormat="1" ht="21.75" customHeight="1" x14ac:dyDescent="0.25">
      <c r="A162" s="141">
        <v>160</v>
      </c>
      <c r="B162" s="142">
        <v>1780</v>
      </c>
      <c r="C162" s="143" t="s">
        <v>442</v>
      </c>
      <c r="D162" s="185">
        <v>1018</v>
      </c>
      <c r="E162" s="182">
        <v>0.4</v>
      </c>
      <c r="F162" s="149">
        <f t="shared" si="8"/>
        <v>407.20000000000005</v>
      </c>
      <c r="G162" s="149">
        <f>320.1+87.1</f>
        <v>407.20000000000005</v>
      </c>
      <c r="H162" s="149">
        <f t="shared" si="9"/>
        <v>0</v>
      </c>
      <c r="I162" s="144">
        <v>6228066</v>
      </c>
      <c r="J162" s="159" t="s">
        <v>443</v>
      </c>
      <c r="K162" s="144" t="s">
        <v>31</v>
      </c>
      <c r="L162" s="144" t="s">
        <v>32</v>
      </c>
      <c r="M162" s="144">
        <v>91709355</v>
      </c>
      <c r="N162" s="147">
        <v>45573</v>
      </c>
      <c r="O162" s="194">
        <v>45607</v>
      </c>
    </row>
    <row r="163" spans="1:16" s="187" customFormat="1" ht="21.75" customHeight="1" x14ac:dyDescent="0.25">
      <c r="A163" s="173">
        <v>161</v>
      </c>
      <c r="B163" s="189">
        <v>1781</v>
      </c>
      <c r="C163" s="175" t="s">
        <v>444</v>
      </c>
      <c r="D163" s="190">
        <v>378</v>
      </c>
      <c r="E163" s="177">
        <v>0.4</v>
      </c>
      <c r="F163" s="149">
        <f t="shared" si="8"/>
        <v>151.20000000000002</v>
      </c>
      <c r="G163" s="149">
        <f>F163</f>
        <v>151.20000000000002</v>
      </c>
      <c r="H163" s="149">
        <f t="shared" si="9"/>
        <v>0</v>
      </c>
      <c r="I163" s="178">
        <v>7287174</v>
      </c>
      <c r="J163" s="179" t="s">
        <v>445</v>
      </c>
      <c r="K163" s="178" t="s">
        <v>52</v>
      </c>
      <c r="L163" s="178" t="s">
        <v>53</v>
      </c>
      <c r="M163" s="178">
        <v>99673747</v>
      </c>
      <c r="N163" s="173"/>
    </row>
    <row r="164" spans="1:16" s="187" customFormat="1" ht="21.75" customHeight="1" x14ac:dyDescent="0.25">
      <c r="A164" s="173">
        <v>162</v>
      </c>
      <c r="B164" s="189">
        <v>1782</v>
      </c>
      <c r="C164" s="175" t="s">
        <v>446</v>
      </c>
      <c r="D164" s="190">
        <v>450.5</v>
      </c>
      <c r="E164" s="177">
        <v>0.4</v>
      </c>
      <c r="F164" s="149">
        <f t="shared" si="8"/>
        <v>180.20000000000002</v>
      </c>
      <c r="G164" s="149">
        <f>F164</f>
        <v>180.20000000000002</v>
      </c>
      <c r="H164" s="149">
        <f t="shared" si="9"/>
        <v>0</v>
      </c>
      <c r="I164" s="178">
        <v>19818711</v>
      </c>
      <c r="J164" s="179" t="s">
        <v>447</v>
      </c>
      <c r="K164" s="178" t="s">
        <v>31</v>
      </c>
      <c r="L164" s="178" t="s">
        <v>32</v>
      </c>
      <c r="M164" s="178">
        <v>92204006</v>
      </c>
      <c r="N164" s="173"/>
    </row>
    <row r="165" spans="1:16" s="187" customFormat="1" ht="21.75" customHeight="1" x14ac:dyDescent="0.25">
      <c r="A165" s="154">
        <v>163</v>
      </c>
      <c r="B165" s="230">
        <v>1783</v>
      </c>
      <c r="C165" s="152" t="s">
        <v>177</v>
      </c>
      <c r="D165" s="231">
        <v>346</v>
      </c>
      <c r="E165" s="232">
        <v>0.4</v>
      </c>
      <c r="F165" s="149">
        <f t="shared" si="8"/>
        <v>138.4</v>
      </c>
      <c r="G165" s="149">
        <f>F165</f>
        <v>138.4</v>
      </c>
      <c r="H165" s="149">
        <f t="shared" si="9"/>
        <v>0</v>
      </c>
      <c r="I165" s="153">
        <v>1500187</v>
      </c>
      <c r="J165" s="233" t="s">
        <v>178</v>
      </c>
      <c r="K165" s="153" t="s">
        <v>31</v>
      </c>
      <c r="L165" s="153" t="s">
        <v>32</v>
      </c>
      <c r="M165" s="153">
        <v>91159122</v>
      </c>
      <c r="N165" s="154" t="s">
        <v>351</v>
      </c>
    </row>
    <row r="166" spans="1:16" s="187" customFormat="1" ht="21.75" customHeight="1" x14ac:dyDescent="0.25">
      <c r="A166" s="141">
        <v>164</v>
      </c>
      <c r="B166" s="142">
        <v>1784</v>
      </c>
      <c r="C166" s="143" t="s">
        <v>448</v>
      </c>
      <c r="D166" s="185">
        <v>537.29999999999995</v>
      </c>
      <c r="E166" s="182">
        <v>0.4</v>
      </c>
      <c r="F166" s="149">
        <f t="shared" si="8"/>
        <v>214.92</v>
      </c>
      <c r="G166" s="149">
        <f>120.53+93.75+0.64</f>
        <v>214.92</v>
      </c>
      <c r="H166" s="149">
        <f t="shared" si="9"/>
        <v>0</v>
      </c>
      <c r="I166" s="144">
        <v>19534652</v>
      </c>
      <c r="J166" s="197" t="s">
        <v>449</v>
      </c>
      <c r="K166" s="144" t="s">
        <v>52</v>
      </c>
      <c r="L166" s="144" t="s">
        <v>53</v>
      </c>
      <c r="M166" s="144">
        <v>99296177</v>
      </c>
      <c r="N166" s="147">
        <v>45586</v>
      </c>
      <c r="O166" s="194">
        <v>45607</v>
      </c>
      <c r="P166" s="194">
        <v>45621</v>
      </c>
    </row>
    <row r="167" spans="1:16" s="187" customFormat="1" ht="21.75" customHeight="1" x14ac:dyDescent="0.25">
      <c r="A167" s="173">
        <v>165</v>
      </c>
      <c r="B167" s="189">
        <v>1785</v>
      </c>
      <c r="C167" s="175" t="s">
        <v>179</v>
      </c>
      <c r="D167" s="190">
        <v>405</v>
      </c>
      <c r="E167" s="177">
        <v>0.4</v>
      </c>
      <c r="F167" s="149">
        <f t="shared" si="8"/>
        <v>162</v>
      </c>
      <c r="G167" s="149">
        <f>F167</f>
        <v>162</v>
      </c>
      <c r="H167" s="149">
        <f t="shared" si="9"/>
        <v>0</v>
      </c>
      <c r="I167" s="178">
        <v>7374743</v>
      </c>
      <c r="J167" s="179" t="s">
        <v>180</v>
      </c>
      <c r="K167" s="178" t="s">
        <v>31</v>
      </c>
      <c r="L167" s="178" t="s">
        <v>32</v>
      </c>
      <c r="M167" s="178">
        <v>93875087</v>
      </c>
      <c r="N167" s="173"/>
    </row>
    <row r="168" spans="1:16" s="187" customFormat="1" ht="21.75" customHeight="1" x14ac:dyDescent="0.25">
      <c r="A168" s="173">
        <v>166</v>
      </c>
      <c r="B168" s="189">
        <v>1786</v>
      </c>
      <c r="C168" s="175" t="s">
        <v>181</v>
      </c>
      <c r="D168" s="190">
        <v>383.5</v>
      </c>
      <c r="E168" s="177">
        <v>0.4</v>
      </c>
      <c r="F168" s="149">
        <f t="shared" si="8"/>
        <v>153.4</v>
      </c>
      <c r="G168" s="149">
        <f t="shared" ref="G168:G173" si="10">F168</f>
        <v>153.4</v>
      </c>
      <c r="H168" s="149">
        <f t="shared" si="9"/>
        <v>0</v>
      </c>
      <c r="I168" s="178">
        <v>5614637</v>
      </c>
      <c r="J168" s="179" t="s">
        <v>182</v>
      </c>
      <c r="K168" s="178" t="s">
        <v>31</v>
      </c>
      <c r="L168" s="178" t="s">
        <v>32</v>
      </c>
      <c r="M168" s="178">
        <v>92924645</v>
      </c>
      <c r="N168" s="173"/>
    </row>
    <row r="169" spans="1:16" s="187" customFormat="1" ht="21.75" customHeight="1" x14ac:dyDescent="0.25">
      <c r="A169" s="173">
        <v>167</v>
      </c>
      <c r="B169" s="189">
        <v>1787</v>
      </c>
      <c r="C169" s="175" t="s">
        <v>77</v>
      </c>
      <c r="D169" s="190">
        <v>405</v>
      </c>
      <c r="E169" s="177">
        <v>0.4</v>
      </c>
      <c r="F169" s="149">
        <f t="shared" si="8"/>
        <v>162</v>
      </c>
      <c r="G169" s="149">
        <f t="shared" si="10"/>
        <v>162</v>
      </c>
      <c r="H169" s="149">
        <f t="shared" si="9"/>
        <v>0</v>
      </c>
      <c r="I169" s="178">
        <v>22980157</v>
      </c>
      <c r="J169" s="179" t="s">
        <v>78</v>
      </c>
      <c r="K169" s="178" t="s">
        <v>31</v>
      </c>
      <c r="L169" s="178" t="s">
        <v>32</v>
      </c>
      <c r="M169" s="178">
        <v>91490491</v>
      </c>
      <c r="N169" s="173"/>
    </row>
    <row r="170" spans="1:16" s="187" customFormat="1" ht="21.75" customHeight="1" x14ac:dyDescent="0.25">
      <c r="A170" s="173">
        <v>168</v>
      </c>
      <c r="B170" s="189">
        <v>1788</v>
      </c>
      <c r="C170" s="175" t="s">
        <v>450</v>
      </c>
      <c r="D170" s="190">
        <v>405</v>
      </c>
      <c r="E170" s="177">
        <v>0.4</v>
      </c>
      <c r="F170" s="149">
        <f t="shared" si="8"/>
        <v>162</v>
      </c>
      <c r="G170" s="149">
        <f t="shared" si="10"/>
        <v>162</v>
      </c>
      <c r="H170" s="149">
        <f t="shared" si="9"/>
        <v>0</v>
      </c>
      <c r="I170" s="178">
        <v>25632707</v>
      </c>
      <c r="J170" s="179" t="s">
        <v>451</v>
      </c>
      <c r="K170" s="178" t="s">
        <v>31</v>
      </c>
      <c r="L170" s="178" t="s">
        <v>32</v>
      </c>
      <c r="M170" s="178"/>
      <c r="N170" s="173"/>
    </row>
    <row r="171" spans="1:16" s="187" customFormat="1" ht="21.75" customHeight="1" x14ac:dyDescent="0.25">
      <c r="A171" s="173">
        <v>169</v>
      </c>
      <c r="B171" s="189">
        <v>1789</v>
      </c>
      <c r="C171" s="175" t="s">
        <v>452</v>
      </c>
      <c r="D171" s="190">
        <v>432</v>
      </c>
      <c r="E171" s="177">
        <v>0.4</v>
      </c>
      <c r="F171" s="149">
        <f t="shared" si="8"/>
        <v>172.8</v>
      </c>
      <c r="G171" s="149">
        <f t="shared" si="10"/>
        <v>172.8</v>
      </c>
      <c r="H171" s="149">
        <f t="shared" si="9"/>
        <v>0</v>
      </c>
      <c r="I171" s="178">
        <v>6687053</v>
      </c>
      <c r="J171" s="179" t="s">
        <v>453</v>
      </c>
      <c r="K171" s="178" t="s">
        <v>31</v>
      </c>
      <c r="L171" s="178" t="s">
        <v>32</v>
      </c>
      <c r="M171" s="178"/>
      <c r="N171" s="173"/>
    </row>
    <row r="172" spans="1:16" s="187" customFormat="1" ht="21.75" customHeight="1" x14ac:dyDescent="0.25">
      <c r="A172" s="173">
        <v>170</v>
      </c>
      <c r="B172" s="189">
        <v>1790</v>
      </c>
      <c r="C172" s="175" t="s">
        <v>454</v>
      </c>
      <c r="D172" s="190">
        <v>311.39999999999998</v>
      </c>
      <c r="E172" s="177">
        <v>0.4</v>
      </c>
      <c r="F172" s="149">
        <f t="shared" si="8"/>
        <v>124.56</v>
      </c>
      <c r="G172" s="149">
        <f t="shared" si="10"/>
        <v>124.56</v>
      </c>
      <c r="H172" s="149">
        <f t="shared" si="9"/>
        <v>0</v>
      </c>
      <c r="I172" s="178">
        <v>22971771</v>
      </c>
      <c r="J172" s="179" t="s">
        <v>455</v>
      </c>
      <c r="K172" s="178" t="s">
        <v>31</v>
      </c>
      <c r="L172" s="178" t="s">
        <v>32</v>
      </c>
      <c r="M172" s="178">
        <v>90976223</v>
      </c>
      <c r="N172" s="173"/>
    </row>
    <row r="173" spans="1:16" s="187" customFormat="1" ht="21.75" customHeight="1" x14ac:dyDescent="0.25">
      <c r="A173" s="173">
        <v>171</v>
      </c>
      <c r="B173" s="189">
        <v>1791</v>
      </c>
      <c r="C173" s="175" t="s">
        <v>80</v>
      </c>
      <c r="D173" s="190">
        <v>392.6</v>
      </c>
      <c r="E173" s="177">
        <v>0.4</v>
      </c>
      <c r="F173" s="149">
        <f t="shared" si="8"/>
        <v>157.04000000000002</v>
      </c>
      <c r="G173" s="149">
        <f t="shared" si="10"/>
        <v>157.04000000000002</v>
      </c>
      <c r="H173" s="149">
        <f t="shared" si="9"/>
        <v>0</v>
      </c>
      <c r="I173" s="178">
        <v>5335073</v>
      </c>
      <c r="J173" s="179" t="s">
        <v>81</v>
      </c>
      <c r="K173" s="178" t="s">
        <v>31</v>
      </c>
      <c r="L173" s="178" t="s">
        <v>32</v>
      </c>
      <c r="M173" s="178">
        <v>99806280</v>
      </c>
      <c r="N173" s="173"/>
    </row>
    <row r="174" spans="1:16" s="202" customFormat="1" ht="21.75" customHeight="1" x14ac:dyDescent="0.25">
      <c r="A174" s="141">
        <v>172</v>
      </c>
      <c r="B174" s="142">
        <v>1793</v>
      </c>
      <c r="C174" s="143" t="s">
        <v>456</v>
      </c>
      <c r="D174" s="185">
        <v>1107</v>
      </c>
      <c r="E174" s="182">
        <v>0.4</v>
      </c>
      <c r="F174" s="149">
        <f t="shared" si="8"/>
        <v>442.8</v>
      </c>
      <c r="G174" s="149">
        <f>439.73+3.07</f>
        <v>442.8</v>
      </c>
      <c r="H174" s="149">
        <f t="shared" si="9"/>
        <v>0</v>
      </c>
      <c r="I174" s="144">
        <v>1629686</v>
      </c>
      <c r="J174" s="159" t="s">
        <v>457</v>
      </c>
      <c r="K174" s="144" t="s">
        <v>31</v>
      </c>
      <c r="L174" s="144" t="s">
        <v>32</v>
      </c>
      <c r="M174" s="144"/>
      <c r="N174" s="147">
        <v>45586</v>
      </c>
      <c r="O174" s="193">
        <v>45614</v>
      </c>
    </row>
    <row r="175" spans="1:16" s="187" customFormat="1" ht="21.75" customHeight="1" x14ac:dyDescent="0.25">
      <c r="A175" s="141">
        <v>173</v>
      </c>
      <c r="B175" s="142">
        <v>1794</v>
      </c>
      <c r="C175" s="143" t="s">
        <v>82</v>
      </c>
      <c r="D175" s="185">
        <v>431</v>
      </c>
      <c r="E175" s="182">
        <v>0.4</v>
      </c>
      <c r="F175" s="149">
        <f t="shared" si="8"/>
        <v>172.4</v>
      </c>
      <c r="G175" s="149">
        <f>169.32+3.08</f>
        <v>172.4</v>
      </c>
      <c r="H175" s="149">
        <f t="shared" si="9"/>
        <v>0</v>
      </c>
      <c r="I175" s="144">
        <v>6122928</v>
      </c>
      <c r="J175" s="159" t="s">
        <v>83</v>
      </c>
      <c r="K175" s="144" t="s">
        <v>31</v>
      </c>
      <c r="L175" s="144" t="s">
        <v>32</v>
      </c>
      <c r="M175" s="144"/>
      <c r="N175" s="147">
        <v>45573</v>
      </c>
      <c r="O175" s="147">
        <v>45602</v>
      </c>
    </row>
    <row r="176" spans="1:16" s="187" customFormat="1" ht="21.75" customHeight="1" x14ac:dyDescent="0.25">
      <c r="A176" s="141">
        <v>174</v>
      </c>
      <c r="B176" s="142">
        <v>1795</v>
      </c>
      <c r="C176" s="143" t="s">
        <v>458</v>
      </c>
      <c r="D176" s="185">
        <v>643.9</v>
      </c>
      <c r="E176" s="182">
        <v>0.4</v>
      </c>
      <c r="F176" s="149">
        <f t="shared" si="8"/>
        <v>257.56</v>
      </c>
      <c r="G176" s="149">
        <f>257.23+0.33</f>
        <v>257.56</v>
      </c>
      <c r="H176" s="149">
        <f t="shared" si="9"/>
        <v>0</v>
      </c>
      <c r="I176" s="144">
        <v>6496299</v>
      </c>
      <c r="J176" s="159" t="s">
        <v>459</v>
      </c>
      <c r="K176" s="144" t="s">
        <v>121</v>
      </c>
      <c r="L176" s="144" t="s">
        <v>122</v>
      </c>
      <c r="M176" s="144"/>
      <c r="N176" s="147">
        <v>45567</v>
      </c>
      <c r="O176" s="194">
        <v>45623</v>
      </c>
    </row>
    <row r="177" spans="1:18" s="202" customFormat="1" ht="21.75" customHeight="1" x14ac:dyDescent="0.25">
      <c r="A177" s="141">
        <v>175</v>
      </c>
      <c r="B177" s="142">
        <v>1796</v>
      </c>
      <c r="C177" s="143" t="s">
        <v>460</v>
      </c>
      <c r="D177" s="185">
        <v>432</v>
      </c>
      <c r="E177" s="182">
        <v>0.4</v>
      </c>
      <c r="F177" s="149">
        <f t="shared" si="8"/>
        <v>172.8</v>
      </c>
      <c r="G177" s="149">
        <f>169.75+3.05</f>
        <v>172.8</v>
      </c>
      <c r="H177" s="149">
        <f t="shared" si="9"/>
        <v>0</v>
      </c>
      <c r="I177" s="144">
        <v>7140382</v>
      </c>
      <c r="J177" s="214" t="s">
        <v>461</v>
      </c>
      <c r="K177" s="144" t="s">
        <v>31</v>
      </c>
      <c r="L177" s="144" t="s">
        <v>32</v>
      </c>
      <c r="M177" s="144"/>
      <c r="N177" s="141" t="s">
        <v>462</v>
      </c>
      <c r="O177" s="193">
        <v>45614</v>
      </c>
    </row>
    <row r="178" spans="1:18" s="187" customFormat="1" ht="21.75" customHeight="1" x14ac:dyDescent="0.25">
      <c r="A178" s="173">
        <v>176</v>
      </c>
      <c r="B178" s="189">
        <v>1797</v>
      </c>
      <c r="C178" s="175" t="s">
        <v>463</v>
      </c>
      <c r="D178" s="190">
        <v>405</v>
      </c>
      <c r="E178" s="177">
        <v>0.4</v>
      </c>
      <c r="F178" s="149">
        <f t="shared" si="8"/>
        <v>162</v>
      </c>
      <c r="G178" s="149">
        <f>F178</f>
        <v>162</v>
      </c>
      <c r="H178" s="149">
        <f t="shared" si="9"/>
        <v>0</v>
      </c>
      <c r="I178" s="178">
        <v>3677869</v>
      </c>
      <c r="J178" s="179" t="s">
        <v>464</v>
      </c>
      <c r="K178" s="178" t="s">
        <v>31</v>
      </c>
      <c r="L178" s="178" t="s">
        <v>32</v>
      </c>
      <c r="M178" s="178">
        <v>72522066</v>
      </c>
      <c r="N178" s="173"/>
    </row>
    <row r="179" spans="1:18" s="187" customFormat="1" ht="21.75" customHeight="1" x14ac:dyDescent="0.25">
      <c r="A179" s="141">
        <v>177</v>
      </c>
      <c r="B179" s="142">
        <v>1798</v>
      </c>
      <c r="C179" s="143" t="s">
        <v>84</v>
      </c>
      <c r="D179" s="185">
        <v>427</v>
      </c>
      <c r="E179" s="182">
        <v>0.4</v>
      </c>
      <c r="F179" s="182">
        <f t="shared" si="8"/>
        <v>170.8</v>
      </c>
      <c r="G179" s="182">
        <f>168.98+1.82</f>
        <v>170.79999999999998</v>
      </c>
      <c r="H179" s="182">
        <f t="shared" si="9"/>
        <v>0</v>
      </c>
      <c r="I179" s="144">
        <v>5314229</v>
      </c>
      <c r="J179" s="200" t="s">
        <v>85</v>
      </c>
      <c r="K179" s="144" t="s">
        <v>52</v>
      </c>
      <c r="L179" s="144" t="s">
        <v>53</v>
      </c>
      <c r="M179" s="144"/>
      <c r="N179" s="147">
        <v>45623</v>
      </c>
      <c r="O179" s="194">
        <v>45670</v>
      </c>
    </row>
    <row r="180" spans="1:18" s="187" customFormat="1" ht="21.75" customHeight="1" x14ac:dyDescent="0.25">
      <c r="A180" s="141">
        <v>178</v>
      </c>
      <c r="B180" s="142">
        <v>1799</v>
      </c>
      <c r="C180" s="143" t="s">
        <v>183</v>
      </c>
      <c r="D180" s="185">
        <v>397.5</v>
      </c>
      <c r="E180" s="182">
        <v>0.4</v>
      </c>
      <c r="F180" s="149">
        <f t="shared" si="8"/>
        <v>159</v>
      </c>
      <c r="G180" s="149">
        <f>F180</f>
        <v>159</v>
      </c>
      <c r="H180" s="149">
        <f t="shared" si="9"/>
        <v>0</v>
      </c>
      <c r="I180" s="144">
        <v>5219843</v>
      </c>
      <c r="J180" s="159" t="s">
        <v>184</v>
      </c>
      <c r="K180" s="144" t="s">
        <v>31</v>
      </c>
      <c r="L180" s="144" t="s">
        <v>32</v>
      </c>
      <c r="M180" s="144"/>
      <c r="N180" s="147">
        <v>45621</v>
      </c>
    </row>
    <row r="181" spans="1:18" s="187" customFormat="1" ht="21.75" customHeight="1" x14ac:dyDescent="0.25">
      <c r="A181" s="173">
        <v>179</v>
      </c>
      <c r="B181" s="189">
        <v>1800</v>
      </c>
      <c r="C181" s="175" t="s">
        <v>185</v>
      </c>
      <c r="D181" s="190">
        <v>405</v>
      </c>
      <c r="E181" s="177">
        <v>0.4</v>
      </c>
      <c r="F181" s="149">
        <f t="shared" si="8"/>
        <v>162</v>
      </c>
      <c r="G181" s="149">
        <f>F181</f>
        <v>162</v>
      </c>
      <c r="H181" s="149">
        <f t="shared" si="9"/>
        <v>0</v>
      </c>
      <c r="I181" s="178">
        <v>7293505</v>
      </c>
      <c r="J181" s="247" t="s">
        <v>186</v>
      </c>
      <c r="K181" s="178" t="s">
        <v>31</v>
      </c>
      <c r="L181" s="178" t="s">
        <v>32</v>
      </c>
      <c r="M181" s="178">
        <v>99189910</v>
      </c>
      <c r="N181" s="173"/>
    </row>
    <row r="182" spans="1:18" s="187" customFormat="1" ht="21.75" customHeight="1" x14ac:dyDescent="0.25">
      <c r="A182" s="154">
        <v>180</v>
      </c>
      <c r="B182" s="230">
        <v>1801</v>
      </c>
      <c r="C182" s="152" t="s">
        <v>187</v>
      </c>
      <c r="D182" s="231">
        <v>430</v>
      </c>
      <c r="E182" s="232">
        <v>0.4</v>
      </c>
      <c r="F182" s="149">
        <f t="shared" si="8"/>
        <v>172</v>
      </c>
      <c r="G182" s="149">
        <f>F182</f>
        <v>172</v>
      </c>
      <c r="H182" s="149">
        <f t="shared" si="9"/>
        <v>0</v>
      </c>
      <c r="I182" s="153">
        <v>655141</v>
      </c>
      <c r="J182" s="233" t="s">
        <v>188</v>
      </c>
      <c r="K182" s="153" t="s">
        <v>155</v>
      </c>
      <c r="L182" s="153" t="s">
        <v>156</v>
      </c>
      <c r="M182" s="153"/>
      <c r="N182" s="154" t="s">
        <v>351</v>
      </c>
    </row>
    <row r="183" spans="1:18" s="187" customFormat="1" ht="21.75" customHeight="1" x14ac:dyDescent="0.25">
      <c r="A183" s="141">
        <v>181</v>
      </c>
      <c r="B183" s="142">
        <v>1802</v>
      </c>
      <c r="C183" s="143" t="s">
        <v>465</v>
      </c>
      <c r="D183" s="185">
        <v>374</v>
      </c>
      <c r="E183" s="182">
        <v>0.4</v>
      </c>
      <c r="F183" s="149">
        <f t="shared" si="8"/>
        <v>149.6</v>
      </c>
      <c r="G183" s="149">
        <f>147.29+2.31</f>
        <v>149.6</v>
      </c>
      <c r="H183" s="149">
        <f t="shared" si="9"/>
        <v>0</v>
      </c>
      <c r="I183" s="144">
        <v>14760225</v>
      </c>
      <c r="J183" s="214" t="s">
        <v>466</v>
      </c>
      <c r="K183" s="144" t="s">
        <v>31</v>
      </c>
      <c r="L183" s="144" t="s">
        <v>32</v>
      </c>
      <c r="M183" s="144"/>
      <c r="N183" s="147">
        <v>45567</v>
      </c>
      <c r="O183" s="194">
        <v>45600</v>
      </c>
    </row>
    <row r="184" spans="1:18" s="187" customFormat="1" ht="21.75" customHeight="1" x14ac:dyDescent="0.25">
      <c r="A184" s="141">
        <v>182</v>
      </c>
      <c r="B184" s="142">
        <v>1803</v>
      </c>
      <c r="C184" s="143" t="s">
        <v>467</v>
      </c>
      <c r="D184" s="185">
        <v>713.6</v>
      </c>
      <c r="E184" s="182">
        <v>0.4</v>
      </c>
      <c r="F184" s="182">
        <f t="shared" si="8"/>
        <v>285.44</v>
      </c>
      <c r="G184" s="182">
        <f>282.75+2.69</f>
        <v>285.44</v>
      </c>
      <c r="H184" s="186">
        <f t="shared" si="9"/>
        <v>0</v>
      </c>
      <c r="I184" s="144">
        <v>5502798</v>
      </c>
      <c r="J184" s="200" t="s">
        <v>468</v>
      </c>
      <c r="K184" s="144" t="s">
        <v>52</v>
      </c>
      <c r="L184" s="144" t="s">
        <v>53</v>
      </c>
      <c r="M184" s="144"/>
      <c r="N184" s="147">
        <v>45593</v>
      </c>
    </row>
    <row r="185" spans="1:18" s="187" customFormat="1" ht="21.75" customHeight="1" x14ac:dyDescent="0.25">
      <c r="A185" s="234">
        <v>183</v>
      </c>
      <c r="B185" s="189">
        <v>1804</v>
      </c>
      <c r="C185" s="175" t="s">
        <v>469</v>
      </c>
      <c r="D185" s="190">
        <v>375.5</v>
      </c>
      <c r="E185" s="177">
        <v>0.4</v>
      </c>
      <c r="F185" s="149">
        <f t="shared" si="8"/>
        <v>150.20000000000002</v>
      </c>
      <c r="G185" s="149">
        <f>F185</f>
        <v>150.20000000000002</v>
      </c>
      <c r="H185" s="149">
        <f t="shared" si="9"/>
        <v>0</v>
      </c>
      <c r="I185" s="178">
        <v>19623766</v>
      </c>
      <c r="J185" s="248" t="s">
        <v>470</v>
      </c>
      <c r="K185" s="178" t="s">
        <v>52</v>
      </c>
      <c r="L185" s="178" t="s">
        <v>53</v>
      </c>
      <c r="M185" s="178"/>
      <c r="N185" s="173"/>
    </row>
    <row r="186" spans="1:18" s="245" customFormat="1" ht="21.75" customHeight="1" x14ac:dyDescent="0.25">
      <c r="A186" s="204">
        <v>184</v>
      </c>
      <c r="B186" s="205">
        <v>1805</v>
      </c>
      <c r="C186" s="206" t="s">
        <v>471</v>
      </c>
      <c r="D186" s="207">
        <v>555</v>
      </c>
      <c r="E186" s="208">
        <v>0.4</v>
      </c>
      <c r="F186" s="149">
        <f t="shared" si="8"/>
        <v>222</v>
      </c>
      <c r="G186" s="149">
        <f>F186</f>
        <v>222</v>
      </c>
      <c r="H186" s="149">
        <f t="shared" si="9"/>
        <v>0</v>
      </c>
      <c r="I186" s="209">
        <v>1648586</v>
      </c>
      <c r="J186" s="249" t="s">
        <v>472</v>
      </c>
      <c r="K186" s="209" t="s">
        <v>31</v>
      </c>
      <c r="L186" s="209" t="s">
        <v>32</v>
      </c>
      <c r="M186" s="209">
        <v>96030388</v>
      </c>
      <c r="N186" s="204" t="s">
        <v>473</v>
      </c>
    </row>
    <row r="187" spans="1:18" s="187" customFormat="1" ht="21.75" customHeight="1" x14ac:dyDescent="0.25">
      <c r="A187" s="173">
        <v>185</v>
      </c>
      <c r="B187" s="189">
        <v>1808</v>
      </c>
      <c r="C187" s="175" t="s">
        <v>86</v>
      </c>
      <c r="D187" s="190">
        <v>402.5</v>
      </c>
      <c r="E187" s="177">
        <v>0.4</v>
      </c>
      <c r="F187" s="149">
        <f t="shared" si="8"/>
        <v>161</v>
      </c>
      <c r="G187" s="149">
        <f>F187</f>
        <v>161</v>
      </c>
      <c r="H187" s="149">
        <f t="shared" si="9"/>
        <v>0</v>
      </c>
      <c r="I187" s="178">
        <v>611136</v>
      </c>
      <c r="J187" s="238" t="s">
        <v>87</v>
      </c>
      <c r="K187" s="178" t="s">
        <v>26</v>
      </c>
      <c r="L187" s="178" t="s">
        <v>27</v>
      </c>
      <c r="M187" s="178"/>
      <c r="N187" s="173"/>
    </row>
    <row r="188" spans="1:18" s="187" customFormat="1" ht="21.75" customHeight="1" x14ac:dyDescent="0.25">
      <c r="A188" s="173">
        <v>186</v>
      </c>
      <c r="B188" s="189">
        <v>1809</v>
      </c>
      <c r="C188" s="175" t="s">
        <v>474</v>
      </c>
      <c r="D188" s="190">
        <v>403</v>
      </c>
      <c r="E188" s="177">
        <v>0.4</v>
      </c>
      <c r="F188" s="149">
        <f t="shared" si="8"/>
        <v>161.20000000000002</v>
      </c>
      <c r="G188" s="149">
        <f>F188</f>
        <v>161.20000000000002</v>
      </c>
      <c r="H188" s="149">
        <f t="shared" si="9"/>
        <v>0</v>
      </c>
      <c r="I188" s="178">
        <v>14957086</v>
      </c>
      <c r="J188" s="248" t="s">
        <v>475</v>
      </c>
      <c r="K188" s="178" t="s">
        <v>31</v>
      </c>
      <c r="L188" s="178" t="s">
        <v>32</v>
      </c>
      <c r="M188" s="178"/>
      <c r="N188" s="173"/>
    </row>
    <row r="189" spans="1:18" s="187" customFormat="1" ht="21.75" customHeight="1" x14ac:dyDescent="0.25">
      <c r="A189" s="141">
        <v>187</v>
      </c>
      <c r="B189" s="142">
        <v>1811</v>
      </c>
      <c r="C189" s="143" t="s">
        <v>476</v>
      </c>
      <c r="D189" s="185">
        <v>539.9</v>
      </c>
      <c r="E189" s="182">
        <v>0.4</v>
      </c>
      <c r="F189" s="149">
        <f t="shared" si="8"/>
        <v>215.96</v>
      </c>
      <c r="G189" s="149">
        <f>215.5+0.46</f>
        <v>215.96</v>
      </c>
      <c r="H189" s="149">
        <f t="shared" si="9"/>
        <v>0</v>
      </c>
      <c r="I189" s="144">
        <v>6384618</v>
      </c>
      <c r="J189" s="214" t="s">
        <v>477</v>
      </c>
      <c r="K189" s="144" t="s">
        <v>31</v>
      </c>
      <c r="L189" s="144" t="s">
        <v>32</v>
      </c>
      <c r="M189" s="144"/>
      <c r="N189" s="147">
        <v>45614</v>
      </c>
      <c r="O189" s="194">
        <v>45643</v>
      </c>
    </row>
    <row r="190" spans="1:18" s="187" customFormat="1" ht="21.75" customHeight="1" x14ac:dyDescent="0.25">
      <c r="A190" s="141">
        <v>188</v>
      </c>
      <c r="B190" s="142">
        <v>1812</v>
      </c>
      <c r="C190" s="143" t="s">
        <v>478</v>
      </c>
      <c r="D190" s="185">
        <v>405</v>
      </c>
      <c r="E190" s="182">
        <v>0.4</v>
      </c>
      <c r="F190" s="149">
        <f t="shared" si="8"/>
        <v>162</v>
      </c>
      <c r="G190" s="149">
        <f>160.6+1.4</f>
        <v>162</v>
      </c>
      <c r="H190" s="149">
        <f t="shared" si="9"/>
        <v>0</v>
      </c>
      <c r="I190" s="144">
        <v>4748659</v>
      </c>
      <c r="J190" s="214" t="s">
        <v>479</v>
      </c>
      <c r="K190" s="144" t="s">
        <v>52</v>
      </c>
      <c r="L190" s="144" t="s">
        <v>32</v>
      </c>
      <c r="M190" s="144">
        <v>98170004</v>
      </c>
      <c r="N190" s="147">
        <v>45567</v>
      </c>
      <c r="O190" s="250">
        <v>45607</v>
      </c>
      <c r="P190" s="251" t="s">
        <v>480</v>
      </c>
      <c r="Q190" s="251" t="s">
        <v>480</v>
      </c>
      <c r="R190" s="251" t="s">
        <v>480</v>
      </c>
    </row>
    <row r="191" spans="1:18" s="187" customFormat="1" ht="21.75" customHeight="1" x14ac:dyDescent="0.25">
      <c r="A191" s="173">
        <v>189</v>
      </c>
      <c r="B191" s="189">
        <v>1813</v>
      </c>
      <c r="C191" s="175" t="s">
        <v>481</v>
      </c>
      <c r="D191" s="190">
        <v>403</v>
      </c>
      <c r="E191" s="177">
        <v>0.4</v>
      </c>
      <c r="F191" s="149">
        <f t="shared" si="8"/>
        <v>161.20000000000002</v>
      </c>
      <c r="G191" s="149">
        <f>F191</f>
        <v>161.20000000000002</v>
      </c>
      <c r="H191" s="149">
        <f t="shared" si="9"/>
        <v>0</v>
      </c>
      <c r="I191" s="178">
        <v>2942396</v>
      </c>
      <c r="J191" s="247" t="s">
        <v>482</v>
      </c>
      <c r="K191" s="178" t="s">
        <v>52</v>
      </c>
      <c r="L191" s="178" t="s">
        <v>53</v>
      </c>
      <c r="M191" s="178"/>
      <c r="N191" s="173"/>
    </row>
    <row r="192" spans="1:18" s="187" customFormat="1" ht="21.75" customHeight="1" x14ac:dyDescent="0.25">
      <c r="A192" s="141">
        <v>190</v>
      </c>
      <c r="B192" s="142">
        <v>1816</v>
      </c>
      <c r="C192" s="143" t="s">
        <v>191</v>
      </c>
      <c r="D192" s="185">
        <v>431</v>
      </c>
      <c r="E192" s="182">
        <v>0.4</v>
      </c>
      <c r="F192" s="149">
        <f t="shared" si="8"/>
        <v>172.4</v>
      </c>
      <c r="G192" s="149">
        <f>171.4+1</f>
        <v>172.4</v>
      </c>
      <c r="H192" s="149">
        <f t="shared" si="9"/>
        <v>0</v>
      </c>
      <c r="I192" s="144">
        <v>15694259</v>
      </c>
      <c r="J192" s="214" t="s">
        <v>192</v>
      </c>
      <c r="K192" s="144" t="s">
        <v>31</v>
      </c>
      <c r="L192" s="144" t="s">
        <v>32</v>
      </c>
      <c r="M192" s="144"/>
      <c r="N192" s="193">
        <v>45601</v>
      </c>
      <c r="O192" s="193">
        <v>45621</v>
      </c>
    </row>
    <row r="193" spans="1:16" s="217" customFormat="1" ht="21.75" customHeight="1" x14ac:dyDescent="0.25">
      <c r="A193" s="173">
        <v>191</v>
      </c>
      <c r="B193" s="189">
        <v>1817</v>
      </c>
      <c r="C193" s="175" t="s">
        <v>483</v>
      </c>
      <c r="D193" s="190">
        <v>959.5</v>
      </c>
      <c r="E193" s="177">
        <v>0.4</v>
      </c>
      <c r="F193" s="149">
        <f t="shared" si="8"/>
        <v>383.8</v>
      </c>
      <c r="G193" s="149">
        <f>F193</f>
        <v>383.8</v>
      </c>
      <c r="H193" s="149">
        <f t="shared" si="9"/>
        <v>0</v>
      </c>
      <c r="I193" s="178">
        <v>6492948</v>
      </c>
      <c r="J193" s="247" t="s">
        <v>484</v>
      </c>
      <c r="K193" s="178" t="s">
        <v>31</v>
      </c>
      <c r="L193" s="178" t="s">
        <v>32</v>
      </c>
      <c r="M193" s="178"/>
      <c r="N193" s="173"/>
    </row>
    <row r="194" spans="1:16" s="202" customFormat="1" ht="21.75" customHeight="1" x14ac:dyDescent="0.25">
      <c r="A194" s="141">
        <v>192</v>
      </c>
      <c r="B194" s="142">
        <v>1818</v>
      </c>
      <c r="C194" s="143" t="s">
        <v>485</v>
      </c>
      <c r="D194" s="185">
        <v>625.29999999999995</v>
      </c>
      <c r="E194" s="182">
        <v>0.4</v>
      </c>
      <c r="F194" s="149">
        <f t="shared" si="8"/>
        <v>250.12</v>
      </c>
      <c r="G194" s="149">
        <f>247.89+2.23</f>
        <v>250.11999999999998</v>
      </c>
      <c r="H194" s="149">
        <f t="shared" si="9"/>
        <v>0</v>
      </c>
      <c r="I194" s="144">
        <v>15677827</v>
      </c>
      <c r="J194" s="214" t="s">
        <v>486</v>
      </c>
      <c r="K194" s="144" t="s">
        <v>31</v>
      </c>
      <c r="L194" s="144" t="s">
        <v>32</v>
      </c>
      <c r="M194" s="144"/>
      <c r="N194" s="147">
        <v>45586</v>
      </c>
      <c r="O194" s="193">
        <v>45614</v>
      </c>
    </row>
    <row r="195" spans="1:16" s="202" customFormat="1" ht="21.75" customHeight="1" x14ac:dyDescent="0.25">
      <c r="A195" s="141">
        <v>193</v>
      </c>
      <c r="B195" s="142">
        <v>1819</v>
      </c>
      <c r="C195" s="143" t="s">
        <v>487</v>
      </c>
      <c r="D195" s="185">
        <v>432</v>
      </c>
      <c r="E195" s="182">
        <v>0.4</v>
      </c>
      <c r="F195" s="149">
        <f t="shared" si="8"/>
        <v>172.8</v>
      </c>
      <c r="G195" s="149">
        <f>169.9+2.9</f>
        <v>172.8</v>
      </c>
      <c r="H195" s="149">
        <f t="shared" si="9"/>
        <v>0</v>
      </c>
      <c r="I195" s="144">
        <v>851375</v>
      </c>
      <c r="J195" s="214" t="s">
        <v>488</v>
      </c>
      <c r="K195" s="144" t="s">
        <v>52</v>
      </c>
      <c r="L195" s="144" t="s">
        <v>53</v>
      </c>
      <c r="M195" s="144">
        <v>92819432</v>
      </c>
      <c r="N195" s="141"/>
      <c r="O195" s="193">
        <v>45586</v>
      </c>
      <c r="P195" s="193">
        <v>45600</v>
      </c>
    </row>
    <row r="196" spans="1:16" s="187" customFormat="1" ht="21.75" customHeight="1" x14ac:dyDescent="0.25">
      <c r="A196" s="173">
        <v>194</v>
      </c>
      <c r="B196" s="189">
        <v>1820</v>
      </c>
      <c r="C196" s="175" t="s">
        <v>489</v>
      </c>
      <c r="D196" s="190">
        <v>405</v>
      </c>
      <c r="E196" s="177">
        <v>0.4</v>
      </c>
      <c r="F196" s="149">
        <f t="shared" ref="F196:F223" si="11">D196*E196</f>
        <v>162</v>
      </c>
      <c r="G196" s="149">
        <f>F196</f>
        <v>162</v>
      </c>
      <c r="H196" s="149">
        <f t="shared" ref="H196:H223" si="12">F196-G196</f>
        <v>0</v>
      </c>
      <c r="I196" s="178">
        <v>7124544</v>
      </c>
      <c r="J196" s="179" t="s">
        <v>490</v>
      </c>
      <c r="K196" s="178" t="s">
        <v>155</v>
      </c>
      <c r="L196" s="178" t="s">
        <v>156</v>
      </c>
      <c r="M196" s="178"/>
      <c r="N196" s="173"/>
    </row>
    <row r="197" spans="1:16" s="187" customFormat="1" ht="21.75" customHeight="1" x14ac:dyDescent="0.25">
      <c r="A197" s="173">
        <v>195</v>
      </c>
      <c r="B197" s="189">
        <v>1821</v>
      </c>
      <c r="C197" s="178" t="s">
        <v>491</v>
      </c>
      <c r="D197" s="190">
        <v>777.5</v>
      </c>
      <c r="E197" s="177">
        <v>0.4</v>
      </c>
      <c r="F197" s="149">
        <f t="shared" si="11"/>
        <v>311</v>
      </c>
      <c r="G197" s="149">
        <f t="shared" ref="G197:G200" si="13">F197</f>
        <v>311</v>
      </c>
      <c r="H197" s="149">
        <f t="shared" si="12"/>
        <v>0</v>
      </c>
      <c r="I197" s="178">
        <v>2454202</v>
      </c>
      <c r="J197" s="179" t="s">
        <v>492</v>
      </c>
      <c r="K197" s="178" t="s">
        <v>155</v>
      </c>
      <c r="L197" s="178" t="s">
        <v>156</v>
      </c>
      <c r="M197" s="178"/>
      <c r="N197" s="173"/>
    </row>
    <row r="198" spans="1:16" s="187" customFormat="1" ht="21.75" customHeight="1" x14ac:dyDescent="0.25">
      <c r="A198" s="173">
        <v>196</v>
      </c>
      <c r="B198" s="189">
        <v>1822</v>
      </c>
      <c r="C198" s="178" t="s">
        <v>193</v>
      </c>
      <c r="D198" s="190">
        <v>378.9</v>
      </c>
      <c r="E198" s="177">
        <v>0.4</v>
      </c>
      <c r="F198" s="149">
        <f t="shared" si="11"/>
        <v>151.56</v>
      </c>
      <c r="G198" s="149">
        <f t="shared" si="13"/>
        <v>151.56</v>
      </c>
      <c r="H198" s="149">
        <f t="shared" si="12"/>
        <v>0</v>
      </c>
      <c r="I198" s="178">
        <v>22005737</v>
      </c>
      <c r="J198" s="179" t="s">
        <v>152</v>
      </c>
      <c r="K198" s="178" t="s">
        <v>31</v>
      </c>
      <c r="L198" s="178" t="s">
        <v>32</v>
      </c>
      <c r="M198" s="178"/>
      <c r="N198" s="173"/>
    </row>
    <row r="199" spans="1:16" s="187" customFormat="1" ht="21.75" customHeight="1" x14ac:dyDescent="0.25">
      <c r="A199" s="173">
        <v>197</v>
      </c>
      <c r="B199" s="189">
        <v>1823</v>
      </c>
      <c r="C199" s="178" t="s">
        <v>493</v>
      </c>
      <c r="D199" s="190">
        <v>405</v>
      </c>
      <c r="E199" s="177">
        <v>0.4</v>
      </c>
      <c r="F199" s="149">
        <f t="shared" si="11"/>
        <v>162</v>
      </c>
      <c r="G199" s="149">
        <f t="shared" si="13"/>
        <v>162</v>
      </c>
      <c r="H199" s="149">
        <f t="shared" si="12"/>
        <v>0</v>
      </c>
      <c r="I199" s="178">
        <v>25722393</v>
      </c>
      <c r="J199" s="179" t="s">
        <v>494</v>
      </c>
      <c r="K199" s="178" t="s">
        <v>31</v>
      </c>
      <c r="L199" s="178" t="s">
        <v>32</v>
      </c>
      <c r="M199" s="178"/>
      <c r="N199" s="173"/>
    </row>
    <row r="200" spans="1:16" s="187" customFormat="1" ht="21.75" customHeight="1" x14ac:dyDescent="0.25">
      <c r="A200" s="173">
        <v>198</v>
      </c>
      <c r="B200" s="189">
        <v>1824</v>
      </c>
      <c r="C200" s="178" t="s">
        <v>195</v>
      </c>
      <c r="D200" s="190">
        <v>359</v>
      </c>
      <c r="E200" s="177">
        <v>0.4</v>
      </c>
      <c r="F200" s="149">
        <f t="shared" si="11"/>
        <v>143.6</v>
      </c>
      <c r="G200" s="149">
        <f t="shared" si="13"/>
        <v>143.6</v>
      </c>
      <c r="H200" s="149">
        <f t="shared" si="12"/>
        <v>0</v>
      </c>
      <c r="I200" s="178">
        <v>766709</v>
      </c>
      <c r="J200" s="179" t="s">
        <v>196</v>
      </c>
      <c r="K200" s="178" t="s">
        <v>71</v>
      </c>
      <c r="L200" s="178" t="s">
        <v>72</v>
      </c>
      <c r="M200" s="178"/>
      <c r="N200" s="173"/>
    </row>
    <row r="201" spans="1:16" s="187" customFormat="1" ht="21.75" customHeight="1" x14ac:dyDescent="0.25">
      <c r="A201" s="141">
        <v>199</v>
      </c>
      <c r="B201" s="142">
        <v>1825</v>
      </c>
      <c r="C201" s="144" t="s">
        <v>495</v>
      </c>
      <c r="D201" s="185">
        <v>413.8</v>
      </c>
      <c r="E201" s="182">
        <v>0.4</v>
      </c>
      <c r="F201" s="149">
        <f t="shared" si="11"/>
        <v>165.52</v>
      </c>
      <c r="G201" s="149">
        <f>164.9+0.62</f>
        <v>165.52</v>
      </c>
      <c r="H201" s="149">
        <f t="shared" si="12"/>
        <v>0</v>
      </c>
      <c r="I201" s="144">
        <v>7293524</v>
      </c>
      <c r="J201" s="214" t="s">
        <v>496</v>
      </c>
      <c r="K201" s="144" t="s">
        <v>31</v>
      </c>
      <c r="L201" s="144" t="s">
        <v>32</v>
      </c>
      <c r="M201" s="144"/>
      <c r="N201" s="147">
        <v>45595</v>
      </c>
      <c r="O201" s="194">
        <v>45600</v>
      </c>
    </row>
    <row r="202" spans="1:16" s="187" customFormat="1" ht="21.75" customHeight="1" x14ac:dyDescent="0.25">
      <c r="A202" s="204">
        <v>200</v>
      </c>
      <c r="B202" s="205">
        <v>1826</v>
      </c>
      <c r="C202" s="252" t="s">
        <v>88</v>
      </c>
      <c r="D202" s="207">
        <v>384</v>
      </c>
      <c r="E202" s="208">
        <v>0.4</v>
      </c>
      <c r="F202" s="149">
        <f t="shared" si="11"/>
        <v>153.60000000000002</v>
      </c>
      <c r="G202" s="149">
        <f>F202</f>
        <v>153.60000000000002</v>
      </c>
      <c r="H202" s="149">
        <f t="shared" si="12"/>
        <v>0</v>
      </c>
      <c r="I202" s="253">
        <v>381215</v>
      </c>
      <c r="J202" s="254" t="s">
        <v>89</v>
      </c>
      <c r="K202" s="253" t="s">
        <v>90</v>
      </c>
      <c r="L202" s="255" t="s">
        <v>32</v>
      </c>
      <c r="M202" s="256">
        <v>95110746</v>
      </c>
      <c r="N202" s="211" t="s">
        <v>262</v>
      </c>
    </row>
    <row r="203" spans="1:16" s="187" customFormat="1" ht="21.75" customHeight="1" x14ac:dyDescent="0.25">
      <c r="A203" s="141">
        <v>201</v>
      </c>
      <c r="B203" s="142">
        <v>1827</v>
      </c>
      <c r="C203" s="144" t="s">
        <v>497</v>
      </c>
      <c r="D203" s="185">
        <v>396.3</v>
      </c>
      <c r="E203" s="182">
        <v>0.4</v>
      </c>
      <c r="F203" s="149">
        <f t="shared" si="11"/>
        <v>158.52000000000001</v>
      </c>
      <c r="G203" s="149">
        <f>96.76+61.76</f>
        <v>158.52000000000001</v>
      </c>
      <c r="H203" s="149">
        <f t="shared" si="12"/>
        <v>0</v>
      </c>
      <c r="I203" s="144">
        <v>24218909</v>
      </c>
      <c r="J203" s="159" t="s">
        <v>498</v>
      </c>
      <c r="K203" s="143" t="s">
        <v>90</v>
      </c>
      <c r="L203" s="159" t="s">
        <v>32</v>
      </c>
      <c r="M203" s="144"/>
      <c r="N203" s="147">
        <v>45595</v>
      </c>
      <c r="O203" s="194">
        <v>45635</v>
      </c>
    </row>
    <row r="204" spans="1:16" s="187" customFormat="1" ht="21.75" customHeight="1" x14ac:dyDescent="0.25">
      <c r="A204" s="173">
        <v>202</v>
      </c>
      <c r="B204" s="189">
        <v>1830</v>
      </c>
      <c r="C204" s="178" t="s">
        <v>499</v>
      </c>
      <c r="D204" s="190">
        <v>851.2</v>
      </c>
      <c r="E204" s="177">
        <v>0.4</v>
      </c>
      <c r="F204" s="149">
        <f t="shared" si="11"/>
        <v>340.48</v>
      </c>
      <c r="G204" s="149">
        <f>F204</f>
        <v>340.48</v>
      </c>
      <c r="H204" s="149">
        <f t="shared" si="12"/>
        <v>0</v>
      </c>
      <c r="I204" s="178">
        <v>22697535</v>
      </c>
      <c r="J204" s="179" t="s">
        <v>500</v>
      </c>
      <c r="K204" s="175" t="s">
        <v>90</v>
      </c>
      <c r="L204" s="179" t="s">
        <v>32</v>
      </c>
      <c r="M204" s="178"/>
      <c r="N204" s="173"/>
    </row>
    <row r="205" spans="1:16" s="187" customFormat="1" ht="21.75" customHeight="1" x14ac:dyDescent="0.25">
      <c r="A205" s="141">
        <v>203</v>
      </c>
      <c r="B205" s="142">
        <v>3074</v>
      </c>
      <c r="C205" s="143" t="s">
        <v>501</v>
      </c>
      <c r="D205" s="185">
        <v>340.9</v>
      </c>
      <c r="E205" s="182">
        <v>0.4</v>
      </c>
      <c r="F205" s="149">
        <f t="shared" si="11"/>
        <v>136.35999999999999</v>
      </c>
      <c r="G205" s="149">
        <f>23.52+111.55+1.29</f>
        <v>136.35999999999999</v>
      </c>
      <c r="H205" s="149">
        <f t="shared" si="12"/>
        <v>0</v>
      </c>
      <c r="I205" s="215">
        <v>6327112</v>
      </c>
      <c r="J205" s="159" t="s">
        <v>502</v>
      </c>
      <c r="K205" s="143" t="s">
        <v>90</v>
      </c>
      <c r="L205" s="159" t="s">
        <v>32</v>
      </c>
      <c r="M205" s="215">
        <v>92544491</v>
      </c>
      <c r="N205" s="147">
        <v>45567</v>
      </c>
      <c r="O205" s="147">
        <v>45628</v>
      </c>
    </row>
    <row r="206" spans="1:16" s="187" customFormat="1" ht="21.75" customHeight="1" x14ac:dyDescent="0.25">
      <c r="A206" s="173">
        <v>204</v>
      </c>
      <c r="B206" s="189">
        <v>3075</v>
      </c>
      <c r="C206" s="178" t="s">
        <v>503</v>
      </c>
      <c r="D206" s="190">
        <v>662.7</v>
      </c>
      <c r="E206" s="177">
        <v>0.4</v>
      </c>
      <c r="F206" s="149">
        <f t="shared" si="11"/>
        <v>265.08000000000004</v>
      </c>
      <c r="G206" s="149">
        <f>F206</f>
        <v>265.08000000000004</v>
      </c>
      <c r="H206" s="149">
        <f t="shared" si="12"/>
        <v>0</v>
      </c>
      <c r="I206" s="216">
        <v>6207551</v>
      </c>
      <c r="J206" s="247" t="s">
        <v>504</v>
      </c>
      <c r="K206" s="178" t="s">
        <v>31</v>
      </c>
      <c r="L206" s="178" t="s">
        <v>32</v>
      </c>
      <c r="M206" s="175">
        <v>92011889</v>
      </c>
      <c r="N206" s="173"/>
    </row>
    <row r="207" spans="1:16" ht="21.75" customHeight="1" x14ac:dyDescent="0.25">
      <c r="A207" s="141">
        <v>205</v>
      </c>
      <c r="B207" s="142">
        <v>3250</v>
      </c>
      <c r="C207" s="144" t="s">
        <v>198</v>
      </c>
      <c r="D207" s="185">
        <v>775</v>
      </c>
      <c r="E207" s="182">
        <v>0.4</v>
      </c>
      <c r="F207" s="149">
        <f t="shared" si="11"/>
        <v>310</v>
      </c>
      <c r="G207" s="149">
        <f>309.51+0.49</f>
        <v>310</v>
      </c>
      <c r="H207" s="149">
        <f t="shared" si="12"/>
        <v>0</v>
      </c>
      <c r="I207" s="155">
        <v>1357047</v>
      </c>
      <c r="J207" s="197" t="s">
        <v>199</v>
      </c>
      <c r="K207" s="144" t="s">
        <v>26</v>
      </c>
      <c r="L207" s="144" t="s">
        <v>27</v>
      </c>
      <c r="M207" s="144">
        <v>91177550</v>
      </c>
      <c r="N207" s="147">
        <v>45601</v>
      </c>
      <c r="O207" s="184">
        <v>45623</v>
      </c>
    </row>
    <row r="208" spans="1:16" s="187" customFormat="1" ht="21.75" customHeight="1" x14ac:dyDescent="0.25">
      <c r="A208" s="173">
        <v>206</v>
      </c>
      <c r="B208" s="189">
        <v>3317</v>
      </c>
      <c r="C208" s="178" t="s">
        <v>505</v>
      </c>
      <c r="D208" s="190">
        <v>540</v>
      </c>
      <c r="E208" s="177">
        <v>0.4</v>
      </c>
      <c r="F208" s="149">
        <f t="shared" si="11"/>
        <v>216</v>
      </c>
      <c r="G208" s="149">
        <f>F208</f>
        <v>216</v>
      </c>
      <c r="H208" s="149">
        <f t="shared" si="12"/>
        <v>0</v>
      </c>
      <c r="I208" s="213">
        <v>2366794</v>
      </c>
      <c r="J208" s="248" t="s">
        <v>506</v>
      </c>
      <c r="K208" s="178" t="s">
        <v>52</v>
      </c>
      <c r="L208" s="178" t="s">
        <v>53</v>
      </c>
      <c r="M208" s="178">
        <v>95138883</v>
      </c>
      <c r="N208" s="173"/>
    </row>
    <row r="209" spans="1:16" s="187" customFormat="1" ht="21.75" customHeight="1" x14ac:dyDescent="0.25">
      <c r="A209" s="141">
        <v>207</v>
      </c>
      <c r="B209" s="142">
        <v>3323</v>
      </c>
      <c r="C209" s="144" t="s">
        <v>507</v>
      </c>
      <c r="D209" s="185">
        <v>691.8</v>
      </c>
      <c r="E209" s="182">
        <v>0.4</v>
      </c>
      <c r="F209" s="149">
        <f t="shared" si="11"/>
        <v>276.71999999999997</v>
      </c>
      <c r="G209" s="149">
        <f>274.68+2.04</f>
        <v>276.72000000000003</v>
      </c>
      <c r="H209" s="149">
        <f t="shared" si="12"/>
        <v>0</v>
      </c>
      <c r="I209" s="155">
        <v>683613</v>
      </c>
      <c r="J209" s="197" t="s">
        <v>508</v>
      </c>
      <c r="K209" s="144" t="s">
        <v>31</v>
      </c>
      <c r="L209" s="144" t="s">
        <v>32</v>
      </c>
      <c r="M209" s="144">
        <v>92280327</v>
      </c>
      <c r="N209" s="147">
        <v>45567</v>
      </c>
      <c r="O209" s="194">
        <v>45600</v>
      </c>
    </row>
    <row r="210" spans="1:16" s="187" customFormat="1" ht="21.75" customHeight="1" x14ac:dyDescent="0.25">
      <c r="A210" s="173">
        <v>208</v>
      </c>
      <c r="B210" s="189">
        <v>3327</v>
      </c>
      <c r="C210" s="178" t="s">
        <v>509</v>
      </c>
      <c r="D210" s="190">
        <v>702</v>
      </c>
      <c r="E210" s="177">
        <v>0.4</v>
      </c>
      <c r="F210" s="149">
        <f t="shared" si="11"/>
        <v>280.8</v>
      </c>
      <c r="G210" s="149">
        <f>F210</f>
        <v>280.8</v>
      </c>
      <c r="H210" s="149">
        <f t="shared" si="12"/>
        <v>0</v>
      </c>
      <c r="I210" s="178">
        <v>4919647</v>
      </c>
      <c r="J210" s="179" t="s">
        <v>510</v>
      </c>
      <c r="K210" s="178" t="s">
        <v>52</v>
      </c>
      <c r="L210" s="178" t="s">
        <v>53</v>
      </c>
      <c r="M210" s="178">
        <v>99895505</v>
      </c>
      <c r="N210" s="180"/>
    </row>
    <row r="211" spans="1:16" s="187" customFormat="1" ht="21.75" customHeight="1" x14ac:dyDescent="0.25">
      <c r="A211" s="173">
        <v>209</v>
      </c>
      <c r="B211" s="189">
        <v>3345</v>
      </c>
      <c r="C211" s="178" t="s">
        <v>511</v>
      </c>
      <c r="D211" s="190">
        <v>405</v>
      </c>
      <c r="E211" s="177">
        <v>0.4</v>
      </c>
      <c r="F211" s="149">
        <f t="shared" si="11"/>
        <v>162</v>
      </c>
      <c r="G211" s="149">
        <f>F211</f>
        <v>162</v>
      </c>
      <c r="H211" s="149">
        <f t="shared" si="12"/>
        <v>0</v>
      </c>
      <c r="I211" s="178">
        <v>6572395</v>
      </c>
      <c r="J211" s="179" t="s">
        <v>512</v>
      </c>
      <c r="K211" s="178" t="s">
        <v>31</v>
      </c>
      <c r="L211" s="178" t="s">
        <v>32</v>
      </c>
      <c r="M211" s="178">
        <v>99294765</v>
      </c>
      <c r="N211" s="180"/>
    </row>
    <row r="212" spans="1:16" s="187" customFormat="1" ht="21.75" customHeight="1" x14ac:dyDescent="0.25">
      <c r="A212" s="141">
        <v>210</v>
      </c>
      <c r="B212" s="142">
        <v>3701</v>
      </c>
      <c r="C212" s="143" t="s">
        <v>513</v>
      </c>
      <c r="D212" s="185">
        <v>378.4</v>
      </c>
      <c r="E212" s="182">
        <v>0.4</v>
      </c>
      <c r="F212" s="149">
        <f t="shared" si="11"/>
        <v>151.35999999999999</v>
      </c>
      <c r="G212" s="149">
        <f>F212</f>
        <v>151.35999999999999</v>
      </c>
      <c r="H212" s="149">
        <f t="shared" si="12"/>
        <v>0</v>
      </c>
      <c r="I212" s="144">
        <v>5146416</v>
      </c>
      <c r="J212" s="159" t="s">
        <v>514</v>
      </c>
      <c r="K212" s="144" t="s">
        <v>31</v>
      </c>
      <c r="L212" s="144" t="s">
        <v>32</v>
      </c>
      <c r="M212" s="144">
        <v>99898838</v>
      </c>
      <c r="N212" s="147">
        <v>45601</v>
      </c>
    </row>
    <row r="213" spans="1:16" s="187" customFormat="1" ht="21.75" customHeight="1" x14ac:dyDescent="0.25">
      <c r="A213" s="141">
        <v>211</v>
      </c>
      <c r="B213" s="142">
        <v>3710</v>
      </c>
      <c r="C213" s="143" t="s">
        <v>515</v>
      </c>
      <c r="D213" s="185">
        <v>342.4</v>
      </c>
      <c r="E213" s="182">
        <v>0.4</v>
      </c>
      <c r="F213" s="149">
        <f t="shared" si="11"/>
        <v>136.96</v>
      </c>
      <c r="G213" s="149">
        <f>23.88+111.55+1.53</f>
        <v>136.96</v>
      </c>
      <c r="H213" s="149">
        <f t="shared" si="12"/>
        <v>0</v>
      </c>
      <c r="I213" s="144">
        <v>22749678</v>
      </c>
      <c r="J213" s="257" t="s">
        <v>516</v>
      </c>
      <c r="K213" s="144" t="s">
        <v>31</v>
      </c>
      <c r="L213" s="144" t="s">
        <v>32</v>
      </c>
      <c r="M213" s="144"/>
      <c r="N213" s="147">
        <v>45567</v>
      </c>
      <c r="O213" s="194">
        <v>45601</v>
      </c>
      <c r="P213" s="194">
        <v>45628</v>
      </c>
    </row>
    <row r="214" spans="1:16" s="187" customFormat="1" ht="21.75" customHeight="1" x14ac:dyDescent="0.25">
      <c r="A214" s="141">
        <v>212</v>
      </c>
      <c r="B214" s="142">
        <v>3715</v>
      </c>
      <c r="C214" s="143" t="s">
        <v>517</v>
      </c>
      <c r="D214" s="185">
        <v>337.4</v>
      </c>
      <c r="E214" s="182">
        <v>0.4</v>
      </c>
      <c r="F214" s="149">
        <f t="shared" si="11"/>
        <v>134.96</v>
      </c>
      <c r="G214" s="149">
        <f>126.1+8.86</f>
        <v>134.95999999999998</v>
      </c>
      <c r="H214" s="149">
        <f t="shared" si="12"/>
        <v>0</v>
      </c>
      <c r="I214" s="144">
        <v>6327183</v>
      </c>
      <c r="J214" s="159" t="s">
        <v>518</v>
      </c>
      <c r="K214" s="144" t="s">
        <v>31</v>
      </c>
      <c r="L214" s="144" t="s">
        <v>32</v>
      </c>
      <c r="M214" s="144"/>
      <c r="N214" s="147">
        <v>45573</v>
      </c>
      <c r="O214" s="194">
        <v>45601</v>
      </c>
    </row>
    <row r="215" spans="1:16" s="187" customFormat="1" ht="21.75" customHeight="1" x14ac:dyDescent="0.25">
      <c r="A215" s="173">
        <v>213</v>
      </c>
      <c r="B215" s="189">
        <v>3721</v>
      </c>
      <c r="C215" s="175" t="s">
        <v>519</v>
      </c>
      <c r="D215" s="190">
        <v>292.60000000000002</v>
      </c>
      <c r="E215" s="177">
        <v>0.4</v>
      </c>
      <c r="F215" s="149">
        <f t="shared" si="11"/>
        <v>117.04000000000002</v>
      </c>
      <c r="G215" s="149">
        <f>F215</f>
        <v>117.04000000000002</v>
      </c>
      <c r="H215" s="149">
        <f t="shared" si="12"/>
        <v>0</v>
      </c>
      <c r="I215" s="178">
        <v>5332235</v>
      </c>
      <c r="J215" s="173" t="s">
        <v>520</v>
      </c>
      <c r="K215" s="175" t="s">
        <v>90</v>
      </c>
      <c r="L215" s="173" t="s">
        <v>32</v>
      </c>
      <c r="M215" s="178"/>
      <c r="N215" s="173"/>
    </row>
    <row r="216" spans="1:16" s="187" customFormat="1" ht="21.75" customHeight="1" x14ac:dyDescent="0.25">
      <c r="A216" s="173">
        <v>214</v>
      </c>
      <c r="B216" s="189">
        <v>3738</v>
      </c>
      <c r="C216" s="178" t="s">
        <v>521</v>
      </c>
      <c r="D216" s="190">
        <v>432</v>
      </c>
      <c r="E216" s="177">
        <v>0.4</v>
      </c>
      <c r="F216" s="149">
        <f t="shared" si="11"/>
        <v>172.8</v>
      </c>
      <c r="G216" s="149">
        <f t="shared" ref="G216:G217" si="14">F216</f>
        <v>172.8</v>
      </c>
      <c r="H216" s="149">
        <f t="shared" si="12"/>
        <v>0</v>
      </c>
      <c r="I216" s="178">
        <v>730741</v>
      </c>
      <c r="J216" s="179" t="s">
        <v>522</v>
      </c>
      <c r="K216" s="178" t="s">
        <v>31</v>
      </c>
      <c r="L216" s="178" t="s">
        <v>32</v>
      </c>
      <c r="M216" s="178">
        <v>99710505</v>
      </c>
      <c r="N216" s="173"/>
    </row>
    <row r="217" spans="1:16" s="187" customFormat="1" ht="21.75" customHeight="1" x14ac:dyDescent="0.25">
      <c r="A217" s="173">
        <v>215</v>
      </c>
      <c r="B217" s="189">
        <v>3763</v>
      </c>
      <c r="C217" s="178" t="s">
        <v>92</v>
      </c>
      <c r="D217" s="190">
        <v>369</v>
      </c>
      <c r="E217" s="177">
        <v>0.4</v>
      </c>
      <c r="F217" s="149">
        <f t="shared" si="11"/>
        <v>147.6</v>
      </c>
      <c r="G217" s="149">
        <f t="shared" si="14"/>
        <v>147.6</v>
      </c>
      <c r="H217" s="149">
        <f t="shared" si="12"/>
        <v>0</v>
      </c>
      <c r="I217" s="178">
        <v>19189247</v>
      </c>
      <c r="J217" s="179" t="s">
        <v>93</v>
      </c>
      <c r="K217" s="178" t="s">
        <v>31</v>
      </c>
      <c r="L217" s="178" t="s">
        <v>32</v>
      </c>
      <c r="M217" s="178">
        <v>99846685</v>
      </c>
      <c r="N217" s="173"/>
    </row>
    <row r="218" spans="1:16" s="187" customFormat="1" ht="21.75" customHeight="1" x14ac:dyDescent="0.25">
      <c r="A218" s="141">
        <v>216</v>
      </c>
      <c r="B218" s="142">
        <v>3788</v>
      </c>
      <c r="C218" s="144" t="s">
        <v>523</v>
      </c>
      <c r="D218" s="185">
        <v>386.9</v>
      </c>
      <c r="E218" s="182">
        <v>0.4</v>
      </c>
      <c r="F218" s="182">
        <f t="shared" si="11"/>
        <v>154.76</v>
      </c>
      <c r="G218" s="182">
        <f>150.35+4.41</f>
        <v>154.76</v>
      </c>
      <c r="H218" s="182">
        <f t="shared" si="12"/>
        <v>0</v>
      </c>
      <c r="I218" s="144">
        <v>5146627</v>
      </c>
      <c r="J218" s="159" t="s">
        <v>524</v>
      </c>
      <c r="K218" s="144" t="s">
        <v>31</v>
      </c>
      <c r="L218" s="144" t="s">
        <v>32</v>
      </c>
      <c r="M218" s="144"/>
      <c r="N218" s="147">
        <v>45593</v>
      </c>
      <c r="O218" s="194">
        <v>45644</v>
      </c>
    </row>
    <row r="219" spans="1:16" s="187" customFormat="1" ht="21.75" customHeight="1" x14ac:dyDescent="0.25">
      <c r="A219" s="173">
        <v>217</v>
      </c>
      <c r="B219" s="189">
        <v>3806</v>
      </c>
      <c r="C219" s="178" t="s">
        <v>525</v>
      </c>
      <c r="D219" s="190">
        <v>431</v>
      </c>
      <c r="E219" s="177">
        <v>0.4</v>
      </c>
      <c r="F219" s="149">
        <f t="shared" si="11"/>
        <v>172.4</v>
      </c>
      <c r="G219" s="149">
        <f>F219</f>
        <v>172.4</v>
      </c>
      <c r="H219" s="149">
        <f t="shared" si="12"/>
        <v>0</v>
      </c>
      <c r="I219" s="178">
        <v>14457167</v>
      </c>
      <c r="J219" s="238">
        <v>3158759994700</v>
      </c>
      <c r="K219" s="178" t="s">
        <v>71</v>
      </c>
      <c r="L219" s="178" t="s">
        <v>72</v>
      </c>
      <c r="M219" s="178">
        <v>91794400</v>
      </c>
      <c r="N219" s="173"/>
    </row>
    <row r="220" spans="1:16" s="187" customFormat="1" ht="21.75" customHeight="1" x14ac:dyDescent="0.25">
      <c r="A220" s="141">
        <v>218</v>
      </c>
      <c r="B220" s="142">
        <v>3825</v>
      </c>
      <c r="C220" s="144" t="s">
        <v>526</v>
      </c>
      <c r="D220" s="185">
        <v>288.3</v>
      </c>
      <c r="E220" s="182">
        <v>0.4</v>
      </c>
      <c r="F220" s="149">
        <f t="shared" si="11"/>
        <v>115.32000000000001</v>
      </c>
      <c r="G220" s="149">
        <f>23.04+92.15+0.13</f>
        <v>115.32</v>
      </c>
      <c r="H220" s="149">
        <f t="shared" si="12"/>
        <v>0</v>
      </c>
      <c r="I220" s="144">
        <v>6327337</v>
      </c>
      <c r="J220" s="257" t="s">
        <v>527</v>
      </c>
      <c r="K220" s="144" t="s">
        <v>31</v>
      </c>
      <c r="L220" s="144" t="s">
        <v>32</v>
      </c>
      <c r="M220" s="144"/>
      <c r="N220" s="147">
        <v>45567</v>
      </c>
      <c r="O220" s="187" t="s">
        <v>528</v>
      </c>
      <c r="P220" s="194">
        <v>45628</v>
      </c>
    </row>
    <row r="221" spans="1:16" s="187" customFormat="1" ht="21.75" customHeight="1" x14ac:dyDescent="0.25">
      <c r="A221" s="173">
        <v>219</v>
      </c>
      <c r="B221" s="189">
        <v>3826</v>
      </c>
      <c r="C221" s="178" t="s">
        <v>200</v>
      </c>
      <c r="D221" s="190">
        <v>432</v>
      </c>
      <c r="E221" s="177">
        <v>0.4</v>
      </c>
      <c r="F221" s="149">
        <f t="shared" si="11"/>
        <v>172.8</v>
      </c>
      <c r="G221" s="149">
        <f>F221</f>
        <v>172.8</v>
      </c>
      <c r="H221" s="149">
        <f t="shared" si="12"/>
        <v>0</v>
      </c>
      <c r="I221" s="178">
        <v>4919671</v>
      </c>
      <c r="J221" s="179" t="s">
        <v>201</v>
      </c>
      <c r="K221" s="178" t="s">
        <v>31</v>
      </c>
      <c r="L221" s="178" t="s">
        <v>32</v>
      </c>
      <c r="M221" s="178">
        <v>92516644</v>
      </c>
      <c r="N221" s="173"/>
      <c r="O221" s="187" t="s">
        <v>480</v>
      </c>
    </row>
    <row r="222" spans="1:16" s="187" customFormat="1" ht="21.75" customHeight="1" x14ac:dyDescent="0.25">
      <c r="A222" s="173">
        <v>220</v>
      </c>
      <c r="B222" s="189">
        <v>3881</v>
      </c>
      <c r="C222" s="244" t="s">
        <v>529</v>
      </c>
      <c r="D222" s="190">
        <v>306.8</v>
      </c>
      <c r="E222" s="177">
        <v>0.4</v>
      </c>
      <c r="F222" s="149">
        <f t="shared" si="11"/>
        <v>122.72000000000001</v>
      </c>
      <c r="G222" s="149">
        <f t="shared" ref="G222:G223" si="15">F222</f>
        <v>122.72000000000001</v>
      </c>
      <c r="H222" s="149">
        <f t="shared" si="12"/>
        <v>0</v>
      </c>
      <c r="I222" s="178">
        <v>5335138</v>
      </c>
      <c r="J222" s="179" t="s">
        <v>530</v>
      </c>
      <c r="K222" s="178" t="s">
        <v>31</v>
      </c>
      <c r="L222" s="178" t="s">
        <v>32</v>
      </c>
      <c r="M222" s="178">
        <v>92936035</v>
      </c>
      <c r="N222" s="173"/>
    </row>
    <row r="223" spans="1:16" s="187" customFormat="1" ht="21.75" customHeight="1" x14ac:dyDescent="0.25">
      <c r="A223" s="173">
        <v>221</v>
      </c>
      <c r="B223" s="189">
        <v>3883</v>
      </c>
      <c r="C223" s="178" t="s">
        <v>531</v>
      </c>
      <c r="D223" s="190">
        <v>284.8</v>
      </c>
      <c r="E223" s="177">
        <v>0.4</v>
      </c>
      <c r="F223" s="149">
        <f t="shared" si="11"/>
        <v>113.92000000000002</v>
      </c>
      <c r="G223" s="149">
        <f t="shared" si="15"/>
        <v>113.92000000000002</v>
      </c>
      <c r="H223" s="149">
        <f t="shared" si="12"/>
        <v>0</v>
      </c>
      <c r="I223" s="178">
        <v>18636502</v>
      </c>
      <c r="J223" s="179" t="s">
        <v>532</v>
      </c>
      <c r="K223" s="178" t="s">
        <v>90</v>
      </c>
      <c r="L223" s="178" t="s">
        <v>32</v>
      </c>
      <c r="M223" s="178" t="s">
        <v>32</v>
      </c>
      <c r="N223" s="173"/>
    </row>
    <row r="224" spans="1:16" x14ac:dyDescent="0.25">
      <c r="A224" s="234"/>
      <c r="B224" s="234"/>
      <c r="C224" s="236"/>
      <c r="D224" s="258">
        <f>SUM(D3:D223)</f>
        <v>124851.8</v>
      </c>
      <c r="E224" s="149"/>
      <c r="F224" s="237">
        <f>SUM(F3:F223)</f>
        <v>49940.720000000008</v>
      </c>
      <c r="G224" s="237">
        <f t="shared" ref="G224:H224" si="16">SUM(G3:G223)</f>
        <v>49940.720000000008</v>
      </c>
      <c r="H224" s="237">
        <f t="shared" si="16"/>
        <v>0</v>
      </c>
      <c r="I224" s="237"/>
      <c r="J224" s="259"/>
      <c r="K224" s="236"/>
      <c r="L224" s="236"/>
      <c r="M224" s="236"/>
      <c r="N224" s="234"/>
    </row>
    <row r="225" spans="1:13" x14ac:dyDescent="0.25">
      <c r="B225" s="260"/>
      <c r="C225" s="261"/>
      <c r="D225" s="169"/>
      <c r="E225" s="262"/>
      <c r="F225" s="263"/>
      <c r="G225" s="263"/>
      <c r="H225" s="263"/>
      <c r="J225" s="260"/>
      <c r="L225" s="169"/>
      <c r="M225" s="169"/>
    </row>
    <row r="226" spans="1:13" x14ac:dyDescent="0.25">
      <c r="B226" s="260"/>
      <c r="C226" s="261"/>
      <c r="D226" s="169"/>
      <c r="E226" s="264"/>
      <c r="F226" s="260"/>
      <c r="G226" s="265">
        <f>G224/F224</f>
        <v>1</v>
      </c>
      <c r="H226" s="260"/>
      <c r="I226" s="263"/>
      <c r="J226" s="260"/>
      <c r="M226" s="169"/>
    </row>
    <row r="227" spans="1:13" x14ac:dyDescent="0.25">
      <c r="K227" s="266"/>
      <c r="L227" s="266"/>
    </row>
    <row r="230" spans="1:13" x14ac:dyDescent="0.25">
      <c r="A230" s="267"/>
      <c r="B230" s="268"/>
      <c r="C230" s="267"/>
      <c r="D230" s="269"/>
      <c r="E230" s="267"/>
      <c r="F230" s="270"/>
      <c r="G230" s="270"/>
      <c r="H230" s="270"/>
      <c r="I230" s="270"/>
      <c r="J230" s="271"/>
    </row>
    <row r="231" spans="1:13" x14ac:dyDescent="0.25">
      <c r="A231" s="270"/>
      <c r="B231" s="270"/>
      <c r="C231" s="270"/>
      <c r="D231" s="272"/>
      <c r="E231" s="270"/>
      <c r="F231" s="270"/>
      <c r="G231" s="270"/>
      <c r="H231" s="270"/>
      <c r="I231" s="270"/>
      <c r="J231" s="271"/>
    </row>
    <row r="232" spans="1:13" x14ac:dyDescent="0.25">
      <c r="A232" s="273"/>
      <c r="B232" s="273"/>
      <c r="C232" s="273"/>
      <c r="D232" s="274"/>
      <c r="E232" s="273"/>
      <c r="F232" s="273"/>
      <c r="G232" s="273"/>
      <c r="H232" s="273"/>
      <c r="I232" s="273"/>
      <c r="J232" s="275"/>
    </row>
    <row r="233" spans="1:13" x14ac:dyDescent="0.25">
      <c r="A233" s="273"/>
      <c r="B233" s="273"/>
      <c r="C233" s="273"/>
      <c r="D233" s="274"/>
      <c r="E233" s="273"/>
      <c r="F233" s="273"/>
      <c r="G233" s="273"/>
      <c r="H233" s="273"/>
      <c r="I233" s="273"/>
      <c r="J233" s="275"/>
    </row>
    <row r="234" spans="1:13" x14ac:dyDescent="0.25">
      <c r="A234" s="273"/>
      <c r="B234" s="273"/>
      <c r="C234" s="273"/>
      <c r="D234" s="274"/>
      <c r="E234" s="273"/>
      <c r="F234" s="273"/>
      <c r="G234" s="273"/>
      <c r="H234" s="273"/>
      <c r="I234" s="273"/>
      <c r="J234" s="275"/>
    </row>
  </sheetData>
  <autoFilter ref="A2:T224" xr:uid="{C6EE20D2-F22C-4EB7-8141-E87B87B363AD}"/>
  <mergeCells count="1">
    <mergeCell ref="A1:N1"/>
  </mergeCells>
  <conditionalFormatting sqref="B7">
    <cfRule type="duplicateValues" dxfId="120" priority="9"/>
  </conditionalFormatting>
  <conditionalFormatting sqref="B18:B19">
    <cfRule type="duplicateValues" dxfId="119" priority="11"/>
  </conditionalFormatting>
  <conditionalFormatting sqref="B33">
    <cfRule type="duplicateValues" dxfId="118" priority="1"/>
  </conditionalFormatting>
  <conditionalFormatting sqref="B34">
    <cfRule type="duplicateValues" dxfId="117" priority="8"/>
  </conditionalFormatting>
  <conditionalFormatting sqref="B39:B41">
    <cfRule type="duplicateValues" dxfId="116" priority="7"/>
  </conditionalFormatting>
  <conditionalFormatting sqref="B48">
    <cfRule type="duplicateValues" dxfId="115" priority="6"/>
  </conditionalFormatting>
  <conditionalFormatting sqref="B59:B61">
    <cfRule type="duplicateValues" dxfId="114" priority="5"/>
  </conditionalFormatting>
  <conditionalFormatting sqref="B63">
    <cfRule type="duplicateValues" dxfId="113" priority="4"/>
  </conditionalFormatting>
  <conditionalFormatting sqref="B78">
    <cfRule type="duplicateValues" dxfId="112" priority="3"/>
  </conditionalFormatting>
  <conditionalFormatting sqref="B79">
    <cfRule type="duplicateValues" dxfId="111" priority="2"/>
  </conditionalFormatting>
  <conditionalFormatting sqref="B206">
    <cfRule type="duplicateValues" dxfId="110" priority="10"/>
  </conditionalFormatting>
  <pageMargins left="0.7" right="0.7" top="0.75" bottom="0.75" header="0.3" footer="0.3"/>
  <pageSetup paperSize="9" scale="63" orientation="landscape" r:id="rId1"/>
  <rowBreaks count="1" manualBreakCount="1">
    <brk id="130" max="13" man="1"/>
  </rowBreaks>
  <colBreaks count="1" manualBreakCount="1">
    <brk id="14" max="237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960F-BD4B-4972-B409-349DF83FF926}">
  <dimension ref="A1:P238"/>
  <sheetViews>
    <sheetView view="pageBreakPreview" zoomScaleNormal="100" zoomScaleSheetLayoutView="100" workbookViewId="0">
      <pane xSplit="2" ySplit="1" topLeftCell="C211" activePane="bottomRight" state="frozen"/>
      <selection activeCell="O13" sqref="O13"/>
      <selection pane="topRight" activeCell="O13" sqref="O13"/>
      <selection pane="bottomLeft" activeCell="O13" sqref="O13"/>
      <selection pane="bottomRight" activeCell="O13" sqref="O13"/>
    </sheetView>
  </sheetViews>
  <sheetFormatPr defaultColWidth="9" defaultRowHeight="12" x14ac:dyDescent="0.25"/>
  <cols>
    <col min="1" max="1" width="7.28515625" style="5" customWidth="1"/>
    <col min="2" max="2" width="8.28515625" style="5" customWidth="1"/>
    <col min="3" max="3" width="40.28515625" style="6" customWidth="1"/>
    <col min="4" max="4" width="13.42578125" style="8" customWidth="1"/>
    <col min="5" max="5" width="12" style="5" customWidth="1"/>
    <col min="6" max="8" width="13.42578125" style="5" customWidth="1"/>
    <col min="9" max="9" width="13.7109375" style="6" customWidth="1"/>
    <col min="10" max="10" width="16.140625" style="5" customWidth="1"/>
    <col min="11" max="13" width="9" style="5"/>
    <col min="14" max="14" width="13.140625" style="5" bestFit="1" customWidth="1"/>
    <col min="15" max="16384" width="9" style="5"/>
  </cols>
  <sheetData>
    <row r="1" spans="1:11" ht="34.5" customHeight="1" x14ac:dyDescent="0.25">
      <c r="A1" s="651" t="s">
        <v>533</v>
      </c>
      <c r="B1" s="651"/>
      <c r="C1" s="651"/>
      <c r="D1" s="651"/>
      <c r="E1" s="651"/>
      <c r="F1" s="651"/>
      <c r="G1" s="651"/>
      <c r="H1" s="651"/>
      <c r="I1" s="651"/>
      <c r="J1" s="651"/>
    </row>
    <row r="2" spans="1:11" ht="30" customHeight="1" x14ac:dyDescent="0.25">
      <c r="A2" s="38" t="s">
        <v>1</v>
      </c>
      <c r="B2" s="38" t="s">
        <v>2</v>
      </c>
      <c r="C2" s="39"/>
      <c r="D2" s="40" t="s">
        <v>4</v>
      </c>
      <c r="E2" s="38" t="s">
        <v>5</v>
      </c>
      <c r="F2" s="38" t="s">
        <v>6</v>
      </c>
      <c r="G2" s="38"/>
      <c r="H2" s="38"/>
      <c r="I2" s="39" t="s">
        <v>9</v>
      </c>
      <c r="J2" s="38" t="s">
        <v>10</v>
      </c>
    </row>
    <row r="3" spans="1:11" ht="21.75" customHeight="1" x14ac:dyDescent="0.25">
      <c r="A3" s="125">
        <v>1</v>
      </c>
      <c r="B3" s="284">
        <v>1001</v>
      </c>
      <c r="C3" s="280" t="s">
        <v>95</v>
      </c>
      <c r="D3" s="285">
        <v>295.60000000000002</v>
      </c>
      <c r="E3" s="282">
        <v>0.4</v>
      </c>
      <c r="F3" s="282">
        <f>D3*E3</f>
        <v>118.24000000000001</v>
      </c>
      <c r="G3" s="282">
        <f>F3</f>
        <v>118.24000000000001</v>
      </c>
      <c r="H3" s="282">
        <f>F3-G3</f>
        <v>0</v>
      </c>
      <c r="I3" s="283">
        <v>2130934</v>
      </c>
      <c r="J3" s="286" t="s">
        <v>534</v>
      </c>
    </row>
    <row r="4" spans="1:11" ht="21.75" customHeight="1" x14ac:dyDescent="0.25">
      <c r="A4" s="24">
        <v>2</v>
      </c>
      <c r="B4" s="42">
        <v>1007</v>
      </c>
      <c r="C4" s="43" t="s">
        <v>213</v>
      </c>
      <c r="D4" s="76">
        <v>1775</v>
      </c>
      <c r="E4" s="27">
        <v>0.4</v>
      </c>
      <c r="F4" s="27">
        <f t="shared" ref="F4:F67" si="0">D4*E4</f>
        <v>710</v>
      </c>
      <c r="G4" s="27">
        <f>704.78+5.22</f>
        <v>710</v>
      </c>
      <c r="H4" s="27">
        <f t="shared" ref="H4:H67" si="1">F4-G4</f>
        <v>0</v>
      </c>
      <c r="I4" s="26">
        <v>1515504</v>
      </c>
      <c r="J4" s="74">
        <v>45614</v>
      </c>
      <c r="K4" s="98">
        <v>45630</v>
      </c>
    </row>
    <row r="5" spans="1:11" s="17" customFormat="1" ht="21.75" customHeight="1" x14ac:dyDescent="0.25">
      <c r="A5" s="11">
        <v>3</v>
      </c>
      <c r="B5" s="91">
        <v>1028</v>
      </c>
      <c r="C5" s="31" t="s">
        <v>215</v>
      </c>
      <c r="D5" s="41">
        <v>347.5</v>
      </c>
      <c r="E5" s="15">
        <v>0.4</v>
      </c>
      <c r="F5" s="14">
        <f t="shared" si="0"/>
        <v>139</v>
      </c>
      <c r="G5" s="14">
        <f>F5</f>
        <v>139</v>
      </c>
      <c r="H5" s="14">
        <f t="shared" si="1"/>
        <v>0</v>
      </c>
      <c r="I5" s="20">
        <v>802875</v>
      </c>
      <c r="J5" s="33"/>
    </row>
    <row r="6" spans="1:11" ht="21.75" customHeight="1" x14ac:dyDescent="0.25">
      <c r="A6" s="24">
        <v>4</v>
      </c>
      <c r="B6" s="29">
        <v>1033</v>
      </c>
      <c r="C6" s="43" t="s">
        <v>217</v>
      </c>
      <c r="D6" s="28">
        <v>745.8</v>
      </c>
      <c r="E6" s="27">
        <v>0.4</v>
      </c>
      <c r="F6" s="27">
        <f t="shared" si="0"/>
        <v>298.32</v>
      </c>
      <c r="G6" s="27">
        <f>295.98+2.34</f>
        <v>298.32</v>
      </c>
      <c r="H6" s="27">
        <f t="shared" si="1"/>
        <v>0</v>
      </c>
      <c r="I6" s="25">
        <v>10132435</v>
      </c>
      <c r="J6" s="74">
        <v>45601</v>
      </c>
      <c r="K6" s="98">
        <v>45621</v>
      </c>
    </row>
    <row r="7" spans="1:11" ht="21.75" customHeight="1" x14ac:dyDescent="0.25">
      <c r="A7" s="24">
        <v>5</v>
      </c>
      <c r="B7" s="29">
        <v>1040</v>
      </c>
      <c r="C7" s="43" t="s">
        <v>11</v>
      </c>
      <c r="D7" s="28">
        <v>325</v>
      </c>
      <c r="E7" s="27">
        <v>0.4</v>
      </c>
      <c r="F7" s="27">
        <f t="shared" si="0"/>
        <v>130</v>
      </c>
      <c r="G7" s="27">
        <f>F7</f>
        <v>130</v>
      </c>
      <c r="H7" s="27">
        <f t="shared" si="1"/>
        <v>0</v>
      </c>
      <c r="I7" s="25">
        <v>25082374</v>
      </c>
      <c r="J7" s="74">
        <v>45684</v>
      </c>
    </row>
    <row r="8" spans="1:11" s="54" customFormat="1" ht="21.75" customHeight="1" x14ac:dyDescent="0.25">
      <c r="A8" s="24">
        <v>6</v>
      </c>
      <c r="B8" s="29">
        <v>1044</v>
      </c>
      <c r="C8" s="43" t="s">
        <v>221</v>
      </c>
      <c r="D8" s="28">
        <v>365</v>
      </c>
      <c r="E8" s="27">
        <v>0.4</v>
      </c>
      <c r="F8" s="27">
        <f t="shared" si="0"/>
        <v>146</v>
      </c>
      <c r="G8" s="27">
        <f>145.5</f>
        <v>145.5</v>
      </c>
      <c r="H8" s="27">
        <f t="shared" si="1"/>
        <v>0.5</v>
      </c>
      <c r="I8" s="25">
        <v>81904</v>
      </c>
      <c r="J8" s="74">
        <v>45810</v>
      </c>
    </row>
    <row r="9" spans="1:11" s="17" customFormat="1" ht="21.75" customHeight="1" x14ac:dyDescent="0.25">
      <c r="A9" s="11">
        <v>7</v>
      </c>
      <c r="B9" s="23">
        <v>1080</v>
      </c>
      <c r="C9" s="31" t="s">
        <v>223</v>
      </c>
      <c r="D9" s="41">
        <v>315.39999999999998</v>
      </c>
      <c r="E9" s="15">
        <v>0.4</v>
      </c>
      <c r="F9" s="14">
        <f t="shared" si="0"/>
        <v>126.16</v>
      </c>
      <c r="G9" s="14">
        <f>F9</f>
        <v>126.16</v>
      </c>
      <c r="H9" s="14">
        <f t="shared" si="1"/>
        <v>0</v>
      </c>
      <c r="I9" s="20">
        <v>78762</v>
      </c>
      <c r="J9" s="33"/>
    </row>
    <row r="10" spans="1:11" s="17" customFormat="1" ht="21.75" customHeight="1" x14ac:dyDescent="0.25">
      <c r="A10" s="24">
        <v>8</v>
      </c>
      <c r="B10" s="29">
        <v>1089</v>
      </c>
      <c r="C10" s="167" t="s">
        <v>225</v>
      </c>
      <c r="D10" s="28">
        <v>572.1</v>
      </c>
      <c r="E10" s="27">
        <v>0.4</v>
      </c>
      <c r="F10" s="27">
        <f t="shared" si="0"/>
        <v>228.84000000000003</v>
      </c>
      <c r="G10" s="27">
        <f>F10</f>
        <v>228.84000000000003</v>
      </c>
      <c r="H10" s="27">
        <f t="shared" si="1"/>
        <v>0</v>
      </c>
      <c r="I10" s="25">
        <v>892683</v>
      </c>
      <c r="J10" s="74">
        <v>45644</v>
      </c>
    </row>
    <row r="11" spans="1:11" s="17" customFormat="1" ht="21.75" customHeight="1" x14ac:dyDescent="0.25">
      <c r="A11" s="24">
        <v>9</v>
      </c>
      <c r="B11" s="29">
        <v>1096</v>
      </c>
      <c r="C11" s="43" t="s">
        <v>227</v>
      </c>
      <c r="D11" s="28">
        <v>483.1</v>
      </c>
      <c r="E11" s="27">
        <v>0.4</v>
      </c>
      <c r="F11" s="27">
        <f t="shared" si="0"/>
        <v>193.24</v>
      </c>
      <c r="G11" s="27">
        <f>192.97+0.27</f>
        <v>193.24</v>
      </c>
      <c r="H11" s="27">
        <f t="shared" si="1"/>
        <v>0</v>
      </c>
      <c r="I11" s="25">
        <v>1959918</v>
      </c>
      <c r="J11" s="74">
        <v>45609</v>
      </c>
      <c r="K11" s="118">
        <v>45623</v>
      </c>
    </row>
    <row r="12" spans="1:11" s="17" customFormat="1" ht="21.75" customHeight="1" x14ac:dyDescent="0.25">
      <c r="A12" s="19">
        <v>10</v>
      </c>
      <c r="B12" s="23">
        <v>1106</v>
      </c>
      <c r="C12" s="31" t="s">
        <v>24</v>
      </c>
      <c r="D12" s="41">
        <v>1100</v>
      </c>
      <c r="E12" s="15">
        <v>0.4</v>
      </c>
      <c r="F12" s="14">
        <f t="shared" si="0"/>
        <v>440</v>
      </c>
      <c r="G12" s="14">
        <f>F12</f>
        <v>440</v>
      </c>
      <c r="H12" s="14">
        <f t="shared" si="1"/>
        <v>0</v>
      </c>
      <c r="I12" s="20">
        <v>5502751</v>
      </c>
      <c r="J12" s="33"/>
    </row>
    <row r="13" spans="1:11" ht="21.75" customHeight="1" x14ac:dyDescent="0.25">
      <c r="A13" s="24">
        <v>11</v>
      </c>
      <c r="B13" s="29">
        <v>1110</v>
      </c>
      <c r="C13" s="43" t="s">
        <v>229</v>
      </c>
      <c r="D13" s="28">
        <v>575</v>
      </c>
      <c r="E13" s="27">
        <v>0.4</v>
      </c>
      <c r="F13" s="27">
        <f t="shared" si="0"/>
        <v>230</v>
      </c>
      <c r="G13" s="27">
        <f>226.9+3.1</f>
        <v>230</v>
      </c>
      <c r="H13" s="27">
        <f t="shared" si="1"/>
        <v>0</v>
      </c>
      <c r="I13" s="25">
        <v>934298</v>
      </c>
      <c r="J13" s="74">
        <v>45607</v>
      </c>
      <c r="K13" s="98">
        <v>45628</v>
      </c>
    </row>
    <row r="14" spans="1:11" ht="21.75" customHeight="1" x14ac:dyDescent="0.25">
      <c r="A14" s="19">
        <v>12</v>
      </c>
      <c r="B14" s="23">
        <v>1111</v>
      </c>
      <c r="C14" s="31" t="s">
        <v>231</v>
      </c>
      <c r="D14" s="41">
        <v>662</v>
      </c>
      <c r="E14" s="15">
        <v>0.4</v>
      </c>
      <c r="F14" s="14">
        <f t="shared" si="0"/>
        <v>264.8</v>
      </c>
      <c r="G14" s="14">
        <f>F14</f>
        <v>264.8</v>
      </c>
      <c r="H14" s="14">
        <f t="shared" si="1"/>
        <v>0</v>
      </c>
      <c r="I14" s="20">
        <v>15571992</v>
      </c>
      <c r="J14" s="33"/>
    </row>
    <row r="15" spans="1:11" ht="21.75" customHeight="1" x14ac:dyDescent="0.25">
      <c r="A15" s="11">
        <v>13</v>
      </c>
      <c r="B15" s="23">
        <v>1119</v>
      </c>
      <c r="C15" s="34" t="s">
        <v>233</v>
      </c>
      <c r="D15" s="41">
        <v>305.10000000000002</v>
      </c>
      <c r="E15" s="15">
        <v>0.4</v>
      </c>
      <c r="F15" s="14">
        <f t="shared" si="0"/>
        <v>122.04000000000002</v>
      </c>
      <c r="G15" s="14">
        <f>F15</f>
        <v>122.04000000000002</v>
      </c>
      <c r="H15" s="14">
        <f t="shared" si="1"/>
        <v>0</v>
      </c>
      <c r="I15" s="20">
        <v>24000245</v>
      </c>
      <c r="J15" s="44"/>
    </row>
    <row r="16" spans="1:11" ht="21.75" customHeight="1" x14ac:dyDescent="0.25">
      <c r="A16" s="24">
        <v>14</v>
      </c>
      <c r="B16" s="29">
        <v>1122</v>
      </c>
      <c r="C16" s="43" t="s">
        <v>98</v>
      </c>
      <c r="D16" s="28">
        <v>348.3</v>
      </c>
      <c r="E16" s="27">
        <v>0.4</v>
      </c>
      <c r="F16" s="27">
        <f t="shared" si="0"/>
        <v>139.32000000000002</v>
      </c>
      <c r="G16" s="27">
        <f>138.65+0.67</f>
        <v>139.32</v>
      </c>
      <c r="H16" s="27">
        <f t="shared" si="1"/>
        <v>0</v>
      </c>
      <c r="I16" s="25">
        <v>5219876</v>
      </c>
      <c r="J16" s="74">
        <v>45621</v>
      </c>
      <c r="K16" s="98">
        <v>45643</v>
      </c>
    </row>
    <row r="17" spans="1:11" ht="21.75" customHeight="1" x14ac:dyDescent="0.25">
      <c r="A17" s="24">
        <v>15</v>
      </c>
      <c r="B17" s="29">
        <v>1135</v>
      </c>
      <c r="C17" s="43" t="s">
        <v>101</v>
      </c>
      <c r="D17" s="28">
        <v>674.2</v>
      </c>
      <c r="E17" s="27">
        <v>0.4</v>
      </c>
      <c r="F17" s="27">
        <f t="shared" si="0"/>
        <v>269.68</v>
      </c>
      <c r="G17" s="27">
        <f>F17</f>
        <v>269.68</v>
      </c>
      <c r="H17" s="27">
        <f t="shared" si="1"/>
        <v>0</v>
      </c>
      <c r="I17" s="25">
        <v>19202954</v>
      </c>
      <c r="J17" s="74">
        <v>45628</v>
      </c>
    </row>
    <row r="18" spans="1:11" ht="21.75" customHeight="1" x14ac:dyDescent="0.25">
      <c r="A18" s="24">
        <v>16</v>
      </c>
      <c r="B18" s="29">
        <v>1141</v>
      </c>
      <c r="C18" s="43" t="s">
        <v>235</v>
      </c>
      <c r="D18" s="28">
        <v>593.1</v>
      </c>
      <c r="E18" s="27">
        <v>0.4</v>
      </c>
      <c r="F18" s="27">
        <f t="shared" si="0"/>
        <v>237.24</v>
      </c>
      <c r="G18" s="27">
        <f>237.11+0.13</f>
        <v>237.24</v>
      </c>
      <c r="H18" s="27">
        <f t="shared" si="1"/>
        <v>0</v>
      </c>
      <c r="I18" s="25">
        <v>11753992</v>
      </c>
      <c r="J18" s="74">
        <v>45609</v>
      </c>
      <c r="K18" s="98">
        <v>45644</v>
      </c>
    </row>
    <row r="19" spans="1:11" ht="21.75" customHeight="1" x14ac:dyDescent="0.25">
      <c r="A19" s="11">
        <v>17</v>
      </c>
      <c r="B19" s="23">
        <v>1154</v>
      </c>
      <c r="C19" s="20" t="s">
        <v>237</v>
      </c>
      <c r="D19" s="41">
        <v>938.2</v>
      </c>
      <c r="E19" s="15">
        <v>0.4</v>
      </c>
      <c r="F19" s="14">
        <f t="shared" si="0"/>
        <v>375.28000000000003</v>
      </c>
      <c r="G19" s="14">
        <f>F19</f>
        <v>375.28000000000003</v>
      </c>
      <c r="H19" s="14">
        <f t="shared" si="1"/>
        <v>0</v>
      </c>
      <c r="I19" s="45">
        <v>18654817</v>
      </c>
      <c r="J19" s="33"/>
    </row>
    <row r="20" spans="1:11" ht="21.75" customHeight="1" x14ac:dyDescent="0.25">
      <c r="A20" s="24">
        <v>18</v>
      </c>
      <c r="B20" s="29">
        <v>1161</v>
      </c>
      <c r="C20" s="43" t="s">
        <v>239</v>
      </c>
      <c r="D20" s="28">
        <v>374.5</v>
      </c>
      <c r="E20" s="27">
        <v>0.4</v>
      </c>
      <c r="F20" s="27">
        <f t="shared" si="0"/>
        <v>149.80000000000001</v>
      </c>
      <c r="G20" s="27">
        <f>149.8</f>
        <v>149.80000000000001</v>
      </c>
      <c r="H20" s="27">
        <f t="shared" si="1"/>
        <v>0</v>
      </c>
      <c r="I20" s="25">
        <v>257926</v>
      </c>
      <c r="J20" s="74">
        <v>45691</v>
      </c>
    </row>
    <row r="21" spans="1:11" ht="21.75" customHeight="1" x14ac:dyDescent="0.25">
      <c r="A21" s="24">
        <v>19</v>
      </c>
      <c r="B21" s="29">
        <v>1168</v>
      </c>
      <c r="C21" s="43" t="s">
        <v>241</v>
      </c>
      <c r="D21" s="28">
        <v>581.5</v>
      </c>
      <c r="E21" s="27">
        <v>0.4</v>
      </c>
      <c r="F21" s="27">
        <f t="shared" si="0"/>
        <v>232.60000000000002</v>
      </c>
      <c r="G21" s="27">
        <f>F21</f>
        <v>232.60000000000002</v>
      </c>
      <c r="H21" s="27">
        <f t="shared" si="1"/>
        <v>0</v>
      </c>
      <c r="I21" s="25">
        <v>15498714</v>
      </c>
      <c r="J21" s="74">
        <v>45691</v>
      </c>
    </row>
    <row r="22" spans="1:11" ht="21.75" customHeight="1" x14ac:dyDescent="0.25">
      <c r="A22" s="19">
        <v>20</v>
      </c>
      <c r="B22" s="23">
        <v>1177</v>
      </c>
      <c r="C22" s="34" t="s">
        <v>243</v>
      </c>
      <c r="D22" s="41">
        <v>399</v>
      </c>
      <c r="E22" s="15">
        <v>0.4</v>
      </c>
      <c r="F22" s="14">
        <f t="shared" si="0"/>
        <v>159.60000000000002</v>
      </c>
      <c r="G22" s="14">
        <f>F22</f>
        <v>159.60000000000002</v>
      </c>
      <c r="H22" s="14">
        <f t="shared" si="1"/>
        <v>0</v>
      </c>
      <c r="I22" s="20">
        <v>219353</v>
      </c>
      <c r="J22" s="44"/>
    </row>
    <row r="23" spans="1:11" ht="21.75" customHeight="1" x14ac:dyDescent="0.2">
      <c r="A23" s="24">
        <v>21</v>
      </c>
      <c r="B23" s="29">
        <v>1178</v>
      </c>
      <c r="C23" s="43" t="s">
        <v>245</v>
      </c>
      <c r="D23" s="28">
        <v>629.4</v>
      </c>
      <c r="E23" s="27">
        <v>0.4</v>
      </c>
      <c r="F23" s="27">
        <f t="shared" si="0"/>
        <v>251.76</v>
      </c>
      <c r="G23" s="27">
        <f>247.66+4.1</f>
        <v>251.76</v>
      </c>
      <c r="H23" s="27">
        <f t="shared" si="1"/>
        <v>0</v>
      </c>
      <c r="I23" s="47">
        <v>970872</v>
      </c>
      <c r="J23" s="74">
        <v>45607</v>
      </c>
      <c r="K23" s="98">
        <v>45656</v>
      </c>
    </row>
    <row r="24" spans="1:11" ht="21.75" customHeight="1" x14ac:dyDescent="0.25">
      <c r="A24" s="24">
        <v>22</v>
      </c>
      <c r="B24" s="29">
        <v>1224</v>
      </c>
      <c r="C24" s="43" t="s">
        <v>247</v>
      </c>
      <c r="D24" s="28">
        <v>743</v>
      </c>
      <c r="E24" s="27">
        <v>0.4</v>
      </c>
      <c r="F24" s="27">
        <f t="shared" si="0"/>
        <v>297.2</v>
      </c>
      <c r="G24" s="27">
        <f>294.81+2.39</f>
        <v>297.2</v>
      </c>
      <c r="H24" s="27">
        <f t="shared" si="1"/>
        <v>0</v>
      </c>
      <c r="I24" s="25">
        <v>24911691</v>
      </c>
      <c r="J24" s="74">
        <v>45644</v>
      </c>
      <c r="K24" s="5" t="s">
        <v>535</v>
      </c>
    </row>
    <row r="25" spans="1:11" s="17" customFormat="1" ht="21.75" customHeight="1" x14ac:dyDescent="0.25">
      <c r="A25" s="11">
        <v>23</v>
      </c>
      <c r="B25" s="23">
        <v>1225</v>
      </c>
      <c r="C25" s="31" t="s">
        <v>249</v>
      </c>
      <c r="D25" s="41">
        <v>610.5</v>
      </c>
      <c r="E25" s="15">
        <v>0.4</v>
      </c>
      <c r="F25" s="14">
        <f t="shared" si="0"/>
        <v>244.20000000000002</v>
      </c>
      <c r="G25" s="14">
        <f>F25</f>
        <v>244.20000000000002</v>
      </c>
      <c r="H25" s="14">
        <f t="shared" si="1"/>
        <v>0</v>
      </c>
      <c r="I25" s="20">
        <v>9642357</v>
      </c>
      <c r="J25" s="33"/>
    </row>
    <row r="26" spans="1:11" s="17" customFormat="1" ht="21.75" customHeight="1" x14ac:dyDescent="0.25">
      <c r="A26" s="24">
        <v>24</v>
      </c>
      <c r="B26" s="29">
        <v>1235</v>
      </c>
      <c r="C26" s="99" t="s">
        <v>253</v>
      </c>
      <c r="D26" s="28">
        <v>714</v>
      </c>
      <c r="E26" s="27">
        <v>0.4</v>
      </c>
      <c r="F26" s="27">
        <f t="shared" si="0"/>
        <v>285.60000000000002</v>
      </c>
      <c r="G26" s="27">
        <f>F26</f>
        <v>285.60000000000002</v>
      </c>
      <c r="H26" s="27">
        <f t="shared" si="1"/>
        <v>0</v>
      </c>
      <c r="I26" s="56">
        <v>1992436</v>
      </c>
      <c r="J26" s="74">
        <v>45609</v>
      </c>
    </row>
    <row r="27" spans="1:11" ht="21.75" customHeight="1" x14ac:dyDescent="0.25">
      <c r="A27" s="24">
        <v>25</v>
      </c>
      <c r="B27" s="29">
        <v>1241</v>
      </c>
      <c r="C27" s="43" t="s">
        <v>255</v>
      </c>
      <c r="D27" s="28">
        <v>621.79999999999995</v>
      </c>
      <c r="E27" s="27">
        <v>0.4</v>
      </c>
      <c r="F27" s="27">
        <f t="shared" si="0"/>
        <v>248.72</v>
      </c>
      <c r="G27" s="27">
        <f>245.09+3.63</f>
        <v>248.72</v>
      </c>
      <c r="H27" s="27">
        <f t="shared" si="1"/>
        <v>0</v>
      </c>
      <c r="I27" s="25">
        <v>5343254</v>
      </c>
      <c r="J27" s="74">
        <v>45607</v>
      </c>
      <c r="K27" s="98">
        <v>45628</v>
      </c>
    </row>
    <row r="28" spans="1:11" ht="21.75" customHeight="1" x14ac:dyDescent="0.25">
      <c r="A28" s="24">
        <v>26</v>
      </c>
      <c r="B28" s="29">
        <v>1247</v>
      </c>
      <c r="C28" s="43" t="s">
        <v>103</v>
      </c>
      <c r="D28" s="28">
        <v>600</v>
      </c>
      <c r="E28" s="27">
        <v>0.4</v>
      </c>
      <c r="F28" s="27">
        <f t="shared" si="0"/>
        <v>240</v>
      </c>
      <c r="G28" s="27">
        <f>237.5+2.5</f>
        <v>240</v>
      </c>
      <c r="H28" s="27">
        <f t="shared" si="1"/>
        <v>0</v>
      </c>
      <c r="I28" s="25">
        <v>4748561</v>
      </c>
      <c r="J28" s="74">
        <v>45644</v>
      </c>
      <c r="K28" s="98">
        <v>45650</v>
      </c>
    </row>
    <row r="29" spans="1:11" ht="21.75" customHeight="1" x14ac:dyDescent="0.25">
      <c r="A29" s="11">
        <v>27</v>
      </c>
      <c r="B29" s="23">
        <v>1252</v>
      </c>
      <c r="C29" s="31" t="s">
        <v>258</v>
      </c>
      <c r="D29" s="41">
        <v>550</v>
      </c>
      <c r="E29" s="15">
        <v>0.4</v>
      </c>
      <c r="F29" s="14">
        <f t="shared" si="0"/>
        <v>220</v>
      </c>
      <c r="G29" s="14">
        <f>F29</f>
        <v>220</v>
      </c>
      <c r="H29" s="14">
        <f t="shared" si="1"/>
        <v>0</v>
      </c>
      <c r="I29" s="20">
        <v>2433959</v>
      </c>
      <c r="J29" s="33"/>
    </row>
    <row r="30" spans="1:11" ht="21.75" customHeight="1" x14ac:dyDescent="0.25">
      <c r="A30" s="24">
        <v>28</v>
      </c>
      <c r="B30" s="29">
        <v>1258</v>
      </c>
      <c r="C30" s="43" t="s">
        <v>105</v>
      </c>
      <c r="D30" s="28">
        <v>792</v>
      </c>
      <c r="E30" s="27">
        <v>0.4</v>
      </c>
      <c r="F30" s="27">
        <f t="shared" si="0"/>
        <v>316.8</v>
      </c>
      <c r="G30" s="27">
        <f>F30</f>
        <v>316.8</v>
      </c>
      <c r="H30" s="27">
        <f t="shared" si="1"/>
        <v>0</v>
      </c>
      <c r="I30" s="25">
        <v>1924174</v>
      </c>
      <c r="J30" s="74">
        <v>45644</v>
      </c>
    </row>
    <row r="31" spans="1:11" ht="21.75" customHeight="1" x14ac:dyDescent="0.25">
      <c r="A31" s="24">
        <v>29</v>
      </c>
      <c r="B31" s="29">
        <v>1260</v>
      </c>
      <c r="C31" s="43" t="s">
        <v>260</v>
      </c>
      <c r="D31" s="28">
        <v>672</v>
      </c>
      <c r="E31" s="27">
        <v>0.4</v>
      </c>
      <c r="F31" s="27">
        <f t="shared" si="0"/>
        <v>268.8</v>
      </c>
      <c r="G31" s="27">
        <f>268.63+0.17</f>
        <v>268.8</v>
      </c>
      <c r="H31" s="27">
        <f t="shared" si="1"/>
        <v>0</v>
      </c>
      <c r="I31" s="25">
        <v>18363579</v>
      </c>
      <c r="J31" s="74">
        <v>45621</v>
      </c>
      <c r="K31" s="145">
        <v>45628</v>
      </c>
    </row>
    <row r="32" spans="1:11" ht="21.75" customHeight="1" x14ac:dyDescent="0.25">
      <c r="A32" s="24">
        <v>30</v>
      </c>
      <c r="B32" s="29">
        <v>1261</v>
      </c>
      <c r="C32" s="25" t="s">
        <v>107</v>
      </c>
      <c r="D32" s="28">
        <v>380.7</v>
      </c>
      <c r="E32" s="27">
        <v>0.4</v>
      </c>
      <c r="F32" s="27">
        <f t="shared" si="0"/>
        <v>152.28</v>
      </c>
      <c r="G32" s="27">
        <f>149.63+2.65</f>
        <v>152.28</v>
      </c>
      <c r="H32" s="27">
        <f t="shared" si="1"/>
        <v>0</v>
      </c>
      <c r="I32" s="25">
        <v>14429332</v>
      </c>
      <c r="J32" s="74">
        <v>45623</v>
      </c>
      <c r="K32" s="98">
        <v>45637</v>
      </c>
    </row>
    <row r="33" spans="1:16" ht="21.75" customHeight="1" x14ac:dyDescent="0.25">
      <c r="A33" s="24">
        <v>31</v>
      </c>
      <c r="B33" s="29">
        <v>1268</v>
      </c>
      <c r="C33" s="43" t="s">
        <v>109</v>
      </c>
      <c r="D33" s="28">
        <v>500</v>
      </c>
      <c r="E33" s="27">
        <v>0.4</v>
      </c>
      <c r="F33" s="27">
        <f t="shared" si="0"/>
        <v>200</v>
      </c>
      <c r="G33" s="27">
        <f>F33</f>
        <v>200</v>
      </c>
      <c r="H33" s="27">
        <f t="shared" si="1"/>
        <v>0</v>
      </c>
      <c r="I33" s="25">
        <v>722058</v>
      </c>
      <c r="J33" s="74">
        <v>45601</v>
      </c>
      <c r="K33" s="54"/>
    </row>
    <row r="34" spans="1:16" ht="21.75" customHeight="1" x14ac:dyDescent="0.25">
      <c r="A34" s="24">
        <v>32</v>
      </c>
      <c r="B34" s="29">
        <v>1282</v>
      </c>
      <c r="C34" s="43" t="s">
        <v>111</v>
      </c>
      <c r="D34" s="28">
        <v>675</v>
      </c>
      <c r="E34" s="27">
        <v>0.4</v>
      </c>
      <c r="F34" s="27">
        <f t="shared" si="0"/>
        <v>270</v>
      </c>
      <c r="G34" s="27">
        <f>F34</f>
        <v>270</v>
      </c>
      <c r="H34" s="27">
        <f t="shared" si="1"/>
        <v>0</v>
      </c>
      <c r="I34" s="25">
        <v>2997747</v>
      </c>
      <c r="J34" s="74">
        <v>45621</v>
      </c>
    </row>
    <row r="35" spans="1:16" ht="21.75" customHeight="1" x14ac:dyDescent="0.25">
      <c r="A35" s="24">
        <v>33</v>
      </c>
      <c r="B35" s="29">
        <v>1284</v>
      </c>
      <c r="C35" s="43" t="s">
        <v>115</v>
      </c>
      <c r="D35" s="28">
        <v>648.5</v>
      </c>
      <c r="E35" s="27">
        <v>0.4</v>
      </c>
      <c r="F35" s="27">
        <f t="shared" si="0"/>
        <v>259.40000000000003</v>
      </c>
      <c r="G35" s="27">
        <f>256.7+2.7</f>
        <v>259.39999999999998</v>
      </c>
      <c r="H35" s="27">
        <f t="shared" si="1"/>
        <v>0</v>
      </c>
      <c r="I35" s="25">
        <v>1177598</v>
      </c>
      <c r="J35" s="74">
        <v>45602</v>
      </c>
      <c r="K35" s="98">
        <v>45635</v>
      </c>
    </row>
    <row r="36" spans="1:16" ht="21.75" customHeight="1" x14ac:dyDescent="0.25">
      <c r="A36" s="19">
        <v>34</v>
      </c>
      <c r="B36" s="23">
        <v>1300</v>
      </c>
      <c r="C36" s="51" t="s">
        <v>263</v>
      </c>
      <c r="D36" s="41">
        <v>800</v>
      </c>
      <c r="E36" s="15">
        <v>0.4</v>
      </c>
      <c r="F36" s="14">
        <f t="shared" si="0"/>
        <v>320</v>
      </c>
      <c r="G36" s="14">
        <f>F36</f>
        <v>320</v>
      </c>
      <c r="H36" s="14">
        <f t="shared" si="1"/>
        <v>0</v>
      </c>
      <c r="I36" s="52">
        <v>19534277</v>
      </c>
      <c r="J36" s="33"/>
    </row>
    <row r="37" spans="1:16" ht="21.75" customHeight="1" x14ac:dyDescent="0.2">
      <c r="A37" s="24">
        <v>35</v>
      </c>
      <c r="B37" s="29">
        <v>1306</v>
      </c>
      <c r="C37" s="53" t="s">
        <v>265</v>
      </c>
      <c r="D37" s="28">
        <v>393.8</v>
      </c>
      <c r="E37" s="27">
        <v>0.4</v>
      </c>
      <c r="F37" s="27">
        <f t="shared" si="0"/>
        <v>157.52000000000001</v>
      </c>
      <c r="G37" s="27">
        <f>157.22+0.3</f>
        <v>157.52000000000001</v>
      </c>
      <c r="H37" s="27">
        <f t="shared" si="1"/>
        <v>0</v>
      </c>
      <c r="I37" s="47">
        <v>2006904</v>
      </c>
      <c r="J37" s="74">
        <v>45600</v>
      </c>
      <c r="K37" s="116">
        <v>45630</v>
      </c>
    </row>
    <row r="38" spans="1:16" ht="21.75" customHeight="1" x14ac:dyDescent="0.25">
      <c r="A38" s="19">
        <v>36</v>
      </c>
      <c r="B38" s="23">
        <v>1315</v>
      </c>
      <c r="C38" s="31" t="s">
        <v>267</v>
      </c>
      <c r="D38" s="41">
        <v>336.2</v>
      </c>
      <c r="E38" s="15">
        <v>0.4</v>
      </c>
      <c r="F38" s="14">
        <f t="shared" si="0"/>
        <v>134.47999999999999</v>
      </c>
      <c r="G38" s="14">
        <f>F38</f>
        <v>134.47999999999999</v>
      </c>
      <c r="H38" s="14">
        <f t="shared" si="1"/>
        <v>0</v>
      </c>
      <c r="I38" s="20">
        <v>19528845</v>
      </c>
      <c r="J38" s="33"/>
    </row>
    <row r="39" spans="1:16" ht="21.75" customHeight="1" x14ac:dyDescent="0.25">
      <c r="A39" s="24">
        <v>37</v>
      </c>
      <c r="B39" s="29">
        <v>1328</v>
      </c>
      <c r="C39" s="43" t="s">
        <v>117</v>
      </c>
      <c r="D39" s="28">
        <v>438.2</v>
      </c>
      <c r="E39" s="27">
        <v>0.4</v>
      </c>
      <c r="F39" s="27">
        <f t="shared" si="0"/>
        <v>175.28</v>
      </c>
      <c r="G39" s="27">
        <f>172.56+2.72</f>
        <v>175.28</v>
      </c>
      <c r="H39" s="27">
        <f t="shared" si="1"/>
        <v>0</v>
      </c>
      <c r="I39" s="25">
        <v>782833</v>
      </c>
      <c r="J39" s="74">
        <v>45601</v>
      </c>
      <c r="K39" s="98">
        <v>45628</v>
      </c>
    </row>
    <row r="40" spans="1:16" ht="21.75" customHeight="1" x14ac:dyDescent="0.25">
      <c r="A40" s="100">
        <v>38</v>
      </c>
      <c r="B40" s="101">
        <v>1330</v>
      </c>
      <c r="C40" s="332" t="s">
        <v>119</v>
      </c>
      <c r="D40" s="103">
        <v>646.20000000000005</v>
      </c>
      <c r="E40" s="104">
        <v>0.4</v>
      </c>
      <c r="F40" s="104">
        <f t="shared" si="0"/>
        <v>258.48</v>
      </c>
      <c r="G40" s="104">
        <f>F40</f>
        <v>258.48</v>
      </c>
      <c r="H40" s="104">
        <f t="shared" si="1"/>
        <v>0</v>
      </c>
      <c r="I40" s="105">
        <v>12194826</v>
      </c>
      <c r="J40" s="126" t="s">
        <v>597</v>
      </c>
    </row>
    <row r="41" spans="1:16" s="17" customFormat="1" ht="21.75" customHeight="1" x14ac:dyDescent="0.25">
      <c r="A41" s="24">
        <v>39</v>
      </c>
      <c r="B41" s="29">
        <v>1331</v>
      </c>
      <c r="C41" s="43" t="s">
        <v>269</v>
      </c>
      <c r="D41" s="28">
        <v>375</v>
      </c>
      <c r="E41" s="27">
        <v>0.4</v>
      </c>
      <c r="F41" s="27">
        <f t="shared" si="0"/>
        <v>150</v>
      </c>
      <c r="G41" s="27">
        <f>F41</f>
        <v>150</v>
      </c>
      <c r="H41" s="27">
        <f t="shared" si="1"/>
        <v>0</v>
      </c>
      <c r="I41" s="25">
        <v>2107763</v>
      </c>
      <c r="J41" s="74">
        <v>45628</v>
      </c>
    </row>
    <row r="42" spans="1:16" ht="21.75" customHeight="1" x14ac:dyDescent="0.25">
      <c r="A42" s="24">
        <v>40</v>
      </c>
      <c r="B42" s="29">
        <v>1333</v>
      </c>
      <c r="C42" s="43" t="s">
        <v>29</v>
      </c>
      <c r="D42" s="28">
        <v>595</v>
      </c>
      <c r="E42" s="27">
        <v>0.4</v>
      </c>
      <c r="F42" s="27">
        <f t="shared" si="0"/>
        <v>238</v>
      </c>
      <c r="G42" s="27">
        <f>F42</f>
        <v>238</v>
      </c>
      <c r="H42" s="27">
        <f t="shared" si="1"/>
        <v>0</v>
      </c>
      <c r="I42" s="25">
        <v>1736679</v>
      </c>
      <c r="J42" s="74">
        <v>45691</v>
      </c>
    </row>
    <row r="43" spans="1:16" ht="21.75" customHeight="1" x14ac:dyDescent="0.25">
      <c r="A43" s="24">
        <v>41</v>
      </c>
      <c r="B43" s="29">
        <v>1382</v>
      </c>
      <c r="C43" s="43" t="s">
        <v>34</v>
      </c>
      <c r="D43" s="28">
        <v>725</v>
      </c>
      <c r="E43" s="27">
        <v>0.4</v>
      </c>
      <c r="F43" s="27">
        <f t="shared" si="0"/>
        <v>290</v>
      </c>
      <c r="G43" s="27">
        <f>287.95+2.05</f>
        <v>290</v>
      </c>
      <c r="H43" s="27">
        <f t="shared" si="1"/>
        <v>0</v>
      </c>
      <c r="I43" s="25">
        <v>886492</v>
      </c>
      <c r="J43" s="74">
        <v>45601</v>
      </c>
      <c r="K43" s="98">
        <v>45630</v>
      </c>
    </row>
    <row r="44" spans="1:16" ht="21.75" customHeight="1" x14ac:dyDescent="0.25">
      <c r="A44" s="24">
        <v>42</v>
      </c>
      <c r="B44" s="29">
        <v>1384</v>
      </c>
      <c r="C44" s="43" t="s">
        <v>37</v>
      </c>
      <c r="D44" s="28">
        <v>242.8</v>
      </c>
      <c r="E44" s="27">
        <v>0.4</v>
      </c>
      <c r="F44" s="27">
        <f t="shared" si="0"/>
        <v>97.12</v>
      </c>
      <c r="G44" s="27">
        <f>F44</f>
        <v>97.12</v>
      </c>
      <c r="H44" s="27">
        <f t="shared" si="1"/>
        <v>0</v>
      </c>
      <c r="I44" s="25">
        <v>4426701</v>
      </c>
      <c r="J44" s="74">
        <v>45658</v>
      </c>
      <c r="P44" s="5" t="s">
        <v>598</v>
      </c>
    </row>
    <row r="45" spans="1:16" ht="21.75" customHeight="1" x14ac:dyDescent="0.25">
      <c r="A45" s="24">
        <v>43</v>
      </c>
      <c r="B45" s="29">
        <v>1386</v>
      </c>
      <c r="C45" s="43" t="s">
        <v>39</v>
      </c>
      <c r="D45" s="28">
        <v>798.8</v>
      </c>
      <c r="E45" s="27">
        <v>0.4</v>
      </c>
      <c r="F45" s="27">
        <f t="shared" si="0"/>
        <v>319.52</v>
      </c>
      <c r="G45" s="27">
        <f>317.85+1.67</f>
        <v>319.52000000000004</v>
      </c>
      <c r="H45" s="27">
        <f t="shared" si="1"/>
        <v>0</v>
      </c>
      <c r="I45" s="25">
        <v>711799</v>
      </c>
      <c r="J45" s="74">
        <v>45621</v>
      </c>
      <c r="K45" s="98">
        <v>45650</v>
      </c>
    </row>
    <row r="46" spans="1:16" ht="21.75" customHeight="1" x14ac:dyDescent="0.25">
      <c r="A46" s="24">
        <v>44</v>
      </c>
      <c r="B46" s="29">
        <v>1387</v>
      </c>
      <c r="C46" s="43" t="s">
        <v>271</v>
      </c>
      <c r="D46" s="28">
        <v>675</v>
      </c>
      <c r="E46" s="27">
        <v>0.4</v>
      </c>
      <c r="F46" s="27">
        <f t="shared" si="0"/>
        <v>270</v>
      </c>
      <c r="G46" s="27">
        <f>F46</f>
        <v>270</v>
      </c>
      <c r="H46" s="27">
        <f t="shared" si="1"/>
        <v>0</v>
      </c>
      <c r="I46" s="25">
        <v>6759716</v>
      </c>
      <c r="J46" s="74">
        <v>45686</v>
      </c>
    </row>
    <row r="47" spans="1:16" ht="21.75" customHeight="1" x14ac:dyDescent="0.25">
      <c r="A47" s="24">
        <v>45</v>
      </c>
      <c r="B47" s="29">
        <v>1388</v>
      </c>
      <c r="C47" s="43" t="s">
        <v>273</v>
      </c>
      <c r="D47" s="28">
        <v>399.3</v>
      </c>
      <c r="E47" s="27">
        <v>0.4</v>
      </c>
      <c r="F47" s="27">
        <f t="shared" si="0"/>
        <v>159.72000000000003</v>
      </c>
      <c r="G47" s="27">
        <f>156.63+3.09</f>
        <v>159.72</v>
      </c>
      <c r="H47" s="27">
        <f t="shared" si="1"/>
        <v>0</v>
      </c>
      <c r="I47" s="25">
        <v>18610874</v>
      </c>
      <c r="J47" s="74">
        <v>45600</v>
      </c>
      <c r="K47" s="98">
        <v>45621</v>
      </c>
    </row>
    <row r="48" spans="1:16" ht="21.75" customHeight="1" x14ac:dyDescent="0.25">
      <c r="A48" s="24">
        <v>46</v>
      </c>
      <c r="B48" s="29">
        <v>1389</v>
      </c>
      <c r="C48" s="43" t="s">
        <v>275</v>
      </c>
      <c r="D48" s="28">
        <v>1000</v>
      </c>
      <c r="E48" s="27">
        <v>0.4</v>
      </c>
      <c r="F48" s="27">
        <f t="shared" si="0"/>
        <v>400</v>
      </c>
      <c r="G48" s="27">
        <f>395.4+4.6</f>
        <v>400</v>
      </c>
      <c r="H48" s="27">
        <f t="shared" si="1"/>
        <v>0</v>
      </c>
      <c r="I48" s="25">
        <v>1036354</v>
      </c>
      <c r="J48" s="74">
        <v>45600</v>
      </c>
      <c r="K48" s="98">
        <v>45628</v>
      </c>
    </row>
    <row r="49" spans="1:11" ht="21.75" customHeight="1" x14ac:dyDescent="0.25">
      <c r="A49" s="24">
        <v>47</v>
      </c>
      <c r="B49" s="29">
        <v>1394</v>
      </c>
      <c r="C49" s="43" t="s">
        <v>277</v>
      </c>
      <c r="D49" s="28">
        <v>420.2</v>
      </c>
      <c r="E49" s="27">
        <v>0.4</v>
      </c>
      <c r="F49" s="27">
        <f t="shared" si="0"/>
        <v>168.08</v>
      </c>
      <c r="G49" s="27">
        <f>167.13+0.95</f>
        <v>168.07999999999998</v>
      </c>
      <c r="H49" s="27">
        <f t="shared" si="1"/>
        <v>0</v>
      </c>
      <c r="I49" s="25">
        <v>25656187</v>
      </c>
      <c r="J49" s="74">
        <v>45621</v>
      </c>
      <c r="K49" s="98">
        <v>45643</v>
      </c>
    </row>
    <row r="50" spans="1:11" ht="21.75" customHeight="1" x14ac:dyDescent="0.25">
      <c r="A50" s="24">
        <v>48</v>
      </c>
      <c r="B50" s="29">
        <v>1396</v>
      </c>
      <c r="C50" s="43" t="s">
        <v>123</v>
      </c>
      <c r="D50" s="28">
        <v>427.3</v>
      </c>
      <c r="E50" s="27">
        <v>0.4</v>
      </c>
      <c r="F50" s="27">
        <f t="shared" si="0"/>
        <v>170.92000000000002</v>
      </c>
      <c r="G50" s="27">
        <f>F50</f>
        <v>170.92000000000002</v>
      </c>
      <c r="H50" s="27">
        <f t="shared" si="1"/>
        <v>0</v>
      </c>
      <c r="I50" s="25">
        <v>905845</v>
      </c>
      <c r="J50" s="74">
        <v>45650</v>
      </c>
    </row>
    <row r="51" spans="1:11" ht="21.75" customHeight="1" x14ac:dyDescent="0.25">
      <c r="A51" s="24">
        <v>49</v>
      </c>
      <c r="B51" s="29">
        <v>1397</v>
      </c>
      <c r="C51" s="43" t="s">
        <v>125</v>
      </c>
      <c r="D51" s="28">
        <v>361.8</v>
      </c>
      <c r="E51" s="27">
        <v>0.4</v>
      </c>
      <c r="F51" s="27">
        <f t="shared" si="0"/>
        <v>144.72</v>
      </c>
      <c r="G51" s="27">
        <f>143.27+1.42</f>
        <v>144.69</v>
      </c>
      <c r="H51" s="27">
        <f t="shared" si="1"/>
        <v>3.0000000000001137E-2</v>
      </c>
      <c r="I51" s="25">
        <v>1292885</v>
      </c>
      <c r="J51" s="74">
        <v>45656</v>
      </c>
      <c r="K51" s="98">
        <v>45677</v>
      </c>
    </row>
    <row r="52" spans="1:11" s="54" customFormat="1" ht="21.75" customHeight="1" x14ac:dyDescent="0.25">
      <c r="A52" s="24">
        <v>50</v>
      </c>
      <c r="B52" s="29">
        <v>1398</v>
      </c>
      <c r="C52" s="43" t="s">
        <v>279</v>
      </c>
      <c r="D52" s="28">
        <v>252.7</v>
      </c>
      <c r="E52" s="27">
        <v>0.4</v>
      </c>
      <c r="F52" s="27">
        <f t="shared" si="0"/>
        <v>101.08</v>
      </c>
      <c r="G52" s="27">
        <f>98.95+2.13</f>
        <v>101.08</v>
      </c>
      <c r="H52" s="27">
        <f t="shared" si="1"/>
        <v>0</v>
      </c>
      <c r="I52" s="25">
        <v>1161437</v>
      </c>
      <c r="J52" s="74">
        <v>45607</v>
      </c>
      <c r="K52" s="116">
        <v>45635</v>
      </c>
    </row>
    <row r="53" spans="1:11" s="17" customFormat="1" ht="21.75" customHeight="1" x14ac:dyDescent="0.25">
      <c r="A53" s="92">
        <v>51</v>
      </c>
      <c r="B53" s="93">
        <v>1400</v>
      </c>
      <c r="C53" s="94" t="s">
        <v>281</v>
      </c>
      <c r="D53" s="95">
        <v>653</v>
      </c>
      <c r="E53" s="96">
        <v>0.4</v>
      </c>
      <c r="F53" s="96">
        <f t="shared" si="0"/>
        <v>261.2</v>
      </c>
      <c r="G53" s="96">
        <f>F53</f>
        <v>261.2</v>
      </c>
      <c r="H53" s="96">
        <f t="shared" si="1"/>
        <v>0</v>
      </c>
      <c r="I53" s="97">
        <v>7223707</v>
      </c>
      <c r="J53" s="331">
        <v>45691</v>
      </c>
    </row>
    <row r="54" spans="1:11" ht="21.75" customHeight="1" x14ac:dyDescent="0.25">
      <c r="A54" s="24">
        <v>52</v>
      </c>
      <c r="B54" s="29">
        <v>1403</v>
      </c>
      <c r="C54" s="43" t="s">
        <v>283</v>
      </c>
      <c r="D54" s="28">
        <v>565.9</v>
      </c>
      <c r="E54" s="27">
        <v>0.4</v>
      </c>
      <c r="F54" s="27">
        <f t="shared" si="0"/>
        <v>226.36</v>
      </c>
      <c r="G54" s="27">
        <f>222.96+3.4</f>
        <v>226.36</v>
      </c>
      <c r="H54" s="27">
        <f t="shared" si="1"/>
        <v>0</v>
      </c>
      <c r="I54" s="25">
        <v>499044</v>
      </c>
      <c r="J54" s="74">
        <v>45607</v>
      </c>
      <c r="K54" s="116">
        <v>45635</v>
      </c>
    </row>
    <row r="55" spans="1:11" ht="21.75" customHeight="1" x14ac:dyDescent="0.25">
      <c r="A55" s="24">
        <v>53</v>
      </c>
      <c r="B55" s="60">
        <v>1406</v>
      </c>
      <c r="C55" s="43" t="s">
        <v>285</v>
      </c>
      <c r="D55" s="28">
        <v>498.1</v>
      </c>
      <c r="E55" s="27">
        <v>0.4</v>
      </c>
      <c r="F55" s="27">
        <f t="shared" si="0"/>
        <v>199.24</v>
      </c>
      <c r="G55" s="27">
        <f>2+197.24</f>
        <v>199.24</v>
      </c>
      <c r="H55" s="27">
        <f t="shared" si="1"/>
        <v>0</v>
      </c>
      <c r="I55" s="25">
        <v>880849</v>
      </c>
      <c r="J55" s="74">
        <v>45573</v>
      </c>
      <c r="K55" s="74">
        <v>45602</v>
      </c>
    </row>
    <row r="56" spans="1:11" ht="21.75" customHeight="1" x14ac:dyDescent="0.25">
      <c r="A56" s="24">
        <v>54</v>
      </c>
      <c r="B56" s="60">
        <v>1408</v>
      </c>
      <c r="C56" s="25" t="s">
        <v>287</v>
      </c>
      <c r="D56" s="28">
        <v>1448</v>
      </c>
      <c r="E56" s="27">
        <v>0.4</v>
      </c>
      <c r="F56" s="27">
        <f t="shared" si="0"/>
        <v>579.20000000000005</v>
      </c>
      <c r="G56" s="27">
        <f>577.15+2.05</f>
        <v>579.19999999999993</v>
      </c>
      <c r="H56" s="27">
        <f t="shared" si="1"/>
        <v>0</v>
      </c>
      <c r="I56" s="25">
        <v>997465</v>
      </c>
      <c r="J56" s="74">
        <v>45656</v>
      </c>
      <c r="K56" s="98">
        <v>45810</v>
      </c>
    </row>
    <row r="57" spans="1:11" ht="21.75" customHeight="1" x14ac:dyDescent="0.25">
      <c r="A57" s="24">
        <v>55</v>
      </c>
      <c r="B57" s="60">
        <v>1409</v>
      </c>
      <c r="C57" s="43" t="s">
        <v>289</v>
      </c>
      <c r="D57" s="55">
        <v>569.20000000000005</v>
      </c>
      <c r="E57" s="27">
        <v>0.4</v>
      </c>
      <c r="F57" s="27">
        <f t="shared" si="0"/>
        <v>227.68000000000004</v>
      </c>
      <c r="G57" s="27">
        <f>226.62+1.06</f>
        <v>227.68</v>
      </c>
      <c r="H57" s="27">
        <f t="shared" si="1"/>
        <v>0</v>
      </c>
      <c r="I57" s="25">
        <v>7279409</v>
      </c>
      <c r="J57" s="74">
        <v>45621</v>
      </c>
      <c r="K57" s="98">
        <v>45642</v>
      </c>
    </row>
    <row r="58" spans="1:11" ht="21.75" customHeight="1" x14ac:dyDescent="0.25">
      <c r="A58" s="24">
        <v>56</v>
      </c>
      <c r="B58" s="60">
        <v>1410</v>
      </c>
      <c r="C58" s="43" t="s">
        <v>292</v>
      </c>
      <c r="D58" s="76">
        <v>615.4</v>
      </c>
      <c r="E58" s="27">
        <v>0.4</v>
      </c>
      <c r="F58" s="27">
        <f t="shared" si="0"/>
        <v>246.16</v>
      </c>
      <c r="G58" s="27">
        <f>244.99+1.17</f>
        <v>246.16</v>
      </c>
      <c r="H58" s="27">
        <f t="shared" si="1"/>
        <v>0</v>
      </c>
      <c r="I58" s="25">
        <v>757372</v>
      </c>
      <c r="J58" s="74">
        <v>45614</v>
      </c>
      <c r="K58" s="98">
        <v>45635</v>
      </c>
    </row>
    <row r="59" spans="1:11" ht="21.75" customHeight="1" x14ac:dyDescent="0.25">
      <c r="A59" s="24">
        <v>57</v>
      </c>
      <c r="B59" s="60">
        <v>1411</v>
      </c>
      <c r="C59" s="43" t="s">
        <v>294</v>
      </c>
      <c r="D59" s="28">
        <v>673</v>
      </c>
      <c r="E59" s="27">
        <v>0.4</v>
      </c>
      <c r="F59" s="27">
        <f t="shared" si="0"/>
        <v>269.2</v>
      </c>
      <c r="G59" s="27">
        <f>268.35+0.85</f>
        <v>269.20000000000005</v>
      </c>
      <c r="H59" s="27">
        <f t="shared" si="1"/>
        <v>0</v>
      </c>
      <c r="I59" s="25">
        <v>1650389</v>
      </c>
      <c r="J59" s="74">
        <v>45601</v>
      </c>
      <c r="K59" s="116">
        <v>45628</v>
      </c>
    </row>
    <row r="60" spans="1:11" ht="21.75" customHeight="1" x14ac:dyDescent="0.25">
      <c r="A60" s="19">
        <v>58</v>
      </c>
      <c r="B60" s="23">
        <v>1412</v>
      </c>
      <c r="C60" s="31" t="s">
        <v>296</v>
      </c>
      <c r="D60" s="41">
        <v>749</v>
      </c>
      <c r="E60" s="15">
        <v>0.4</v>
      </c>
      <c r="F60" s="14">
        <f t="shared" si="0"/>
        <v>299.60000000000002</v>
      </c>
      <c r="G60" s="14">
        <f>F60</f>
        <v>299.60000000000002</v>
      </c>
      <c r="H60" s="14">
        <f t="shared" si="1"/>
        <v>0</v>
      </c>
      <c r="I60" s="20">
        <v>312227</v>
      </c>
      <c r="J60" s="33"/>
    </row>
    <row r="61" spans="1:11" ht="21.75" customHeight="1" x14ac:dyDescent="0.25">
      <c r="A61" s="24">
        <v>59</v>
      </c>
      <c r="B61" s="29">
        <v>1413</v>
      </c>
      <c r="C61" s="25" t="s">
        <v>298</v>
      </c>
      <c r="D61" s="28">
        <v>375</v>
      </c>
      <c r="E61" s="27">
        <v>0.4</v>
      </c>
      <c r="F61" s="27">
        <f t="shared" si="0"/>
        <v>150</v>
      </c>
      <c r="G61" s="27">
        <f>147.8+2.2</f>
        <v>150</v>
      </c>
      <c r="H61" s="27">
        <f t="shared" si="1"/>
        <v>0</v>
      </c>
      <c r="I61" s="25">
        <v>539906</v>
      </c>
      <c r="J61" s="74">
        <v>45607</v>
      </c>
      <c r="K61" s="98">
        <v>45628</v>
      </c>
    </row>
    <row r="62" spans="1:11" ht="21.75" customHeight="1" x14ac:dyDescent="0.25">
      <c r="A62" s="24">
        <v>60</v>
      </c>
      <c r="B62" s="29">
        <v>1414</v>
      </c>
      <c r="C62" s="43" t="s">
        <v>300</v>
      </c>
      <c r="D62" s="28">
        <v>1043.0999999999999</v>
      </c>
      <c r="E62" s="27">
        <v>0.4</v>
      </c>
      <c r="F62" s="27">
        <f t="shared" si="0"/>
        <v>417.24</v>
      </c>
      <c r="G62" s="27">
        <f>416.39+0.85</f>
        <v>417.24</v>
      </c>
      <c r="H62" s="27">
        <f t="shared" si="1"/>
        <v>0</v>
      </c>
      <c r="I62" s="25">
        <v>9178238</v>
      </c>
      <c r="J62" s="74">
        <v>45621</v>
      </c>
      <c r="K62" s="98">
        <v>45663</v>
      </c>
    </row>
    <row r="63" spans="1:11" ht="21.75" customHeight="1" x14ac:dyDescent="0.25">
      <c r="A63" s="24">
        <v>61</v>
      </c>
      <c r="B63" s="29">
        <v>1415</v>
      </c>
      <c r="C63" s="43" t="s">
        <v>302</v>
      </c>
      <c r="D63" s="28">
        <v>285.3</v>
      </c>
      <c r="E63" s="27">
        <v>0.4</v>
      </c>
      <c r="F63" s="27">
        <f t="shared" si="0"/>
        <v>114.12</v>
      </c>
      <c r="G63" s="27">
        <f>F63</f>
        <v>114.12</v>
      </c>
      <c r="H63" s="27">
        <f t="shared" si="1"/>
        <v>0</v>
      </c>
      <c r="I63" s="25">
        <v>818787</v>
      </c>
      <c r="J63" s="74">
        <v>45643</v>
      </c>
    </row>
    <row r="64" spans="1:11" ht="21.75" customHeight="1" x14ac:dyDescent="0.25">
      <c r="A64" s="24">
        <v>62</v>
      </c>
      <c r="B64" s="29">
        <v>1417</v>
      </c>
      <c r="C64" s="43" t="s">
        <v>42</v>
      </c>
      <c r="D64" s="28">
        <v>543.9</v>
      </c>
      <c r="E64" s="27">
        <v>0.4</v>
      </c>
      <c r="F64" s="27">
        <f t="shared" si="0"/>
        <v>217.56</v>
      </c>
      <c r="G64" s="27">
        <f>F64</f>
        <v>217.56</v>
      </c>
      <c r="H64" s="27">
        <f t="shared" si="1"/>
        <v>0</v>
      </c>
      <c r="I64" s="25">
        <v>1252579</v>
      </c>
      <c r="J64" s="74">
        <v>45635</v>
      </c>
    </row>
    <row r="65" spans="1:13" ht="21.75" customHeight="1" x14ac:dyDescent="0.25">
      <c r="A65" s="24">
        <v>63</v>
      </c>
      <c r="B65" s="29">
        <v>1418</v>
      </c>
      <c r="C65" s="43" t="s">
        <v>304</v>
      </c>
      <c r="D65" s="28">
        <v>312.60000000000002</v>
      </c>
      <c r="E65" s="27">
        <v>0.4</v>
      </c>
      <c r="F65" s="27">
        <f t="shared" si="0"/>
        <v>125.04000000000002</v>
      </c>
      <c r="G65" s="27">
        <f>F65</f>
        <v>125.04000000000002</v>
      </c>
      <c r="H65" s="27">
        <f t="shared" si="1"/>
        <v>0</v>
      </c>
      <c r="I65" s="25">
        <v>9954378</v>
      </c>
      <c r="J65" s="74">
        <v>45630</v>
      </c>
    </row>
    <row r="66" spans="1:13" ht="21.75" customHeight="1" x14ac:dyDescent="0.25">
      <c r="A66" s="24">
        <v>64</v>
      </c>
      <c r="B66" s="29">
        <v>1419</v>
      </c>
      <c r="C66" s="43" t="s">
        <v>308</v>
      </c>
      <c r="D66" s="28">
        <v>900</v>
      </c>
      <c r="E66" s="27">
        <v>0.4</v>
      </c>
      <c r="F66" s="27">
        <f t="shared" si="0"/>
        <v>360</v>
      </c>
      <c r="G66" s="27">
        <f>97+97+97+69</f>
        <v>360</v>
      </c>
      <c r="H66" s="27">
        <f t="shared" si="1"/>
        <v>0</v>
      </c>
      <c r="I66" s="25">
        <v>386821</v>
      </c>
      <c r="J66" s="74">
        <v>45602</v>
      </c>
      <c r="K66" s="98">
        <v>45609</v>
      </c>
      <c r="L66" s="98">
        <v>45621</v>
      </c>
      <c r="M66" s="116">
        <v>45628</v>
      </c>
    </row>
    <row r="67" spans="1:13" ht="21.75" customHeight="1" x14ac:dyDescent="0.25">
      <c r="A67" s="11">
        <v>65</v>
      </c>
      <c r="B67" s="23">
        <v>1420</v>
      </c>
      <c r="C67" s="31" t="s">
        <v>310</v>
      </c>
      <c r="D67" s="41">
        <v>646.20000000000005</v>
      </c>
      <c r="E67" s="15">
        <v>0.4</v>
      </c>
      <c r="F67" s="14">
        <f t="shared" si="0"/>
        <v>258.48</v>
      </c>
      <c r="G67" s="14">
        <f>F67</f>
        <v>258.48</v>
      </c>
      <c r="H67" s="14">
        <f t="shared" si="1"/>
        <v>0</v>
      </c>
      <c r="I67" s="20">
        <v>5460297</v>
      </c>
      <c r="J67" s="33"/>
    </row>
    <row r="68" spans="1:13" ht="21.75" customHeight="1" x14ac:dyDescent="0.25">
      <c r="A68" s="19">
        <v>66</v>
      </c>
      <c r="B68" s="23">
        <v>1421</v>
      </c>
      <c r="C68" s="31" t="s">
        <v>129</v>
      </c>
      <c r="D68" s="41">
        <v>725</v>
      </c>
      <c r="E68" s="15">
        <v>0.4</v>
      </c>
      <c r="F68" s="14">
        <f t="shared" ref="F68:F131" si="2">D68*E68</f>
        <v>290</v>
      </c>
      <c r="G68" s="14">
        <f>F68</f>
        <v>290</v>
      </c>
      <c r="H68" s="14">
        <f t="shared" ref="H68:H131" si="3">F68-G68</f>
        <v>0</v>
      </c>
      <c r="I68" s="20">
        <v>15314262</v>
      </c>
      <c r="J68" s="33"/>
    </row>
    <row r="69" spans="1:13" ht="21.75" customHeight="1" x14ac:dyDescent="0.25">
      <c r="A69" s="24">
        <v>67</v>
      </c>
      <c r="B69" s="29">
        <v>1423</v>
      </c>
      <c r="C69" s="43" t="s">
        <v>131</v>
      </c>
      <c r="D69" s="28">
        <v>618.9</v>
      </c>
      <c r="E69" s="27">
        <v>0.4</v>
      </c>
      <c r="F69" s="27">
        <f t="shared" si="2"/>
        <v>247.56</v>
      </c>
      <c r="G69" s="27">
        <f>242.87+4.69</f>
        <v>247.56</v>
      </c>
      <c r="H69" s="27">
        <f t="shared" si="3"/>
        <v>0</v>
      </c>
      <c r="I69" s="25">
        <v>5044397</v>
      </c>
      <c r="J69" s="74">
        <v>45677</v>
      </c>
      <c r="K69" s="98">
        <v>45963</v>
      </c>
    </row>
    <row r="70" spans="1:13" s="106" customFormat="1" ht="21.75" customHeight="1" x14ac:dyDescent="0.25">
      <c r="A70" s="100">
        <v>68</v>
      </c>
      <c r="B70" s="101">
        <v>1425</v>
      </c>
      <c r="C70" s="102" t="s">
        <v>312</v>
      </c>
      <c r="D70" s="103">
        <v>564.20000000000005</v>
      </c>
      <c r="E70" s="104">
        <v>0.4</v>
      </c>
      <c r="F70" s="104">
        <f t="shared" si="2"/>
        <v>225.68000000000004</v>
      </c>
      <c r="G70" s="104">
        <f>F70</f>
        <v>225.68000000000004</v>
      </c>
      <c r="H70" s="104">
        <f t="shared" si="3"/>
        <v>0</v>
      </c>
      <c r="I70" s="105">
        <v>5614623</v>
      </c>
      <c r="J70" s="126" t="s">
        <v>597</v>
      </c>
    </row>
    <row r="71" spans="1:13" ht="21.75" customHeight="1" x14ac:dyDescent="0.25">
      <c r="A71" s="24">
        <v>69</v>
      </c>
      <c r="B71" s="60">
        <v>1426</v>
      </c>
      <c r="C71" s="43" t="s">
        <v>314</v>
      </c>
      <c r="D71" s="28">
        <v>675</v>
      </c>
      <c r="E71" s="27">
        <v>0.4</v>
      </c>
      <c r="F71" s="27">
        <f t="shared" si="2"/>
        <v>270</v>
      </c>
      <c r="G71" s="27">
        <f>267.85+2.15</f>
        <v>270</v>
      </c>
      <c r="H71" s="27">
        <f t="shared" si="3"/>
        <v>0</v>
      </c>
      <c r="I71" s="25">
        <v>2160707</v>
      </c>
      <c r="J71" s="74">
        <v>45600</v>
      </c>
      <c r="K71" s="116">
        <v>45628</v>
      </c>
    </row>
    <row r="72" spans="1:13" ht="21.75" customHeight="1" x14ac:dyDescent="0.25">
      <c r="A72" s="24">
        <v>70</v>
      </c>
      <c r="B72" s="29">
        <v>1427</v>
      </c>
      <c r="C72" s="43" t="s">
        <v>134</v>
      </c>
      <c r="D72" s="28">
        <v>334.2</v>
      </c>
      <c r="E72" s="27">
        <v>0.4</v>
      </c>
      <c r="F72" s="27">
        <f t="shared" si="2"/>
        <v>133.68</v>
      </c>
      <c r="G72" s="27">
        <f>F72</f>
        <v>133.68</v>
      </c>
      <c r="H72" s="27">
        <f t="shared" si="3"/>
        <v>0</v>
      </c>
      <c r="I72" s="25">
        <v>24171637</v>
      </c>
      <c r="J72" s="74">
        <v>45665</v>
      </c>
    </row>
    <row r="73" spans="1:13" ht="21.75" customHeight="1" x14ac:dyDescent="0.25">
      <c r="A73" s="24">
        <v>71</v>
      </c>
      <c r="B73" s="29">
        <v>1428</v>
      </c>
      <c r="C73" s="43" t="s">
        <v>316</v>
      </c>
      <c r="D73" s="28">
        <v>347.5</v>
      </c>
      <c r="E73" s="27">
        <v>0.4</v>
      </c>
      <c r="F73" s="27">
        <f t="shared" si="2"/>
        <v>139</v>
      </c>
      <c r="G73" s="27">
        <f>137.59+1.41</f>
        <v>139</v>
      </c>
      <c r="H73" s="27">
        <f t="shared" si="3"/>
        <v>0</v>
      </c>
      <c r="I73" s="25">
        <v>921364</v>
      </c>
      <c r="J73" s="116">
        <v>45600</v>
      </c>
      <c r="K73" s="98">
        <v>45623</v>
      </c>
    </row>
    <row r="74" spans="1:13" ht="21.75" customHeight="1" x14ac:dyDescent="0.25">
      <c r="A74" s="24">
        <v>72</v>
      </c>
      <c r="B74" s="29">
        <v>1430</v>
      </c>
      <c r="C74" s="43" t="s">
        <v>136</v>
      </c>
      <c r="D74" s="28">
        <v>346.3</v>
      </c>
      <c r="E74" s="27">
        <v>0.4</v>
      </c>
      <c r="F74" s="27">
        <f t="shared" si="2"/>
        <v>138.52000000000001</v>
      </c>
      <c r="G74" s="27">
        <f>137.64+0.88</f>
        <v>138.51999999999998</v>
      </c>
      <c r="H74" s="27">
        <f t="shared" si="3"/>
        <v>0</v>
      </c>
      <c r="I74" s="25">
        <v>564698</v>
      </c>
      <c r="J74" s="116">
        <v>45600</v>
      </c>
      <c r="K74" s="116">
        <v>45621</v>
      </c>
    </row>
    <row r="75" spans="1:13" ht="21.75" customHeight="1" x14ac:dyDescent="0.25">
      <c r="A75" s="11">
        <v>73</v>
      </c>
      <c r="B75" s="23">
        <v>1432</v>
      </c>
      <c r="C75" s="31" t="s">
        <v>318</v>
      </c>
      <c r="D75" s="41">
        <v>825</v>
      </c>
      <c r="E75" s="15">
        <v>0.4</v>
      </c>
      <c r="F75" s="14">
        <f t="shared" si="2"/>
        <v>330</v>
      </c>
      <c r="G75" s="14">
        <f>F75</f>
        <v>330</v>
      </c>
      <c r="H75" s="14">
        <f t="shared" si="3"/>
        <v>0</v>
      </c>
      <c r="I75" s="20">
        <v>5004855</v>
      </c>
      <c r="J75" s="33"/>
    </row>
    <row r="76" spans="1:13" ht="21.75" customHeight="1" x14ac:dyDescent="0.25">
      <c r="A76" s="92">
        <v>74</v>
      </c>
      <c r="B76" s="93">
        <v>1433</v>
      </c>
      <c r="C76" s="94" t="s">
        <v>320</v>
      </c>
      <c r="D76" s="95">
        <v>825</v>
      </c>
      <c r="E76" s="96">
        <v>0.4</v>
      </c>
      <c r="F76" s="96">
        <f t="shared" si="2"/>
        <v>330</v>
      </c>
      <c r="G76" s="96">
        <f>270+60</f>
        <v>330</v>
      </c>
      <c r="H76" s="96">
        <f t="shared" si="3"/>
        <v>0</v>
      </c>
      <c r="I76" s="97">
        <v>285841</v>
      </c>
      <c r="J76" s="287" t="s">
        <v>536</v>
      </c>
      <c r="K76" s="98">
        <v>45684</v>
      </c>
    </row>
    <row r="77" spans="1:13" ht="21.75" customHeight="1" x14ac:dyDescent="0.25">
      <c r="A77" s="24">
        <v>75</v>
      </c>
      <c r="B77" s="60">
        <v>1434</v>
      </c>
      <c r="C77" s="43" t="s">
        <v>138</v>
      </c>
      <c r="D77" s="28">
        <v>383.1</v>
      </c>
      <c r="E77" s="27">
        <v>0.4</v>
      </c>
      <c r="F77" s="27">
        <f t="shared" si="2"/>
        <v>153.24</v>
      </c>
      <c r="G77" s="27">
        <f>149.57+3.67</f>
        <v>153.23999999999998</v>
      </c>
      <c r="H77" s="27">
        <f t="shared" si="3"/>
        <v>0</v>
      </c>
      <c r="I77" s="25">
        <v>19197503</v>
      </c>
      <c r="J77" s="74">
        <v>45656</v>
      </c>
      <c r="K77" s="98">
        <v>45710</v>
      </c>
    </row>
    <row r="78" spans="1:13" ht="21.75" customHeight="1" x14ac:dyDescent="0.25">
      <c r="A78" s="24">
        <v>76</v>
      </c>
      <c r="B78" s="60">
        <v>1435</v>
      </c>
      <c r="C78" s="43" t="s">
        <v>45</v>
      </c>
      <c r="D78" s="28">
        <v>1076.2</v>
      </c>
      <c r="E78" s="27">
        <v>0.4</v>
      </c>
      <c r="F78" s="27">
        <f t="shared" si="2"/>
        <v>430.48</v>
      </c>
      <c r="G78" s="27">
        <f>425.9+4.58</f>
        <v>430.47999999999996</v>
      </c>
      <c r="H78" s="27">
        <f t="shared" si="3"/>
        <v>0</v>
      </c>
      <c r="I78" s="25">
        <v>1305522</v>
      </c>
      <c r="J78" s="74">
        <v>45623</v>
      </c>
      <c r="K78" s="98">
        <v>45643</v>
      </c>
    </row>
    <row r="79" spans="1:13" ht="21.75" customHeight="1" x14ac:dyDescent="0.25">
      <c r="A79" s="24">
        <v>77</v>
      </c>
      <c r="B79" s="60">
        <v>1437</v>
      </c>
      <c r="C79" s="43" t="s">
        <v>143</v>
      </c>
      <c r="D79" s="28">
        <v>725</v>
      </c>
      <c r="E79" s="27">
        <v>0.4</v>
      </c>
      <c r="F79" s="27">
        <f t="shared" si="2"/>
        <v>290</v>
      </c>
      <c r="G79" s="27">
        <f>285.49+4.51</f>
        <v>290</v>
      </c>
      <c r="H79" s="27">
        <f t="shared" si="3"/>
        <v>0</v>
      </c>
      <c r="I79" s="25">
        <v>9685144</v>
      </c>
      <c r="J79" s="116">
        <v>45614</v>
      </c>
      <c r="K79" s="98">
        <v>45658</v>
      </c>
    </row>
    <row r="80" spans="1:13" ht="21.75" customHeight="1" x14ac:dyDescent="0.25">
      <c r="A80" s="24">
        <v>78</v>
      </c>
      <c r="B80" s="29">
        <v>1438</v>
      </c>
      <c r="C80" s="43" t="s">
        <v>145</v>
      </c>
      <c r="D80" s="28">
        <v>1098</v>
      </c>
      <c r="E80" s="27">
        <v>0.4</v>
      </c>
      <c r="F80" s="27">
        <f t="shared" si="2"/>
        <v>439.20000000000005</v>
      </c>
      <c r="G80" s="27">
        <f>432.55+6.65</f>
        <v>439.2</v>
      </c>
      <c r="H80" s="27">
        <f t="shared" si="3"/>
        <v>0</v>
      </c>
      <c r="I80" s="25">
        <v>656621</v>
      </c>
      <c r="J80" s="74" t="s">
        <v>537</v>
      </c>
    </row>
    <row r="81" spans="1:12" ht="21.75" customHeight="1" x14ac:dyDescent="0.25">
      <c r="A81" s="24">
        <v>79</v>
      </c>
      <c r="B81" s="29">
        <v>1439</v>
      </c>
      <c r="C81" s="43" t="s">
        <v>323</v>
      </c>
      <c r="D81" s="28">
        <v>469</v>
      </c>
      <c r="E81" s="27">
        <v>0.4</v>
      </c>
      <c r="F81" s="27">
        <f t="shared" si="2"/>
        <v>187.60000000000002</v>
      </c>
      <c r="G81" s="27">
        <f>F81</f>
        <v>187.60000000000002</v>
      </c>
      <c r="H81" s="27">
        <f t="shared" si="3"/>
        <v>0</v>
      </c>
      <c r="I81" s="25">
        <v>18880548</v>
      </c>
      <c r="J81" s="74">
        <v>45621</v>
      </c>
    </row>
    <row r="82" spans="1:12" ht="21.75" customHeight="1" x14ac:dyDescent="0.25">
      <c r="A82" s="24">
        <v>80</v>
      </c>
      <c r="B82" s="29">
        <v>1441</v>
      </c>
      <c r="C82" s="43" t="s">
        <v>538</v>
      </c>
      <c r="D82" s="28">
        <v>599</v>
      </c>
      <c r="E82" s="27">
        <v>0.4</v>
      </c>
      <c r="F82" s="27">
        <f t="shared" si="2"/>
        <v>239.60000000000002</v>
      </c>
      <c r="G82" s="27">
        <f>F82</f>
        <v>239.60000000000002</v>
      </c>
      <c r="H82" s="27">
        <f t="shared" si="3"/>
        <v>0</v>
      </c>
      <c r="I82" s="25">
        <v>7285573</v>
      </c>
      <c r="J82" s="74">
        <v>45650</v>
      </c>
    </row>
    <row r="83" spans="1:12" ht="21.75" customHeight="1" x14ac:dyDescent="0.25">
      <c r="A83" s="11">
        <v>81</v>
      </c>
      <c r="B83" s="23">
        <v>1444</v>
      </c>
      <c r="C83" s="31" t="s">
        <v>327</v>
      </c>
      <c r="D83" s="41">
        <v>849</v>
      </c>
      <c r="E83" s="15">
        <v>0.4</v>
      </c>
      <c r="F83" s="14">
        <f t="shared" si="2"/>
        <v>339.6</v>
      </c>
      <c r="G83" s="14">
        <f>F83</f>
        <v>339.6</v>
      </c>
      <c r="H83" s="14">
        <f t="shared" si="3"/>
        <v>0</v>
      </c>
      <c r="I83" s="20">
        <v>13487202</v>
      </c>
      <c r="J83" s="33"/>
    </row>
    <row r="84" spans="1:12" ht="21.75" customHeight="1" x14ac:dyDescent="0.2">
      <c r="A84" s="24">
        <v>82</v>
      </c>
      <c r="B84" s="288">
        <v>1448</v>
      </c>
      <c r="C84" s="43" t="s">
        <v>147</v>
      </c>
      <c r="D84" s="28">
        <v>316.3</v>
      </c>
      <c r="E84" s="27">
        <v>0.4</v>
      </c>
      <c r="F84" s="27">
        <f t="shared" si="2"/>
        <v>126.52000000000001</v>
      </c>
      <c r="G84" s="27">
        <f>125.68+0.84</f>
        <v>126.52000000000001</v>
      </c>
      <c r="H84" s="27">
        <f t="shared" si="3"/>
        <v>0</v>
      </c>
      <c r="I84" s="47">
        <v>26433121</v>
      </c>
      <c r="J84" s="289">
        <v>45656</v>
      </c>
    </row>
    <row r="85" spans="1:12" ht="21.75" customHeight="1" x14ac:dyDescent="0.25">
      <c r="A85" s="24">
        <v>83</v>
      </c>
      <c r="B85" s="29">
        <v>1451</v>
      </c>
      <c r="C85" s="43" t="s">
        <v>329</v>
      </c>
      <c r="D85" s="28">
        <v>397</v>
      </c>
      <c r="E85" s="27">
        <v>0.4</v>
      </c>
      <c r="F85" s="27">
        <f t="shared" si="2"/>
        <v>158.80000000000001</v>
      </c>
      <c r="G85" s="27">
        <f>61.45+97+0.35</f>
        <v>158.79999999999998</v>
      </c>
      <c r="H85" s="27">
        <f t="shared" si="3"/>
        <v>0</v>
      </c>
      <c r="I85" s="25">
        <v>20337612</v>
      </c>
      <c r="J85" s="74">
        <v>45609</v>
      </c>
      <c r="K85" s="98">
        <v>45623</v>
      </c>
      <c r="L85" s="98">
        <v>45637</v>
      </c>
    </row>
    <row r="86" spans="1:12" ht="21.75" customHeight="1" x14ac:dyDescent="0.25">
      <c r="A86" s="24">
        <v>84</v>
      </c>
      <c r="B86" s="29">
        <v>1453</v>
      </c>
      <c r="C86" s="43" t="s">
        <v>331</v>
      </c>
      <c r="D86" s="28">
        <v>351.9</v>
      </c>
      <c r="E86" s="27">
        <v>0.4</v>
      </c>
      <c r="F86" s="27">
        <f t="shared" si="2"/>
        <v>140.76</v>
      </c>
      <c r="G86" s="27">
        <f>139.1+1.66</f>
        <v>140.76</v>
      </c>
      <c r="H86" s="27">
        <f t="shared" si="3"/>
        <v>0</v>
      </c>
      <c r="I86" s="25">
        <v>5460259</v>
      </c>
      <c r="J86" s="75">
        <v>45607</v>
      </c>
      <c r="K86" s="98">
        <v>45637</v>
      </c>
    </row>
    <row r="87" spans="1:12" ht="21.75" customHeight="1" x14ac:dyDescent="0.25">
      <c r="A87" s="24">
        <v>85</v>
      </c>
      <c r="B87" s="29">
        <v>1455</v>
      </c>
      <c r="C87" s="43" t="s">
        <v>333</v>
      </c>
      <c r="D87" s="28">
        <v>707.3</v>
      </c>
      <c r="E87" s="27">
        <v>0.4</v>
      </c>
      <c r="F87" s="27">
        <f t="shared" si="2"/>
        <v>282.92</v>
      </c>
      <c r="G87" s="27">
        <f>132.64+133.75+16.53</f>
        <v>282.91999999999996</v>
      </c>
      <c r="H87" s="27">
        <f t="shared" si="3"/>
        <v>0</v>
      </c>
      <c r="I87" s="25">
        <v>9954383</v>
      </c>
      <c r="J87" s="74">
        <v>45637</v>
      </c>
      <c r="K87" s="98">
        <v>45642</v>
      </c>
      <c r="L87" s="98">
        <v>45644</v>
      </c>
    </row>
    <row r="88" spans="1:12" ht="21.75" customHeight="1" x14ac:dyDescent="0.25">
      <c r="A88" s="24">
        <v>86</v>
      </c>
      <c r="B88" s="29">
        <v>1462</v>
      </c>
      <c r="C88" s="43" t="s">
        <v>48</v>
      </c>
      <c r="D88" s="28">
        <v>375</v>
      </c>
      <c r="E88" s="27">
        <v>0.4</v>
      </c>
      <c r="F88" s="27">
        <f t="shared" si="2"/>
        <v>150</v>
      </c>
      <c r="G88" s="27">
        <f>146.25+3.75</f>
        <v>150</v>
      </c>
      <c r="H88" s="27">
        <f t="shared" si="3"/>
        <v>0</v>
      </c>
      <c r="I88" s="25">
        <v>9664038</v>
      </c>
      <c r="J88" s="74">
        <v>45601</v>
      </c>
      <c r="K88" s="98">
        <v>45630</v>
      </c>
    </row>
    <row r="89" spans="1:12" ht="21.75" customHeight="1" x14ac:dyDescent="0.25">
      <c r="A89" s="24">
        <v>87</v>
      </c>
      <c r="B89" s="29">
        <v>1463</v>
      </c>
      <c r="C89" s="43" t="s">
        <v>50</v>
      </c>
      <c r="D89" s="28">
        <v>576.6</v>
      </c>
      <c r="E89" s="27">
        <v>0.4</v>
      </c>
      <c r="F89" s="27">
        <f t="shared" si="2"/>
        <v>230.64000000000001</v>
      </c>
      <c r="G89" s="27">
        <f>F89</f>
        <v>230.64000000000001</v>
      </c>
      <c r="H89" s="27">
        <f t="shared" si="3"/>
        <v>0</v>
      </c>
      <c r="I89" s="25">
        <v>3798072</v>
      </c>
      <c r="J89" s="74">
        <v>45643</v>
      </c>
    </row>
    <row r="90" spans="1:12" ht="21.75" customHeight="1" x14ac:dyDescent="0.25">
      <c r="A90" s="19">
        <v>88</v>
      </c>
      <c r="B90" s="23">
        <v>1464</v>
      </c>
      <c r="C90" s="31" t="s">
        <v>335</v>
      </c>
      <c r="D90" s="41">
        <v>700</v>
      </c>
      <c r="E90" s="15">
        <v>0.4</v>
      </c>
      <c r="F90" s="14">
        <f t="shared" si="2"/>
        <v>280</v>
      </c>
      <c r="G90" s="14">
        <f>F90</f>
        <v>280</v>
      </c>
      <c r="H90" s="14">
        <f t="shared" si="3"/>
        <v>0</v>
      </c>
      <c r="I90" s="20">
        <v>6352996</v>
      </c>
      <c r="J90" s="33"/>
    </row>
    <row r="91" spans="1:12" ht="21.75" customHeight="1" x14ac:dyDescent="0.25">
      <c r="A91" s="11">
        <v>89</v>
      </c>
      <c r="B91" s="23">
        <v>1467</v>
      </c>
      <c r="C91" s="20" t="s">
        <v>337</v>
      </c>
      <c r="D91" s="41">
        <v>480.5</v>
      </c>
      <c r="E91" s="15">
        <v>0.4</v>
      </c>
      <c r="F91" s="14">
        <f t="shared" si="2"/>
        <v>192.20000000000002</v>
      </c>
      <c r="G91" s="14">
        <f>F91</f>
        <v>192.20000000000002</v>
      </c>
      <c r="H91" s="14">
        <f t="shared" si="3"/>
        <v>0</v>
      </c>
      <c r="I91" s="20">
        <v>4279933</v>
      </c>
      <c r="J91" s="33"/>
    </row>
    <row r="92" spans="1:12" ht="21.75" customHeight="1" x14ac:dyDescent="0.25">
      <c r="A92" s="24">
        <v>90</v>
      </c>
      <c r="B92" s="29">
        <v>1468</v>
      </c>
      <c r="C92" s="167" t="s">
        <v>149</v>
      </c>
      <c r="D92" s="28">
        <v>724</v>
      </c>
      <c r="E92" s="27">
        <v>0.4</v>
      </c>
      <c r="F92" s="27">
        <f t="shared" si="2"/>
        <v>289.60000000000002</v>
      </c>
      <c r="G92" s="27">
        <f>286.86+2.74</f>
        <v>289.60000000000002</v>
      </c>
      <c r="H92" s="27">
        <f t="shared" si="3"/>
        <v>0</v>
      </c>
      <c r="I92" s="25">
        <v>6996485</v>
      </c>
      <c r="J92" s="74">
        <v>45642</v>
      </c>
      <c r="K92" s="98">
        <v>45684</v>
      </c>
    </row>
    <row r="93" spans="1:12" ht="27" customHeight="1" x14ac:dyDescent="0.2">
      <c r="A93" s="11">
        <v>91</v>
      </c>
      <c r="B93" s="62">
        <v>1472</v>
      </c>
      <c r="C93" s="31" t="s">
        <v>339</v>
      </c>
      <c r="D93" s="41">
        <v>655.6</v>
      </c>
      <c r="E93" s="15">
        <v>0.4</v>
      </c>
      <c r="F93" s="14">
        <f t="shared" si="2"/>
        <v>262.24</v>
      </c>
      <c r="G93" s="14">
        <f>F93</f>
        <v>262.24</v>
      </c>
      <c r="H93" s="14">
        <f t="shared" si="3"/>
        <v>0</v>
      </c>
      <c r="I93" s="20">
        <v>962967</v>
      </c>
      <c r="J93" s="33"/>
    </row>
    <row r="94" spans="1:12" ht="21.75" customHeight="1" x14ac:dyDescent="0.25">
      <c r="A94" s="19">
        <v>92</v>
      </c>
      <c r="B94" s="23">
        <v>1473</v>
      </c>
      <c r="C94" s="31" t="s">
        <v>341</v>
      </c>
      <c r="D94" s="41">
        <v>648.70000000000005</v>
      </c>
      <c r="E94" s="15">
        <v>0.4</v>
      </c>
      <c r="F94" s="14">
        <f t="shared" si="2"/>
        <v>259.48</v>
      </c>
      <c r="G94" s="14">
        <f>F94</f>
        <v>259.48</v>
      </c>
      <c r="H94" s="14">
        <f t="shared" si="3"/>
        <v>0</v>
      </c>
      <c r="I94" s="20">
        <v>18722784</v>
      </c>
      <c r="J94" s="19"/>
    </row>
    <row r="95" spans="1:12" ht="21.75" customHeight="1" x14ac:dyDescent="0.25">
      <c r="A95" s="24">
        <v>93</v>
      </c>
      <c r="B95" s="29">
        <v>1475</v>
      </c>
      <c r="C95" s="167" t="s">
        <v>151</v>
      </c>
      <c r="D95" s="28">
        <v>382.2</v>
      </c>
      <c r="E95" s="27">
        <v>0.4</v>
      </c>
      <c r="F95" s="27">
        <f t="shared" si="2"/>
        <v>152.88</v>
      </c>
      <c r="G95" s="27">
        <f>149.13+3.75</f>
        <v>152.88</v>
      </c>
      <c r="H95" s="27">
        <f t="shared" si="3"/>
        <v>0</v>
      </c>
      <c r="I95" s="25">
        <v>4584011</v>
      </c>
      <c r="J95" s="75">
        <v>45684</v>
      </c>
      <c r="K95" s="98">
        <v>45691</v>
      </c>
    </row>
    <row r="96" spans="1:12" ht="21.75" customHeight="1" x14ac:dyDescent="0.25">
      <c r="A96" s="24">
        <v>94</v>
      </c>
      <c r="B96" s="29">
        <v>1476</v>
      </c>
      <c r="C96" s="25" t="s">
        <v>343</v>
      </c>
      <c r="D96" s="28">
        <v>363.3</v>
      </c>
      <c r="E96" s="27">
        <v>0.4</v>
      </c>
      <c r="F96" s="27">
        <f t="shared" si="2"/>
        <v>145.32000000000002</v>
      </c>
      <c r="G96" s="27">
        <f>143.08+2.24</f>
        <v>145.32000000000002</v>
      </c>
      <c r="H96" s="27">
        <f t="shared" si="3"/>
        <v>0</v>
      </c>
      <c r="I96" s="25">
        <v>5486858</v>
      </c>
      <c r="J96" s="75">
        <v>45607</v>
      </c>
      <c r="K96" s="98">
        <v>45621</v>
      </c>
    </row>
    <row r="97" spans="1:14" ht="21.75" customHeight="1" x14ac:dyDescent="0.25">
      <c r="A97" s="24">
        <v>95</v>
      </c>
      <c r="B97" s="29">
        <v>1477</v>
      </c>
      <c r="C97" s="43" t="s">
        <v>345</v>
      </c>
      <c r="D97" s="28">
        <v>364.6</v>
      </c>
      <c r="E97" s="27">
        <v>0.4</v>
      </c>
      <c r="F97" s="27">
        <f t="shared" si="2"/>
        <v>145.84</v>
      </c>
      <c r="G97" s="27">
        <f>F97</f>
        <v>145.84</v>
      </c>
      <c r="H97" s="27">
        <f t="shared" si="3"/>
        <v>0</v>
      </c>
      <c r="I97" s="25">
        <v>18656494</v>
      </c>
      <c r="J97" s="75">
        <v>45691</v>
      </c>
    </row>
    <row r="98" spans="1:14" ht="21.75" customHeight="1" x14ac:dyDescent="0.25">
      <c r="A98" s="24">
        <v>96</v>
      </c>
      <c r="B98" s="29">
        <v>1480</v>
      </c>
      <c r="C98" s="43" t="s">
        <v>347</v>
      </c>
      <c r="D98" s="28">
        <v>373</v>
      </c>
      <c r="E98" s="27">
        <v>0.4</v>
      </c>
      <c r="F98" s="27">
        <f t="shared" si="2"/>
        <v>149.20000000000002</v>
      </c>
      <c r="G98" s="27">
        <f>F98</f>
        <v>149.20000000000002</v>
      </c>
      <c r="H98" s="27">
        <f t="shared" si="3"/>
        <v>0</v>
      </c>
      <c r="I98" s="25">
        <v>19820777</v>
      </c>
      <c r="J98" s="307">
        <v>45684</v>
      </c>
    </row>
    <row r="99" spans="1:14" s="17" customFormat="1" ht="21.75" customHeight="1" x14ac:dyDescent="0.25">
      <c r="A99" s="92">
        <v>97</v>
      </c>
      <c r="B99" s="93">
        <v>1482</v>
      </c>
      <c r="C99" s="94" t="s">
        <v>349</v>
      </c>
      <c r="D99" s="95">
        <v>596.5</v>
      </c>
      <c r="E99" s="96">
        <v>0.4</v>
      </c>
      <c r="F99" s="96">
        <f t="shared" si="2"/>
        <v>238.60000000000002</v>
      </c>
      <c r="G99" s="96">
        <f>F99</f>
        <v>238.60000000000002</v>
      </c>
      <c r="H99" s="96">
        <f t="shared" si="3"/>
        <v>0</v>
      </c>
      <c r="I99" s="97">
        <v>4024306</v>
      </c>
      <c r="J99" s="330">
        <v>45691</v>
      </c>
      <c r="L99" s="5"/>
    </row>
    <row r="100" spans="1:14" s="17" customFormat="1" ht="26.25" customHeight="1" x14ac:dyDescent="0.25">
      <c r="A100" s="24">
        <v>98</v>
      </c>
      <c r="B100" s="29">
        <v>1485</v>
      </c>
      <c r="C100" s="43" t="s">
        <v>352</v>
      </c>
      <c r="D100" s="28">
        <v>425</v>
      </c>
      <c r="E100" s="27">
        <v>0.4</v>
      </c>
      <c r="F100" s="27">
        <f t="shared" si="2"/>
        <v>170</v>
      </c>
      <c r="G100" s="27">
        <f>168.39+1.61</f>
        <v>170</v>
      </c>
      <c r="H100" s="27">
        <f t="shared" si="3"/>
        <v>0</v>
      </c>
      <c r="I100" s="25">
        <v>18585573</v>
      </c>
      <c r="J100" s="75">
        <v>45607</v>
      </c>
      <c r="K100" s="118">
        <v>45621</v>
      </c>
      <c r="L100" s="5"/>
    </row>
    <row r="101" spans="1:14" s="17" customFormat="1" ht="26.25" customHeight="1" x14ac:dyDescent="0.25">
      <c r="A101" s="24">
        <v>99</v>
      </c>
      <c r="B101" s="29">
        <v>1487</v>
      </c>
      <c r="C101" s="304" t="s">
        <v>354</v>
      </c>
      <c r="D101" s="28">
        <v>10</v>
      </c>
      <c r="E101" s="27">
        <v>0.4</v>
      </c>
      <c r="F101" s="27">
        <f t="shared" si="2"/>
        <v>4</v>
      </c>
      <c r="G101" s="27">
        <f>F101</f>
        <v>4</v>
      </c>
      <c r="H101" s="27">
        <f t="shared" si="3"/>
        <v>0</v>
      </c>
      <c r="I101" s="56">
        <v>19315674</v>
      </c>
      <c r="J101" s="74">
        <v>45658</v>
      </c>
    </row>
    <row r="102" spans="1:14" s="17" customFormat="1" ht="21.75" customHeight="1" x14ac:dyDescent="0.25">
      <c r="A102" s="24">
        <v>100</v>
      </c>
      <c r="B102" s="29">
        <v>1700</v>
      </c>
      <c r="C102" s="43" t="s">
        <v>356</v>
      </c>
      <c r="D102" s="28">
        <v>724</v>
      </c>
      <c r="E102" s="27">
        <v>0.4</v>
      </c>
      <c r="F102" s="27">
        <f t="shared" si="2"/>
        <v>289.60000000000002</v>
      </c>
      <c r="G102" s="27">
        <f>288.68+0.92</f>
        <v>289.60000000000002</v>
      </c>
      <c r="H102" s="27">
        <f t="shared" si="3"/>
        <v>0</v>
      </c>
      <c r="I102" s="25">
        <v>6332437</v>
      </c>
      <c r="J102" s="75">
        <v>45607</v>
      </c>
      <c r="K102" s="118">
        <v>45637</v>
      </c>
    </row>
    <row r="103" spans="1:14" s="17" customFormat="1" ht="21.75" customHeight="1" x14ac:dyDescent="0.25">
      <c r="A103" s="11">
        <v>101</v>
      </c>
      <c r="B103" s="23">
        <v>1702</v>
      </c>
      <c r="C103" s="31" t="s">
        <v>359</v>
      </c>
      <c r="D103" s="41">
        <v>566.4</v>
      </c>
      <c r="E103" s="15">
        <v>0.4</v>
      </c>
      <c r="F103" s="14">
        <f t="shared" si="2"/>
        <v>226.56</v>
      </c>
      <c r="G103" s="14">
        <f>F103</f>
        <v>226.56</v>
      </c>
      <c r="H103" s="14">
        <f t="shared" si="3"/>
        <v>0</v>
      </c>
      <c r="I103" s="20">
        <v>1572875</v>
      </c>
      <c r="J103" s="19"/>
    </row>
    <row r="104" spans="1:14" s="17" customFormat="1" ht="21.75" customHeight="1" x14ac:dyDescent="0.25">
      <c r="A104" s="19">
        <v>102</v>
      </c>
      <c r="B104" s="23">
        <v>1704</v>
      </c>
      <c r="C104" s="31" t="s">
        <v>361</v>
      </c>
      <c r="D104" s="41">
        <v>543</v>
      </c>
      <c r="E104" s="15">
        <v>0.4</v>
      </c>
      <c r="F104" s="14">
        <f t="shared" si="2"/>
        <v>217.20000000000002</v>
      </c>
      <c r="G104" s="14">
        <f>F104</f>
        <v>217.20000000000002</v>
      </c>
      <c r="H104" s="14">
        <f t="shared" si="3"/>
        <v>0</v>
      </c>
      <c r="I104" s="20">
        <v>19235157</v>
      </c>
      <c r="J104" s="19"/>
    </row>
    <row r="105" spans="1:14" s="17" customFormat="1" ht="21.75" customHeight="1" x14ac:dyDescent="0.25">
      <c r="A105" s="24">
        <v>103</v>
      </c>
      <c r="B105" s="29">
        <v>1706</v>
      </c>
      <c r="C105" s="43" t="s">
        <v>153</v>
      </c>
      <c r="D105" s="28">
        <v>332</v>
      </c>
      <c r="E105" s="27">
        <v>0.4</v>
      </c>
      <c r="F105" s="27">
        <f t="shared" si="2"/>
        <v>132.80000000000001</v>
      </c>
      <c r="G105" s="27">
        <f>132.63+0.17</f>
        <v>132.79999999999998</v>
      </c>
      <c r="H105" s="27">
        <f t="shared" si="3"/>
        <v>0</v>
      </c>
      <c r="I105" s="25">
        <v>2520947</v>
      </c>
      <c r="J105" s="75">
        <v>45656</v>
      </c>
      <c r="K105" s="118">
        <v>45677</v>
      </c>
    </row>
    <row r="106" spans="1:14" s="17" customFormat="1" ht="21.75" customHeight="1" x14ac:dyDescent="0.25">
      <c r="A106" s="24">
        <v>104</v>
      </c>
      <c r="B106" s="29">
        <v>1708</v>
      </c>
      <c r="C106" s="43" t="s">
        <v>363</v>
      </c>
      <c r="D106" s="28">
        <v>1167.5999999999999</v>
      </c>
      <c r="E106" s="27">
        <v>0.4</v>
      </c>
      <c r="F106" s="27">
        <f t="shared" si="2"/>
        <v>467.03999999999996</v>
      </c>
      <c r="G106" s="27">
        <f>28.7+97+194+97+50.34</f>
        <v>467.03999999999996</v>
      </c>
      <c r="H106" s="27">
        <f t="shared" si="3"/>
        <v>0</v>
      </c>
      <c r="I106" s="25">
        <v>1331691</v>
      </c>
      <c r="J106" s="75">
        <v>45623</v>
      </c>
      <c r="K106" s="118">
        <v>45628</v>
      </c>
      <c r="L106" s="118">
        <v>45637</v>
      </c>
      <c r="M106" s="118">
        <v>45642</v>
      </c>
      <c r="N106" s="118">
        <v>45644</v>
      </c>
    </row>
    <row r="107" spans="1:14" s="17" customFormat="1" ht="21.75" customHeight="1" x14ac:dyDescent="0.25">
      <c r="A107" s="11">
        <v>105</v>
      </c>
      <c r="B107" s="23">
        <v>1709</v>
      </c>
      <c r="C107" s="31" t="s">
        <v>365</v>
      </c>
      <c r="D107" s="41">
        <v>365</v>
      </c>
      <c r="E107" s="15">
        <v>0.4</v>
      </c>
      <c r="F107" s="14">
        <f t="shared" si="2"/>
        <v>146</v>
      </c>
      <c r="G107" s="14">
        <f>F107</f>
        <v>146</v>
      </c>
      <c r="H107" s="14">
        <f t="shared" si="3"/>
        <v>0</v>
      </c>
      <c r="I107" s="20">
        <v>2406629</v>
      </c>
      <c r="J107" s="19"/>
    </row>
    <row r="108" spans="1:14" s="17" customFormat="1" ht="21.75" customHeight="1" x14ac:dyDescent="0.25">
      <c r="A108" s="24">
        <v>106</v>
      </c>
      <c r="B108" s="29">
        <v>1711</v>
      </c>
      <c r="C108" s="43" t="s">
        <v>55</v>
      </c>
      <c r="D108" s="28">
        <v>592.6</v>
      </c>
      <c r="E108" s="27">
        <v>0.4</v>
      </c>
      <c r="F108" s="27">
        <f t="shared" si="2"/>
        <v>237.04000000000002</v>
      </c>
      <c r="G108" s="27">
        <f>F108</f>
        <v>237.04000000000002</v>
      </c>
      <c r="H108" s="27">
        <f t="shared" si="3"/>
        <v>0</v>
      </c>
      <c r="I108" s="25">
        <v>638353</v>
      </c>
      <c r="J108" s="75">
        <v>45691</v>
      </c>
    </row>
    <row r="109" spans="1:14" s="17" customFormat="1" ht="21.75" customHeight="1" x14ac:dyDescent="0.25">
      <c r="A109" s="24">
        <v>107</v>
      </c>
      <c r="B109" s="29">
        <v>1712</v>
      </c>
      <c r="C109" s="43" t="s">
        <v>57</v>
      </c>
      <c r="D109" s="28">
        <v>375</v>
      </c>
      <c r="E109" s="27">
        <v>0.4</v>
      </c>
      <c r="F109" s="27">
        <f t="shared" si="2"/>
        <v>150</v>
      </c>
      <c r="G109" s="27">
        <f>147.68+2.32</f>
        <v>150</v>
      </c>
      <c r="H109" s="27">
        <f t="shared" si="3"/>
        <v>0</v>
      </c>
      <c r="I109" s="25">
        <v>788958</v>
      </c>
      <c r="J109" s="75">
        <v>45643</v>
      </c>
      <c r="K109" s="118">
        <v>45665</v>
      </c>
    </row>
    <row r="110" spans="1:14" s="17" customFormat="1" ht="21.75" customHeight="1" x14ac:dyDescent="0.25">
      <c r="A110" s="24">
        <v>108</v>
      </c>
      <c r="B110" s="29">
        <v>1713</v>
      </c>
      <c r="C110" s="43" t="s">
        <v>157</v>
      </c>
      <c r="D110" s="28">
        <v>409</v>
      </c>
      <c r="E110" s="27">
        <v>0.4</v>
      </c>
      <c r="F110" s="27">
        <f t="shared" si="2"/>
        <v>163.60000000000002</v>
      </c>
      <c r="G110" s="27">
        <f>159.75+3.85</f>
        <v>163.6</v>
      </c>
      <c r="H110" s="27">
        <f t="shared" si="3"/>
        <v>0</v>
      </c>
      <c r="I110" s="25">
        <v>19890467</v>
      </c>
      <c r="J110" s="75">
        <v>45602</v>
      </c>
      <c r="K110" s="118">
        <v>45635</v>
      </c>
    </row>
    <row r="111" spans="1:14" s="17" customFormat="1" ht="21.75" customHeight="1" x14ac:dyDescent="0.25">
      <c r="A111" s="24">
        <v>109</v>
      </c>
      <c r="B111" s="29">
        <v>1714</v>
      </c>
      <c r="C111" s="43" t="s">
        <v>59</v>
      </c>
      <c r="D111" s="28">
        <v>367.6</v>
      </c>
      <c r="E111" s="27">
        <v>0.4</v>
      </c>
      <c r="F111" s="27">
        <f t="shared" si="2"/>
        <v>147.04000000000002</v>
      </c>
      <c r="G111" s="27">
        <f>F111</f>
        <v>147.04000000000002</v>
      </c>
      <c r="H111" s="27">
        <f t="shared" si="3"/>
        <v>0</v>
      </c>
      <c r="I111" s="25">
        <v>6285703</v>
      </c>
      <c r="J111" s="24" t="s">
        <v>539</v>
      </c>
    </row>
    <row r="112" spans="1:14" s="17" customFormat="1" ht="21.75" customHeight="1" x14ac:dyDescent="0.25">
      <c r="A112" s="24">
        <v>110</v>
      </c>
      <c r="B112" s="29">
        <v>1715</v>
      </c>
      <c r="C112" s="43" t="s">
        <v>62</v>
      </c>
      <c r="D112" s="28">
        <v>250.7</v>
      </c>
      <c r="E112" s="27">
        <v>0.4</v>
      </c>
      <c r="F112" s="27">
        <f t="shared" si="2"/>
        <v>100.28</v>
      </c>
      <c r="G112" s="27">
        <f>F112</f>
        <v>100.28</v>
      </c>
      <c r="H112" s="27">
        <f t="shared" si="3"/>
        <v>0</v>
      </c>
      <c r="I112" s="25">
        <v>6511663</v>
      </c>
      <c r="J112" s="75">
        <v>45630</v>
      </c>
    </row>
    <row r="113" spans="1:11" s="17" customFormat="1" ht="21.75" customHeight="1" x14ac:dyDescent="0.25">
      <c r="A113" s="24">
        <v>111</v>
      </c>
      <c r="B113" s="29">
        <v>1716</v>
      </c>
      <c r="C113" s="43" t="s">
        <v>368</v>
      </c>
      <c r="D113" s="28">
        <v>798</v>
      </c>
      <c r="E113" s="27">
        <v>0.4</v>
      </c>
      <c r="F113" s="27">
        <f t="shared" si="2"/>
        <v>319.20000000000005</v>
      </c>
      <c r="G113" s="27">
        <f>314.58+4.62</f>
        <v>319.2</v>
      </c>
      <c r="H113" s="27">
        <f t="shared" si="3"/>
        <v>0</v>
      </c>
      <c r="I113" s="25">
        <v>24147445</v>
      </c>
      <c r="J113" s="75">
        <v>45607</v>
      </c>
      <c r="K113" s="118">
        <v>45630</v>
      </c>
    </row>
    <row r="114" spans="1:11" s="17" customFormat="1" ht="21.75" customHeight="1" x14ac:dyDescent="0.25">
      <c r="A114" s="24">
        <v>112</v>
      </c>
      <c r="B114" s="29">
        <v>1717</v>
      </c>
      <c r="C114" s="43" t="s">
        <v>370</v>
      </c>
      <c r="D114" s="28">
        <v>395.7</v>
      </c>
      <c r="E114" s="27">
        <v>0.4</v>
      </c>
      <c r="F114" s="27">
        <f t="shared" si="2"/>
        <v>158.28</v>
      </c>
      <c r="G114" s="27">
        <f>156.75+1.53</f>
        <v>158.28</v>
      </c>
      <c r="H114" s="27">
        <f t="shared" si="3"/>
        <v>0</v>
      </c>
      <c r="I114" s="25">
        <v>3248965</v>
      </c>
      <c r="J114" s="75">
        <v>45628</v>
      </c>
      <c r="K114" s="118">
        <v>45658</v>
      </c>
    </row>
    <row r="115" spans="1:11" s="54" customFormat="1" ht="21.75" customHeight="1" x14ac:dyDescent="0.25">
      <c r="A115" s="24">
        <v>113</v>
      </c>
      <c r="B115" s="29">
        <v>1718</v>
      </c>
      <c r="C115" s="43" t="s">
        <v>159</v>
      </c>
      <c r="D115" s="28">
        <v>375</v>
      </c>
      <c r="E115" s="27">
        <v>0.4</v>
      </c>
      <c r="F115" s="27">
        <f t="shared" si="2"/>
        <v>150</v>
      </c>
      <c r="G115" s="27">
        <f>F115</f>
        <v>150</v>
      </c>
      <c r="H115" s="27">
        <f t="shared" si="3"/>
        <v>0</v>
      </c>
      <c r="I115" s="25">
        <v>18656137</v>
      </c>
      <c r="J115" s="75">
        <v>45621</v>
      </c>
    </row>
    <row r="116" spans="1:11" s="17" customFormat="1" ht="21.75" customHeight="1" x14ac:dyDescent="0.25">
      <c r="A116" s="19">
        <v>114</v>
      </c>
      <c r="B116" s="23">
        <v>1720</v>
      </c>
      <c r="C116" s="31" t="s">
        <v>372</v>
      </c>
      <c r="D116" s="41">
        <v>375</v>
      </c>
      <c r="E116" s="15">
        <v>0.4</v>
      </c>
      <c r="F116" s="14">
        <f t="shared" si="2"/>
        <v>150</v>
      </c>
      <c r="G116" s="14">
        <f>F116</f>
        <v>150</v>
      </c>
      <c r="H116" s="14">
        <f t="shared" si="3"/>
        <v>0</v>
      </c>
      <c r="I116" s="20">
        <v>6812881</v>
      </c>
      <c r="J116" s="19"/>
    </row>
    <row r="117" spans="1:11" s="17" customFormat="1" ht="21.75" customHeight="1" x14ac:dyDescent="0.25">
      <c r="A117" s="24">
        <v>115</v>
      </c>
      <c r="B117" s="29">
        <v>1722</v>
      </c>
      <c r="C117" s="43" t="s">
        <v>374</v>
      </c>
      <c r="D117" s="28">
        <v>498</v>
      </c>
      <c r="E117" s="27">
        <v>0.4</v>
      </c>
      <c r="F117" s="27">
        <f t="shared" si="2"/>
        <v>199.20000000000002</v>
      </c>
      <c r="G117" s="27">
        <f>198.97+0.23</f>
        <v>199.2</v>
      </c>
      <c r="H117" s="27">
        <f t="shared" si="3"/>
        <v>0</v>
      </c>
      <c r="I117" s="25">
        <v>12979647</v>
      </c>
      <c r="J117" s="75">
        <v>45614</v>
      </c>
      <c r="K117" s="118">
        <v>45637</v>
      </c>
    </row>
    <row r="118" spans="1:11" s="17" customFormat="1" ht="21.75" customHeight="1" x14ac:dyDescent="0.25">
      <c r="A118" s="24">
        <v>116</v>
      </c>
      <c r="B118" s="29">
        <v>1723</v>
      </c>
      <c r="C118" s="43" t="s">
        <v>65</v>
      </c>
      <c r="D118" s="28">
        <v>425</v>
      </c>
      <c r="E118" s="27">
        <v>0.4</v>
      </c>
      <c r="F118" s="27">
        <f t="shared" si="2"/>
        <v>170</v>
      </c>
      <c r="G118" s="27">
        <f>149.1+20.9</f>
        <v>170</v>
      </c>
      <c r="H118" s="27">
        <f t="shared" si="3"/>
        <v>0</v>
      </c>
      <c r="I118" s="25">
        <v>6631224</v>
      </c>
      <c r="J118" s="116">
        <v>45602</v>
      </c>
      <c r="K118" s="118">
        <v>45643</v>
      </c>
    </row>
    <row r="119" spans="1:11" s="17" customFormat="1" ht="21.75" customHeight="1" x14ac:dyDescent="0.25">
      <c r="A119" s="24">
        <v>117</v>
      </c>
      <c r="B119" s="29">
        <v>1724</v>
      </c>
      <c r="C119" s="43" t="s">
        <v>67</v>
      </c>
      <c r="D119" s="28">
        <v>375</v>
      </c>
      <c r="E119" s="27">
        <v>0.4</v>
      </c>
      <c r="F119" s="27">
        <f t="shared" si="2"/>
        <v>150</v>
      </c>
      <c r="G119" s="27">
        <f>145.85+4.15</f>
        <v>150</v>
      </c>
      <c r="H119" s="27">
        <f t="shared" si="3"/>
        <v>0</v>
      </c>
      <c r="I119" s="25">
        <v>10795143</v>
      </c>
      <c r="J119" s="75">
        <v>45601</v>
      </c>
      <c r="K119" s="118">
        <v>45630</v>
      </c>
    </row>
    <row r="120" spans="1:11" s="17" customFormat="1" ht="21.75" customHeight="1" x14ac:dyDescent="0.25">
      <c r="A120" s="19">
        <v>118</v>
      </c>
      <c r="B120" s="23">
        <v>1725</v>
      </c>
      <c r="C120" s="31" t="s">
        <v>377</v>
      </c>
      <c r="D120" s="41">
        <v>717.9</v>
      </c>
      <c r="E120" s="15">
        <v>0.4</v>
      </c>
      <c r="F120" s="14">
        <f t="shared" si="2"/>
        <v>287.16000000000003</v>
      </c>
      <c r="G120" s="14">
        <f>F120</f>
        <v>287.16000000000003</v>
      </c>
      <c r="H120" s="14">
        <f t="shared" si="3"/>
        <v>0</v>
      </c>
      <c r="I120" s="20">
        <v>2223414</v>
      </c>
      <c r="J120" s="19"/>
    </row>
    <row r="121" spans="1:11" s="17" customFormat="1" ht="21.75" customHeight="1" x14ac:dyDescent="0.25">
      <c r="A121" s="24">
        <v>119</v>
      </c>
      <c r="B121" s="29">
        <v>1726</v>
      </c>
      <c r="C121" s="43" t="s">
        <v>379</v>
      </c>
      <c r="D121" s="28">
        <v>568.5</v>
      </c>
      <c r="E121" s="27">
        <v>0.4</v>
      </c>
      <c r="F121" s="27">
        <f t="shared" si="2"/>
        <v>227.4</v>
      </c>
      <c r="G121" s="27">
        <f>226.55+0.85</f>
        <v>227.4</v>
      </c>
      <c r="H121" s="27">
        <f t="shared" si="3"/>
        <v>0</v>
      </c>
      <c r="I121" s="25">
        <v>5440535</v>
      </c>
      <c r="J121" s="75">
        <v>45600</v>
      </c>
      <c r="K121" s="118">
        <v>45628</v>
      </c>
    </row>
    <row r="122" spans="1:11" s="17" customFormat="1" ht="21.75" customHeight="1" x14ac:dyDescent="0.25">
      <c r="A122" s="19">
        <v>120</v>
      </c>
      <c r="B122" s="23">
        <v>1728</v>
      </c>
      <c r="C122" s="31" t="s">
        <v>13</v>
      </c>
      <c r="D122" s="41">
        <v>399</v>
      </c>
      <c r="E122" s="15">
        <v>0.4</v>
      </c>
      <c r="F122" s="14">
        <f t="shared" si="2"/>
        <v>159.60000000000002</v>
      </c>
      <c r="G122" s="14">
        <f>F122</f>
        <v>159.60000000000002</v>
      </c>
      <c r="H122" s="14">
        <f t="shared" si="3"/>
        <v>0</v>
      </c>
      <c r="I122" s="20">
        <v>8977778</v>
      </c>
      <c r="J122" s="11"/>
    </row>
    <row r="123" spans="1:11" s="17" customFormat="1" ht="21.75" customHeight="1" x14ac:dyDescent="0.25">
      <c r="A123" s="24">
        <v>121</v>
      </c>
      <c r="B123" s="29">
        <v>1729</v>
      </c>
      <c r="C123" s="43" t="s">
        <v>382</v>
      </c>
      <c r="D123" s="28">
        <v>345.7</v>
      </c>
      <c r="E123" s="27">
        <v>0.4</v>
      </c>
      <c r="F123" s="27">
        <f t="shared" si="2"/>
        <v>138.28</v>
      </c>
      <c r="G123" s="27">
        <f>138.27+0.01</f>
        <v>138.28</v>
      </c>
      <c r="H123" s="27">
        <f t="shared" si="3"/>
        <v>0</v>
      </c>
      <c r="I123" s="25">
        <v>22975081</v>
      </c>
      <c r="J123" s="75">
        <v>45601</v>
      </c>
      <c r="K123" s="118">
        <v>45630</v>
      </c>
    </row>
    <row r="124" spans="1:11" s="17" customFormat="1" ht="21.75" customHeight="1" x14ac:dyDescent="0.25">
      <c r="A124" s="24">
        <v>122</v>
      </c>
      <c r="B124" s="29">
        <v>1730</v>
      </c>
      <c r="C124" s="43" t="s">
        <v>162</v>
      </c>
      <c r="D124" s="28">
        <v>439.9</v>
      </c>
      <c r="E124" s="27">
        <v>0.4</v>
      </c>
      <c r="F124" s="27">
        <f t="shared" si="2"/>
        <v>175.96</v>
      </c>
      <c r="G124" s="27">
        <f>174.8+1.16</f>
        <v>175.96</v>
      </c>
      <c r="H124" s="27">
        <f t="shared" si="3"/>
        <v>0</v>
      </c>
      <c r="I124" s="25">
        <v>18458405</v>
      </c>
      <c r="J124" s="75">
        <v>45601</v>
      </c>
      <c r="K124" s="17" t="s">
        <v>540</v>
      </c>
    </row>
    <row r="125" spans="1:11" s="17" customFormat="1" ht="21.75" customHeight="1" x14ac:dyDescent="0.25">
      <c r="A125" s="24">
        <v>123</v>
      </c>
      <c r="B125" s="29">
        <v>1731</v>
      </c>
      <c r="C125" s="43" t="s">
        <v>384</v>
      </c>
      <c r="D125" s="28">
        <v>391.9</v>
      </c>
      <c r="E125" s="27">
        <v>0.4</v>
      </c>
      <c r="F125" s="27">
        <f t="shared" si="2"/>
        <v>156.76</v>
      </c>
      <c r="G125" s="27">
        <f>154.66+2.1</f>
        <v>156.76</v>
      </c>
      <c r="H125" s="27">
        <f t="shared" si="3"/>
        <v>0</v>
      </c>
      <c r="I125" s="25">
        <v>604651</v>
      </c>
      <c r="J125" s="75">
        <v>45602</v>
      </c>
      <c r="K125" s="17" t="s">
        <v>541</v>
      </c>
    </row>
    <row r="126" spans="1:11" s="17" customFormat="1" ht="21.75" customHeight="1" x14ac:dyDescent="0.25">
      <c r="A126" s="19">
        <v>124</v>
      </c>
      <c r="B126" s="23">
        <v>1733</v>
      </c>
      <c r="C126" s="31" t="s">
        <v>386</v>
      </c>
      <c r="D126" s="41">
        <v>388.1</v>
      </c>
      <c r="E126" s="15">
        <v>0.4</v>
      </c>
      <c r="F126" s="14">
        <f t="shared" si="2"/>
        <v>155.24</v>
      </c>
      <c r="G126" s="14">
        <f>F126</f>
        <v>155.24</v>
      </c>
      <c r="H126" s="14">
        <f t="shared" si="3"/>
        <v>0</v>
      </c>
      <c r="I126" s="20">
        <v>24598302</v>
      </c>
      <c r="J126" s="19"/>
    </row>
    <row r="127" spans="1:11" s="17" customFormat="1" ht="21.75" customHeight="1" x14ac:dyDescent="0.25">
      <c r="A127" s="11">
        <v>125</v>
      </c>
      <c r="B127" s="23">
        <v>1734</v>
      </c>
      <c r="C127" s="31" t="s">
        <v>388</v>
      </c>
      <c r="D127" s="41">
        <v>400</v>
      </c>
      <c r="E127" s="15">
        <v>0.4</v>
      </c>
      <c r="F127" s="14">
        <f t="shared" si="2"/>
        <v>160</v>
      </c>
      <c r="G127" s="14">
        <f>F127</f>
        <v>160</v>
      </c>
      <c r="H127" s="14">
        <f t="shared" si="3"/>
        <v>0</v>
      </c>
      <c r="I127" s="20">
        <v>1105552</v>
      </c>
      <c r="J127" s="19"/>
    </row>
    <row r="128" spans="1:11" s="17" customFormat="1" ht="21.75" customHeight="1" x14ac:dyDescent="0.25">
      <c r="A128" s="24">
        <v>126</v>
      </c>
      <c r="B128" s="29">
        <v>1736</v>
      </c>
      <c r="C128" s="43" t="s">
        <v>164</v>
      </c>
      <c r="D128" s="28">
        <v>350</v>
      </c>
      <c r="E128" s="27">
        <v>0.4</v>
      </c>
      <c r="F128" s="27">
        <f t="shared" si="2"/>
        <v>140</v>
      </c>
      <c r="G128" s="27">
        <f>121.77+18.23</f>
        <v>140</v>
      </c>
      <c r="H128" s="27">
        <f t="shared" si="3"/>
        <v>0</v>
      </c>
      <c r="I128" s="25">
        <v>960639</v>
      </c>
      <c r="J128" s="75">
        <v>45621</v>
      </c>
      <c r="K128" s="118">
        <v>45643</v>
      </c>
    </row>
    <row r="129" spans="1:16" s="17" customFormat="1" ht="21.75" customHeight="1" x14ac:dyDescent="0.25">
      <c r="A129" s="24">
        <v>127</v>
      </c>
      <c r="B129" s="29">
        <v>1737</v>
      </c>
      <c r="C129" s="25" t="s">
        <v>390</v>
      </c>
      <c r="D129" s="28">
        <v>375</v>
      </c>
      <c r="E129" s="27">
        <v>0.4</v>
      </c>
      <c r="F129" s="27">
        <f t="shared" si="2"/>
        <v>150</v>
      </c>
      <c r="G129" s="27">
        <f>147.71+2.29</f>
        <v>150</v>
      </c>
      <c r="H129" s="27">
        <f t="shared" si="3"/>
        <v>0</v>
      </c>
      <c r="I129" s="25">
        <v>5566367</v>
      </c>
      <c r="J129" s="118">
        <v>45635</v>
      </c>
    </row>
    <row r="130" spans="1:16" s="17" customFormat="1" ht="21.75" customHeight="1" x14ac:dyDescent="0.25">
      <c r="A130" s="92">
        <v>128</v>
      </c>
      <c r="B130" s="93">
        <v>1738</v>
      </c>
      <c r="C130" s="94" t="s">
        <v>166</v>
      </c>
      <c r="D130" s="95">
        <v>372</v>
      </c>
      <c r="E130" s="96">
        <v>0.4</v>
      </c>
      <c r="F130" s="96">
        <f t="shared" si="2"/>
        <v>148.80000000000001</v>
      </c>
      <c r="G130" s="96">
        <f>F130</f>
        <v>148.80000000000001</v>
      </c>
      <c r="H130" s="96">
        <f t="shared" si="3"/>
        <v>0</v>
      </c>
      <c r="I130" s="97">
        <v>23187863</v>
      </c>
      <c r="J130" s="325" t="s">
        <v>168</v>
      </c>
    </row>
    <row r="131" spans="1:16" s="17" customFormat="1" ht="21.75" customHeight="1" x14ac:dyDescent="0.25">
      <c r="A131" s="24">
        <v>129</v>
      </c>
      <c r="B131" s="29">
        <v>1740</v>
      </c>
      <c r="C131" s="43" t="s">
        <v>392</v>
      </c>
      <c r="D131" s="28">
        <v>524</v>
      </c>
      <c r="E131" s="27">
        <v>0.4</v>
      </c>
      <c r="F131" s="27">
        <f t="shared" si="2"/>
        <v>209.60000000000002</v>
      </c>
      <c r="G131" s="27">
        <f>205.16</f>
        <v>205.16</v>
      </c>
      <c r="H131" s="27">
        <f t="shared" si="3"/>
        <v>4.4400000000000261</v>
      </c>
      <c r="I131" s="25">
        <v>750305</v>
      </c>
      <c r="J131" s="75">
        <v>45602</v>
      </c>
    </row>
    <row r="132" spans="1:16" s="17" customFormat="1" ht="21.75" customHeight="1" x14ac:dyDescent="0.25">
      <c r="A132" s="19">
        <v>130</v>
      </c>
      <c r="B132" s="23">
        <v>1741</v>
      </c>
      <c r="C132" s="31" t="s">
        <v>394</v>
      </c>
      <c r="D132" s="41">
        <v>1256.5</v>
      </c>
      <c r="E132" s="15">
        <v>0.4</v>
      </c>
      <c r="F132" s="14">
        <f t="shared" ref="F132:F195" si="4">D132*E132</f>
        <v>502.6</v>
      </c>
      <c r="G132" s="14">
        <f>F132</f>
        <v>502.6</v>
      </c>
      <c r="H132" s="14">
        <f t="shared" ref="H132:H195" si="5">F132-G132</f>
        <v>0</v>
      </c>
      <c r="I132" s="20">
        <v>3439836</v>
      </c>
      <c r="J132" s="19"/>
    </row>
    <row r="133" spans="1:16" s="17" customFormat="1" ht="21.75" customHeight="1" x14ac:dyDescent="0.25">
      <c r="A133" s="11">
        <v>131</v>
      </c>
      <c r="B133" s="23">
        <v>1742</v>
      </c>
      <c r="C133" s="31" t="s">
        <v>396</v>
      </c>
      <c r="D133" s="41">
        <v>425</v>
      </c>
      <c r="E133" s="15">
        <v>0.4</v>
      </c>
      <c r="F133" s="14">
        <f t="shared" si="4"/>
        <v>170</v>
      </c>
      <c r="G133" s="14">
        <f>F133</f>
        <v>170</v>
      </c>
      <c r="H133" s="14">
        <f t="shared" si="5"/>
        <v>0</v>
      </c>
      <c r="I133" s="20">
        <v>7534942</v>
      </c>
      <c r="J133" s="19"/>
    </row>
    <row r="134" spans="1:16" s="17" customFormat="1" ht="21.75" customHeight="1" x14ac:dyDescent="0.25">
      <c r="A134" s="24">
        <v>132</v>
      </c>
      <c r="B134" s="29">
        <v>1743</v>
      </c>
      <c r="C134" s="43" t="s">
        <v>398</v>
      </c>
      <c r="D134" s="28">
        <v>720.5</v>
      </c>
      <c r="E134" s="27">
        <v>0.4</v>
      </c>
      <c r="F134" s="27">
        <f t="shared" si="4"/>
        <v>288.2</v>
      </c>
      <c r="G134" s="27">
        <f>285.52+2.68</f>
        <v>288.2</v>
      </c>
      <c r="H134" s="27">
        <f t="shared" si="5"/>
        <v>0</v>
      </c>
      <c r="I134" s="25">
        <v>14028717</v>
      </c>
      <c r="J134" s="75">
        <v>45601</v>
      </c>
      <c r="K134" s="118">
        <v>45621</v>
      </c>
    </row>
    <row r="135" spans="1:16" s="17" customFormat="1" ht="21.75" customHeight="1" x14ac:dyDescent="0.25">
      <c r="A135" s="24">
        <v>133</v>
      </c>
      <c r="B135" s="29">
        <v>1744</v>
      </c>
      <c r="C135" s="43" t="s">
        <v>400</v>
      </c>
      <c r="D135" s="28">
        <v>359.3</v>
      </c>
      <c r="E135" s="27">
        <v>0.4</v>
      </c>
      <c r="F135" s="27">
        <f t="shared" si="4"/>
        <v>143.72</v>
      </c>
      <c r="G135" s="27">
        <f>140.54+3.18</f>
        <v>143.72</v>
      </c>
      <c r="H135" s="27">
        <f t="shared" si="5"/>
        <v>0</v>
      </c>
      <c r="I135" s="25">
        <v>6653046</v>
      </c>
      <c r="J135" s="75">
        <v>45601</v>
      </c>
      <c r="K135" s="116">
        <v>45628</v>
      </c>
    </row>
    <row r="136" spans="1:16" s="17" customFormat="1" ht="21.75" customHeight="1" x14ac:dyDescent="0.25">
      <c r="A136" s="19">
        <v>134</v>
      </c>
      <c r="B136" s="23">
        <v>1745</v>
      </c>
      <c r="C136" s="31" t="s">
        <v>402</v>
      </c>
      <c r="D136" s="41">
        <v>330.3</v>
      </c>
      <c r="E136" s="15">
        <v>0.4</v>
      </c>
      <c r="F136" s="14">
        <f t="shared" si="4"/>
        <v>132.12</v>
      </c>
      <c r="G136" s="14">
        <f>F136</f>
        <v>132.12</v>
      </c>
      <c r="H136" s="14">
        <f t="shared" si="5"/>
        <v>0</v>
      </c>
      <c r="I136" s="20">
        <v>781826</v>
      </c>
      <c r="J136" s="19"/>
    </row>
    <row r="137" spans="1:16" s="17" customFormat="1" ht="21.75" customHeight="1" x14ac:dyDescent="0.25">
      <c r="A137" s="24">
        <v>135</v>
      </c>
      <c r="B137" s="29">
        <v>1748</v>
      </c>
      <c r="C137" s="43" t="s">
        <v>169</v>
      </c>
      <c r="D137" s="28">
        <v>350</v>
      </c>
      <c r="E137" s="27">
        <v>0.4</v>
      </c>
      <c r="F137" s="27">
        <f t="shared" si="4"/>
        <v>140</v>
      </c>
      <c r="G137" s="27">
        <f>137.34+2.66</f>
        <v>140</v>
      </c>
      <c r="H137" s="27">
        <f t="shared" si="5"/>
        <v>0</v>
      </c>
      <c r="I137" s="25">
        <v>1354182</v>
      </c>
      <c r="J137" s="75">
        <v>45601</v>
      </c>
      <c r="K137" s="118">
        <v>45627</v>
      </c>
    </row>
    <row r="138" spans="1:16" s="17" customFormat="1" ht="21.75" customHeight="1" x14ac:dyDescent="0.25">
      <c r="A138" s="125">
        <v>136</v>
      </c>
      <c r="B138" s="279">
        <v>1749</v>
      </c>
      <c r="C138" s="280" t="s">
        <v>404</v>
      </c>
      <c r="D138" s="281">
        <v>373.2</v>
      </c>
      <c r="E138" s="282">
        <v>0.4</v>
      </c>
      <c r="F138" s="282">
        <f t="shared" si="4"/>
        <v>149.28</v>
      </c>
      <c r="G138" s="282">
        <f>F138</f>
        <v>149.28</v>
      </c>
      <c r="H138" s="282">
        <f t="shared" si="5"/>
        <v>0</v>
      </c>
      <c r="I138" s="283">
        <v>1304923</v>
      </c>
      <c r="J138" s="125" t="s">
        <v>534</v>
      </c>
      <c r="M138" s="17">
        <v>1304923</v>
      </c>
      <c r="N138" s="17" t="s">
        <v>405</v>
      </c>
      <c r="O138" s="17" t="s">
        <v>52</v>
      </c>
      <c r="P138" s="17" t="s">
        <v>53</v>
      </c>
    </row>
    <row r="139" spans="1:16" s="17" customFormat="1" ht="21.75" customHeight="1" x14ac:dyDescent="0.25">
      <c r="A139" s="24">
        <v>137</v>
      </c>
      <c r="B139" s="29">
        <v>1750</v>
      </c>
      <c r="C139" s="43" t="s">
        <v>406</v>
      </c>
      <c r="D139" s="28">
        <v>423.4</v>
      </c>
      <c r="E139" s="27">
        <v>0.4</v>
      </c>
      <c r="F139" s="27">
        <f t="shared" si="4"/>
        <v>169.36</v>
      </c>
      <c r="G139" s="27">
        <f>168.72+0.64</f>
        <v>169.35999999999999</v>
      </c>
      <c r="H139" s="27">
        <f t="shared" si="5"/>
        <v>0</v>
      </c>
      <c r="I139" s="25">
        <v>18638806</v>
      </c>
      <c r="J139" s="75">
        <v>45621</v>
      </c>
      <c r="K139" s="118">
        <v>45644</v>
      </c>
    </row>
    <row r="140" spans="1:16" s="17" customFormat="1" ht="21.75" customHeight="1" x14ac:dyDescent="0.25">
      <c r="A140" s="24">
        <v>138</v>
      </c>
      <c r="B140" s="29">
        <v>1752</v>
      </c>
      <c r="C140" s="43" t="s">
        <v>171</v>
      </c>
      <c r="D140" s="28">
        <v>395.8</v>
      </c>
      <c r="E140" s="27">
        <v>0.4</v>
      </c>
      <c r="F140" s="27">
        <f t="shared" si="4"/>
        <v>158.32000000000002</v>
      </c>
      <c r="G140" s="27">
        <f>156.5+1.82</f>
        <v>158.32</v>
      </c>
      <c r="H140" s="27">
        <f t="shared" si="5"/>
        <v>0</v>
      </c>
      <c r="I140" s="25">
        <v>2808921</v>
      </c>
      <c r="J140" s="75">
        <v>45656</v>
      </c>
      <c r="K140" s="118">
        <v>45679</v>
      </c>
    </row>
    <row r="141" spans="1:16" s="17" customFormat="1" ht="21.75" customHeight="1" x14ac:dyDescent="0.25">
      <c r="A141" s="24">
        <v>139</v>
      </c>
      <c r="B141" s="29">
        <v>1753</v>
      </c>
      <c r="C141" s="43" t="s">
        <v>408</v>
      </c>
      <c r="D141" s="28">
        <v>375</v>
      </c>
      <c r="E141" s="27">
        <v>0.4</v>
      </c>
      <c r="F141" s="27">
        <f t="shared" si="4"/>
        <v>150</v>
      </c>
      <c r="G141" s="27">
        <f>146.44+3.56</f>
        <v>150</v>
      </c>
      <c r="H141" s="27">
        <f t="shared" si="5"/>
        <v>0</v>
      </c>
      <c r="I141" s="25">
        <v>6496182</v>
      </c>
      <c r="J141" s="75">
        <v>45607</v>
      </c>
      <c r="K141" s="118">
        <v>45635</v>
      </c>
    </row>
    <row r="142" spans="1:16" s="17" customFormat="1" ht="21.75" customHeight="1" x14ac:dyDescent="0.25">
      <c r="A142" s="19">
        <v>140</v>
      </c>
      <c r="B142" s="23">
        <v>1754</v>
      </c>
      <c r="C142" s="31" t="s">
        <v>410</v>
      </c>
      <c r="D142" s="41">
        <v>1417.5</v>
      </c>
      <c r="E142" s="15">
        <v>0.4</v>
      </c>
      <c r="F142" s="14">
        <f t="shared" si="4"/>
        <v>567</v>
      </c>
      <c r="G142" s="14">
        <f>F142</f>
        <v>567</v>
      </c>
      <c r="H142" s="14">
        <f t="shared" si="5"/>
        <v>0</v>
      </c>
      <c r="I142" s="20">
        <v>1523934</v>
      </c>
      <c r="J142" s="19"/>
    </row>
    <row r="143" spans="1:16" s="17" customFormat="1" ht="21.75" customHeight="1" x14ac:dyDescent="0.25">
      <c r="A143" s="24">
        <v>141</v>
      </c>
      <c r="B143" s="29">
        <v>1755</v>
      </c>
      <c r="C143" s="43" t="s">
        <v>69</v>
      </c>
      <c r="D143" s="28">
        <v>700</v>
      </c>
      <c r="E143" s="27">
        <v>0.4</v>
      </c>
      <c r="F143" s="27">
        <f t="shared" si="4"/>
        <v>280</v>
      </c>
      <c r="G143" s="27">
        <f>277.99+2.01</f>
        <v>280</v>
      </c>
      <c r="H143" s="27">
        <f t="shared" si="5"/>
        <v>0</v>
      </c>
      <c r="I143" s="25">
        <v>10592143</v>
      </c>
      <c r="J143" s="75">
        <v>45630</v>
      </c>
      <c r="K143" s="118">
        <v>45650</v>
      </c>
    </row>
    <row r="144" spans="1:16" s="17" customFormat="1" ht="21.75" customHeight="1" x14ac:dyDescent="0.25">
      <c r="A144" s="19">
        <v>142</v>
      </c>
      <c r="B144" s="23">
        <v>1756</v>
      </c>
      <c r="C144" s="31" t="s">
        <v>412</v>
      </c>
      <c r="D144" s="41">
        <v>260.3</v>
      </c>
      <c r="E144" s="15">
        <v>0.4</v>
      </c>
      <c r="F144" s="14">
        <f t="shared" si="4"/>
        <v>104.12</v>
      </c>
      <c r="G144" s="14">
        <f>F144</f>
        <v>104.12</v>
      </c>
      <c r="H144" s="14">
        <f>F144-G144</f>
        <v>0</v>
      </c>
      <c r="I144" s="20">
        <v>381412</v>
      </c>
      <c r="J144" s="19"/>
    </row>
    <row r="145" spans="1:13" s="17" customFormat="1" ht="21.75" customHeight="1" x14ac:dyDescent="0.25">
      <c r="A145" s="24">
        <v>143</v>
      </c>
      <c r="B145" s="29">
        <v>1758</v>
      </c>
      <c r="C145" s="43" t="s">
        <v>74</v>
      </c>
      <c r="D145" s="28">
        <v>668.6</v>
      </c>
      <c r="E145" s="27">
        <v>0.4</v>
      </c>
      <c r="F145" s="27">
        <f t="shared" si="4"/>
        <v>267.44</v>
      </c>
      <c r="G145" s="27">
        <f>142.97+124.47</f>
        <v>267.44</v>
      </c>
      <c r="H145" s="27">
        <f>F145-G145</f>
        <v>0</v>
      </c>
      <c r="I145" s="25">
        <v>2443662</v>
      </c>
      <c r="J145" s="75" t="s">
        <v>414</v>
      </c>
      <c r="K145" s="75">
        <v>45601</v>
      </c>
      <c r="L145" s="118">
        <v>45614</v>
      </c>
      <c r="M145" s="118">
        <v>45643</v>
      </c>
    </row>
    <row r="146" spans="1:13" s="17" customFormat="1" ht="21.75" customHeight="1" x14ac:dyDescent="0.25">
      <c r="A146" s="24">
        <v>144</v>
      </c>
      <c r="B146" s="29">
        <v>1759</v>
      </c>
      <c r="C146" s="43" t="s">
        <v>415</v>
      </c>
      <c r="D146" s="28">
        <v>343.8</v>
      </c>
      <c r="E146" s="27">
        <v>0.4</v>
      </c>
      <c r="F146" s="27">
        <f t="shared" si="4"/>
        <v>137.52000000000001</v>
      </c>
      <c r="G146" s="27">
        <f>135.4</f>
        <v>135.4</v>
      </c>
      <c r="H146" s="27">
        <f t="shared" si="5"/>
        <v>2.1200000000000045</v>
      </c>
      <c r="I146" s="25">
        <v>5029866</v>
      </c>
      <c r="J146" s="75">
        <v>45691</v>
      </c>
    </row>
    <row r="147" spans="1:13" s="17" customFormat="1" ht="21.75" customHeight="1" x14ac:dyDescent="0.25">
      <c r="A147" s="24">
        <v>145</v>
      </c>
      <c r="B147" s="29">
        <v>1760</v>
      </c>
      <c r="C147" s="43" t="s">
        <v>418</v>
      </c>
      <c r="D147" s="28">
        <v>371.4</v>
      </c>
      <c r="E147" s="27">
        <v>0.4</v>
      </c>
      <c r="F147" s="27">
        <f t="shared" si="4"/>
        <v>148.56</v>
      </c>
      <c r="G147" s="27">
        <f>146.73+1.83</f>
        <v>148.56</v>
      </c>
      <c r="H147" s="27">
        <f t="shared" si="5"/>
        <v>0</v>
      </c>
      <c r="I147" s="25">
        <v>3847339</v>
      </c>
      <c r="J147" s="75">
        <v>45621</v>
      </c>
      <c r="K147" s="118">
        <v>45612</v>
      </c>
    </row>
    <row r="148" spans="1:13" s="17" customFormat="1" ht="21.75" customHeight="1" x14ac:dyDescent="0.25">
      <c r="A148" s="19">
        <v>146</v>
      </c>
      <c r="B148" s="23">
        <v>1763</v>
      </c>
      <c r="C148" s="31" t="s">
        <v>420</v>
      </c>
      <c r="D148" s="41">
        <v>347.2</v>
      </c>
      <c r="E148" s="15">
        <v>0.4</v>
      </c>
      <c r="F148" s="14">
        <f t="shared" si="4"/>
        <v>138.88</v>
      </c>
      <c r="G148" s="14">
        <f>F148</f>
        <v>138.88</v>
      </c>
      <c r="H148" s="14">
        <f t="shared" si="5"/>
        <v>0</v>
      </c>
      <c r="I148" s="20">
        <v>5384098</v>
      </c>
      <c r="J148" s="19"/>
    </row>
    <row r="149" spans="1:13" s="17" customFormat="1" ht="21.75" customHeight="1" x14ac:dyDescent="0.25">
      <c r="A149" s="11">
        <v>147</v>
      </c>
      <c r="B149" s="63">
        <v>1764</v>
      </c>
      <c r="C149" s="31" t="s">
        <v>422</v>
      </c>
      <c r="D149" s="41">
        <v>498.7</v>
      </c>
      <c r="E149" s="15">
        <v>0.4</v>
      </c>
      <c r="F149" s="14">
        <f t="shared" si="4"/>
        <v>199.48000000000002</v>
      </c>
      <c r="G149" s="14">
        <f>F149</f>
        <v>199.48000000000002</v>
      </c>
      <c r="H149" s="14">
        <f t="shared" si="5"/>
        <v>0</v>
      </c>
      <c r="I149" s="20">
        <v>6923798</v>
      </c>
      <c r="J149" s="19"/>
    </row>
    <row r="150" spans="1:13" s="17" customFormat="1" ht="21.75" customHeight="1" x14ac:dyDescent="0.25">
      <c r="A150" s="24">
        <v>148</v>
      </c>
      <c r="B150" s="29">
        <v>1766</v>
      </c>
      <c r="C150" s="43" t="s">
        <v>423</v>
      </c>
      <c r="D150" s="28">
        <v>653.70000000000005</v>
      </c>
      <c r="E150" s="27">
        <v>0.4</v>
      </c>
      <c r="F150" s="27">
        <f t="shared" si="4"/>
        <v>261.48</v>
      </c>
      <c r="G150" s="27">
        <f>F150</f>
        <v>261.48</v>
      </c>
      <c r="H150" s="27">
        <f t="shared" si="5"/>
        <v>0</v>
      </c>
      <c r="I150" s="25">
        <v>19548574</v>
      </c>
      <c r="J150" s="75">
        <v>45670</v>
      </c>
    </row>
    <row r="151" spans="1:13" s="17" customFormat="1" ht="21.75" customHeight="1" x14ac:dyDescent="0.25">
      <c r="A151" s="11">
        <v>149</v>
      </c>
      <c r="B151" s="23">
        <v>1768</v>
      </c>
      <c r="C151" s="31" t="s">
        <v>172</v>
      </c>
      <c r="D151" s="41">
        <v>351.7</v>
      </c>
      <c r="E151" s="15">
        <v>0.4</v>
      </c>
      <c r="F151" s="14">
        <f t="shared" si="4"/>
        <v>140.68</v>
      </c>
      <c r="G151" s="14">
        <f>F151</f>
        <v>140.68</v>
      </c>
      <c r="H151" s="14">
        <f t="shared" si="5"/>
        <v>0</v>
      </c>
      <c r="I151" s="20">
        <v>13899464</v>
      </c>
      <c r="J151" s="19"/>
    </row>
    <row r="152" spans="1:13" s="17" customFormat="1" ht="21.75" customHeight="1" x14ac:dyDescent="0.25">
      <c r="A152" s="19">
        <v>150</v>
      </c>
      <c r="B152" s="23">
        <v>1769</v>
      </c>
      <c r="C152" s="31" t="s">
        <v>425</v>
      </c>
      <c r="D152" s="41">
        <v>305.3</v>
      </c>
      <c r="E152" s="15">
        <v>0.4</v>
      </c>
      <c r="F152" s="14">
        <f t="shared" si="4"/>
        <v>122.12</v>
      </c>
      <c r="G152" s="14">
        <f>F152</f>
        <v>122.12</v>
      </c>
      <c r="H152" s="14">
        <f t="shared" si="5"/>
        <v>0</v>
      </c>
      <c r="I152" s="20">
        <v>19322478</v>
      </c>
      <c r="J152" s="19"/>
    </row>
    <row r="153" spans="1:13" s="17" customFormat="1" ht="21.75" customHeight="1" x14ac:dyDescent="0.25">
      <c r="A153" s="24">
        <v>151</v>
      </c>
      <c r="B153" s="29">
        <v>1770</v>
      </c>
      <c r="C153" s="43" t="s">
        <v>427</v>
      </c>
      <c r="D153" s="28">
        <v>333.3</v>
      </c>
      <c r="E153" s="27">
        <v>0.4</v>
      </c>
      <c r="F153" s="27">
        <f t="shared" si="4"/>
        <v>133.32000000000002</v>
      </c>
      <c r="G153" s="27">
        <f>130.95+2.37</f>
        <v>133.32</v>
      </c>
      <c r="H153" s="27">
        <f t="shared" si="5"/>
        <v>0</v>
      </c>
      <c r="I153" s="25">
        <v>24534799</v>
      </c>
      <c r="J153" s="75">
        <v>45656</v>
      </c>
      <c r="K153" s="118">
        <v>45672</v>
      </c>
    </row>
    <row r="154" spans="1:13" s="17" customFormat="1" ht="21.75" customHeight="1" x14ac:dyDescent="0.25">
      <c r="A154" s="24">
        <v>152</v>
      </c>
      <c r="B154" s="29">
        <v>1771</v>
      </c>
      <c r="C154" s="43" t="s">
        <v>174</v>
      </c>
      <c r="D154" s="28">
        <v>371</v>
      </c>
      <c r="E154" s="27">
        <v>0.4</v>
      </c>
      <c r="F154" s="27">
        <f t="shared" si="4"/>
        <v>148.4</v>
      </c>
      <c r="G154" s="27">
        <f>147.35+1.05</f>
        <v>148.4</v>
      </c>
      <c r="H154" s="27">
        <f t="shared" si="5"/>
        <v>0</v>
      </c>
      <c r="I154" s="25">
        <v>5044401</v>
      </c>
      <c r="J154" s="75">
        <v>45642</v>
      </c>
      <c r="K154" s="118">
        <v>45672</v>
      </c>
    </row>
    <row r="155" spans="1:13" s="166" customFormat="1" ht="21.75" customHeight="1" x14ac:dyDescent="0.25">
      <c r="A155" s="160">
        <v>153</v>
      </c>
      <c r="B155" s="161">
        <v>1772</v>
      </c>
      <c r="C155" s="162" t="s">
        <v>429</v>
      </c>
      <c r="D155" s="163">
        <v>772.4</v>
      </c>
      <c r="E155" s="164">
        <v>0.4</v>
      </c>
      <c r="F155" s="164">
        <f t="shared" si="4"/>
        <v>308.96000000000004</v>
      </c>
      <c r="G155" s="164">
        <f>F155</f>
        <v>308.96000000000004</v>
      </c>
      <c r="H155" s="164">
        <f t="shared" si="5"/>
        <v>0</v>
      </c>
      <c r="I155" s="165">
        <v>5217694</v>
      </c>
      <c r="J155" s="160" t="s">
        <v>542</v>
      </c>
    </row>
    <row r="156" spans="1:13" s="17" customFormat="1" ht="21.75" customHeight="1" x14ac:dyDescent="0.25">
      <c r="A156" s="24">
        <v>154</v>
      </c>
      <c r="B156" s="29">
        <v>1773</v>
      </c>
      <c r="C156" s="43" t="s">
        <v>432</v>
      </c>
      <c r="D156" s="28">
        <v>325</v>
      </c>
      <c r="E156" s="27">
        <v>0.4</v>
      </c>
      <c r="F156" s="27">
        <f t="shared" si="4"/>
        <v>130</v>
      </c>
      <c r="G156" s="27">
        <f>126.1</f>
        <v>126.1</v>
      </c>
      <c r="H156" s="27">
        <f t="shared" si="5"/>
        <v>3.9000000000000057</v>
      </c>
      <c r="I156" s="25">
        <v>20562603</v>
      </c>
      <c r="J156" s="75">
        <v>45691</v>
      </c>
    </row>
    <row r="157" spans="1:13" s="17" customFormat="1" ht="21.75" customHeight="1" x14ac:dyDescent="0.25">
      <c r="A157" s="24">
        <v>155</v>
      </c>
      <c r="B157" s="29">
        <v>1774</v>
      </c>
      <c r="C157" s="43" t="s">
        <v>175</v>
      </c>
      <c r="D157" s="28">
        <v>365.2</v>
      </c>
      <c r="E157" s="27">
        <v>0.4</v>
      </c>
      <c r="F157" s="27">
        <f t="shared" si="4"/>
        <v>146.08000000000001</v>
      </c>
      <c r="G157" s="27">
        <f>144.87</f>
        <v>144.87</v>
      </c>
      <c r="H157" s="27">
        <f t="shared" si="5"/>
        <v>1.210000000000008</v>
      </c>
      <c r="I157" s="25">
        <v>20865047</v>
      </c>
      <c r="J157" s="75">
        <v>45663</v>
      </c>
    </row>
    <row r="158" spans="1:13" s="17" customFormat="1" ht="21.75" customHeight="1" x14ac:dyDescent="0.25">
      <c r="A158" s="24">
        <v>156</v>
      </c>
      <c r="B158" s="29">
        <v>1775</v>
      </c>
      <c r="C158" s="43" t="s">
        <v>434</v>
      </c>
      <c r="D158" s="28">
        <v>543.1</v>
      </c>
      <c r="E158" s="27">
        <v>0.4</v>
      </c>
      <c r="F158" s="27">
        <f t="shared" si="4"/>
        <v>217.24</v>
      </c>
      <c r="G158" s="27">
        <f>117.54+97+2.7</f>
        <v>217.24</v>
      </c>
      <c r="H158" s="27">
        <f t="shared" si="5"/>
        <v>0</v>
      </c>
      <c r="I158" s="25">
        <v>18659223</v>
      </c>
      <c r="J158" s="75">
        <v>45601</v>
      </c>
      <c r="K158" s="116">
        <v>45602</v>
      </c>
      <c r="L158" s="118">
        <v>45621</v>
      </c>
    </row>
    <row r="159" spans="1:13" s="17" customFormat="1" ht="21.75" customHeight="1" x14ac:dyDescent="0.25">
      <c r="A159" s="24">
        <v>157</v>
      </c>
      <c r="B159" s="29">
        <v>1776</v>
      </c>
      <c r="C159" s="43" t="s">
        <v>436</v>
      </c>
      <c r="D159" s="28">
        <v>375</v>
      </c>
      <c r="E159" s="27">
        <v>0.4</v>
      </c>
      <c r="F159" s="27">
        <f t="shared" si="4"/>
        <v>150</v>
      </c>
      <c r="G159" s="27">
        <f>F159</f>
        <v>150</v>
      </c>
      <c r="H159" s="27">
        <f t="shared" si="5"/>
        <v>0</v>
      </c>
      <c r="I159" s="25">
        <v>30837376</v>
      </c>
      <c r="J159" s="75">
        <v>45637</v>
      </c>
    </row>
    <row r="160" spans="1:13" s="17" customFormat="1" ht="21.75" customHeight="1" x14ac:dyDescent="0.25">
      <c r="A160" s="24">
        <v>158</v>
      </c>
      <c r="B160" s="29">
        <v>1777</v>
      </c>
      <c r="C160" s="43" t="s">
        <v>438</v>
      </c>
      <c r="D160" s="28">
        <v>750</v>
      </c>
      <c r="E160" s="27">
        <v>0.4</v>
      </c>
      <c r="F160" s="27">
        <f t="shared" si="4"/>
        <v>300</v>
      </c>
      <c r="G160" s="27">
        <f>96.51+97+106.49</f>
        <v>300</v>
      </c>
      <c r="H160" s="27">
        <f t="shared" si="5"/>
        <v>0</v>
      </c>
      <c r="I160" s="25">
        <v>15107764</v>
      </c>
      <c r="J160" s="75">
        <v>45621</v>
      </c>
      <c r="K160" s="118">
        <v>45630</v>
      </c>
      <c r="L160" s="118">
        <v>45643</v>
      </c>
    </row>
    <row r="161" spans="1:12" s="17" customFormat="1" ht="21.75" customHeight="1" x14ac:dyDescent="0.25">
      <c r="A161" s="11">
        <v>159</v>
      </c>
      <c r="B161" s="23">
        <v>1778</v>
      </c>
      <c r="C161" s="31" t="s">
        <v>440</v>
      </c>
      <c r="D161" s="41">
        <v>375</v>
      </c>
      <c r="E161" s="15">
        <v>0.4</v>
      </c>
      <c r="F161" s="14">
        <f t="shared" si="4"/>
        <v>150</v>
      </c>
      <c r="G161" s="14">
        <f>F161</f>
        <v>150</v>
      </c>
      <c r="H161" s="14">
        <f t="shared" si="5"/>
        <v>0</v>
      </c>
      <c r="I161" s="20">
        <v>24984002</v>
      </c>
      <c r="J161" s="19"/>
    </row>
    <row r="162" spans="1:12" s="17" customFormat="1" ht="21.75" customHeight="1" x14ac:dyDescent="0.25">
      <c r="A162" s="24">
        <v>160</v>
      </c>
      <c r="B162" s="29">
        <v>1780</v>
      </c>
      <c r="C162" s="43" t="s">
        <v>442</v>
      </c>
      <c r="D162" s="28">
        <v>862.4</v>
      </c>
      <c r="E162" s="27">
        <v>0.4</v>
      </c>
      <c r="F162" s="27">
        <f t="shared" si="4"/>
        <v>344.96000000000004</v>
      </c>
      <c r="G162" s="27">
        <f>344.55+0.41</f>
        <v>344.96000000000004</v>
      </c>
      <c r="H162" s="27">
        <f t="shared" si="5"/>
        <v>0</v>
      </c>
      <c r="I162" s="25">
        <v>6228066</v>
      </c>
      <c r="J162" s="75">
        <v>45607</v>
      </c>
      <c r="K162" s="118">
        <v>45644</v>
      </c>
    </row>
    <row r="163" spans="1:12" s="17" customFormat="1" ht="21.75" customHeight="1" x14ac:dyDescent="0.25">
      <c r="A163" s="11">
        <v>161</v>
      </c>
      <c r="B163" s="23">
        <v>1781</v>
      </c>
      <c r="C163" s="31" t="s">
        <v>444</v>
      </c>
      <c r="D163" s="41">
        <v>350</v>
      </c>
      <c r="E163" s="15">
        <v>0.4</v>
      </c>
      <c r="F163" s="14">
        <f t="shared" si="4"/>
        <v>140</v>
      </c>
      <c r="G163" s="14">
        <f>F163</f>
        <v>140</v>
      </c>
      <c r="H163" s="14">
        <f t="shared" si="5"/>
        <v>0</v>
      </c>
      <c r="I163" s="20">
        <v>7287174</v>
      </c>
      <c r="J163" s="19"/>
    </row>
    <row r="164" spans="1:12" s="17" customFormat="1" ht="21.75" customHeight="1" x14ac:dyDescent="0.25">
      <c r="A164" s="24">
        <v>162</v>
      </c>
      <c r="B164" s="29">
        <v>1782</v>
      </c>
      <c r="C164" s="43" t="s">
        <v>446</v>
      </c>
      <c r="D164" s="28">
        <v>454.8</v>
      </c>
      <c r="E164" s="27">
        <v>0.4</v>
      </c>
      <c r="F164" s="27">
        <f t="shared" si="4"/>
        <v>181.92000000000002</v>
      </c>
      <c r="G164" s="27">
        <f>F164</f>
        <v>181.92000000000002</v>
      </c>
      <c r="H164" s="27">
        <f t="shared" si="5"/>
        <v>0</v>
      </c>
      <c r="I164" s="25">
        <v>19818711</v>
      </c>
      <c r="J164" s="75">
        <v>45644</v>
      </c>
    </row>
    <row r="165" spans="1:12" s="17" customFormat="1" ht="21.75" customHeight="1" x14ac:dyDescent="0.25">
      <c r="A165" s="24">
        <v>163</v>
      </c>
      <c r="B165" s="29">
        <v>1783</v>
      </c>
      <c r="C165" s="43" t="s">
        <v>177</v>
      </c>
      <c r="D165" s="28">
        <v>312</v>
      </c>
      <c r="E165" s="27">
        <v>0.4</v>
      </c>
      <c r="F165" s="27">
        <f t="shared" si="4"/>
        <v>124.80000000000001</v>
      </c>
      <c r="G165" s="27">
        <f>123.48+1.32</f>
        <v>124.8</v>
      </c>
      <c r="H165" s="27">
        <f t="shared" si="5"/>
        <v>0</v>
      </c>
      <c r="I165" s="25">
        <v>1500187</v>
      </c>
      <c r="J165" s="75">
        <v>45600</v>
      </c>
      <c r="K165" s="118">
        <v>45627</v>
      </c>
    </row>
    <row r="166" spans="1:12" s="17" customFormat="1" ht="21.75" customHeight="1" x14ac:dyDescent="0.25">
      <c r="A166" s="24">
        <v>164</v>
      </c>
      <c r="B166" s="29">
        <v>1784</v>
      </c>
      <c r="C166" s="43" t="s">
        <v>448</v>
      </c>
      <c r="D166" s="28">
        <v>498</v>
      </c>
      <c r="E166" s="27">
        <v>0.4</v>
      </c>
      <c r="F166" s="27">
        <f t="shared" si="4"/>
        <v>199.20000000000002</v>
      </c>
      <c r="G166" s="27">
        <f>96.36+101.85+0.99</f>
        <v>199.2</v>
      </c>
      <c r="H166" s="27">
        <f t="shared" si="5"/>
        <v>0</v>
      </c>
      <c r="I166" s="25">
        <v>19534652</v>
      </c>
      <c r="J166" s="75">
        <v>45621</v>
      </c>
      <c r="K166" s="118">
        <v>45637</v>
      </c>
      <c r="L166" s="118">
        <v>45656</v>
      </c>
    </row>
    <row r="167" spans="1:12" s="17" customFormat="1" ht="21.75" customHeight="1" x14ac:dyDescent="0.25">
      <c r="A167" s="11">
        <v>165</v>
      </c>
      <c r="B167" s="23">
        <v>1785</v>
      </c>
      <c r="C167" s="31" t="s">
        <v>179</v>
      </c>
      <c r="D167" s="41">
        <v>370</v>
      </c>
      <c r="E167" s="15">
        <v>0.4</v>
      </c>
      <c r="F167" s="14">
        <f t="shared" si="4"/>
        <v>148</v>
      </c>
      <c r="G167" s="14">
        <f>F167</f>
        <v>148</v>
      </c>
      <c r="H167" s="14">
        <f t="shared" si="5"/>
        <v>0</v>
      </c>
      <c r="I167" s="20">
        <v>7374743</v>
      </c>
      <c r="J167" s="19"/>
    </row>
    <row r="168" spans="1:12" s="17" customFormat="1" ht="21.75" customHeight="1" x14ac:dyDescent="0.25">
      <c r="A168" s="100">
        <v>166</v>
      </c>
      <c r="B168" s="101">
        <v>1786</v>
      </c>
      <c r="C168" s="102" t="s">
        <v>181</v>
      </c>
      <c r="D168" s="103">
        <v>350.6</v>
      </c>
      <c r="E168" s="104">
        <v>0.4</v>
      </c>
      <c r="F168" s="104">
        <f t="shared" si="4"/>
        <v>140.24</v>
      </c>
      <c r="G168" s="104">
        <f>F168</f>
        <v>140.24</v>
      </c>
      <c r="H168" s="104">
        <f t="shared" si="5"/>
        <v>0</v>
      </c>
      <c r="I168" s="105">
        <v>5614637</v>
      </c>
      <c r="J168" s="126" t="s">
        <v>597</v>
      </c>
    </row>
    <row r="169" spans="1:12" s="17" customFormat="1" ht="21.75" customHeight="1" x14ac:dyDescent="0.25">
      <c r="A169" s="11">
        <v>167</v>
      </c>
      <c r="B169" s="23">
        <v>1787</v>
      </c>
      <c r="C169" s="31" t="s">
        <v>77</v>
      </c>
      <c r="D169" s="41">
        <v>375</v>
      </c>
      <c r="E169" s="15">
        <v>0.4</v>
      </c>
      <c r="F169" s="14">
        <f t="shared" si="4"/>
        <v>150</v>
      </c>
      <c r="G169" s="14">
        <f>F169</f>
        <v>150</v>
      </c>
      <c r="H169" s="14">
        <f t="shared" si="5"/>
        <v>0</v>
      </c>
      <c r="I169" s="20">
        <v>22980157</v>
      </c>
      <c r="J169" s="19"/>
    </row>
    <row r="170" spans="1:12" s="17" customFormat="1" ht="21.75" customHeight="1" x14ac:dyDescent="0.25">
      <c r="A170" s="24">
        <v>168</v>
      </c>
      <c r="B170" s="29">
        <v>1788</v>
      </c>
      <c r="C170" s="43" t="s">
        <v>450</v>
      </c>
      <c r="D170" s="28">
        <v>375</v>
      </c>
      <c r="E170" s="27">
        <v>0.4</v>
      </c>
      <c r="F170" s="27">
        <f t="shared" si="4"/>
        <v>150</v>
      </c>
      <c r="G170" s="27">
        <f>145.5</f>
        <v>145.5</v>
      </c>
      <c r="H170" s="27">
        <f t="shared" si="5"/>
        <v>4.5</v>
      </c>
      <c r="I170" s="25">
        <v>25632707</v>
      </c>
      <c r="J170" s="75">
        <v>45650</v>
      </c>
    </row>
    <row r="171" spans="1:12" s="17" customFormat="1" ht="21.75" customHeight="1" x14ac:dyDescent="0.25">
      <c r="A171" s="11">
        <v>169</v>
      </c>
      <c r="B171" s="23">
        <v>1789</v>
      </c>
      <c r="C171" s="31" t="s">
        <v>452</v>
      </c>
      <c r="D171" s="41">
        <v>422</v>
      </c>
      <c r="E171" s="15">
        <v>0.4</v>
      </c>
      <c r="F171" s="14">
        <f t="shared" si="4"/>
        <v>168.8</v>
      </c>
      <c r="G171" s="14">
        <f>F171</f>
        <v>168.8</v>
      </c>
      <c r="H171" s="14">
        <f t="shared" si="5"/>
        <v>0</v>
      </c>
      <c r="I171" s="20">
        <v>6687053</v>
      </c>
      <c r="J171" s="19"/>
    </row>
    <row r="172" spans="1:12" s="17" customFormat="1" ht="21.75" customHeight="1" x14ac:dyDescent="0.25">
      <c r="A172" s="19">
        <v>170</v>
      </c>
      <c r="B172" s="23">
        <v>1790</v>
      </c>
      <c r="C172" s="31" t="s">
        <v>454</v>
      </c>
      <c r="D172" s="41">
        <v>293.7</v>
      </c>
      <c r="E172" s="15">
        <v>0.4</v>
      </c>
      <c r="F172" s="14">
        <f t="shared" si="4"/>
        <v>117.48</v>
      </c>
      <c r="G172" s="14">
        <f t="shared" ref="G172:G173" si="6">F172</f>
        <v>117.48</v>
      </c>
      <c r="H172" s="14">
        <f t="shared" si="5"/>
        <v>0</v>
      </c>
      <c r="I172" s="20">
        <v>22971771</v>
      </c>
      <c r="J172" s="19"/>
    </row>
    <row r="173" spans="1:12" s="17" customFormat="1" ht="21.75" customHeight="1" x14ac:dyDescent="0.25">
      <c r="A173" s="11">
        <v>171</v>
      </c>
      <c r="B173" s="23">
        <v>1791</v>
      </c>
      <c r="C173" s="31" t="s">
        <v>80</v>
      </c>
      <c r="D173" s="41">
        <v>371.9</v>
      </c>
      <c r="E173" s="15">
        <v>0.4</v>
      </c>
      <c r="F173" s="14">
        <f t="shared" si="4"/>
        <v>148.76</v>
      </c>
      <c r="G173" s="14">
        <f t="shared" si="6"/>
        <v>148.76</v>
      </c>
      <c r="H173" s="14">
        <f t="shared" si="5"/>
        <v>0</v>
      </c>
      <c r="I173" s="20">
        <v>5335073</v>
      </c>
      <c r="J173" s="19"/>
    </row>
    <row r="174" spans="1:12" s="17" customFormat="1" ht="21.75" customHeight="1" x14ac:dyDescent="0.25">
      <c r="A174" s="24">
        <v>172</v>
      </c>
      <c r="B174" s="29">
        <v>1793</v>
      </c>
      <c r="C174" s="43" t="s">
        <v>456</v>
      </c>
      <c r="D174" s="28">
        <v>1024.2</v>
      </c>
      <c r="E174" s="27">
        <v>0.4</v>
      </c>
      <c r="F174" s="27">
        <f t="shared" si="4"/>
        <v>409.68000000000006</v>
      </c>
      <c r="G174" s="27">
        <f>408.58+1.1</f>
        <v>409.68</v>
      </c>
      <c r="H174" s="27">
        <f t="shared" si="5"/>
        <v>0</v>
      </c>
      <c r="I174" s="25">
        <v>1629686</v>
      </c>
      <c r="J174" s="75">
        <v>45614</v>
      </c>
      <c r="K174" s="118">
        <v>45630</v>
      </c>
    </row>
    <row r="175" spans="1:12" s="17" customFormat="1" ht="21.75" customHeight="1" x14ac:dyDescent="0.25">
      <c r="A175" s="24">
        <v>173</v>
      </c>
      <c r="B175" s="29">
        <v>1794</v>
      </c>
      <c r="C175" s="43" t="s">
        <v>82</v>
      </c>
      <c r="D175" s="28">
        <v>397</v>
      </c>
      <c r="E175" s="27">
        <v>0.4</v>
      </c>
      <c r="F175" s="27">
        <f t="shared" si="4"/>
        <v>158.80000000000001</v>
      </c>
      <c r="G175" s="27">
        <f>F175</f>
        <v>158.80000000000001</v>
      </c>
      <c r="H175" s="27">
        <f t="shared" si="5"/>
        <v>0</v>
      </c>
      <c r="I175" s="25">
        <v>6122928</v>
      </c>
      <c r="J175" s="75">
        <v>45602</v>
      </c>
    </row>
    <row r="176" spans="1:12" s="17" customFormat="1" ht="21.75" customHeight="1" x14ac:dyDescent="0.25">
      <c r="A176" s="24">
        <v>174</v>
      </c>
      <c r="B176" s="29">
        <v>1795</v>
      </c>
      <c r="C176" s="43" t="s">
        <v>458</v>
      </c>
      <c r="D176" s="28">
        <v>420.1</v>
      </c>
      <c r="E176" s="27">
        <v>0.4</v>
      </c>
      <c r="F176" s="27">
        <f t="shared" si="4"/>
        <v>168.04000000000002</v>
      </c>
      <c r="G176" s="27">
        <f>F176</f>
        <v>168.04000000000002</v>
      </c>
      <c r="H176" s="27">
        <f t="shared" si="5"/>
        <v>0</v>
      </c>
      <c r="I176" s="25">
        <v>6496299</v>
      </c>
      <c r="J176" s="75">
        <v>45623</v>
      </c>
    </row>
    <row r="177" spans="1:11" s="17" customFormat="1" ht="21.75" customHeight="1" x14ac:dyDescent="0.25">
      <c r="A177" s="24">
        <v>175</v>
      </c>
      <c r="B177" s="29">
        <v>1796</v>
      </c>
      <c r="C177" s="43" t="s">
        <v>460</v>
      </c>
      <c r="D177" s="28">
        <v>400</v>
      </c>
      <c r="E177" s="27">
        <v>0.4</v>
      </c>
      <c r="F177" s="27">
        <f t="shared" si="4"/>
        <v>160</v>
      </c>
      <c r="G177" s="27">
        <f>157+3</f>
        <v>160</v>
      </c>
      <c r="H177" s="27">
        <f t="shared" si="5"/>
        <v>0</v>
      </c>
      <c r="I177" s="25">
        <v>7140382</v>
      </c>
      <c r="J177" s="75">
        <v>45614</v>
      </c>
      <c r="K177" s="118">
        <v>45637</v>
      </c>
    </row>
    <row r="178" spans="1:11" s="17" customFormat="1" ht="21.75" customHeight="1" x14ac:dyDescent="0.25">
      <c r="A178" s="19">
        <v>176</v>
      </c>
      <c r="B178" s="23">
        <v>1797</v>
      </c>
      <c r="C178" s="31" t="s">
        <v>463</v>
      </c>
      <c r="D178" s="41">
        <v>375</v>
      </c>
      <c r="E178" s="15">
        <v>0.4</v>
      </c>
      <c r="F178" s="14">
        <f t="shared" si="4"/>
        <v>150</v>
      </c>
      <c r="G178" s="14">
        <f>F178</f>
        <v>150</v>
      </c>
      <c r="H178" s="14">
        <f t="shared" si="5"/>
        <v>0</v>
      </c>
      <c r="I178" s="20">
        <v>3677869</v>
      </c>
      <c r="J178" s="19"/>
    </row>
    <row r="179" spans="1:11" s="17" customFormat="1" ht="21.75" customHeight="1" x14ac:dyDescent="0.25">
      <c r="A179" s="24">
        <v>177</v>
      </c>
      <c r="B179" s="29">
        <v>1798</v>
      </c>
      <c r="C179" s="43" t="s">
        <v>84</v>
      </c>
      <c r="D179" s="28">
        <v>367.4</v>
      </c>
      <c r="E179" s="27">
        <v>0.4</v>
      </c>
      <c r="F179" s="27">
        <f t="shared" si="4"/>
        <v>146.96</v>
      </c>
      <c r="G179" s="27">
        <f>F179</f>
        <v>146.96</v>
      </c>
      <c r="H179" s="27">
        <f t="shared" si="5"/>
        <v>0</v>
      </c>
      <c r="I179" s="25">
        <v>5314229</v>
      </c>
      <c r="J179" s="75">
        <v>45670</v>
      </c>
    </row>
    <row r="180" spans="1:11" s="17" customFormat="1" ht="21.75" customHeight="1" x14ac:dyDescent="0.25">
      <c r="A180" s="24">
        <v>178</v>
      </c>
      <c r="B180" s="29">
        <v>1799</v>
      </c>
      <c r="C180" s="43" t="s">
        <v>183</v>
      </c>
      <c r="D180" s="28">
        <v>366.5</v>
      </c>
      <c r="E180" s="27">
        <v>0.4</v>
      </c>
      <c r="F180" s="27">
        <f t="shared" si="4"/>
        <v>146.6</v>
      </c>
      <c r="G180" s="27">
        <f>144.24+2.36</f>
        <v>146.60000000000002</v>
      </c>
      <c r="H180" s="27">
        <f t="shared" si="5"/>
        <v>0</v>
      </c>
      <c r="I180" s="25">
        <v>5219843</v>
      </c>
      <c r="J180" s="75">
        <v>45621</v>
      </c>
      <c r="K180" s="118">
        <v>45643</v>
      </c>
    </row>
    <row r="181" spans="1:11" s="17" customFormat="1" ht="21.75" customHeight="1" x14ac:dyDescent="0.25">
      <c r="A181" s="11">
        <v>179</v>
      </c>
      <c r="B181" s="23">
        <v>1800</v>
      </c>
      <c r="C181" s="31" t="s">
        <v>185</v>
      </c>
      <c r="D181" s="41">
        <v>349.8</v>
      </c>
      <c r="E181" s="15">
        <v>0.4</v>
      </c>
      <c r="F181" s="14">
        <f t="shared" si="4"/>
        <v>139.92000000000002</v>
      </c>
      <c r="G181" s="14">
        <f>F181</f>
        <v>139.92000000000002</v>
      </c>
      <c r="H181" s="14">
        <f t="shared" si="5"/>
        <v>0</v>
      </c>
      <c r="I181" s="20">
        <v>7293505</v>
      </c>
      <c r="J181" s="11"/>
    </row>
    <row r="182" spans="1:11" s="17" customFormat="1" ht="21.75" customHeight="1" x14ac:dyDescent="0.25">
      <c r="A182" s="92">
        <v>180</v>
      </c>
      <c r="B182" s="93">
        <v>1801</v>
      </c>
      <c r="C182" s="94" t="s">
        <v>187</v>
      </c>
      <c r="D182" s="95">
        <v>400</v>
      </c>
      <c r="E182" s="96">
        <v>0.4</v>
      </c>
      <c r="F182" s="96">
        <f t="shared" si="4"/>
        <v>160</v>
      </c>
      <c r="G182" s="96">
        <f>F182</f>
        <v>160</v>
      </c>
      <c r="H182" s="96">
        <f t="shared" si="5"/>
        <v>0</v>
      </c>
      <c r="I182" s="97">
        <v>655141</v>
      </c>
      <c r="J182" s="92" t="s">
        <v>536</v>
      </c>
    </row>
    <row r="183" spans="1:11" s="17" customFormat="1" ht="21.75" customHeight="1" x14ac:dyDescent="0.25">
      <c r="A183" s="24">
        <v>181</v>
      </c>
      <c r="B183" s="29">
        <v>1802</v>
      </c>
      <c r="C183" s="43" t="s">
        <v>465</v>
      </c>
      <c r="D183" s="28">
        <v>347</v>
      </c>
      <c r="E183" s="27">
        <v>0.4</v>
      </c>
      <c r="F183" s="27">
        <f t="shared" si="4"/>
        <v>138.80000000000001</v>
      </c>
      <c r="G183" s="27">
        <f>138.34+0.46</f>
        <v>138.80000000000001</v>
      </c>
      <c r="H183" s="27">
        <f t="shared" si="5"/>
        <v>0</v>
      </c>
      <c r="I183" s="25">
        <v>14760225</v>
      </c>
      <c r="J183" s="134">
        <v>45600</v>
      </c>
      <c r="K183" s="118">
        <v>45623</v>
      </c>
    </row>
    <row r="184" spans="1:11" s="17" customFormat="1" ht="21.75" customHeight="1" x14ac:dyDescent="0.25">
      <c r="A184" s="19">
        <v>182</v>
      </c>
      <c r="B184" s="23">
        <v>1803</v>
      </c>
      <c r="C184" s="31" t="s">
        <v>467</v>
      </c>
      <c r="D184" s="41">
        <v>669.3</v>
      </c>
      <c r="E184" s="15">
        <v>0.4</v>
      </c>
      <c r="F184" s="14">
        <f t="shared" si="4"/>
        <v>267.71999999999997</v>
      </c>
      <c r="G184" s="14">
        <f>F184</f>
        <v>267.71999999999997</v>
      </c>
      <c r="H184" s="14">
        <f t="shared" si="5"/>
        <v>0</v>
      </c>
      <c r="I184" s="20">
        <v>5502798</v>
      </c>
      <c r="J184" s="11"/>
    </row>
    <row r="185" spans="1:11" s="17" customFormat="1" ht="21.75" customHeight="1" x14ac:dyDescent="0.25">
      <c r="A185" s="11">
        <v>183</v>
      </c>
      <c r="B185" s="23">
        <v>1804</v>
      </c>
      <c r="C185" s="31" t="s">
        <v>469</v>
      </c>
      <c r="D185" s="41">
        <v>345.7</v>
      </c>
      <c r="E185" s="15">
        <v>0.4</v>
      </c>
      <c r="F185" s="14">
        <f t="shared" si="4"/>
        <v>138.28</v>
      </c>
      <c r="G185" s="14">
        <f>F185</f>
        <v>138.28</v>
      </c>
      <c r="H185" s="14">
        <f t="shared" si="5"/>
        <v>0</v>
      </c>
      <c r="I185" s="20">
        <v>19623766</v>
      </c>
      <c r="J185" s="11"/>
    </row>
    <row r="186" spans="1:11" s="106" customFormat="1" ht="21.75" customHeight="1" x14ac:dyDescent="0.25">
      <c r="A186" s="100">
        <v>184</v>
      </c>
      <c r="B186" s="101">
        <v>1805</v>
      </c>
      <c r="C186" s="102" t="s">
        <v>471</v>
      </c>
      <c r="D186" s="103">
        <v>508.2</v>
      </c>
      <c r="E186" s="104">
        <v>0.4</v>
      </c>
      <c r="F186" s="104">
        <f t="shared" si="4"/>
        <v>203.28</v>
      </c>
      <c r="G186" s="104">
        <f>F186</f>
        <v>203.28</v>
      </c>
      <c r="H186" s="104">
        <f t="shared" si="5"/>
        <v>0</v>
      </c>
      <c r="I186" s="105">
        <v>1648586</v>
      </c>
      <c r="J186" s="100" t="s">
        <v>543</v>
      </c>
    </row>
    <row r="187" spans="1:11" s="17" customFormat="1" ht="21.75" customHeight="1" x14ac:dyDescent="0.25">
      <c r="A187" s="24">
        <v>185</v>
      </c>
      <c r="B187" s="29">
        <v>1808</v>
      </c>
      <c r="C187" s="43" t="s">
        <v>86</v>
      </c>
      <c r="D187" s="28">
        <v>372.1</v>
      </c>
      <c r="E187" s="27">
        <v>0.4</v>
      </c>
      <c r="F187" s="27">
        <f t="shared" si="4"/>
        <v>148.84</v>
      </c>
      <c r="G187" s="27">
        <v>148.84</v>
      </c>
      <c r="H187" s="27">
        <f t="shared" si="5"/>
        <v>0</v>
      </c>
      <c r="I187" s="25">
        <v>611136</v>
      </c>
      <c r="J187" s="75">
        <v>45651</v>
      </c>
    </row>
    <row r="188" spans="1:11" s="17" customFormat="1" ht="21.75" customHeight="1" x14ac:dyDescent="0.25">
      <c r="A188" s="24">
        <v>186</v>
      </c>
      <c r="B188" s="29">
        <v>1809</v>
      </c>
      <c r="C188" s="43" t="s">
        <v>474</v>
      </c>
      <c r="D188" s="28">
        <v>375</v>
      </c>
      <c r="E188" s="27">
        <v>0.4</v>
      </c>
      <c r="F188" s="27">
        <f t="shared" si="4"/>
        <v>150</v>
      </c>
      <c r="G188" s="27">
        <f>F188</f>
        <v>150</v>
      </c>
      <c r="H188" s="27">
        <f t="shared" si="5"/>
        <v>0</v>
      </c>
      <c r="I188" s="25">
        <v>14957086</v>
      </c>
      <c r="J188" s="75">
        <v>45686</v>
      </c>
    </row>
    <row r="189" spans="1:11" s="17" customFormat="1" ht="21.75" customHeight="1" x14ac:dyDescent="0.25">
      <c r="A189" s="24">
        <v>187</v>
      </c>
      <c r="B189" s="29">
        <v>1811</v>
      </c>
      <c r="C189" s="43" t="s">
        <v>476</v>
      </c>
      <c r="D189" s="28">
        <v>497</v>
      </c>
      <c r="E189" s="27">
        <v>0.4</v>
      </c>
      <c r="F189" s="27">
        <f t="shared" si="4"/>
        <v>198.8</v>
      </c>
      <c r="G189" s="27">
        <f>198.64+0.16</f>
        <v>198.79999999999998</v>
      </c>
      <c r="H189" s="27">
        <f t="shared" si="5"/>
        <v>0</v>
      </c>
      <c r="I189" s="25">
        <v>6384618</v>
      </c>
      <c r="J189" s="75">
        <v>45643</v>
      </c>
      <c r="K189" s="118">
        <v>45656</v>
      </c>
    </row>
    <row r="190" spans="1:11" s="17" customFormat="1" ht="21.75" customHeight="1" x14ac:dyDescent="0.25">
      <c r="A190" s="24">
        <v>188</v>
      </c>
      <c r="B190" s="29">
        <v>1812</v>
      </c>
      <c r="C190" s="43" t="s">
        <v>544</v>
      </c>
      <c r="D190" s="28">
        <v>375</v>
      </c>
      <c r="E190" s="27">
        <v>0.4</v>
      </c>
      <c r="F190" s="27">
        <f t="shared" si="4"/>
        <v>150</v>
      </c>
      <c r="G190" s="27">
        <f>148.95+1.05</f>
        <v>150</v>
      </c>
      <c r="H190" s="27">
        <f t="shared" si="5"/>
        <v>0</v>
      </c>
      <c r="I190" s="25">
        <v>4748701</v>
      </c>
      <c r="J190" s="75">
        <v>45607</v>
      </c>
      <c r="K190" s="118">
        <v>45628</v>
      </c>
    </row>
    <row r="191" spans="1:11" s="17" customFormat="1" ht="21.75" customHeight="1" x14ac:dyDescent="0.25">
      <c r="A191" s="11">
        <v>189</v>
      </c>
      <c r="B191" s="23">
        <v>1813</v>
      </c>
      <c r="C191" s="31" t="s">
        <v>481</v>
      </c>
      <c r="D191" s="41">
        <v>346.5</v>
      </c>
      <c r="E191" s="15">
        <v>0.4</v>
      </c>
      <c r="F191" s="14">
        <f t="shared" si="4"/>
        <v>138.6</v>
      </c>
      <c r="G191" s="14">
        <f>F191</f>
        <v>138.6</v>
      </c>
      <c r="H191" s="14">
        <f t="shared" si="5"/>
        <v>0</v>
      </c>
      <c r="I191" s="20">
        <v>2942396</v>
      </c>
      <c r="J191" s="11"/>
    </row>
    <row r="192" spans="1:11" s="17" customFormat="1" ht="21.75" customHeight="1" x14ac:dyDescent="0.25">
      <c r="A192" s="24">
        <v>190</v>
      </c>
      <c r="B192" s="29">
        <v>1816</v>
      </c>
      <c r="C192" s="43" t="s">
        <v>191</v>
      </c>
      <c r="D192" s="28">
        <v>400</v>
      </c>
      <c r="E192" s="27">
        <v>0.4</v>
      </c>
      <c r="F192" s="27">
        <f t="shared" si="4"/>
        <v>160</v>
      </c>
      <c r="G192" s="27">
        <f>159.05+0.95</f>
        <v>160</v>
      </c>
      <c r="H192" s="27">
        <f t="shared" si="5"/>
        <v>0</v>
      </c>
      <c r="I192" s="25">
        <v>15694259</v>
      </c>
      <c r="J192" s="75">
        <v>45621</v>
      </c>
      <c r="K192" s="118">
        <v>45637</v>
      </c>
    </row>
    <row r="193" spans="1:12" s="17" customFormat="1" ht="21.75" customHeight="1" x14ac:dyDescent="0.25">
      <c r="A193" s="11">
        <v>191</v>
      </c>
      <c r="B193" s="23">
        <v>1817</v>
      </c>
      <c r="C193" s="31" t="s">
        <v>483</v>
      </c>
      <c r="D193" s="41">
        <v>960</v>
      </c>
      <c r="E193" s="15">
        <v>0.4</v>
      </c>
      <c r="F193" s="14">
        <f t="shared" si="4"/>
        <v>384</v>
      </c>
      <c r="G193" s="14">
        <f>F193</f>
        <v>384</v>
      </c>
      <c r="H193" s="14">
        <f t="shared" si="5"/>
        <v>0</v>
      </c>
      <c r="I193" s="20">
        <v>6492948</v>
      </c>
      <c r="J193" s="11"/>
    </row>
    <row r="194" spans="1:12" s="17" customFormat="1" ht="21.75" customHeight="1" x14ac:dyDescent="0.25">
      <c r="A194" s="24">
        <v>192</v>
      </c>
      <c r="B194" s="29">
        <v>1818</v>
      </c>
      <c r="C194" s="43" t="s">
        <v>485</v>
      </c>
      <c r="D194" s="28">
        <v>527.6</v>
      </c>
      <c r="E194" s="27">
        <v>0.4</v>
      </c>
      <c r="F194" s="27">
        <f t="shared" si="4"/>
        <v>211.04000000000002</v>
      </c>
      <c r="G194" s="27">
        <f>210.17+0.87</f>
        <v>211.04</v>
      </c>
      <c r="H194" s="27">
        <f t="shared" si="5"/>
        <v>0</v>
      </c>
      <c r="I194" s="25">
        <v>15677827</v>
      </c>
      <c r="J194" s="75">
        <v>45614</v>
      </c>
      <c r="K194" s="118">
        <v>45630</v>
      </c>
    </row>
    <row r="195" spans="1:12" s="17" customFormat="1" ht="21.75" customHeight="1" x14ac:dyDescent="0.25">
      <c r="A195" s="24">
        <v>193</v>
      </c>
      <c r="B195" s="29">
        <v>1819</v>
      </c>
      <c r="C195" s="43" t="s">
        <v>487</v>
      </c>
      <c r="D195" s="28">
        <v>400</v>
      </c>
      <c r="E195" s="27">
        <v>0.4</v>
      </c>
      <c r="F195" s="27">
        <f t="shared" si="4"/>
        <v>160</v>
      </c>
      <c r="G195" s="27">
        <f>157.6+2.4</f>
        <v>160</v>
      </c>
      <c r="H195" s="27">
        <f t="shared" si="5"/>
        <v>0</v>
      </c>
      <c r="I195" s="25">
        <v>851375</v>
      </c>
      <c r="J195" s="75">
        <v>45601</v>
      </c>
      <c r="K195" s="116">
        <v>45635</v>
      </c>
    </row>
    <row r="196" spans="1:12" s="17" customFormat="1" ht="21.75" customHeight="1" x14ac:dyDescent="0.25">
      <c r="A196" s="19">
        <v>194</v>
      </c>
      <c r="B196" s="23">
        <v>1820</v>
      </c>
      <c r="C196" s="31" t="s">
        <v>489</v>
      </c>
      <c r="D196" s="41">
        <v>370</v>
      </c>
      <c r="E196" s="15">
        <v>0.4</v>
      </c>
      <c r="F196" s="14">
        <f t="shared" ref="F196:F223" si="7">D196*E196</f>
        <v>148</v>
      </c>
      <c r="G196" s="14">
        <f>F196</f>
        <v>148</v>
      </c>
      <c r="H196" s="14">
        <f t="shared" ref="H196:H223" si="8">F196-G196</f>
        <v>0</v>
      </c>
      <c r="I196" s="20">
        <v>7124544</v>
      </c>
      <c r="J196" s="11"/>
    </row>
    <row r="197" spans="1:12" s="17" customFormat="1" ht="21.75" customHeight="1" x14ac:dyDescent="0.25">
      <c r="A197" s="11">
        <v>195</v>
      </c>
      <c r="B197" s="23">
        <v>1821</v>
      </c>
      <c r="C197" s="20" t="s">
        <v>491</v>
      </c>
      <c r="D197" s="41">
        <v>704.9</v>
      </c>
      <c r="E197" s="15">
        <v>0.4</v>
      </c>
      <c r="F197" s="14">
        <f t="shared" si="7"/>
        <v>281.95999999999998</v>
      </c>
      <c r="G197" s="14">
        <f>F197</f>
        <v>281.95999999999998</v>
      </c>
      <c r="H197" s="14">
        <f t="shared" si="8"/>
        <v>0</v>
      </c>
      <c r="I197" s="20">
        <v>2454202</v>
      </c>
      <c r="J197" s="11"/>
    </row>
    <row r="198" spans="1:12" s="17" customFormat="1" ht="21.75" customHeight="1" x14ac:dyDescent="0.25">
      <c r="A198" s="24">
        <v>196</v>
      </c>
      <c r="B198" s="29">
        <v>1822</v>
      </c>
      <c r="C198" s="25" t="s">
        <v>193</v>
      </c>
      <c r="D198" s="28">
        <v>372</v>
      </c>
      <c r="E198" s="27">
        <v>0.4</v>
      </c>
      <c r="F198" s="27">
        <f t="shared" si="7"/>
        <v>148.80000000000001</v>
      </c>
      <c r="G198" s="27">
        <f>146.24</f>
        <v>146.24</v>
      </c>
      <c r="H198" s="27">
        <f t="shared" si="8"/>
        <v>2.5600000000000023</v>
      </c>
      <c r="I198" s="25">
        <v>22005737</v>
      </c>
      <c r="J198" s="75">
        <v>45684</v>
      </c>
    </row>
    <row r="199" spans="1:12" s="17" customFormat="1" ht="21.75" customHeight="1" x14ac:dyDescent="0.25">
      <c r="A199" s="11">
        <v>197</v>
      </c>
      <c r="B199" s="23">
        <v>1823</v>
      </c>
      <c r="C199" s="20" t="s">
        <v>493</v>
      </c>
      <c r="D199" s="41">
        <v>374.9</v>
      </c>
      <c r="E199" s="15">
        <v>0.4</v>
      </c>
      <c r="F199" s="14">
        <f t="shared" si="7"/>
        <v>149.96</v>
      </c>
      <c r="G199" s="14">
        <f>F199</f>
        <v>149.96</v>
      </c>
      <c r="H199" s="14">
        <f t="shared" si="8"/>
        <v>0</v>
      </c>
      <c r="I199" s="20">
        <v>25722393</v>
      </c>
      <c r="J199" s="11"/>
    </row>
    <row r="200" spans="1:12" s="17" customFormat="1" ht="21.75" customHeight="1" x14ac:dyDescent="0.25">
      <c r="A200" s="24">
        <v>198</v>
      </c>
      <c r="B200" s="29">
        <v>1824</v>
      </c>
      <c r="C200" s="25" t="s">
        <v>195</v>
      </c>
      <c r="D200" s="28">
        <v>330.1</v>
      </c>
      <c r="E200" s="27">
        <v>0.4</v>
      </c>
      <c r="F200" s="27">
        <f t="shared" si="7"/>
        <v>132.04000000000002</v>
      </c>
      <c r="G200" s="27">
        <f>F200</f>
        <v>132.04000000000002</v>
      </c>
      <c r="H200" s="27">
        <f t="shared" si="8"/>
        <v>0</v>
      </c>
      <c r="I200" s="25">
        <v>766709</v>
      </c>
      <c r="J200" s="75">
        <v>45643</v>
      </c>
    </row>
    <row r="201" spans="1:12" s="17" customFormat="1" ht="21.75" customHeight="1" x14ac:dyDescent="0.25">
      <c r="A201" s="24">
        <v>199</v>
      </c>
      <c r="B201" s="29">
        <v>1825</v>
      </c>
      <c r="C201" s="25" t="s">
        <v>495</v>
      </c>
      <c r="D201" s="28">
        <v>355.1</v>
      </c>
      <c r="E201" s="27">
        <v>0.4</v>
      </c>
      <c r="F201" s="27">
        <f t="shared" si="7"/>
        <v>142.04000000000002</v>
      </c>
      <c r="G201" s="27">
        <f>140.03+2.01</f>
        <v>142.04</v>
      </c>
      <c r="H201" s="27">
        <f t="shared" si="8"/>
        <v>0</v>
      </c>
      <c r="I201" s="25">
        <v>7293524</v>
      </c>
      <c r="J201" s="75">
        <v>45601</v>
      </c>
      <c r="K201" s="118">
        <v>45656</v>
      </c>
    </row>
    <row r="202" spans="1:12" s="17" customFormat="1" ht="21.75" customHeight="1" x14ac:dyDescent="0.2">
      <c r="A202" s="24">
        <v>200</v>
      </c>
      <c r="B202" s="29">
        <v>1826</v>
      </c>
      <c r="C202" s="276" t="s">
        <v>88</v>
      </c>
      <c r="D202" s="28">
        <v>364.6</v>
      </c>
      <c r="E202" s="27">
        <v>0.4</v>
      </c>
      <c r="F202" s="27">
        <f t="shared" si="7"/>
        <v>145.84</v>
      </c>
      <c r="G202" s="27">
        <f>145.5+0.34</f>
        <v>145.84</v>
      </c>
      <c r="H202" s="27">
        <f t="shared" si="8"/>
        <v>0</v>
      </c>
      <c r="I202" s="277">
        <v>381215</v>
      </c>
      <c r="J202" s="75">
        <v>45644</v>
      </c>
      <c r="K202" s="118">
        <v>45684</v>
      </c>
    </row>
    <row r="203" spans="1:12" s="17" customFormat="1" ht="21.75" customHeight="1" x14ac:dyDescent="0.25">
      <c r="A203" s="24">
        <v>201</v>
      </c>
      <c r="B203" s="29">
        <v>1827</v>
      </c>
      <c r="C203" s="25" t="s">
        <v>497</v>
      </c>
      <c r="D203" s="28">
        <v>358.7</v>
      </c>
      <c r="E203" s="27">
        <v>0.4</v>
      </c>
      <c r="F203" s="27">
        <f t="shared" si="7"/>
        <v>143.47999999999999</v>
      </c>
      <c r="G203" s="27">
        <f>35.24+106.7+1.54</f>
        <v>143.47999999999999</v>
      </c>
      <c r="H203" s="27">
        <f t="shared" si="8"/>
        <v>0</v>
      </c>
      <c r="I203" s="25">
        <v>24218909</v>
      </c>
      <c r="J203" s="75">
        <v>45635</v>
      </c>
      <c r="K203" s="118">
        <v>45637</v>
      </c>
      <c r="L203" s="118">
        <v>45650</v>
      </c>
    </row>
    <row r="204" spans="1:12" s="17" customFormat="1" ht="21.75" customHeight="1" x14ac:dyDescent="0.25">
      <c r="A204" s="19">
        <v>202</v>
      </c>
      <c r="B204" s="23">
        <v>1830</v>
      </c>
      <c r="C204" s="20" t="s">
        <v>499</v>
      </c>
      <c r="D204" s="41">
        <v>790.2</v>
      </c>
      <c r="E204" s="15">
        <v>0.4</v>
      </c>
      <c r="F204" s="14">
        <f t="shared" si="7"/>
        <v>316.08000000000004</v>
      </c>
      <c r="G204" s="14">
        <f>F204</f>
        <v>316.08000000000004</v>
      </c>
      <c r="H204" s="14">
        <f t="shared" si="8"/>
        <v>0</v>
      </c>
      <c r="I204" s="20">
        <v>22697535</v>
      </c>
      <c r="J204" s="11"/>
    </row>
    <row r="205" spans="1:12" s="17" customFormat="1" ht="21.75" customHeight="1" x14ac:dyDescent="0.25">
      <c r="A205" s="24">
        <v>203</v>
      </c>
      <c r="B205" s="29">
        <v>3074</v>
      </c>
      <c r="C205" s="43" t="s">
        <v>501</v>
      </c>
      <c r="D205" s="28">
        <v>300.7</v>
      </c>
      <c r="E205" s="27">
        <v>0.4</v>
      </c>
      <c r="F205" s="27">
        <f t="shared" si="7"/>
        <v>120.28</v>
      </c>
      <c r="G205" s="27">
        <f>118.06+2.22</f>
        <v>120.28</v>
      </c>
      <c r="H205" s="27">
        <f t="shared" si="8"/>
        <v>0</v>
      </c>
      <c r="I205" s="60">
        <v>6327112</v>
      </c>
      <c r="J205" s="75">
        <v>45628</v>
      </c>
      <c r="K205" s="118">
        <v>45658</v>
      </c>
    </row>
    <row r="206" spans="1:12" s="17" customFormat="1" ht="21.75" customHeight="1" x14ac:dyDescent="0.25">
      <c r="A206" s="19">
        <v>204</v>
      </c>
      <c r="B206" s="23">
        <v>3075</v>
      </c>
      <c r="C206" s="20" t="s">
        <v>503</v>
      </c>
      <c r="D206" s="41">
        <v>610.70000000000005</v>
      </c>
      <c r="E206" s="15">
        <v>0.4</v>
      </c>
      <c r="F206" s="14">
        <f t="shared" si="7"/>
        <v>244.28000000000003</v>
      </c>
      <c r="G206" s="14">
        <f>F206</f>
        <v>244.28000000000003</v>
      </c>
      <c r="H206" s="14">
        <f t="shared" si="8"/>
        <v>0</v>
      </c>
      <c r="I206" s="35">
        <v>6207551</v>
      </c>
      <c r="J206" s="19"/>
    </row>
    <row r="207" spans="1:12" ht="21.75" customHeight="1" x14ac:dyDescent="0.25">
      <c r="A207" s="24">
        <v>205</v>
      </c>
      <c r="B207" s="29">
        <v>3250</v>
      </c>
      <c r="C207" s="25" t="s">
        <v>198</v>
      </c>
      <c r="D207" s="28">
        <v>690.5</v>
      </c>
      <c r="E207" s="27">
        <v>0.4</v>
      </c>
      <c r="F207" s="27">
        <f t="shared" si="7"/>
        <v>276.2</v>
      </c>
      <c r="G207" s="27">
        <f>275.96+0.24</f>
        <v>276.2</v>
      </c>
      <c r="H207" s="27">
        <f t="shared" si="8"/>
        <v>0</v>
      </c>
      <c r="I207" s="56">
        <v>1357047</v>
      </c>
      <c r="J207" s="75">
        <v>45623</v>
      </c>
      <c r="K207" s="98">
        <v>45643</v>
      </c>
      <c r="L207" s="17"/>
    </row>
    <row r="208" spans="1:12" s="17" customFormat="1" ht="21.75" customHeight="1" x14ac:dyDescent="0.25">
      <c r="A208" s="19">
        <v>206</v>
      </c>
      <c r="B208" s="23">
        <v>3317</v>
      </c>
      <c r="C208" s="20" t="s">
        <v>505</v>
      </c>
      <c r="D208" s="41">
        <v>499.9</v>
      </c>
      <c r="E208" s="15">
        <v>0.4</v>
      </c>
      <c r="F208" s="14">
        <f t="shared" si="7"/>
        <v>199.96</v>
      </c>
      <c r="G208" s="14">
        <f>F208</f>
        <v>199.96</v>
      </c>
      <c r="H208" s="14">
        <f t="shared" si="8"/>
        <v>0</v>
      </c>
      <c r="I208" s="36">
        <v>2366794</v>
      </c>
      <c r="J208" s="19"/>
    </row>
    <row r="209" spans="1:12" s="17" customFormat="1" ht="21.75" customHeight="1" x14ac:dyDescent="0.25">
      <c r="A209" s="24">
        <v>207</v>
      </c>
      <c r="B209" s="29">
        <v>3323</v>
      </c>
      <c r="C209" s="25" t="s">
        <v>507</v>
      </c>
      <c r="D209" s="28">
        <v>667</v>
      </c>
      <c r="E209" s="27">
        <v>0.4</v>
      </c>
      <c r="F209" s="27">
        <f t="shared" si="7"/>
        <v>266.8</v>
      </c>
      <c r="G209" s="27">
        <f>264.71+2.09</f>
        <v>266.79999999999995</v>
      </c>
      <c r="H209" s="27">
        <f t="shared" si="8"/>
        <v>0</v>
      </c>
      <c r="I209" s="56">
        <v>683613</v>
      </c>
      <c r="J209" s="75">
        <v>45600</v>
      </c>
      <c r="K209" s="118">
        <v>45628</v>
      </c>
    </row>
    <row r="210" spans="1:12" s="17" customFormat="1" ht="21.75" customHeight="1" x14ac:dyDescent="0.25">
      <c r="A210" s="19">
        <v>208</v>
      </c>
      <c r="B210" s="23">
        <v>3327</v>
      </c>
      <c r="C210" s="20" t="s">
        <v>509</v>
      </c>
      <c r="D210" s="41">
        <v>641.70000000000005</v>
      </c>
      <c r="E210" s="15">
        <v>0.4</v>
      </c>
      <c r="F210" s="14">
        <f t="shared" si="7"/>
        <v>256.68</v>
      </c>
      <c r="G210" s="14">
        <f>F210</f>
        <v>256.68</v>
      </c>
      <c r="H210" s="14">
        <f t="shared" si="8"/>
        <v>0</v>
      </c>
      <c r="I210" s="20">
        <v>4919647</v>
      </c>
      <c r="J210" s="33"/>
    </row>
    <row r="211" spans="1:12" s="17" customFormat="1" ht="21.75" customHeight="1" x14ac:dyDescent="0.25">
      <c r="A211" s="11">
        <v>209</v>
      </c>
      <c r="B211" s="23">
        <v>3345</v>
      </c>
      <c r="C211" s="20" t="s">
        <v>511</v>
      </c>
      <c r="D211" s="41">
        <v>375</v>
      </c>
      <c r="E211" s="15">
        <v>0.4</v>
      </c>
      <c r="F211" s="14">
        <f t="shared" si="7"/>
        <v>150</v>
      </c>
      <c r="G211" s="14">
        <f>F211</f>
        <v>150</v>
      </c>
      <c r="H211" s="14">
        <f t="shared" si="8"/>
        <v>0</v>
      </c>
      <c r="I211" s="20">
        <v>6572395</v>
      </c>
      <c r="J211" s="33"/>
    </row>
    <row r="212" spans="1:12" s="17" customFormat="1" ht="21.75" customHeight="1" x14ac:dyDescent="0.25">
      <c r="A212" s="24">
        <v>210</v>
      </c>
      <c r="B212" s="29">
        <v>3701</v>
      </c>
      <c r="C212" s="43" t="s">
        <v>513</v>
      </c>
      <c r="D212" s="28">
        <v>371.3</v>
      </c>
      <c r="E212" s="27">
        <v>0.4</v>
      </c>
      <c r="F212" s="27">
        <f t="shared" si="7"/>
        <v>148.52000000000001</v>
      </c>
      <c r="G212" s="27">
        <f>144.49+4.03</f>
        <v>148.52000000000001</v>
      </c>
      <c r="H212" s="27">
        <f t="shared" si="8"/>
        <v>0</v>
      </c>
      <c r="I212" s="25">
        <v>5146416</v>
      </c>
      <c r="J212" s="75">
        <v>45601</v>
      </c>
      <c r="K212" s="118">
        <v>45630</v>
      </c>
    </row>
    <row r="213" spans="1:12" s="17" customFormat="1" ht="21.75" customHeight="1" x14ac:dyDescent="0.25">
      <c r="A213" s="24">
        <v>211</v>
      </c>
      <c r="B213" s="29">
        <v>3710</v>
      </c>
      <c r="C213" s="43" t="s">
        <v>515</v>
      </c>
      <c r="D213" s="28">
        <v>303.7</v>
      </c>
      <c r="E213" s="27">
        <v>0.4</v>
      </c>
      <c r="F213" s="27">
        <f t="shared" si="7"/>
        <v>121.48</v>
      </c>
      <c r="G213" s="27">
        <f>117.82+3.66</f>
        <v>121.47999999999999</v>
      </c>
      <c r="H213" s="27">
        <f t="shared" si="8"/>
        <v>0</v>
      </c>
      <c r="I213" s="25">
        <v>22749678</v>
      </c>
      <c r="J213" s="75">
        <v>45628</v>
      </c>
      <c r="K213" s="118">
        <v>45650</v>
      </c>
    </row>
    <row r="214" spans="1:12" s="17" customFormat="1" ht="21.75" customHeight="1" x14ac:dyDescent="0.25">
      <c r="A214" s="24">
        <v>212</v>
      </c>
      <c r="B214" s="29">
        <v>3715</v>
      </c>
      <c r="C214" s="43" t="s">
        <v>517</v>
      </c>
      <c r="D214" s="28">
        <v>291.2</v>
      </c>
      <c r="E214" s="27">
        <v>0.4</v>
      </c>
      <c r="F214" s="27">
        <f t="shared" si="7"/>
        <v>116.48</v>
      </c>
      <c r="G214" s="27">
        <f>F214</f>
        <v>116.48</v>
      </c>
      <c r="H214" s="27">
        <f t="shared" si="8"/>
        <v>0</v>
      </c>
      <c r="I214" s="25">
        <v>6327183</v>
      </c>
      <c r="J214" s="75">
        <v>45601</v>
      </c>
    </row>
    <row r="215" spans="1:12" s="17" customFormat="1" ht="21.75" customHeight="1" x14ac:dyDescent="0.25">
      <c r="A215" s="11">
        <v>213</v>
      </c>
      <c r="B215" s="23">
        <v>3721</v>
      </c>
      <c r="C215" s="31" t="s">
        <v>519</v>
      </c>
      <c r="D215" s="41">
        <v>111.1</v>
      </c>
      <c r="E215" s="15">
        <v>0.4</v>
      </c>
      <c r="F215" s="14">
        <f t="shared" si="7"/>
        <v>44.44</v>
      </c>
      <c r="G215" s="14">
        <f>F215</f>
        <v>44.44</v>
      </c>
      <c r="H215" s="14">
        <f t="shared" si="8"/>
        <v>0</v>
      </c>
      <c r="I215" s="20">
        <v>5332235</v>
      </c>
      <c r="J215" s="19"/>
    </row>
    <row r="216" spans="1:12" s="17" customFormat="1" ht="21.75" customHeight="1" x14ac:dyDescent="0.25">
      <c r="A216" s="19">
        <v>214</v>
      </c>
      <c r="B216" s="23">
        <v>3738</v>
      </c>
      <c r="C216" s="20" t="s">
        <v>521</v>
      </c>
      <c r="D216" s="41">
        <v>398.2</v>
      </c>
      <c r="E216" s="15">
        <v>0.4</v>
      </c>
      <c r="F216" s="14">
        <f t="shared" si="7"/>
        <v>159.28</v>
      </c>
      <c r="G216" s="14">
        <f t="shared" ref="G216:G217" si="9">F216</f>
        <v>159.28</v>
      </c>
      <c r="H216" s="14">
        <f t="shared" si="8"/>
        <v>0</v>
      </c>
      <c r="I216" s="20">
        <v>730741</v>
      </c>
      <c r="J216" s="19"/>
    </row>
    <row r="217" spans="1:12" s="17" customFormat="1" ht="21.75" customHeight="1" x14ac:dyDescent="0.25">
      <c r="A217" s="11">
        <v>215</v>
      </c>
      <c r="B217" s="23">
        <v>3763</v>
      </c>
      <c r="C217" s="20" t="s">
        <v>92</v>
      </c>
      <c r="D217" s="41">
        <v>325.39999999999998</v>
      </c>
      <c r="E217" s="15">
        <v>0.4</v>
      </c>
      <c r="F217" s="14">
        <f t="shared" si="7"/>
        <v>130.16</v>
      </c>
      <c r="G217" s="14">
        <f t="shared" si="9"/>
        <v>130.16</v>
      </c>
      <c r="H217" s="14">
        <f t="shared" si="8"/>
        <v>0</v>
      </c>
      <c r="I217" s="20">
        <v>19189247</v>
      </c>
      <c r="J217" s="19"/>
    </row>
    <row r="218" spans="1:12" s="17" customFormat="1" ht="21.75" customHeight="1" x14ac:dyDescent="0.25">
      <c r="A218" s="24">
        <v>216</v>
      </c>
      <c r="B218" s="29">
        <v>3788</v>
      </c>
      <c r="C218" s="25" t="s">
        <v>523</v>
      </c>
      <c r="D218" s="28">
        <v>359.8</v>
      </c>
      <c r="E218" s="27">
        <v>0.4</v>
      </c>
      <c r="F218" s="27">
        <f t="shared" si="7"/>
        <v>143.92000000000002</v>
      </c>
      <c r="G218" s="27">
        <f>F218</f>
        <v>143.92000000000002</v>
      </c>
      <c r="H218" s="27">
        <f t="shared" si="8"/>
        <v>0</v>
      </c>
      <c r="I218" s="25">
        <v>5146627</v>
      </c>
      <c r="J218" s="75">
        <v>45644</v>
      </c>
    </row>
    <row r="219" spans="1:12" s="17" customFormat="1" ht="21.75" customHeight="1" x14ac:dyDescent="0.25">
      <c r="A219" s="11">
        <v>217</v>
      </c>
      <c r="B219" s="23">
        <v>3806</v>
      </c>
      <c r="C219" s="20" t="s">
        <v>525</v>
      </c>
      <c r="D219" s="41">
        <v>372.9</v>
      </c>
      <c r="E219" s="15">
        <v>0.4</v>
      </c>
      <c r="F219" s="14">
        <f t="shared" si="7"/>
        <v>149.16</v>
      </c>
      <c r="G219" s="14">
        <f>F219</f>
        <v>149.16</v>
      </c>
      <c r="H219" s="14">
        <f t="shared" si="8"/>
        <v>0</v>
      </c>
      <c r="I219" s="20">
        <v>14457167</v>
      </c>
      <c r="J219" s="19"/>
    </row>
    <row r="220" spans="1:12" s="17" customFormat="1" ht="21.75" customHeight="1" x14ac:dyDescent="0.25">
      <c r="A220" s="24">
        <v>218</v>
      </c>
      <c r="B220" s="29">
        <v>3825</v>
      </c>
      <c r="C220" s="25" t="s">
        <v>526</v>
      </c>
      <c r="D220" s="28">
        <v>253.6</v>
      </c>
      <c r="E220" s="27">
        <v>0.4</v>
      </c>
      <c r="F220" s="27">
        <f t="shared" si="7"/>
        <v>101.44</v>
      </c>
      <c r="G220" s="27">
        <f>99.62+1.82</f>
        <v>101.44</v>
      </c>
      <c r="H220" s="27">
        <f t="shared" si="8"/>
        <v>0</v>
      </c>
      <c r="I220" s="25">
        <v>6327337</v>
      </c>
      <c r="J220" s="75">
        <v>45628</v>
      </c>
      <c r="K220" s="118">
        <v>45650</v>
      </c>
    </row>
    <row r="221" spans="1:12" s="17" customFormat="1" ht="21.75" customHeight="1" x14ac:dyDescent="0.25">
      <c r="A221" s="11">
        <v>219</v>
      </c>
      <c r="B221" s="23">
        <v>3826</v>
      </c>
      <c r="C221" s="20" t="s">
        <v>203</v>
      </c>
      <c r="D221" s="41">
        <v>387.4</v>
      </c>
      <c r="E221" s="15">
        <v>0.4</v>
      </c>
      <c r="F221" s="14">
        <f t="shared" si="7"/>
        <v>154.96</v>
      </c>
      <c r="G221" s="14">
        <f>F221</f>
        <v>154.96</v>
      </c>
      <c r="H221" s="14">
        <f t="shared" si="8"/>
        <v>0</v>
      </c>
      <c r="I221" s="20">
        <v>4919699</v>
      </c>
      <c r="J221" s="19"/>
    </row>
    <row r="222" spans="1:12" s="17" customFormat="1" ht="21.75" customHeight="1" x14ac:dyDescent="0.25">
      <c r="A222" s="24">
        <v>220</v>
      </c>
      <c r="B222" s="29">
        <v>3881</v>
      </c>
      <c r="C222" s="304" t="s">
        <v>529</v>
      </c>
      <c r="D222" s="28">
        <v>322.2</v>
      </c>
      <c r="E222" s="27">
        <v>0.4</v>
      </c>
      <c r="F222" s="27">
        <f t="shared" si="7"/>
        <v>128.88</v>
      </c>
      <c r="G222" s="27">
        <f>F222</f>
        <v>128.88</v>
      </c>
      <c r="H222" s="27">
        <f t="shared" si="8"/>
        <v>0</v>
      </c>
      <c r="I222" s="25">
        <v>5335138</v>
      </c>
      <c r="J222" s="75">
        <v>45686</v>
      </c>
      <c r="L222" s="5"/>
    </row>
    <row r="223" spans="1:12" s="17" customFormat="1" ht="21.75" customHeight="1" x14ac:dyDescent="0.25">
      <c r="A223" s="11">
        <v>221</v>
      </c>
      <c r="B223" s="23">
        <v>3883</v>
      </c>
      <c r="C223" s="20" t="s">
        <v>531</v>
      </c>
      <c r="D223" s="41">
        <v>103.9</v>
      </c>
      <c r="E223" s="15">
        <v>0.4</v>
      </c>
      <c r="F223" s="14">
        <f t="shared" si="7"/>
        <v>41.56</v>
      </c>
      <c r="G223" s="14">
        <f>F223</f>
        <v>41.56</v>
      </c>
      <c r="H223" s="14">
        <f t="shared" si="8"/>
        <v>0</v>
      </c>
      <c r="I223" s="20">
        <v>18636502</v>
      </c>
      <c r="J223" s="19"/>
    </row>
    <row r="224" spans="1:12" x14ac:dyDescent="0.25">
      <c r="A224" s="11"/>
      <c r="B224" s="11"/>
      <c r="C224" s="12"/>
      <c r="D224" s="16">
        <f>SUM(D3:D223)</f>
        <v>113594.49999999994</v>
      </c>
      <c r="E224" s="15"/>
      <c r="F224" s="14">
        <f>SUM(F3:F223)</f>
        <v>45437.80000000001</v>
      </c>
      <c r="G224" s="14">
        <f t="shared" ref="G224:H224" si="10">SUM(G3:G223)</f>
        <v>45418.540000000008</v>
      </c>
      <c r="H224" s="14">
        <f t="shared" si="10"/>
        <v>19.260000000000048</v>
      </c>
      <c r="I224" s="12"/>
      <c r="J224" s="11"/>
      <c r="L224" s="17"/>
    </row>
    <row r="225" spans="1:12" x14ac:dyDescent="0.25">
      <c r="B225" s="6"/>
      <c r="C225" s="8"/>
      <c r="D225" s="5"/>
      <c r="E225" s="64"/>
      <c r="F225" s="7"/>
      <c r="G225" s="7"/>
      <c r="H225" s="7"/>
      <c r="L225" s="17"/>
    </row>
    <row r="226" spans="1:12" x14ac:dyDescent="0.25">
      <c r="B226" s="6"/>
      <c r="C226" s="8"/>
      <c r="D226" s="5"/>
      <c r="E226" s="10"/>
      <c r="F226" s="6"/>
      <c r="G226" s="305">
        <f>G186+G155+G138+G3</f>
        <v>779.76</v>
      </c>
      <c r="H226" s="305">
        <f>G224-G226</f>
        <v>44638.780000000006</v>
      </c>
      <c r="I226" s="7"/>
      <c r="L226" s="17"/>
    </row>
    <row r="227" spans="1:12" x14ac:dyDescent="0.25">
      <c r="L227" s="17"/>
    </row>
    <row r="228" spans="1:12" x14ac:dyDescent="0.25">
      <c r="G228" s="77">
        <f>H226/F224</f>
        <v>0.98241508171610414</v>
      </c>
      <c r="L228" s="17"/>
    </row>
    <row r="229" spans="1:12" x14ac:dyDescent="0.25">
      <c r="L229" s="17"/>
    </row>
    <row r="230" spans="1:12" ht="21" x14ac:dyDescent="0.35">
      <c r="A230" s="65"/>
      <c r="B230" s="66"/>
      <c r="C230" s="65"/>
      <c r="D230" s="67"/>
      <c r="E230" s="65"/>
      <c r="F230" s="4"/>
      <c r="G230" s="4"/>
      <c r="H230" s="4"/>
      <c r="I230" s="4"/>
      <c r="L230" s="17"/>
    </row>
    <row r="231" spans="1:12" ht="15.75" x14ac:dyDescent="0.25">
      <c r="A231" s="4"/>
      <c r="B231" s="4"/>
      <c r="C231" s="4"/>
      <c r="D231" s="69"/>
      <c r="E231" s="4"/>
      <c r="F231" s="4"/>
      <c r="G231" s="4"/>
      <c r="H231" s="4"/>
      <c r="I231" s="4"/>
      <c r="L231" s="17"/>
    </row>
    <row r="232" spans="1:12" ht="15.75" x14ac:dyDescent="0.25">
      <c r="A232" s="70"/>
      <c r="B232" s="70"/>
      <c r="C232" s="70"/>
      <c r="D232" s="71"/>
      <c r="E232" s="70"/>
      <c r="F232" s="70"/>
      <c r="G232" s="70"/>
      <c r="H232" s="70"/>
      <c r="I232" s="70"/>
      <c r="L232" s="17"/>
    </row>
    <row r="233" spans="1:12" ht="15.75" x14ac:dyDescent="0.25">
      <c r="A233" s="70"/>
      <c r="B233" s="70"/>
      <c r="C233" s="70"/>
      <c r="D233" s="71"/>
      <c r="E233" s="70"/>
      <c r="F233" s="70"/>
      <c r="G233" s="70"/>
      <c r="H233" s="70"/>
      <c r="I233" s="70"/>
      <c r="L233" s="17"/>
    </row>
    <row r="234" spans="1:12" ht="15.75" x14ac:dyDescent="0.25">
      <c r="A234" s="70"/>
      <c r="B234" s="70"/>
      <c r="C234" s="70"/>
      <c r="D234" s="71"/>
      <c r="E234" s="70"/>
      <c r="F234" s="70"/>
      <c r="G234" s="70"/>
      <c r="H234" s="70"/>
      <c r="I234" s="70"/>
      <c r="L234" s="17"/>
    </row>
    <row r="235" spans="1:12" x14ac:dyDescent="0.25">
      <c r="L235" s="17"/>
    </row>
    <row r="236" spans="1:12" x14ac:dyDescent="0.25">
      <c r="L236" s="17"/>
    </row>
    <row r="237" spans="1:12" x14ac:dyDescent="0.25">
      <c r="L237" s="17"/>
    </row>
    <row r="238" spans="1:12" x14ac:dyDescent="0.25">
      <c r="L238" s="17"/>
    </row>
  </sheetData>
  <autoFilter ref="A2:J224" xr:uid="{3112960F-BD4B-4972-B409-349DF83FF926}"/>
  <mergeCells count="1">
    <mergeCell ref="A1:J1"/>
  </mergeCells>
  <conditionalFormatting sqref="B7">
    <cfRule type="duplicateValues" dxfId="109" priority="9"/>
  </conditionalFormatting>
  <conditionalFormatting sqref="B18:B19">
    <cfRule type="duplicateValues" dxfId="108" priority="11"/>
  </conditionalFormatting>
  <conditionalFormatting sqref="B33">
    <cfRule type="duplicateValues" dxfId="107" priority="1"/>
  </conditionalFormatting>
  <conditionalFormatting sqref="B34">
    <cfRule type="duplicateValues" dxfId="106" priority="8"/>
  </conditionalFormatting>
  <conditionalFormatting sqref="B39:B41">
    <cfRule type="duplicateValues" dxfId="105" priority="7"/>
  </conditionalFormatting>
  <conditionalFormatting sqref="B48">
    <cfRule type="duplicateValues" dxfId="104" priority="6"/>
  </conditionalFormatting>
  <conditionalFormatting sqref="B59:B61">
    <cfRule type="duplicateValues" dxfId="103" priority="5"/>
  </conditionalFormatting>
  <conditionalFormatting sqref="B63">
    <cfRule type="duplicateValues" dxfId="102" priority="4"/>
  </conditionalFormatting>
  <conditionalFormatting sqref="B78">
    <cfRule type="duplicateValues" dxfId="101" priority="3"/>
  </conditionalFormatting>
  <conditionalFormatting sqref="B79">
    <cfRule type="duplicateValues" dxfId="100" priority="2"/>
  </conditionalFormatting>
  <conditionalFormatting sqref="B206">
    <cfRule type="duplicateValues" dxfId="99" priority="10"/>
  </conditionalFormatting>
  <pageMargins left="0.7" right="0.7" top="0.75" bottom="0.75" header="0.3" footer="0.3"/>
  <pageSetup paperSize="8" orientation="landscape" r:id="rId1"/>
  <rowBreaks count="1" manualBreakCount="1">
    <brk id="130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D5F3-4EDD-4878-B70D-57DB8FD23580}">
  <dimension ref="A1:M234"/>
  <sheetViews>
    <sheetView view="pageBreakPreview" topLeftCell="A127" zoomScale="91" zoomScaleNormal="100" zoomScaleSheetLayoutView="91" workbookViewId="0">
      <selection activeCell="O13" sqref="O13"/>
    </sheetView>
  </sheetViews>
  <sheetFormatPr defaultColWidth="9" defaultRowHeight="12.75" x14ac:dyDescent="0.25"/>
  <cols>
    <col min="1" max="1" width="9.140625" style="436" customWidth="1"/>
    <col min="2" max="2" width="6.85546875" style="436" customWidth="1"/>
    <col min="3" max="3" width="33.140625" style="529" customWidth="1"/>
    <col min="4" max="4" width="18.7109375" style="537" bestFit="1" customWidth="1"/>
    <col min="5" max="5" width="7.28515625" style="436" customWidth="1"/>
    <col min="6" max="6" width="10.85546875" style="436" customWidth="1"/>
    <col min="7" max="7" width="11.42578125" style="436" bestFit="1" customWidth="1"/>
    <col min="8" max="8" width="12.85546875" style="436" customWidth="1"/>
    <col min="9" max="9" width="10.42578125" style="436" customWidth="1"/>
    <col min="10" max="10" width="20" style="529" customWidth="1"/>
    <col min="11" max="11" width="23.42578125" style="441" bestFit="1" customWidth="1"/>
    <col min="12" max="12" width="20.28515625" style="435" bestFit="1" customWidth="1"/>
    <col min="13" max="13" width="9.85546875" style="436" bestFit="1" customWidth="1"/>
    <col min="14" max="16384" width="9" style="436"/>
  </cols>
  <sheetData>
    <row r="1" spans="1:12" ht="34.5" customHeight="1" x14ac:dyDescent="0.25">
      <c r="A1" s="653" t="s">
        <v>545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</row>
    <row r="2" spans="1:12" ht="30" customHeight="1" x14ac:dyDescent="0.25">
      <c r="A2" s="437" t="s">
        <v>1</v>
      </c>
      <c r="B2" s="437" t="s">
        <v>2</v>
      </c>
      <c r="C2" s="438" t="s">
        <v>3</v>
      </c>
      <c r="D2" s="439" t="s">
        <v>4</v>
      </c>
      <c r="E2" s="437" t="s">
        <v>5</v>
      </c>
      <c r="F2" s="437" t="s">
        <v>6</v>
      </c>
      <c r="G2" s="437" t="s">
        <v>7</v>
      </c>
      <c r="H2" s="437" t="s">
        <v>19</v>
      </c>
      <c r="I2" s="438" t="s">
        <v>9</v>
      </c>
      <c r="J2" s="440" t="s">
        <v>10</v>
      </c>
    </row>
    <row r="3" spans="1:12" ht="21.75" customHeight="1" x14ac:dyDescent="0.25">
      <c r="A3" s="442">
        <v>1</v>
      </c>
      <c r="B3" s="443">
        <v>1001</v>
      </c>
      <c r="C3" s="444" t="s">
        <v>95</v>
      </c>
      <c r="D3" s="445">
        <v>263.5</v>
      </c>
      <c r="E3" s="446">
        <v>0.4</v>
      </c>
      <c r="F3" s="446">
        <f>D3*E3</f>
        <v>105.4</v>
      </c>
      <c r="G3" s="446">
        <f>F3</f>
        <v>105.4</v>
      </c>
      <c r="H3" s="446">
        <f>F3-G3</f>
        <v>0</v>
      </c>
      <c r="I3" s="447">
        <v>2130934</v>
      </c>
      <c r="J3" s="448">
        <v>45672</v>
      </c>
      <c r="K3" s="449"/>
    </row>
    <row r="4" spans="1:12" ht="21.75" customHeight="1" x14ac:dyDescent="0.25">
      <c r="A4" s="450">
        <v>2</v>
      </c>
      <c r="B4" s="443">
        <v>1007</v>
      </c>
      <c r="C4" s="444" t="s">
        <v>213</v>
      </c>
      <c r="D4" s="445">
        <v>1547.5</v>
      </c>
      <c r="E4" s="446">
        <v>0.4</v>
      </c>
      <c r="F4" s="446">
        <f>D4*E4</f>
        <v>619</v>
      </c>
      <c r="G4" s="446">
        <f>613.53+5.47</f>
        <v>619</v>
      </c>
      <c r="H4" s="446">
        <f t="shared" ref="H4:H32" si="0">F4-G4</f>
        <v>0</v>
      </c>
      <c r="I4" s="451">
        <v>1515504</v>
      </c>
      <c r="J4" s="448">
        <v>45630</v>
      </c>
      <c r="K4" s="452">
        <v>45650</v>
      </c>
    </row>
    <row r="5" spans="1:12" s="463" customFormat="1" ht="21.75" customHeight="1" x14ac:dyDescent="0.25">
      <c r="A5" s="453">
        <v>3</v>
      </c>
      <c r="B5" s="454">
        <v>1028</v>
      </c>
      <c r="C5" s="455" t="s">
        <v>215</v>
      </c>
      <c r="D5" s="456">
        <v>284</v>
      </c>
      <c r="E5" s="457">
        <v>0.4</v>
      </c>
      <c r="F5" s="458">
        <f t="shared" ref="F5:F68" si="1">D5*E5</f>
        <v>113.60000000000001</v>
      </c>
      <c r="G5" s="458"/>
      <c r="H5" s="458">
        <f t="shared" si="0"/>
        <v>113.60000000000001</v>
      </c>
      <c r="I5" s="459">
        <v>802875</v>
      </c>
      <c r="J5" s="460"/>
      <c r="K5" s="461"/>
      <c r="L5" s="462"/>
    </row>
    <row r="6" spans="1:12" ht="21.75" customHeight="1" x14ac:dyDescent="0.25">
      <c r="A6" s="450">
        <v>4</v>
      </c>
      <c r="B6" s="464">
        <v>1033</v>
      </c>
      <c r="C6" s="444" t="s">
        <v>217</v>
      </c>
      <c r="D6" s="445">
        <v>660</v>
      </c>
      <c r="E6" s="446">
        <v>0.4</v>
      </c>
      <c r="F6" s="446">
        <f t="shared" si="1"/>
        <v>264</v>
      </c>
      <c r="G6" s="446">
        <f>F6</f>
        <v>264</v>
      </c>
      <c r="H6" s="446">
        <f t="shared" si="0"/>
        <v>0</v>
      </c>
      <c r="I6" s="447">
        <v>10132435</v>
      </c>
      <c r="J6" s="448">
        <v>45622</v>
      </c>
      <c r="K6" s="441" t="s">
        <v>546</v>
      </c>
    </row>
    <row r="7" spans="1:12" ht="21.75" customHeight="1" x14ac:dyDescent="0.25">
      <c r="A7" s="442">
        <v>5</v>
      </c>
      <c r="B7" s="464">
        <v>1040</v>
      </c>
      <c r="C7" s="444" t="s">
        <v>11</v>
      </c>
      <c r="D7" s="445">
        <v>283.5</v>
      </c>
      <c r="E7" s="446">
        <v>0.4</v>
      </c>
      <c r="F7" s="446">
        <f t="shared" si="1"/>
        <v>113.4</v>
      </c>
      <c r="G7" s="446">
        <f>0.95</f>
        <v>0.95</v>
      </c>
      <c r="H7" s="446">
        <f t="shared" si="0"/>
        <v>112.45</v>
      </c>
      <c r="I7" s="447">
        <v>25082374</v>
      </c>
      <c r="J7" s="448">
        <v>45684</v>
      </c>
      <c r="K7" s="449"/>
      <c r="L7" s="442"/>
    </row>
    <row r="8" spans="1:12" ht="21.75" customHeight="1" x14ac:dyDescent="0.25">
      <c r="A8" s="465">
        <v>6</v>
      </c>
      <c r="B8" s="466">
        <v>1044</v>
      </c>
      <c r="C8" s="455" t="s">
        <v>221</v>
      </c>
      <c r="D8" s="456">
        <v>328.8</v>
      </c>
      <c r="E8" s="457">
        <v>0.4</v>
      </c>
      <c r="F8" s="458">
        <f t="shared" si="1"/>
        <v>131.52000000000001</v>
      </c>
      <c r="G8" s="458"/>
      <c r="H8" s="458">
        <f t="shared" si="0"/>
        <v>131.52000000000001</v>
      </c>
      <c r="I8" s="459">
        <v>81904</v>
      </c>
      <c r="J8" s="460"/>
    </row>
    <row r="9" spans="1:12" s="467" customFormat="1" ht="21.75" customHeight="1" x14ac:dyDescent="0.25">
      <c r="A9" s="442">
        <v>7</v>
      </c>
      <c r="B9" s="464">
        <v>1080</v>
      </c>
      <c r="C9" s="444" t="s">
        <v>223</v>
      </c>
      <c r="D9" s="445">
        <v>301.5</v>
      </c>
      <c r="E9" s="446">
        <v>0.4</v>
      </c>
      <c r="F9" s="446">
        <f t="shared" si="1"/>
        <v>120.60000000000001</v>
      </c>
      <c r="G9" s="446">
        <f>F9</f>
        <v>120.60000000000001</v>
      </c>
      <c r="H9" s="446">
        <f t="shared" si="0"/>
        <v>0</v>
      </c>
      <c r="I9" s="447">
        <v>78762</v>
      </c>
      <c r="J9" s="448">
        <v>45963</v>
      </c>
      <c r="K9" s="449"/>
      <c r="L9" s="442"/>
    </row>
    <row r="10" spans="1:12" s="463" customFormat="1" ht="21.75" customHeight="1" x14ac:dyDescent="0.25">
      <c r="A10" s="450">
        <v>8</v>
      </c>
      <c r="B10" s="464">
        <v>1089</v>
      </c>
      <c r="C10" s="468" t="s">
        <v>225</v>
      </c>
      <c r="D10" s="445">
        <v>491.5</v>
      </c>
      <c r="E10" s="446">
        <v>0.4</v>
      </c>
      <c r="F10" s="446">
        <f t="shared" si="1"/>
        <v>196.60000000000002</v>
      </c>
      <c r="G10" s="446">
        <f>193.11+3.49</f>
        <v>196.60000000000002</v>
      </c>
      <c r="H10" s="446">
        <f t="shared" si="0"/>
        <v>0</v>
      </c>
      <c r="I10" s="447">
        <v>892683</v>
      </c>
      <c r="J10" s="469">
        <v>45644</v>
      </c>
      <c r="K10" s="452">
        <v>45686</v>
      </c>
      <c r="L10" s="462"/>
    </row>
    <row r="11" spans="1:12" s="463" customFormat="1" ht="21.75" customHeight="1" x14ac:dyDescent="0.25">
      <c r="A11" s="442">
        <v>9</v>
      </c>
      <c r="B11" s="464">
        <v>1096</v>
      </c>
      <c r="C11" s="444" t="s">
        <v>227</v>
      </c>
      <c r="D11" s="445">
        <v>393.4</v>
      </c>
      <c r="E11" s="446">
        <v>0.4</v>
      </c>
      <c r="F11" s="446">
        <f t="shared" si="1"/>
        <v>157.36000000000001</v>
      </c>
      <c r="G11" s="446">
        <f>154.63+2.73</f>
        <v>157.35999999999999</v>
      </c>
      <c r="H11" s="446">
        <f t="shared" si="0"/>
        <v>0</v>
      </c>
      <c r="I11" s="447">
        <v>1959918</v>
      </c>
      <c r="J11" s="448">
        <v>45623</v>
      </c>
      <c r="K11" s="452">
        <v>45658</v>
      </c>
      <c r="L11" s="462"/>
    </row>
    <row r="12" spans="1:12" s="463" customFormat="1" ht="21.75" customHeight="1" x14ac:dyDescent="0.25">
      <c r="A12" s="465">
        <v>10</v>
      </c>
      <c r="B12" s="466">
        <v>1106</v>
      </c>
      <c r="C12" s="455" t="s">
        <v>24</v>
      </c>
      <c r="D12" s="456">
        <v>968</v>
      </c>
      <c r="E12" s="457">
        <v>0.4</v>
      </c>
      <c r="F12" s="458">
        <f t="shared" si="1"/>
        <v>387.20000000000005</v>
      </c>
      <c r="G12" s="458"/>
      <c r="H12" s="458">
        <f t="shared" si="0"/>
        <v>387.20000000000005</v>
      </c>
      <c r="I12" s="459">
        <v>5502751</v>
      </c>
      <c r="J12" s="460"/>
      <c r="K12" s="441"/>
      <c r="L12" s="462"/>
    </row>
    <row r="13" spans="1:12" ht="21.75" customHeight="1" x14ac:dyDescent="0.25">
      <c r="A13" s="442">
        <v>11</v>
      </c>
      <c r="B13" s="464">
        <v>1110</v>
      </c>
      <c r="C13" s="444" t="s">
        <v>229</v>
      </c>
      <c r="D13" s="445">
        <v>498</v>
      </c>
      <c r="E13" s="446">
        <v>0.4</v>
      </c>
      <c r="F13" s="446">
        <f t="shared" si="1"/>
        <v>199.20000000000002</v>
      </c>
      <c r="G13" s="446">
        <f>195.75+3.45</f>
        <v>199.2</v>
      </c>
      <c r="H13" s="446">
        <f>F13-G13</f>
        <v>0</v>
      </c>
      <c r="I13" s="447">
        <v>934298</v>
      </c>
      <c r="J13" s="448">
        <v>45628</v>
      </c>
      <c r="K13" s="452">
        <v>45658</v>
      </c>
    </row>
    <row r="14" spans="1:12" ht="21.75" customHeight="1" x14ac:dyDescent="0.25">
      <c r="A14" s="465">
        <v>12</v>
      </c>
      <c r="B14" s="466">
        <v>1111</v>
      </c>
      <c r="C14" s="455" t="s">
        <v>231</v>
      </c>
      <c r="D14" s="456">
        <v>574.70000000000005</v>
      </c>
      <c r="E14" s="457">
        <v>0.4</v>
      </c>
      <c r="F14" s="458">
        <f t="shared" si="1"/>
        <v>229.88000000000002</v>
      </c>
      <c r="G14" s="458"/>
      <c r="H14" s="458">
        <f t="shared" si="0"/>
        <v>229.88000000000002</v>
      </c>
      <c r="I14" s="459">
        <v>15571992</v>
      </c>
      <c r="J14" s="460"/>
    </row>
    <row r="15" spans="1:12" ht="21.75" customHeight="1" x14ac:dyDescent="0.25">
      <c r="A15" s="453">
        <v>13</v>
      </c>
      <c r="B15" s="466">
        <v>1119</v>
      </c>
      <c r="C15" s="470" t="s">
        <v>233</v>
      </c>
      <c r="D15" s="456">
        <v>246.5</v>
      </c>
      <c r="E15" s="457">
        <v>0.4</v>
      </c>
      <c r="F15" s="458">
        <f t="shared" si="1"/>
        <v>98.600000000000009</v>
      </c>
      <c r="G15" s="458"/>
      <c r="H15" s="458">
        <f t="shared" si="0"/>
        <v>98.600000000000009</v>
      </c>
      <c r="I15" s="459">
        <v>24000245</v>
      </c>
      <c r="J15" s="471"/>
    </row>
    <row r="16" spans="1:12" ht="21.75" customHeight="1" x14ac:dyDescent="0.25">
      <c r="A16" s="450">
        <v>14</v>
      </c>
      <c r="B16" s="464">
        <v>1122</v>
      </c>
      <c r="C16" s="444" t="s">
        <v>98</v>
      </c>
      <c r="D16" s="445">
        <v>306.5</v>
      </c>
      <c r="E16" s="446">
        <v>0.4</v>
      </c>
      <c r="F16" s="446">
        <f t="shared" si="1"/>
        <v>122.60000000000001</v>
      </c>
      <c r="G16" s="446">
        <f>120.58+2.02</f>
        <v>122.6</v>
      </c>
      <c r="H16" s="446">
        <f t="shared" si="0"/>
        <v>0</v>
      </c>
      <c r="I16" s="447">
        <v>5219876</v>
      </c>
      <c r="J16" s="448">
        <v>45643</v>
      </c>
      <c r="K16" s="452">
        <v>45658</v>
      </c>
    </row>
    <row r="17" spans="1:12" ht="21.75" customHeight="1" x14ac:dyDescent="0.25">
      <c r="A17" s="442">
        <v>15</v>
      </c>
      <c r="B17" s="464">
        <v>1135</v>
      </c>
      <c r="C17" s="444" t="s">
        <v>101</v>
      </c>
      <c r="D17" s="445">
        <v>591.6</v>
      </c>
      <c r="E17" s="446">
        <v>0.4</v>
      </c>
      <c r="F17" s="446">
        <f t="shared" si="1"/>
        <v>236.64000000000001</v>
      </c>
      <c r="G17" s="446">
        <f>0.39+232.8+3.45</f>
        <v>236.64</v>
      </c>
      <c r="H17" s="446">
        <f t="shared" si="0"/>
        <v>0</v>
      </c>
      <c r="I17" s="447">
        <v>19202954</v>
      </c>
      <c r="J17" s="448">
        <v>45628</v>
      </c>
      <c r="K17" s="452">
        <v>45643</v>
      </c>
      <c r="L17" s="472">
        <v>45665</v>
      </c>
    </row>
    <row r="18" spans="1:12" ht="21.75" customHeight="1" x14ac:dyDescent="0.25">
      <c r="A18" s="450">
        <v>16</v>
      </c>
      <c r="B18" s="464">
        <v>1141</v>
      </c>
      <c r="C18" s="444" t="s">
        <v>235</v>
      </c>
      <c r="D18" s="445">
        <v>523.79999999999995</v>
      </c>
      <c r="E18" s="446">
        <v>0.4</v>
      </c>
      <c r="F18" s="446">
        <f t="shared" si="1"/>
        <v>209.51999999999998</v>
      </c>
      <c r="G18" s="446">
        <f>208.42+1.1</f>
        <v>209.51999999999998</v>
      </c>
      <c r="H18" s="446">
        <f t="shared" si="0"/>
        <v>0</v>
      </c>
      <c r="I18" s="447">
        <v>11753992</v>
      </c>
      <c r="J18" s="448">
        <v>45644</v>
      </c>
      <c r="K18" s="452">
        <v>45658</v>
      </c>
    </row>
    <row r="19" spans="1:12" ht="21.75" customHeight="1" x14ac:dyDescent="0.25">
      <c r="A19" s="453">
        <v>17</v>
      </c>
      <c r="B19" s="466">
        <v>1154</v>
      </c>
      <c r="C19" s="473" t="s">
        <v>237</v>
      </c>
      <c r="D19" s="456">
        <v>800</v>
      </c>
      <c r="E19" s="457">
        <v>0.4</v>
      </c>
      <c r="F19" s="458">
        <f t="shared" si="1"/>
        <v>320</v>
      </c>
      <c r="G19" s="458"/>
      <c r="H19" s="458">
        <f t="shared" si="0"/>
        <v>320</v>
      </c>
      <c r="I19" s="474">
        <v>18654817</v>
      </c>
      <c r="J19" s="460"/>
    </row>
    <row r="20" spans="1:12" ht="21.75" customHeight="1" x14ac:dyDescent="0.25">
      <c r="A20" s="450">
        <v>18</v>
      </c>
      <c r="B20" s="464">
        <v>1161</v>
      </c>
      <c r="C20" s="444" t="s">
        <v>239</v>
      </c>
      <c r="D20" s="445">
        <v>330</v>
      </c>
      <c r="E20" s="446">
        <v>0.4</v>
      </c>
      <c r="F20" s="446">
        <f t="shared" si="1"/>
        <v>132</v>
      </c>
      <c r="G20" s="446">
        <f>129.55+2.45</f>
        <v>132</v>
      </c>
      <c r="H20" s="446">
        <f t="shared" si="0"/>
        <v>0</v>
      </c>
      <c r="I20" s="447">
        <v>257926</v>
      </c>
      <c r="J20" s="448">
        <v>45691</v>
      </c>
      <c r="K20" s="452">
        <v>45810</v>
      </c>
      <c r="L20" s="442"/>
    </row>
    <row r="21" spans="1:12" ht="21.75" customHeight="1" x14ac:dyDescent="0.25">
      <c r="A21" s="442">
        <v>19</v>
      </c>
      <c r="B21" s="464">
        <v>1168</v>
      </c>
      <c r="C21" s="444" t="s">
        <v>241</v>
      </c>
      <c r="D21" s="445">
        <v>525.20000000000005</v>
      </c>
      <c r="E21" s="446">
        <v>0.4</v>
      </c>
      <c r="F21" s="446">
        <f t="shared" si="1"/>
        <v>210.08000000000004</v>
      </c>
      <c r="G21" s="446">
        <f>F21</f>
        <v>210.08000000000004</v>
      </c>
      <c r="H21" s="446">
        <f t="shared" si="0"/>
        <v>0</v>
      </c>
      <c r="I21" s="447">
        <v>15498714</v>
      </c>
      <c r="J21" s="448">
        <v>45691</v>
      </c>
      <c r="K21" s="449"/>
      <c r="L21" s="442"/>
    </row>
    <row r="22" spans="1:12" ht="21.75" customHeight="1" x14ac:dyDescent="0.25">
      <c r="A22" s="465">
        <v>20</v>
      </c>
      <c r="B22" s="466">
        <v>1177</v>
      </c>
      <c r="C22" s="470" t="s">
        <v>243</v>
      </c>
      <c r="D22" s="456">
        <v>336</v>
      </c>
      <c r="E22" s="457">
        <v>0.4</v>
      </c>
      <c r="F22" s="458">
        <f t="shared" si="1"/>
        <v>134.4</v>
      </c>
      <c r="G22" s="458"/>
      <c r="H22" s="458">
        <f t="shared" si="0"/>
        <v>134.4</v>
      </c>
      <c r="I22" s="459">
        <v>219353</v>
      </c>
      <c r="J22" s="471"/>
    </row>
    <row r="23" spans="1:12" ht="21.75" customHeight="1" x14ac:dyDescent="0.2">
      <c r="A23" s="442">
        <v>21</v>
      </c>
      <c r="B23" s="464">
        <v>1178</v>
      </c>
      <c r="C23" s="444" t="s">
        <v>245</v>
      </c>
      <c r="D23" s="445">
        <v>585.6</v>
      </c>
      <c r="E23" s="446">
        <v>0.4</v>
      </c>
      <c r="F23" s="446">
        <f t="shared" si="1"/>
        <v>234.24</v>
      </c>
      <c r="G23" s="446">
        <f>233.55+0.69</f>
        <v>234.24</v>
      </c>
      <c r="H23" s="446">
        <f t="shared" si="0"/>
        <v>0</v>
      </c>
      <c r="I23" s="475">
        <v>970872</v>
      </c>
      <c r="J23" s="448">
        <v>45656</v>
      </c>
      <c r="K23" s="452">
        <v>45664</v>
      </c>
    </row>
    <row r="24" spans="1:12" ht="21.75" customHeight="1" x14ac:dyDescent="0.25">
      <c r="A24" s="450">
        <v>22</v>
      </c>
      <c r="B24" s="464">
        <v>1224</v>
      </c>
      <c r="C24" s="444" t="s">
        <v>247</v>
      </c>
      <c r="D24" s="445">
        <v>678.5</v>
      </c>
      <c r="E24" s="446">
        <v>0.4</v>
      </c>
      <c r="F24" s="446">
        <f t="shared" si="1"/>
        <v>271.40000000000003</v>
      </c>
      <c r="G24" s="446">
        <f>269.21+2.19</f>
        <v>271.39999999999998</v>
      </c>
      <c r="H24" s="446">
        <f t="shared" si="0"/>
        <v>0</v>
      </c>
      <c r="I24" s="447">
        <v>24911691</v>
      </c>
      <c r="J24" s="448">
        <v>45665</v>
      </c>
      <c r="K24" s="452">
        <v>45686</v>
      </c>
      <c r="L24" s="442"/>
    </row>
    <row r="25" spans="1:12" s="463" customFormat="1" ht="21.75" customHeight="1" x14ac:dyDescent="0.25">
      <c r="A25" s="453">
        <v>23</v>
      </c>
      <c r="B25" s="466">
        <v>1225</v>
      </c>
      <c r="C25" s="455" t="s">
        <v>249</v>
      </c>
      <c r="D25" s="456">
        <v>563.20000000000005</v>
      </c>
      <c r="E25" s="457">
        <v>0.4</v>
      </c>
      <c r="F25" s="458">
        <f t="shared" si="1"/>
        <v>225.28000000000003</v>
      </c>
      <c r="G25" s="458"/>
      <c r="H25" s="458">
        <f t="shared" si="0"/>
        <v>225.28000000000003</v>
      </c>
      <c r="I25" s="459">
        <v>9642357</v>
      </c>
      <c r="J25" s="460"/>
      <c r="K25" s="461"/>
      <c r="L25" s="462"/>
    </row>
    <row r="26" spans="1:12" s="463" customFormat="1" ht="21.75" customHeight="1" x14ac:dyDescent="0.25">
      <c r="A26" s="450">
        <v>24</v>
      </c>
      <c r="B26" s="464">
        <v>1235</v>
      </c>
      <c r="C26" s="476" t="s">
        <v>253</v>
      </c>
      <c r="D26" s="445">
        <v>607.29999999999995</v>
      </c>
      <c r="E26" s="446">
        <v>0.4</v>
      </c>
      <c r="F26" s="446">
        <f t="shared" si="1"/>
        <v>242.92</v>
      </c>
      <c r="G26" s="446">
        <f>242.55</f>
        <v>242.55</v>
      </c>
      <c r="H26" s="446">
        <f t="shared" si="0"/>
        <v>0.36999999999997613</v>
      </c>
      <c r="I26" s="477">
        <v>1992436</v>
      </c>
      <c r="J26" s="448">
        <v>45658</v>
      </c>
      <c r="K26" s="449"/>
      <c r="L26" s="462"/>
    </row>
    <row r="27" spans="1:12" ht="21.75" customHeight="1" x14ac:dyDescent="0.25">
      <c r="A27" s="442">
        <v>25</v>
      </c>
      <c r="B27" s="464">
        <v>1241</v>
      </c>
      <c r="C27" s="444" t="s">
        <v>255</v>
      </c>
      <c r="D27" s="445">
        <v>548.6</v>
      </c>
      <c r="E27" s="446">
        <v>0.4</v>
      </c>
      <c r="F27" s="446">
        <f t="shared" si="1"/>
        <v>219.44000000000003</v>
      </c>
      <c r="G27" s="446">
        <f>218.87+0.57</f>
        <v>219.44</v>
      </c>
      <c r="H27" s="446">
        <f t="shared" si="0"/>
        <v>0</v>
      </c>
      <c r="I27" s="447">
        <v>5343254</v>
      </c>
      <c r="J27" s="448">
        <v>45628</v>
      </c>
      <c r="K27" s="452">
        <v>45645</v>
      </c>
    </row>
    <row r="28" spans="1:12" ht="21.75" customHeight="1" x14ac:dyDescent="0.25">
      <c r="A28" s="450">
        <v>26</v>
      </c>
      <c r="B28" s="464">
        <v>1247</v>
      </c>
      <c r="C28" s="444" t="s">
        <v>103</v>
      </c>
      <c r="D28" s="445">
        <v>528</v>
      </c>
      <c r="E28" s="446">
        <v>0.4</v>
      </c>
      <c r="F28" s="446">
        <f t="shared" si="1"/>
        <v>211.20000000000002</v>
      </c>
      <c r="G28" s="446">
        <f>210.9+0.3</f>
        <v>211.20000000000002</v>
      </c>
      <c r="H28" s="446">
        <f t="shared" si="0"/>
        <v>0</v>
      </c>
      <c r="I28" s="447">
        <v>4748561</v>
      </c>
      <c r="J28" s="448">
        <v>45650</v>
      </c>
      <c r="K28" s="452">
        <v>45665</v>
      </c>
    </row>
    <row r="29" spans="1:12" ht="21.75" customHeight="1" x14ac:dyDescent="0.25">
      <c r="A29" s="453">
        <v>27</v>
      </c>
      <c r="B29" s="466">
        <v>1252</v>
      </c>
      <c r="C29" s="455" t="s">
        <v>258</v>
      </c>
      <c r="D29" s="456">
        <v>478.5</v>
      </c>
      <c r="E29" s="457">
        <v>0.4</v>
      </c>
      <c r="F29" s="458">
        <f t="shared" si="1"/>
        <v>191.4</v>
      </c>
      <c r="G29" s="458"/>
      <c r="H29" s="458">
        <f t="shared" si="0"/>
        <v>191.4</v>
      </c>
      <c r="I29" s="459">
        <v>2433959</v>
      </c>
      <c r="J29" s="460"/>
    </row>
    <row r="30" spans="1:12" ht="21.75" customHeight="1" x14ac:dyDescent="0.25">
      <c r="A30" s="450">
        <v>28</v>
      </c>
      <c r="B30" s="464">
        <v>1258</v>
      </c>
      <c r="C30" s="444" t="s">
        <v>105</v>
      </c>
      <c r="D30" s="445">
        <v>683.3</v>
      </c>
      <c r="E30" s="446">
        <v>0.4</v>
      </c>
      <c r="F30" s="446">
        <f t="shared" si="1"/>
        <v>273.32</v>
      </c>
      <c r="G30" s="446">
        <f>269.53+3.79</f>
        <v>273.32</v>
      </c>
      <c r="H30" s="446">
        <f t="shared" si="0"/>
        <v>0</v>
      </c>
      <c r="I30" s="447">
        <v>1924174</v>
      </c>
      <c r="J30" s="448">
        <v>45644</v>
      </c>
      <c r="K30" s="452">
        <v>45658</v>
      </c>
    </row>
    <row r="31" spans="1:12" ht="21.75" customHeight="1" x14ac:dyDescent="0.25">
      <c r="A31" s="442">
        <v>29</v>
      </c>
      <c r="B31" s="464">
        <v>1260</v>
      </c>
      <c r="C31" s="444" t="s">
        <v>260</v>
      </c>
      <c r="D31" s="445">
        <v>616</v>
      </c>
      <c r="E31" s="446">
        <v>0.4</v>
      </c>
      <c r="F31" s="446">
        <f t="shared" si="1"/>
        <v>246.4</v>
      </c>
      <c r="G31" s="446">
        <f>F31</f>
        <v>246.4</v>
      </c>
      <c r="H31" s="446">
        <f t="shared" si="0"/>
        <v>0</v>
      </c>
      <c r="I31" s="447">
        <v>18363579</v>
      </c>
      <c r="J31" s="448">
        <v>45628</v>
      </c>
      <c r="L31" s="478" t="s">
        <v>547</v>
      </c>
    </row>
    <row r="32" spans="1:12" ht="21.75" customHeight="1" x14ac:dyDescent="0.25">
      <c r="A32" s="450">
        <v>30</v>
      </c>
      <c r="B32" s="464">
        <v>1261</v>
      </c>
      <c r="C32" s="447" t="s">
        <v>107</v>
      </c>
      <c r="D32" s="445">
        <v>333.9</v>
      </c>
      <c r="E32" s="446">
        <v>0.4</v>
      </c>
      <c r="F32" s="446">
        <f t="shared" si="1"/>
        <v>133.56</v>
      </c>
      <c r="G32" s="446">
        <f>133.15+0.41</f>
        <v>133.56</v>
      </c>
      <c r="H32" s="446">
        <f t="shared" si="0"/>
        <v>0</v>
      </c>
      <c r="I32" s="447">
        <v>14429332</v>
      </c>
      <c r="J32" s="448">
        <v>45637</v>
      </c>
      <c r="K32" s="452">
        <v>45658</v>
      </c>
    </row>
    <row r="33" spans="1:12" ht="21.75" customHeight="1" x14ac:dyDescent="0.25">
      <c r="A33" s="442">
        <v>31</v>
      </c>
      <c r="B33" s="464">
        <v>1268</v>
      </c>
      <c r="C33" s="444" t="s">
        <v>109</v>
      </c>
      <c r="D33" s="445">
        <v>440</v>
      </c>
      <c r="E33" s="446">
        <v>0.4</v>
      </c>
      <c r="F33" s="446">
        <f t="shared" si="1"/>
        <v>176</v>
      </c>
      <c r="G33" s="446">
        <f>F33</f>
        <v>176</v>
      </c>
      <c r="H33" s="446">
        <f>G33-F33</f>
        <v>0</v>
      </c>
      <c r="I33" s="447">
        <v>722058</v>
      </c>
      <c r="J33" s="479" t="s">
        <v>548</v>
      </c>
    </row>
    <row r="34" spans="1:12" ht="21.75" customHeight="1" x14ac:dyDescent="0.25">
      <c r="A34" s="450">
        <v>32</v>
      </c>
      <c r="B34" s="480">
        <v>1282</v>
      </c>
      <c r="C34" s="444" t="s">
        <v>111</v>
      </c>
      <c r="D34" s="445">
        <v>594</v>
      </c>
      <c r="E34" s="446">
        <v>0.4</v>
      </c>
      <c r="F34" s="446">
        <f t="shared" si="1"/>
        <v>237.60000000000002</v>
      </c>
      <c r="G34" s="446">
        <f>234.4+3.2</f>
        <v>237.6</v>
      </c>
      <c r="H34" s="446">
        <f>F34-G34</f>
        <v>0</v>
      </c>
      <c r="I34" s="447">
        <v>2997747</v>
      </c>
      <c r="J34" s="448">
        <v>45621</v>
      </c>
      <c r="K34" s="448">
        <v>45656</v>
      </c>
    </row>
    <row r="35" spans="1:12" ht="21.75" customHeight="1" x14ac:dyDescent="0.25">
      <c r="A35" s="442">
        <v>33</v>
      </c>
      <c r="B35" s="480">
        <v>1284</v>
      </c>
      <c r="C35" s="444" t="s">
        <v>115</v>
      </c>
      <c r="D35" s="445">
        <v>571.20000000000005</v>
      </c>
      <c r="E35" s="446">
        <v>0.4</v>
      </c>
      <c r="F35" s="446">
        <f t="shared" si="1"/>
        <v>228.48000000000002</v>
      </c>
      <c r="G35" s="446">
        <f>225.25+3.23</f>
        <v>228.48</v>
      </c>
      <c r="H35" s="446">
        <f t="shared" ref="H35:H54" si="2">F35-G35</f>
        <v>0</v>
      </c>
      <c r="I35" s="447">
        <v>1177598</v>
      </c>
      <c r="J35" s="448">
        <v>45635</v>
      </c>
      <c r="K35" s="452">
        <v>45663</v>
      </c>
    </row>
    <row r="36" spans="1:12" ht="21.75" customHeight="1" x14ac:dyDescent="0.25">
      <c r="A36" s="465">
        <v>34</v>
      </c>
      <c r="B36" s="481">
        <v>1300</v>
      </c>
      <c r="C36" s="482" t="s">
        <v>263</v>
      </c>
      <c r="D36" s="456">
        <v>666.1</v>
      </c>
      <c r="E36" s="457">
        <v>0.4</v>
      </c>
      <c r="F36" s="458">
        <f t="shared" si="1"/>
        <v>266.44</v>
      </c>
      <c r="G36" s="458"/>
      <c r="H36" s="458">
        <f t="shared" si="2"/>
        <v>266.44</v>
      </c>
      <c r="I36" s="483">
        <v>19534277</v>
      </c>
      <c r="J36" s="460"/>
    </row>
    <row r="37" spans="1:12" ht="21.75" customHeight="1" x14ac:dyDescent="0.2">
      <c r="A37" s="442">
        <v>35</v>
      </c>
      <c r="B37" s="480">
        <v>1306</v>
      </c>
      <c r="C37" s="484" t="s">
        <v>265</v>
      </c>
      <c r="D37" s="445">
        <v>344.7</v>
      </c>
      <c r="E37" s="446">
        <v>0.4</v>
      </c>
      <c r="F37" s="446">
        <f t="shared" si="1"/>
        <v>137.88</v>
      </c>
      <c r="G37" s="446">
        <f>135.5+2.38</f>
        <v>137.88</v>
      </c>
      <c r="H37" s="446">
        <f t="shared" si="2"/>
        <v>0</v>
      </c>
      <c r="I37" s="475">
        <v>2006904</v>
      </c>
      <c r="J37" s="448">
        <v>45630</v>
      </c>
      <c r="K37" s="452">
        <v>45663</v>
      </c>
    </row>
    <row r="38" spans="1:12" ht="21.75" customHeight="1" x14ac:dyDescent="0.25">
      <c r="A38" s="465">
        <v>36</v>
      </c>
      <c r="B38" s="481">
        <v>1315</v>
      </c>
      <c r="C38" s="455" t="s">
        <v>267</v>
      </c>
      <c r="D38" s="456">
        <v>285.5</v>
      </c>
      <c r="E38" s="457">
        <v>0.4</v>
      </c>
      <c r="F38" s="458">
        <f t="shared" si="1"/>
        <v>114.2</v>
      </c>
      <c r="G38" s="458"/>
      <c r="H38" s="458">
        <f t="shared" si="2"/>
        <v>114.2</v>
      </c>
      <c r="I38" s="459">
        <v>19528845</v>
      </c>
      <c r="J38" s="460"/>
    </row>
    <row r="39" spans="1:12" ht="21.75" customHeight="1" x14ac:dyDescent="0.25">
      <c r="A39" s="442">
        <v>37</v>
      </c>
      <c r="B39" s="480">
        <v>1328</v>
      </c>
      <c r="C39" s="444" t="s">
        <v>117</v>
      </c>
      <c r="D39" s="445">
        <v>396.7</v>
      </c>
      <c r="E39" s="446">
        <v>0.4</v>
      </c>
      <c r="F39" s="446">
        <f t="shared" si="1"/>
        <v>158.68</v>
      </c>
      <c r="G39" s="446">
        <f>157.33+1.35</f>
        <v>158.68</v>
      </c>
      <c r="H39" s="446">
        <f t="shared" si="2"/>
        <v>0</v>
      </c>
      <c r="I39" s="447">
        <v>782833</v>
      </c>
      <c r="J39" s="448">
        <v>45628</v>
      </c>
      <c r="K39" s="452">
        <v>45658</v>
      </c>
    </row>
    <row r="40" spans="1:12" s="467" customFormat="1" ht="21.75" customHeight="1" x14ac:dyDescent="0.25">
      <c r="A40" s="450">
        <v>38</v>
      </c>
      <c r="B40" s="480">
        <v>1330</v>
      </c>
      <c r="C40" s="485" t="s">
        <v>119</v>
      </c>
      <c r="D40" s="445">
        <v>550.79999999999995</v>
      </c>
      <c r="E40" s="446">
        <v>0.4</v>
      </c>
      <c r="F40" s="446">
        <f t="shared" si="1"/>
        <v>220.32</v>
      </c>
      <c r="G40" s="446">
        <f>F40</f>
        <v>220.32</v>
      </c>
      <c r="H40" s="446">
        <f t="shared" si="2"/>
        <v>0</v>
      </c>
      <c r="I40" s="447">
        <v>12194826</v>
      </c>
      <c r="J40" s="448">
        <v>45810</v>
      </c>
      <c r="K40" s="449"/>
      <c r="L40" s="442"/>
    </row>
    <row r="41" spans="1:12" s="463" customFormat="1" ht="21.75" customHeight="1" x14ac:dyDescent="0.25">
      <c r="A41" s="442">
        <v>39</v>
      </c>
      <c r="B41" s="480">
        <v>1331</v>
      </c>
      <c r="C41" s="444" t="s">
        <v>269</v>
      </c>
      <c r="D41" s="445">
        <v>328</v>
      </c>
      <c r="E41" s="446">
        <v>0.4</v>
      </c>
      <c r="F41" s="446">
        <f t="shared" si="1"/>
        <v>131.20000000000002</v>
      </c>
      <c r="G41" s="446">
        <f>128.62+2.58</f>
        <v>131.20000000000002</v>
      </c>
      <c r="H41" s="446">
        <f t="shared" si="2"/>
        <v>0</v>
      </c>
      <c r="I41" s="447">
        <v>2107763</v>
      </c>
      <c r="J41" s="448">
        <v>45628</v>
      </c>
      <c r="K41" s="472">
        <v>45679</v>
      </c>
      <c r="L41" s="462"/>
    </row>
    <row r="42" spans="1:12" ht="21.75" customHeight="1" x14ac:dyDescent="0.25">
      <c r="A42" s="450">
        <v>40</v>
      </c>
      <c r="B42" s="480">
        <v>1333</v>
      </c>
      <c r="C42" s="444" t="s">
        <v>29</v>
      </c>
      <c r="D42" s="445">
        <v>510.6</v>
      </c>
      <c r="E42" s="446">
        <v>0.4</v>
      </c>
      <c r="F42" s="446">
        <f t="shared" si="1"/>
        <v>204.24</v>
      </c>
      <c r="G42" s="446">
        <f>202.36</f>
        <v>202.36</v>
      </c>
      <c r="H42" s="446">
        <f t="shared" si="2"/>
        <v>1.8799999999999955</v>
      </c>
      <c r="I42" s="447">
        <v>1736679</v>
      </c>
      <c r="J42" s="448">
        <v>45691</v>
      </c>
      <c r="K42" s="449"/>
      <c r="L42" s="442"/>
    </row>
    <row r="43" spans="1:12" ht="21.75" customHeight="1" x14ac:dyDescent="0.25">
      <c r="A43" s="442">
        <v>41</v>
      </c>
      <c r="B43" s="480">
        <v>1382</v>
      </c>
      <c r="C43" s="444" t="s">
        <v>34</v>
      </c>
      <c r="D43" s="445">
        <v>630</v>
      </c>
      <c r="E43" s="446">
        <v>0.4</v>
      </c>
      <c r="F43" s="446">
        <f t="shared" si="1"/>
        <v>252</v>
      </c>
      <c r="G43" s="446">
        <f>250.15+1.85</f>
        <v>252</v>
      </c>
      <c r="H43" s="446">
        <f t="shared" si="2"/>
        <v>0</v>
      </c>
      <c r="I43" s="447">
        <v>886492</v>
      </c>
      <c r="J43" s="448">
        <v>45630</v>
      </c>
      <c r="K43" s="452">
        <v>45658</v>
      </c>
    </row>
    <row r="44" spans="1:12" ht="21.75" customHeight="1" x14ac:dyDescent="0.25">
      <c r="A44" s="450">
        <v>42</v>
      </c>
      <c r="B44" s="480">
        <v>1384</v>
      </c>
      <c r="C44" s="444" t="s">
        <v>37</v>
      </c>
      <c r="D44" s="445">
        <v>293.60000000000002</v>
      </c>
      <c r="E44" s="446">
        <v>0.4</v>
      </c>
      <c r="F44" s="446">
        <f t="shared" si="1"/>
        <v>117.44000000000001</v>
      </c>
      <c r="G44" s="446">
        <f>9+106.7+1.74</f>
        <v>117.44</v>
      </c>
      <c r="H44" s="446">
        <f t="shared" si="2"/>
        <v>0</v>
      </c>
      <c r="I44" s="447">
        <v>4426701</v>
      </c>
      <c r="J44" s="448">
        <v>45658</v>
      </c>
      <c r="K44" s="452">
        <v>45663</v>
      </c>
      <c r="L44" s="472">
        <v>45679</v>
      </c>
    </row>
    <row r="45" spans="1:12" ht="21.75" customHeight="1" x14ac:dyDescent="0.25">
      <c r="A45" s="442">
        <v>43</v>
      </c>
      <c r="B45" s="480">
        <v>1386</v>
      </c>
      <c r="C45" s="444" t="s">
        <v>39</v>
      </c>
      <c r="D45" s="445">
        <v>669.4</v>
      </c>
      <c r="E45" s="446">
        <v>0.4</v>
      </c>
      <c r="F45" s="446">
        <f t="shared" si="1"/>
        <v>267.76</v>
      </c>
      <c r="G45" s="446">
        <f>265.08+2.68</f>
        <v>267.76</v>
      </c>
      <c r="H45" s="446">
        <f t="shared" si="2"/>
        <v>0</v>
      </c>
      <c r="I45" s="447">
        <v>711799</v>
      </c>
      <c r="J45" s="448">
        <v>45650</v>
      </c>
      <c r="K45" s="452">
        <v>45658</v>
      </c>
    </row>
    <row r="46" spans="1:12" ht="21.75" customHeight="1" x14ac:dyDescent="0.25">
      <c r="A46" s="450">
        <v>44</v>
      </c>
      <c r="B46" s="480">
        <v>1387</v>
      </c>
      <c r="C46" s="444" t="s">
        <v>271</v>
      </c>
      <c r="D46" s="445">
        <v>592</v>
      </c>
      <c r="E46" s="446">
        <v>0.4</v>
      </c>
      <c r="F46" s="446">
        <f t="shared" si="1"/>
        <v>236.8</v>
      </c>
      <c r="G46" s="446">
        <f>234.4</f>
        <v>234.4</v>
      </c>
      <c r="H46" s="446">
        <f t="shared" si="2"/>
        <v>2.4000000000000057</v>
      </c>
      <c r="I46" s="447">
        <v>6759716</v>
      </c>
      <c r="J46" s="448">
        <v>45686</v>
      </c>
      <c r="K46" s="449"/>
      <c r="L46" s="442"/>
    </row>
    <row r="47" spans="1:12" ht="21.75" customHeight="1" x14ac:dyDescent="0.25">
      <c r="A47" s="442">
        <v>45</v>
      </c>
      <c r="B47" s="480">
        <v>1388</v>
      </c>
      <c r="C47" s="444" t="s">
        <v>273</v>
      </c>
      <c r="D47" s="445">
        <v>352</v>
      </c>
      <c r="E47" s="446">
        <v>0.4</v>
      </c>
      <c r="F47" s="446">
        <f t="shared" si="1"/>
        <v>140.80000000000001</v>
      </c>
      <c r="G47" s="446">
        <f>137.56</f>
        <v>137.56</v>
      </c>
      <c r="H47" s="446">
        <f t="shared" si="2"/>
        <v>3.2400000000000091</v>
      </c>
      <c r="I47" s="447">
        <v>18610874</v>
      </c>
      <c r="J47" s="448">
        <v>45621</v>
      </c>
      <c r="K47" s="449"/>
    </row>
    <row r="48" spans="1:12" s="467" customFormat="1" ht="21.75" customHeight="1" x14ac:dyDescent="0.25">
      <c r="A48" s="450">
        <v>46</v>
      </c>
      <c r="B48" s="480">
        <v>1389</v>
      </c>
      <c r="C48" s="444" t="s">
        <v>275</v>
      </c>
      <c r="D48" s="445">
        <v>880</v>
      </c>
      <c r="E48" s="446">
        <v>0.4</v>
      </c>
      <c r="F48" s="446">
        <f t="shared" si="1"/>
        <v>352</v>
      </c>
      <c r="G48" s="446">
        <f>349.45+2.55</f>
        <v>352</v>
      </c>
      <c r="H48" s="446">
        <f t="shared" si="2"/>
        <v>0</v>
      </c>
      <c r="I48" s="447">
        <v>1036354</v>
      </c>
      <c r="J48" s="448">
        <v>45628</v>
      </c>
      <c r="K48" s="452">
        <v>45658</v>
      </c>
      <c r="L48" s="442"/>
    </row>
    <row r="49" spans="1:12" ht="21.75" customHeight="1" x14ac:dyDescent="0.25">
      <c r="A49" s="442">
        <v>47</v>
      </c>
      <c r="B49" s="480">
        <v>1394</v>
      </c>
      <c r="C49" s="444" t="s">
        <v>277</v>
      </c>
      <c r="D49" s="445">
        <v>366.7</v>
      </c>
      <c r="E49" s="446">
        <v>0.4</v>
      </c>
      <c r="F49" s="446">
        <f t="shared" si="1"/>
        <v>146.68</v>
      </c>
      <c r="G49" s="446">
        <f>144.55+2.13</f>
        <v>146.68</v>
      </c>
      <c r="H49" s="446">
        <f t="shared" si="2"/>
        <v>0</v>
      </c>
      <c r="I49" s="447">
        <v>25656187</v>
      </c>
      <c r="J49" s="448">
        <v>45643</v>
      </c>
      <c r="K49" s="452">
        <v>45663</v>
      </c>
    </row>
    <row r="50" spans="1:12" ht="21.75" customHeight="1" x14ac:dyDescent="0.25">
      <c r="A50" s="450">
        <v>48</v>
      </c>
      <c r="B50" s="480">
        <v>1396</v>
      </c>
      <c r="C50" s="444" t="s">
        <v>123</v>
      </c>
      <c r="D50" s="445">
        <v>384.2</v>
      </c>
      <c r="E50" s="446">
        <v>0.4</v>
      </c>
      <c r="F50" s="446">
        <f t="shared" si="1"/>
        <v>153.68</v>
      </c>
      <c r="G50" s="446">
        <f>0.21+150.35+3.12</f>
        <v>153.68</v>
      </c>
      <c r="H50" s="446">
        <f t="shared" si="2"/>
        <v>0</v>
      </c>
      <c r="I50" s="447">
        <v>905845</v>
      </c>
      <c r="J50" s="448">
        <v>45650</v>
      </c>
      <c r="K50" s="452">
        <v>45656</v>
      </c>
      <c r="L50" s="472">
        <v>45672</v>
      </c>
    </row>
    <row r="51" spans="1:12" ht="21.75" customHeight="1" x14ac:dyDescent="0.25">
      <c r="A51" s="442">
        <v>49</v>
      </c>
      <c r="B51" s="480">
        <v>1397</v>
      </c>
      <c r="C51" s="444" t="s">
        <v>125</v>
      </c>
      <c r="D51" s="445">
        <v>298.3</v>
      </c>
      <c r="E51" s="446">
        <v>0.4</v>
      </c>
      <c r="F51" s="446">
        <f t="shared" si="1"/>
        <v>119.32000000000001</v>
      </c>
      <c r="G51" s="446">
        <f>F51</f>
        <v>119.32000000000001</v>
      </c>
      <c r="H51" s="446">
        <f t="shared" si="2"/>
        <v>0</v>
      </c>
      <c r="I51" s="447">
        <v>1292885</v>
      </c>
      <c r="J51" s="448">
        <v>45677</v>
      </c>
      <c r="K51" s="449"/>
      <c r="L51" s="442"/>
    </row>
    <row r="52" spans="1:12" ht="21.75" customHeight="1" x14ac:dyDescent="0.25">
      <c r="A52" s="450">
        <v>50</v>
      </c>
      <c r="B52" s="480">
        <v>1398</v>
      </c>
      <c r="C52" s="444" t="s">
        <v>279</v>
      </c>
      <c r="D52" s="445">
        <v>244.6</v>
      </c>
      <c r="E52" s="446">
        <v>0.4</v>
      </c>
      <c r="F52" s="446">
        <f t="shared" si="1"/>
        <v>97.84</v>
      </c>
      <c r="G52" s="446">
        <f>94.87+2.97</f>
        <v>97.84</v>
      </c>
      <c r="H52" s="446">
        <f t="shared" si="2"/>
        <v>0</v>
      </c>
      <c r="I52" s="447">
        <v>1161437</v>
      </c>
      <c r="J52" s="448">
        <v>45635</v>
      </c>
      <c r="K52" s="452">
        <v>45665</v>
      </c>
    </row>
    <row r="53" spans="1:12" s="463" customFormat="1" ht="21.75" customHeight="1" x14ac:dyDescent="0.25">
      <c r="A53" s="486">
        <v>51</v>
      </c>
      <c r="B53" s="487">
        <v>1400</v>
      </c>
      <c r="C53" s="488" t="s">
        <v>281</v>
      </c>
      <c r="D53" s="489">
        <v>542.5</v>
      </c>
      <c r="E53" s="490">
        <v>0.4</v>
      </c>
      <c r="F53" s="490">
        <f t="shared" si="1"/>
        <v>217</v>
      </c>
      <c r="G53" s="490">
        <f>F53</f>
        <v>217</v>
      </c>
      <c r="H53" s="490">
        <f t="shared" si="2"/>
        <v>0</v>
      </c>
      <c r="I53" s="491">
        <v>7223707</v>
      </c>
      <c r="J53" s="492"/>
      <c r="K53" s="493"/>
      <c r="L53" s="494">
        <v>45691</v>
      </c>
    </row>
    <row r="54" spans="1:12" ht="21.75" customHeight="1" x14ac:dyDescent="0.25">
      <c r="A54" s="450">
        <v>52</v>
      </c>
      <c r="B54" s="480">
        <v>1403</v>
      </c>
      <c r="C54" s="444" t="s">
        <v>283</v>
      </c>
      <c r="D54" s="445">
        <v>486.6</v>
      </c>
      <c r="E54" s="446">
        <v>0.4</v>
      </c>
      <c r="F54" s="446">
        <f t="shared" si="1"/>
        <v>194.64000000000001</v>
      </c>
      <c r="G54" s="446">
        <f>190.6+4.04</f>
        <v>194.64</v>
      </c>
      <c r="H54" s="446">
        <f t="shared" si="2"/>
        <v>0</v>
      </c>
      <c r="I54" s="447">
        <v>499044</v>
      </c>
      <c r="J54" s="448">
        <v>45635</v>
      </c>
      <c r="K54" s="495">
        <v>45663</v>
      </c>
    </row>
    <row r="55" spans="1:12" s="467" customFormat="1" ht="21.75" customHeight="1" x14ac:dyDescent="0.25">
      <c r="A55" s="442">
        <v>53</v>
      </c>
      <c r="B55" s="496">
        <v>1406</v>
      </c>
      <c r="C55" s="444" t="s">
        <v>285</v>
      </c>
      <c r="D55" s="445">
        <v>440</v>
      </c>
      <c r="E55" s="446">
        <v>0.4</v>
      </c>
      <c r="F55" s="446">
        <f t="shared" si="1"/>
        <v>176</v>
      </c>
      <c r="G55" s="446">
        <f>1.61+169.75+4.64</f>
        <v>176</v>
      </c>
      <c r="H55" s="446">
        <f>F55-G55</f>
        <v>0</v>
      </c>
      <c r="I55" s="447">
        <v>880849</v>
      </c>
      <c r="J55" s="448">
        <v>45602</v>
      </c>
      <c r="K55" s="452">
        <v>45630</v>
      </c>
      <c r="L55" s="472">
        <v>45663</v>
      </c>
    </row>
    <row r="56" spans="1:12" s="467" customFormat="1" ht="21.75" customHeight="1" x14ac:dyDescent="0.25">
      <c r="A56" s="450">
        <v>54</v>
      </c>
      <c r="B56" s="496">
        <v>1408</v>
      </c>
      <c r="C56" s="447" t="s">
        <v>287</v>
      </c>
      <c r="D56" s="445">
        <v>1269.5999999999999</v>
      </c>
      <c r="E56" s="446">
        <v>0.4</v>
      </c>
      <c r="F56" s="446">
        <f t="shared" si="1"/>
        <v>507.84</v>
      </c>
      <c r="G56" s="446">
        <f>507.2</f>
        <v>507.2</v>
      </c>
      <c r="H56" s="446">
        <f>F56-G56</f>
        <v>0.63999999999998636</v>
      </c>
      <c r="I56" s="447">
        <v>997465</v>
      </c>
      <c r="J56" s="448">
        <v>45810</v>
      </c>
      <c r="K56" s="449"/>
      <c r="L56" s="442"/>
    </row>
    <row r="57" spans="1:12" ht="21.75" customHeight="1" x14ac:dyDescent="0.25">
      <c r="A57" s="442">
        <v>55</v>
      </c>
      <c r="B57" s="496">
        <v>1409</v>
      </c>
      <c r="C57" s="444" t="s">
        <v>289</v>
      </c>
      <c r="D57" s="445">
        <v>499.4</v>
      </c>
      <c r="E57" s="446">
        <v>0.4</v>
      </c>
      <c r="F57" s="446">
        <f t="shared" si="1"/>
        <v>199.76</v>
      </c>
      <c r="G57" s="446">
        <f>197.89+1.87</f>
        <v>199.76</v>
      </c>
      <c r="H57" s="446">
        <f t="shared" ref="H57:H120" si="3">F57-G57</f>
        <v>0</v>
      </c>
      <c r="I57" s="447">
        <v>7279409</v>
      </c>
      <c r="J57" s="448">
        <v>45642</v>
      </c>
      <c r="K57" s="452">
        <v>45658</v>
      </c>
    </row>
    <row r="58" spans="1:12" ht="21.75" customHeight="1" x14ac:dyDescent="0.25">
      <c r="A58" s="450">
        <v>56</v>
      </c>
      <c r="B58" s="496">
        <v>1410</v>
      </c>
      <c r="C58" s="444" t="s">
        <v>292</v>
      </c>
      <c r="D58" s="445">
        <v>534.1</v>
      </c>
      <c r="E58" s="446">
        <v>0.4</v>
      </c>
      <c r="F58" s="446">
        <f t="shared" si="1"/>
        <v>213.64000000000001</v>
      </c>
      <c r="G58" s="446">
        <f>212.23+1.41</f>
        <v>213.64</v>
      </c>
      <c r="H58" s="446">
        <f t="shared" si="3"/>
        <v>0</v>
      </c>
      <c r="I58" s="447">
        <v>757372</v>
      </c>
      <c r="J58" s="448">
        <v>45635</v>
      </c>
      <c r="K58" s="452">
        <v>45663</v>
      </c>
    </row>
    <row r="59" spans="1:12" s="467" customFormat="1" ht="21.75" customHeight="1" x14ac:dyDescent="0.25">
      <c r="A59" s="442">
        <v>57</v>
      </c>
      <c r="B59" s="496">
        <v>1411</v>
      </c>
      <c r="C59" s="444" t="s">
        <v>294</v>
      </c>
      <c r="D59" s="445">
        <v>592</v>
      </c>
      <c r="E59" s="446">
        <v>0.4</v>
      </c>
      <c r="F59" s="446">
        <f t="shared" si="1"/>
        <v>236.8</v>
      </c>
      <c r="G59" s="446">
        <f>234.05+2.75</f>
        <v>236.8</v>
      </c>
      <c r="H59" s="446">
        <f t="shared" si="3"/>
        <v>0</v>
      </c>
      <c r="I59" s="447">
        <v>1650389</v>
      </c>
      <c r="J59" s="497">
        <v>45628</v>
      </c>
      <c r="K59" s="495">
        <v>45663</v>
      </c>
      <c r="L59" s="442"/>
    </row>
    <row r="60" spans="1:12" ht="21.75" customHeight="1" x14ac:dyDescent="0.25">
      <c r="A60" s="465">
        <v>58</v>
      </c>
      <c r="B60" s="481">
        <v>1412</v>
      </c>
      <c r="C60" s="455" t="s">
        <v>296</v>
      </c>
      <c r="D60" s="456">
        <v>660</v>
      </c>
      <c r="E60" s="457">
        <v>0.4</v>
      </c>
      <c r="F60" s="458">
        <f t="shared" si="1"/>
        <v>264</v>
      </c>
      <c r="G60" s="458"/>
      <c r="H60" s="458">
        <f t="shared" si="3"/>
        <v>264</v>
      </c>
      <c r="I60" s="459">
        <v>312227</v>
      </c>
      <c r="J60" s="460"/>
    </row>
    <row r="61" spans="1:12" ht="21.75" customHeight="1" x14ac:dyDescent="0.25">
      <c r="A61" s="442">
        <v>59</v>
      </c>
      <c r="B61" s="480">
        <v>1413</v>
      </c>
      <c r="C61" s="447" t="s">
        <v>298</v>
      </c>
      <c r="D61" s="445">
        <v>327.5</v>
      </c>
      <c r="E61" s="446">
        <v>0.4</v>
      </c>
      <c r="F61" s="446">
        <f t="shared" si="1"/>
        <v>131</v>
      </c>
      <c r="G61" s="446">
        <f>128.45+2.55</f>
        <v>131</v>
      </c>
      <c r="H61" s="446">
        <f t="shared" si="3"/>
        <v>0</v>
      </c>
      <c r="I61" s="447">
        <v>539906</v>
      </c>
      <c r="J61" s="497">
        <v>45628</v>
      </c>
      <c r="K61" s="452">
        <v>45658</v>
      </c>
    </row>
    <row r="62" spans="1:12" ht="21.75" customHeight="1" x14ac:dyDescent="0.25">
      <c r="A62" s="450">
        <v>60</v>
      </c>
      <c r="B62" s="480">
        <v>1414</v>
      </c>
      <c r="C62" s="444" t="s">
        <v>300</v>
      </c>
      <c r="D62" s="445">
        <v>956.3</v>
      </c>
      <c r="E62" s="446">
        <v>0.4</v>
      </c>
      <c r="F62" s="446">
        <f t="shared" si="1"/>
        <v>382.52</v>
      </c>
      <c r="G62" s="446">
        <f>F62</f>
        <v>382.52</v>
      </c>
      <c r="H62" s="446">
        <f t="shared" si="3"/>
        <v>0</v>
      </c>
      <c r="I62" s="447">
        <v>9178238</v>
      </c>
      <c r="J62" s="448">
        <v>45663</v>
      </c>
      <c r="K62" s="449"/>
    </row>
    <row r="63" spans="1:12" ht="21.75" customHeight="1" x14ac:dyDescent="0.25">
      <c r="A63" s="442">
        <v>61</v>
      </c>
      <c r="B63" s="480">
        <v>1415</v>
      </c>
      <c r="C63" s="444" t="s">
        <v>549</v>
      </c>
      <c r="D63" s="445">
        <v>298.10000000000002</v>
      </c>
      <c r="E63" s="446">
        <v>0.4</v>
      </c>
      <c r="F63" s="446">
        <f t="shared" si="1"/>
        <v>119.24000000000001</v>
      </c>
      <c r="G63" s="446">
        <f>118.68+0.56</f>
        <v>119.24000000000001</v>
      </c>
      <c r="H63" s="446">
        <f t="shared" si="3"/>
        <v>0</v>
      </c>
      <c r="I63" s="447">
        <v>5334952</v>
      </c>
      <c r="J63" s="469">
        <v>45643</v>
      </c>
      <c r="K63" s="452">
        <v>45658</v>
      </c>
    </row>
    <row r="64" spans="1:12" ht="21.75" customHeight="1" x14ac:dyDescent="0.25">
      <c r="A64" s="450">
        <v>62</v>
      </c>
      <c r="B64" s="480">
        <v>1417</v>
      </c>
      <c r="C64" s="444" t="s">
        <v>42</v>
      </c>
      <c r="D64" s="445">
        <v>482.5</v>
      </c>
      <c r="E64" s="446">
        <v>0.4</v>
      </c>
      <c r="F64" s="446">
        <f t="shared" si="1"/>
        <v>193</v>
      </c>
      <c r="G64" s="446">
        <f>190.05+2.95</f>
        <v>193</v>
      </c>
      <c r="H64" s="446">
        <f t="shared" si="3"/>
        <v>0</v>
      </c>
      <c r="I64" s="447">
        <v>1252579</v>
      </c>
      <c r="J64" s="448">
        <v>45635</v>
      </c>
      <c r="K64" s="498">
        <v>45686</v>
      </c>
    </row>
    <row r="65" spans="1:12" ht="21.75" customHeight="1" x14ac:dyDescent="0.25">
      <c r="A65" s="442">
        <v>63</v>
      </c>
      <c r="B65" s="480">
        <v>1418</v>
      </c>
      <c r="C65" s="444" t="s">
        <v>304</v>
      </c>
      <c r="D65" s="445">
        <v>290.2</v>
      </c>
      <c r="E65" s="446">
        <v>0.4</v>
      </c>
      <c r="F65" s="446">
        <f t="shared" si="1"/>
        <v>116.08</v>
      </c>
      <c r="G65" s="446">
        <f>115.71+0.37</f>
        <v>116.08</v>
      </c>
      <c r="H65" s="446">
        <f t="shared" si="3"/>
        <v>0</v>
      </c>
      <c r="I65" s="447">
        <v>9954378</v>
      </c>
      <c r="J65" s="448">
        <v>45630</v>
      </c>
      <c r="K65" s="498">
        <v>45656</v>
      </c>
    </row>
    <row r="66" spans="1:12" s="467" customFormat="1" ht="21.75" customHeight="1" x14ac:dyDescent="0.25">
      <c r="A66" s="450">
        <v>64</v>
      </c>
      <c r="B66" s="480">
        <v>1419</v>
      </c>
      <c r="C66" s="499" t="s">
        <v>308</v>
      </c>
      <c r="D66" s="445">
        <v>792</v>
      </c>
      <c r="E66" s="446">
        <v>0.4</v>
      </c>
      <c r="F66" s="446">
        <f t="shared" si="1"/>
        <v>316.8</v>
      </c>
      <c r="G66" s="446">
        <f>13.45+303.35</f>
        <v>316.8</v>
      </c>
      <c r="H66" s="446">
        <f t="shared" si="3"/>
        <v>0</v>
      </c>
      <c r="I66" s="447">
        <v>386821</v>
      </c>
      <c r="J66" s="497">
        <v>45628</v>
      </c>
      <c r="K66" s="500" t="s">
        <v>550</v>
      </c>
      <c r="L66" s="442"/>
    </row>
    <row r="67" spans="1:12" ht="21.75" customHeight="1" x14ac:dyDescent="0.25">
      <c r="A67" s="453">
        <v>65</v>
      </c>
      <c r="B67" s="481">
        <v>1420</v>
      </c>
      <c r="C67" s="455" t="s">
        <v>310</v>
      </c>
      <c r="D67" s="456">
        <v>577</v>
      </c>
      <c r="E67" s="457">
        <v>0.4</v>
      </c>
      <c r="F67" s="458">
        <f t="shared" si="1"/>
        <v>230.8</v>
      </c>
      <c r="G67" s="458"/>
      <c r="H67" s="458">
        <f t="shared" si="3"/>
        <v>230.8</v>
      </c>
      <c r="I67" s="459">
        <v>5460297</v>
      </c>
      <c r="J67" s="460"/>
    </row>
    <row r="68" spans="1:12" ht="21.75" customHeight="1" x14ac:dyDescent="0.25">
      <c r="A68" s="465">
        <v>66</v>
      </c>
      <c r="B68" s="481">
        <v>1421</v>
      </c>
      <c r="C68" s="455" t="s">
        <v>129</v>
      </c>
      <c r="D68" s="456">
        <v>638</v>
      </c>
      <c r="E68" s="457">
        <v>0.4</v>
      </c>
      <c r="F68" s="458">
        <f t="shared" si="1"/>
        <v>255.20000000000002</v>
      </c>
      <c r="G68" s="458"/>
      <c r="H68" s="458">
        <f t="shared" si="3"/>
        <v>255.20000000000002</v>
      </c>
      <c r="I68" s="459">
        <v>15314262</v>
      </c>
      <c r="J68" s="501"/>
    </row>
    <row r="69" spans="1:12" s="467" customFormat="1" ht="21.75" customHeight="1" x14ac:dyDescent="0.25">
      <c r="A69" s="442">
        <v>67</v>
      </c>
      <c r="B69" s="480">
        <v>1423</v>
      </c>
      <c r="C69" s="444" t="s">
        <v>131</v>
      </c>
      <c r="D69" s="445">
        <v>562.79999999999995</v>
      </c>
      <c r="E69" s="446">
        <v>0.4</v>
      </c>
      <c r="F69" s="446">
        <f t="shared" ref="F69:F132" si="4">D69*E69</f>
        <v>225.12</v>
      </c>
      <c r="G69" s="446">
        <f>F69</f>
        <v>225.12</v>
      </c>
      <c r="H69" s="446">
        <f t="shared" si="3"/>
        <v>0</v>
      </c>
      <c r="I69" s="447">
        <v>5044397</v>
      </c>
      <c r="J69" s="448">
        <v>45963</v>
      </c>
      <c r="K69" s="449"/>
      <c r="L69" s="442"/>
    </row>
    <row r="70" spans="1:12" s="467" customFormat="1" ht="21.75" customHeight="1" x14ac:dyDescent="0.25">
      <c r="A70" s="450">
        <v>68</v>
      </c>
      <c r="B70" s="480">
        <v>1425</v>
      </c>
      <c r="C70" s="444" t="s">
        <v>312</v>
      </c>
      <c r="D70" s="445">
        <v>500.9</v>
      </c>
      <c r="E70" s="446">
        <v>0.4</v>
      </c>
      <c r="F70" s="446">
        <f t="shared" si="4"/>
        <v>200.36</v>
      </c>
      <c r="G70" s="446">
        <f>F70</f>
        <v>200.36</v>
      </c>
      <c r="H70" s="446">
        <f t="shared" si="3"/>
        <v>0</v>
      </c>
      <c r="I70" s="447">
        <v>5614623</v>
      </c>
      <c r="J70" s="448">
        <v>45810</v>
      </c>
      <c r="K70" s="449"/>
      <c r="L70" s="442"/>
    </row>
    <row r="71" spans="1:12" ht="21.75" customHeight="1" x14ac:dyDescent="0.25">
      <c r="A71" s="442">
        <v>69</v>
      </c>
      <c r="B71" s="496">
        <v>1426</v>
      </c>
      <c r="C71" s="444" t="s">
        <v>314</v>
      </c>
      <c r="D71" s="445">
        <v>574.29999999999995</v>
      </c>
      <c r="E71" s="446">
        <v>0.4</v>
      </c>
      <c r="F71" s="446">
        <f t="shared" si="4"/>
        <v>229.72</v>
      </c>
      <c r="G71" s="446">
        <f>225.8+3.92</f>
        <v>229.72</v>
      </c>
      <c r="H71" s="446">
        <f t="shared" si="3"/>
        <v>0</v>
      </c>
      <c r="I71" s="447">
        <v>2160707</v>
      </c>
      <c r="J71" s="497">
        <v>45628</v>
      </c>
      <c r="K71" s="498">
        <v>45658</v>
      </c>
    </row>
    <row r="72" spans="1:12" ht="21.75" customHeight="1" x14ac:dyDescent="0.25">
      <c r="A72" s="450">
        <v>70</v>
      </c>
      <c r="B72" s="480">
        <v>1427</v>
      </c>
      <c r="C72" s="444" t="s">
        <v>134</v>
      </c>
      <c r="D72" s="445">
        <v>283.2</v>
      </c>
      <c r="E72" s="446">
        <v>0.4</v>
      </c>
      <c r="F72" s="446">
        <f t="shared" si="4"/>
        <v>113.28</v>
      </c>
      <c r="G72" s="446">
        <f>110.62+2.66</f>
        <v>113.28</v>
      </c>
      <c r="H72" s="446">
        <f t="shared" si="3"/>
        <v>0</v>
      </c>
      <c r="I72" s="447">
        <v>24171637</v>
      </c>
      <c r="J72" s="448">
        <v>45665</v>
      </c>
      <c r="K72" s="452">
        <v>45684</v>
      </c>
    </row>
    <row r="73" spans="1:12" ht="21.75" customHeight="1" x14ac:dyDescent="0.25">
      <c r="A73" s="442">
        <v>71</v>
      </c>
      <c r="B73" s="480">
        <v>1428</v>
      </c>
      <c r="C73" s="444" t="s">
        <v>316</v>
      </c>
      <c r="D73" s="445">
        <v>304.5</v>
      </c>
      <c r="E73" s="446">
        <v>0.4</v>
      </c>
      <c r="F73" s="446">
        <f t="shared" si="4"/>
        <v>121.80000000000001</v>
      </c>
      <c r="G73" s="446">
        <f>121.64+0.16</f>
        <v>121.8</v>
      </c>
      <c r="H73" s="446">
        <f t="shared" si="3"/>
        <v>0</v>
      </c>
      <c r="I73" s="447">
        <v>921364</v>
      </c>
      <c r="J73" s="448">
        <v>45623</v>
      </c>
      <c r="K73" s="498">
        <v>45658</v>
      </c>
    </row>
    <row r="74" spans="1:12" ht="21.75" customHeight="1" x14ac:dyDescent="0.25">
      <c r="A74" s="450">
        <v>72</v>
      </c>
      <c r="B74" s="480">
        <v>1430</v>
      </c>
      <c r="C74" s="444" t="s">
        <v>136</v>
      </c>
      <c r="D74" s="445">
        <v>290</v>
      </c>
      <c r="E74" s="446">
        <v>0.4</v>
      </c>
      <c r="F74" s="446">
        <f t="shared" si="4"/>
        <v>116</v>
      </c>
      <c r="G74" s="446">
        <f>115.52+0.48</f>
        <v>116</v>
      </c>
      <c r="H74" s="446">
        <f t="shared" si="3"/>
        <v>0</v>
      </c>
      <c r="I74" s="447">
        <v>564698</v>
      </c>
      <c r="J74" s="448">
        <v>45621</v>
      </c>
      <c r="K74" s="498">
        <v>45658</v>
      </c>
    </row>
    <row r="75" spans="1:12" ht="21.75" customHeight="1" x14ac:dyDescent="0.25">
      <c r="A75" s="453">
        <v>73</v>
      </c>
      <c r="B75" s="481">
        <v>1432</v>
      </c>
      <c r="C75" s="455" t="s">
        <v>318</v>
      </c>
      <c r="D75" s="456">
        <v>726</v>
      </c>
      <c r="E75" s="457">
        <v>0.4</v>
      </c>
      <c r="F75" s="458">
        <f t="shared" si="4"/>
        <v>290.40000000000003</v>
      </c>
      <c r="G75" s="458"/>
      <c r="H75" s="458">
        <f t="shared" si="3"/>
        <v>290.40000000000003</v>
      </c>
      <c r="I75" s="459">
        <v>5004855</v>
      </c>
      <c r="J75" s="460"/>
    </row>
    <row r="76" spans="1:12" ht="21.75" customHeight="1" x14ac:dyDescent="0.25">
      <c r="A76" s="502">
        <v>74</v>
      </c>
      <c r="B76" s="487">
        <v>1433</v>
      </c>
      <c r="C76" s="488" t="s">
        <v>320</v>
      </c>
      <c r="D76" s="489">
        <v>726</v>
      </c>
      <c r="E76" s="490">
        <v>0.4</v>
      </c>
      <c r="F76" s="490">
        <f t="shared" si="4"/>
        <v>290.40000000000003</v>
      </c>
      <c r="G76" s="490">
        <f>F76</f>
        <v>290.40000000000003</v>
      </c>
      <c r="H76" s="490">
        <f t="shared" si="3"/>
        <v>0</v>
      </c>
      <c r="I76" s="491">
        <v>285841</v>
      </c>
      <c r="J76" s="492" t="s">
        <v>551</v>
      </c>
      <c r="K76" s="493"/>
      <c r="L76" s="486"/>
    </row>
    <row r="77" spans="1:12" ht="21.75" customHeight="1" x14ac:dyDescent="0.25">
      <c r="A77" s="442">
        <v>75</v>
      </c>
      <c r="B77" s="496">
        <v>1434</v>
      </c>
      <c r="C77" s="444" t="s">
        <v>138</v>
      </c>
      <c r="D77" s="445">
        <v>347.3</v>
      </c>
      <c r="E77" s="446">
        <v>0.4</v>
      </c>
      <c r="F77" s="446">
        <f t="shared" si="4"/>
        <v>138.92000000000002</v>
      </c>
      <c r="G77" s="446">
        <f>136.98</f>
        <v>136.97999999999999</v>
      </c>
      <c r="H77" s="446">
        <f t="shared" si="3"/>
        <v>1.9400000000000261</v>
      </c>
      <c r="I77" s="447">
        <v>19197503</v>
      </c>
      <c r="J77" s="448">
        <v>45679</v>
      </c>
      <c r="K77" s="449"/>
      <c r="L77" s="442"/>
    </row>
    <row r="78" spans="1:12" ht="21.75" customHeight="1" x14ac:dyDescent="0.25">
      <c r="A78" s="450">
        <v>76</v>
      </c>
      <c r="B78" s="496">
        <v>1435</v>
      </c>
      <c r="C78" s="444" t="s">
        <v>45</v>
      </c>
      <c r="D78" s="445">
        <v>968</v>
      </c>
      <c r="E78" s="446">
        <v>0.4</v>
      </c>
      <c r="F78" s="446">
        <f t="shared" si="4"/>
        <v>387.20000000000005</v>
      </c>
      <c r="G78" s="446">
        <f>383.42+3.78</f>
        <v>387.2</v>
      </c>
      <c r="H78" s="446">
        <f t="shared" si="3"/>
        <v>0</v>
      </c>
      <c r="I78" s="447">
        <v>1305522</v>
      </c>
      <c r="J78" s="448">
        <v>45643</v>
      </c>
      <c r="K78" s="452">
        <v>45658</v>
      </c>
    </row>
    <row r="79" spans="1:12" ht="21.75" customHeight="1" x14ac:dyDescent="0.25">
      <c r="A79" s="442">
        <v>77</v>
      </c>
      <c r="B79" s="496">
        <v>1437</v>
      </c>
      <c r="C79" s="444" t="s">
        <v>143</v>
      </c>
      <c r="D79" s="445">
        <v>636</v>
      </c>
      <c r="E79" s="446">
        <v>0.4</v>
      </c>
      <c r="F79" s="446">
        <f t="shared" si="4"/>
        <v>254.4</v>
      </c>
      <c r="G79" s="446">
        <f>82.79+171.61</f>
        <v>254.40000000000003</v>
      </c>
      <c r="H79" s="446">
        <f t="shared" si="3"/>
        <v>0</v>
      </c>
      <c r="I79" s="447">
        <v>9685144</v>
      </c>
      <c r="J79" s="448">
        <v>45644</v>
      </c>
      <c r="K79" s="452">
        <v>45658</v>
      </c>
    </row>
    <row r="80" spans="1:12" ht="21.75" customHeight="1" x14ac:dyDescent="0.25">
      <c r="A80" s="450">
        <v>78</v>
      </c>
      <c r="B80" s="480">
        <v>1438</v>
      </c>
      <c r="C80" s="444" t="s">
        <v>145</v>
      </c>
      <c r="D80" s="445">
        <v>968</v>
      </c>
      <c r="E80" s="446">
        <v>0.4</v>
      </c>
      <c r="F80" s="446">
        <f t="shared" si="4"/>
        <v>387.20000000000005</v>
      </c>
      <c r="G80" s="446">
        <f>386.2+1</f>
        <v>387.2</v>
      </c>
      <c r="H80" s="446">
        <f t="shared" si="3"/>
        <v>0</v>
      </c>
      <c r="I80" s="447">
        <v>656621</v>
      </c>
      <c r="J80" s="448">
        <v>45650</v>
      </c>
      <c r="K80" s="452">
        <v>45670</v>
      </c>
    </row>
    <row r="81" spans="1:12" ht="21.75" customHeight="1" x14ac:dyDescent="0.25">
      <c r="A81" s="442">
        <v>79</v>
      </c>
      <c r="B81" s="480">
        <v>1439</v>
      </c>
      <c r="C81" s="444" t="s">
        <v>323</v>
      </c>
      <c r="D81" s="445">
        <v>460</v>
      </c>
      <c r="E81" s="446">
        <v>0.4</v>
      </c>
      <c r="F81" s="446">
        <f t="shared" si="4"/>
        <v>184</v>
      </c>
      <c r="G81" s="446">
        <f>93.36+87.3+3.34</f>
        <v>184</v>
      </c>
      <c r="H81" s="446">
        <f t="shared" si="3"/>
        <v>0</v>
      </c>
      <c r="I81" s="447">
        <v>18880548</v>
      </c>
      <c r="J81" s="448">
        <v>45621</v>
      </c>
      <c r="K81" s="452" t="s">
        <v>552</v>
      </c>
    </row>
    <row r="82" spans="1:12" ht="21.75" customHeight="1" x14ac:dyDescent="0.25">
      <c r="A82" s="450">
        <v>80</v>
      </c>
      <c r="B82" s="480">
        <v>1441</v>
      </c>
      <c r="C82" s="444" t="s">
        <v>538</v>
      </c>
      <c r="D82" s="445">
        <v>526.4</v>
      </c>
      <c r="E82" s="446">
        <v>0.4</v>
      </c>
      <c r="F82" s="446">
        <f t="shared" si="4"/>
        <v>210.56</v>
      </c>
      <c r="G82" s="446">
        <f>2.9+203.7+3.96</f>
        <v>210.56</v>
      </c>
      <c r="H82" s="446">
        <f t="shared" si="3"/>
        <v>0</v>
      </c>
      <c r="I82" s="447">
        <v>7285573</v>
      </c>
      <c r="J82" s="448">
        <v>45650</v>
      </c>
      <c r="K82" s="452">
        <v>45677</v>
      </c>
      <c r="L82" s="472">
        <v>45684</v>
      </c>
    </row>
    <row r="83" spans="1:12" ht="21.75" customHeight="1" x14ac:dyDescent="0.25">
      <c r="A83" s="453">
        <v>81</v>
      </c>
      <c r="B83" s="481">
        <v>1444</v>
      </c>
      <c r="C83" s="455" t="s">
        <v>327</v>
      </c>
      <c r="D83" s="456">
        <v>748</v>
      </c>
      <c r="E83" s="457">
        <v>0.4</v>
      </c>
      <c r="F83" s="458">
        <f t="shared" si="4"/>
        <v>299.2</v>
      </c>
      <c r="G83" s="458"/>
      <c r="H83" s="458">
        <f t="shared" si="3"/>
        <v>299.2</v>
      </c>
      <c r="I83" s="459">
        <v>13487202</v>
      </c>
      <c r="J83" s="460"/>
    </row>
    <row r="84" spans="1:12" s="467" customFormat="1" ht="21.75" customHeight="1" x14ac:dyDescent="0.2">
      <c r="A84" s="450">
        <v>82</v>
      </c>
      <c r="B84" s="503">
        <v>1448</v>
      </c>
      <c r="C84" s="444" t="s">
        <v>147</v>
      </c>
      <c r="D84" s="445">
        <v>304.2</v>
      </c>
      <c r="E84" s="446">
        <v>0.4</v>
      </c>
      <c r="F84" s="446">
        <f t="shared" si="4"/>
        <v>121.68</v>
      </c>
      <c r="G84" s="446">
        <f>120.41</f>
        <v>120.41</v>
      </c>
      <c r="H84" s="446">
        <f t="shared" si="3"/>
        <v>1.2700000000000102</v>
      </c>
      <c r="I84" s="475">
        <v>26433121</v>
      </c>
      <c r="J84" s="479" t="s">
        <v>600</v>
      </c>
      <c r="K84" s="449"/>
      <c r="L84" s="442"/>
    </row>
    <row r="85" spans="1:12" ht="21.75" customHeight="1" x14ac:dyDescent="0.25">
      <c r="A85" s="442">
        <v>83</v>
      </c>
      <c r="B85" s="464">
        <v>1451</v>
      </c>
      <c r="C85" s="444" t="s">
        <v>329</v>
      </c>
      <c r="D85" s="445">
        <v>351.3</v>
      </c>
      <c r="E85" s="446">
        <v>0.4</v>
      </c>
      <c r="F85" s="446">
        <f t="shared" si="4"/>
        <v>140.52000000000001</v>
      </c>
      <c r="G85" s="446">
        <f>140.3+0.22</f>
        <v>140.52000000000001</v>
      </c>
      <c r="H85" s="446">
        <f t="shared" si="3"/>
        <v>0</v>
      </c>
      <c r="I85" s="447">
        <v>20337612</v>
      </c>
      <c r="J85" s="448">
        <v>45637</v>
      </c>
      <c r="K85" s="452">
        <v>45672</v>
      </c>
    </row>
    <row r="86" spans="1:12" ht="21.75" customHeight="1" x14ac:dyDescent="0.25">
      <c r="A86" s="450">
        <v>84</v>
      </c>
      <c r="B86" s="480">
        <v>1453</v>
      </c>
      <c r="C86" s="444" t="s">
        <v>331</v>
      </c>
      <c r="D86" s="445">
        <v>328.7</v>
      </c>
      <c r="E86" s="446">
        <v>0.4</v>
      </c>
      <c r="F86" s="446">
        <f t="shared" si="4"/>
        <v>131.47999999999999</v>
      </c>
      <c r="G86" s="446">
        <f>129.29+2.19</f>
        <v>131.47999999999999</v>
      </c>
      <c r="H86" s="446">
        <f t="shared" si="3"/>
        <v>0</v>
      </c>
      <c r="I86" s="447">
        <v>5460259</v>
      </c>
      <c r="J86" s="448">
        <v>45637</v>
      </c>
      <c r="K86" s="452">
        <v>45658</v>
      </c>
    </row>
    <row r="87" spans="1:12" ht="21.75" customHeight="1" x14ac:dyDescent="0.25">
      <c r="A87" s="442">
        <v>85</v>
      </c>
      <c r="B87" s="480">
        <v>1455</v>
      </c>
      <c r="C87" s="444" t="s">
        <v>333</v>
      </c>
      <c r="D87" s="445">
        <v>682.3</v>
      </c>
      <c r="E87" s="446">
        <v>0.4</v>
      </c>
      <c r="F87" s="446">
        <f t="shared" si="4"/>
        <v>272.92</v>
      </c>
      <c r="G87" s="446">
        <f>90.47+107+74.9+0.55</f>
        <v>272.92</v>
      </c>
      <c r="H87" s="446">
        <f t="shared" si="3"/>
        <v>0</v>
      </c>
      <c r="I87" s="447">
        <v>9954383</v>
      </c>
      <c r="J87" s="448">
        <v>45644</v>
      </c>
      <c r="K87" s="452">
        <v>45656</v>
      </c>
      <c r="L87" s="504">
        <v>45663</v>
      </c>
    </row>
    <row r="88" spans="1:12" ht="21.75" customHeight="1" x14ac:dyDescent="0.25">
      <c r="A88" s="450">
        <v>86</v>
      </c>
      <c r="B88" s="480">
        <v>1462</v>
      </c>
      <c r="C88" s="444" t="s">
        <v>48</v>
      </c>
      <c r="D88" s="445">
        <v>331</v>
      </c>
      <c r="E88" s="446">
        <v>0.4</v>
      </c>
      <c r="F88" s="446">
        <f t="shared" si="4"/>
        <v>132.4</v>
      </c>
      <c r="G88" s="446">
        <f>132.05+0.35</f>
        <v>132.4</v>
      </c>
      <c r="H88" s="446">
        <f t="shared" si="3"/>
        <v>0</v>
      </c>
      <c r="I88" s="447">
        <v>9664038</v>
      </c>
      <c r="J88" s="448" t="s">
        <v>553</v>
      </c>
      <c r="K88" s="452">
        <v>45658</v>
      </c>
    </row>
    <row r="89" spans="1:12" ht="21.75" customHeight="1" x14ac:dyDescent="0.25">
      <c r="A89" s="442">
        <v>87</v>
      </c>
      <c r="B89" s="480">
        <v>1463</v>
      </c>
      <c r="C89" s="444" t="s">
        <v>50</v>
      </c>
      <c r="D89" s="445">
        <v>524.29999999999995</v>
      </c>
      <c r="E89" s="446">
        <v>0.4</v>
      </c>
      <c r="F89" s="446">
        <f t="shared" si="4"/>
        <v>209.72</v>
      </c>
      <c r="G89" s="446">
        <f>205.54+4.18</f>
        <v>209.72</v>
      </c>
      <c r="H89" s="446">
        <f t="shared" si="3"/>
        <v>0</v>
      </c>
      <c r="I89" s="447">
        <v>3798072</v>
      </c>
      <c r="J89" s="448">
        <v>45643</v>
      </c>
      <c r="K89" s="452">
        <v>45691</v>
      </c>
    </row>
    <row r="90" spans="1:12" ht="21.75" customHeight="1" x14ac:dyDescent="0.25">
      <c r="A90" s="465">
        <v>88</v>
      </c>
      <c r="B90" s="481">
        <v>1464</v>
      </c>
      <c r="C90" s="455" t="s">
        <v>335</v>
      </c>
      <c r="D90" s="456">
        <v>616</v>
      </c>
      <c r="E90" s="457">
        <v>0.4</v>
      </c>
      <c r="F90" s="458">
        <f t="shared" si="4"/>
        <v>246.4</v>
      </c>
      <c r="G90" s="458"/>
      <c r="H90" s="458">
        <f t="shared" si="3"/>
        <v>246.4</v>
      </c>
      <c r="I90" s="459">
        <v>6352996</v>
      </c>
      <c r="J90" s="460"/>
    </row>
    <row r="91" spans="1:12" ht="21.75" customHeight="1" x14ac:dyDescent="0.25">
      <c r="A91" s="453">
        <v>89</v>
      </c>
      <c r="B91" s="481">
        <v>1467</v>
      </c>
      <c r="C91" s="473" t="s">
        <v>337</v>
      </c>
      <c r="D91" s="456">
        <v>480.8</v>
      </c>
      <c r="E91" s="457">
        <v>0.4</v>
      </c>
      <c r="F91" s="458">
        <f t="shared" si="4"/>
        <v>192.32000000000002</v>
      </c>
      <c r="G91" s="458"/>
      <c r="H91" s="458">
        <f t="shared" si="3"/>
        <v>192.32000000000002</v>
      </c>
      <c r="I91" s="459">
        <v>4279933</v>
      </c>
      <c r="J91" s="460"/>
    </row>
    <row r="92" spans="1:12" ht="21.75" customHeight="1" x14ac:dyDescent="0.25">
      <c r="A92" s="450">
        <v>90</v>
      </c>
      <c r="B92" s="480">
        <v>1468</v>
      </c>
      <c r="C92" s="468" t="s">
        <v>149</v>
      </c>
      <c r="D92" s="445">
        <v>640.1</v>
      </c>
      <c r="E92" s="446">
        <v>0.4</v>
      </c>
      <c r="F92" s="446">
        <f t="shared" si="4"/>
        <v>256.04000000000002</v>
      </c>
      <c r="G92" s="446">
        <f>F92</f>
        <v>256.04000000000002</v>
      </c>
      <c r="H92" s="446">
        <f t="shared" si="3"/>
        <v>0</v>
      </c>
      <c r="I92" s="447">
        <v>6996485</v>
      </c>
      <c r="J92" s="448">
        <v>45684</v>
      </c>
      <c r="K92" s="449"/>
      <c r="L92" s="442"/>
    </row>
    <row r="93" spans="1:12" ht="27" customHeight="1" x14ac:dyDescent="0.25">
      <c r="A93" s="453">
        <v>91</v>
      </c>
      <c r="B93" s="481">
        <v>1472</v>
      </c>
      <c r="C93" s="455" t="s">
        <v>554</v>
      </c>
      <c r="D93" s="456">
        <v>575</v>
      </c>
      <c r="E93" s="457">
        <v>0.4</v>
      </c>
      <c r="F93" s="458">
        <f t="shared" si="4"/>
        <v>230</v>
      </c>
      <c r="G93" s="458"/>
      <c r="H93" s="458">
        <f t="shared" si="3"/>
        <v>230</v>
      </c>
      <c r="I93" s="459">
        <v>12987814</v>
      </c>
      <c r="J93" s="505"/>
    </row>
    <row r="94" spans="1:12" ht="21.75" customHeight="1" x14ac:dyDescent="0.25">
      <c r="A94" s="465">
        <v>92</v>
      </c>
      <c r="B94" s="481">
        <v>1473</v>
      </c>
      <c r="C94" s="455" t="s">
        <v>341</v>
      </c>
      <c r="D94" s="456">
        <v>543.20000000000005</v>
      </c>
      <c r="E94" s="457">
        <v>0.4</v>
      </c>
      <c r="F94" s="458">
        <f t="shared" si="4"/>
        <v>217.28000000000003</v>
      </c>
      <c r="G94" s="458"/>
      <c r="H94" s="458">
        <f t="shared" si="3"/>
        <v>217.28000000000003</v>
      </c>
      <c r="I94" s="459">
        <v>18722784</v>
      </c>
      <c r="J94" s="506"/>
    </row>
    <row r="95" spans="1:12" ht="21.75" customHeight="1" x14ac:dyDescent="0.25">
      <c r="A95" s="442">
        <v>93</v>
      </c>
      <c r="B95" s="480">
        <v>1475</v>
      </c>
      <c r="C95" s="468" t="s">
        <v>151</v>
      </c>
      <c r="D95" s="445">
        <v>343.9</v>
      </c>
      <c r="E95" s="446">
        <v>0.4</v>
      </c>
      <c r="F95" s="446">
        <f t="shared" si="4"/>
        <v>137.56</v>
      </c>
      <c r="G95" s="446">
        <f>F95</f>
        <v>137.56</v>
      </c>
      <c r="H95" s="446">
        <f t="shared" si="3"/>
        <v>0</v>
      </c>
      <c r="I95" s="447">
        <v>4584011</v>
      </c>
      <c r="J95" s="507">
        <v>45691</v>
      </c>
      <c r="K95" s="449"/>
      <c r="L95" s="442"/>
    </row>
    <row r="96" spans="1:12" ht="21.75" customHeight="1" x14ac:dyDescent="0.25">
      <c r="A96" s="450">
        <v>94</v>
      </c>
      <c r="B96" s="480">
        <v>1476</v>
      </c>
      <c r="C96" s="447" t="s">
        <v>343</v>
      </c>
      <c r="D96" s="445">
        <v>316</v>
      </c>
      <c r="E96" s="446">
        <v>0.4</v>
      </c>
      <c r="F96" s="446">
        <f t="shared" si="4"/>
        <v>126.4</v>
      </c>
      <c r="G96" s="446">
        <f>124.41+1.99</f>
        <v>126.39999999999999</v>
      </c>
      <c r="H96" s="446">
        <f t="shared" si="3"/>
        <v>0</v>
      </c>
      <c r="I96" s="447">
        <v>5486858</v>
      </c>
      <c r="J96" s="448">
        <v>45621</v>
      </c>
      <c r="K96" s="498">
        <v>45663</v>
      </c>
    </row>
    <row r="97" spans="1:13" ht="21.75" customHeight="1" x14ac:dyDescent="0.25">
      <c r="A97" s="442">
        <v>95</v>
      </c>
      <c r="B97" s="480">
        <v>1477</v>
      </c>
      <c r="C97" s="444" t="s">
        <v>345</v>
      </c>
      <c r="D97" s="445">
        <v>313.3</v>
      </c>
      <c r="E97" s="446">
        <v>0.4</v>
      </c>
      <c r="F97" s="446">
        <f t="shared" si="4"/>
        <v>125.32000000000001</v>
      </c>
      <c r="G97" s="446">
        <f>F97</f>
        <v>125.32000000000001</v>
      </c>
      <c r="H97" s="446">
        <f t="shared" si="3"/>
        <v>0</v>
      </c>
      <c r="I97" s="447">
        <v>18656494</v>
      </c>
      <c r="J97" s="507">
        <v>45691</v>
      </c>
      <c r="K97" s="449"/>
      <c r="L97" s="442"/>
    </row>
    <row r="98" spans="1:13" ht="21.75" customHeight="1" x14ac:dyDescent="0.25">
      <c r="A98" s="450">
        <v>96</v>
      </c>
      <c r="B98" s="480">
        <v>1480</v>
      </c>
      <c r="C98" s="444" t="s">
        <v>347</v>
      </c>
      <c r="D98" s="445">
        <v>313.7</v>
      </c>
      <c r="E98" s="446">
        <v>0.4</v>
      </c>
      <c r="F98" s="446">
        <f t="shared" si="4"/>
        <v>125.48</v>
      </c>
      <c r="G98" s="446">
        <f>F98</f>
        <v>125.48</v>
      </c>
      <c r="H98" s="446">
        <f t="shared" si="3"/>
        <v>0</v>
      </c>
      <c r="I98" s="447">
        <v>19820777</v>
      </c>
      <c r="J98" s="507">
        <v>45684</v>
      </c>
    </row>
    <row r="99" spans="1:13" s="463" customFormat="1" ht="21.75" customHeight="1" x14ac:dyDescent="0.25">
      <c r="A99" s="486">
        <v>97</v>
      </c>
      <c r="B99" s="487">
        <v>1482</v>
      </c>
      <c r="C99" s="488" t="s">
        <v>349</v>
      </c>
      <c r="D99" s="489">
        <v>460.5</v>
      </c>
      <c r="E99" s="490">
        <v>0.4</v>
      </c>
      <c r="F99" s="490">
        <f t="shared" si="4"/>
        <v>184.20000000000002</v>
      </c>
      <c r="G99" s="490">
        <f>F99</f>
        <v>184.20000000000002</v>
      </c>
      <c r="H99" s="490">
        <f t="shared" si="3"/>
        <v>0</v>
      </c>
      <c r="I99" s="491">
        <v>4024306</v>
      </c>
      <c r="J99" s="508">
        <v>45691</v>
      </c>
      <c r="K99" s="493"/>
      <c r="L99" s="486"/>
    </row>
    <row r="100" spans="1:13" s="463" customFormat="1" ht="26.25" customHeight="1" x14ac:dyDescent="0.25">
      <c r="A100" s="450">
        <v>98</v>
      </c>
      <c r="B100" s="480">
        <v>1485</v>
      </c>
      <c r="C100" s="444" t="s">
        <v>352</v>
      </c>
      <c r="D100" s="445">
        <v>370.5</v>
      </c>
      <c r="E100" s="446">
        <v>0.4</v>
      </c>
      <c r="F100" s="446">
        <f t="shared" si="4"/>
        <v>148.20000000000002</v>
      </c>
      <c r="G100" s="446">
        <f>145.5+2.7</f>
        <v>148.19999999999999</v>
      </c>
      <c r="H100" s="446">
        <f t="shared" si="3"/>
        <v>0</v>
      </c>
      <c r="I100" s="447">
        <v>18585573</v>
      </c>
      <c r="J100" s="448">
        <v>45635</v>
      </c>
      <c r="K100" s="498">
        <v>45663</v>
      </c>
      <c r="L100" s="462"/>
    </row>
    <row r="101" spans="1:13" s="463" customFormat="1" ht="26.25" customHeight="1" x14ac:dyDescent="0.25">
      <c r="A101" s="442">
        <v>99</v>
      </c>
      <c r="B101" s="480">
        <v>1487</v>
      </c>
      <c r="C101" s="509" t="s">
        <v>354</v>
      </c>
      <c r="D101" s="445">
        <v>95.4</v>
      </c>
      <c r="E101" s="446">
        <v>0.4</v>
      </c>
      <c r="F101" s="446">
        <f t="shared" si="4"/>
        <v>38.160000000000004</v>
      </c>
      <c r="G101" s="446">
        <f>F101</f>
        <v>38.160000000000004</v>
      </c>
      <c r="H101" s="446">
        <f t="shared" si="3"/>
        <v>0</v>
      </c>
      <c r="I101" s="477">
        <v>19315674</v>
      </c>
      <c r="J101" s="448">
        <v>45658</v>
      </c>
      <c r="K101" s="449"/>
      <c r="L101" s="462"/>
    </row>
    <row r="102" spans="1:13" s="463" customFormat="1" ht="21.75" customHeight="1" x14ac:dyDescent="0.25">
      <c r="A102" s="450">
        <v>100</v>
      </c>
      <c r="B102" s="480">
        <v>1700</v>
      </c>
      <c r="C102" s="444" t="s">
        <v>356</v>
      </c>
      <c r="D102" s="445">
        <v>638</v>
      </c>
      <c r="E102" s="446">
        <v>0.4</v>
      </c>
      <c r="F102" s="446">
        <f t="shared" si="4"/>
        <v>255.20000000000002</v>
      </c>
      <c r="G102" s="446">
        <f>249.08+6.12</f>
        <v>255.20000000000002</v>
      </c>
      <c r="H102" s="446">
        <f t="shared" si="3"/>
        <v>0</v>
      </c>
      <c r="I102" s="447">
        <v>6332437</v>
      </c>
      <c r="J102" s="507">
        <v>45637</v>
      </c>
      <c r="K102" s="452">
        <v>45665</v>
      </c>
      <c r="L102" s="462"/>
    </row>
    <row r="103" spans="1:13" s="463" customFormat="1" ht="21.75" customHeight="1" x14ac:dyDescent="0.25">
      <c r="A103" s="453">
        <v>101</v>
      </c>
      <c r="B103" s="481">
        <v>1702</v>
      </c>
      <c r="C103" s="455" t="s">
        <v>359</v>
      </c>
      <c r="D103" s="456">
        <v>503</v>
      </c>
      <c r="E103" s="457">
        <v>0.4</v>
      </c>
      <c r="F103" s="458">
        <f t="shared" si="4"/>
        <v>201.20000000000002</v>
      </c>
      <c r="G103" s="458"/>
      <c r="H103" s="458">
        <f t="shared" si="3"/>
        <v>201.20000000000002</v>
      </c>
      <c r="I103" s="459">
        <v>1572875</v>
      </c>
      <c r="J103" s="506"/>
      <c r="K103" s="461"/>
      <c r="L103" s="462"/>
    </row>
    <row r="104" spans="1:13" s="463" customFormat="1" ht="21.75" customHeight="1" x14ac:dyDescent="0.25">
      <c r="A104" s="465">
        <v>102</v>
      </c>
      <c r="B104" s="481">
        <v>1704</v>
      </c>
      <c r="C104" s="455" t="s">
        <v>361</v>
      </c>
      <c r="D104" s="456">
        <v>294.5</v>
      </c>
      <c r="E104" s="457">
        <v>0.4</v>
      </c>
      <c r="F104" s="458">
        <f t="shared" si="4"/>
        <v>117.80000000000001</v>
      </c>
      <c r="G104" s="458"/>
      <c r="H104" s="458">
        <f t="shared" si="3"/>
        <v>117.80000000000001</v>
      </c>
      <c r="I104" s="459">
        <v>19235157</v>
      </c>
      <c r="J104" s="506"/>
      <c r="K104" s="461"/>
      <c r="L104" s="462"/>
    </row>
    <row r="105" spans="1:13" s="463" customFormat="1" ht="21.75" customHeight="1" x14ac:dyDescent="0.25">
      <c r="A105" s="442">
        <v>103</v>
      </c>
      <c r="B105" s="480">
        <v>1706</v>
      </c>
      <c r="C105" s="444" t="s">
        <v>153</v>
      </c>
      <c r="D105" s="445">
        <v>287.10000000000002</v>
      </c>
      <c r="E105" s="446">
        <v>0.4</v>
      </c>
      <c r="F105" s="446">
        <f t="shared" si="4"/>
        <v>114.84000000000002</v>
      </c>
      <c r="G105" s="446">
        <f>F105</f>
        <v>114.84000000000002</v>
      </c>
      <c r="H105" s="446">
        <f t="shared" si="3"/>
        <v>0</v>
      </c>
      <c r="I105" s="447">
        <v>2520947</v>
      </c>
      <c r="J105" s="507">
        <v>45677</v>
      </c>
      <c r="K105" s="449"/>
      <c r="L105" s="442"/>
    </row>
    <row r="106" spans="1:13" s="463" customFormat="1" ht="21.75" customHeight="1" x14ac:dyDescent="0.25">
      <c r="A106" s="450">
        <v>104</v>
      </c>
      <c r="B106" s="480">
        <v>1708</v>
      </c>
      <c r="C106" s="444" t="s">
        <v>363</v>
      </c>
      <c r="D106" s="445">
        <v>1031.0999999999999</v>
      </c>
      <c r="E106" s="446">
        <v>0.4</v>
      </c>
      <c r="F106" s="446">
        <f t="shared" si="4"/>
        <v>412.44</v>
      </c>
      <c r="G106" s="446">
        <f>56.66+97+145.5+113.28</f>
        <v>412.43999999999994</v>
      </c>
      <c r="H106" s="446">
        <f t="shared" si="3"/>
        <v>0</v>
      </c>
      <c r="I106" s="447">
        <v>1331691</v>
      </c>
      <c r="J106" s="507">
        <v>45644</v>
      </c>
      <c r="K106" s="452">
        <v>45650</v>
      </c>
      <c r="L106" s="510">
        <v>45656</v>
      </c>
      <c r="M106" s="511">
        <v>45663</v>
      </c>
    </row>
    <row r="107" spans="1:13" s="463" customFormat="1" ht="21.75" customHeight="1" x14ac:dyDescent="0.25">
      <c r="A107" s="453">
        <v>105</v>
      </c>
      <c r="B107" s="481">
        <v>1709</v>
      </c>
      <c r="C107" s="455" t="s">
        <v>365</v>
      </c>
      <c r="D107" s="456">
        <v>324</v>
      </c>
      <c r="E107" s="457">
        <v>0.4</v>
      </c>
      <c r="F107" s="458">
        <f t="shared" si="4"/>
        <v>129.6</v>
      </c>
      <c r="G107" s="458"/>
      <c r="H107" s="458">
        <f t="shared" si="3"/>
        <v>129.6</v>
      </c>
      <c r="I107" s="459">
        <v>2406629</v>
      </c>
      <c r="J107" s="506"/>
      <c r="K107" s="461"/>
      <c r="L107" s="462"/>
    </row>
    <row r="108" spans="1:13" s="463" customFormat="1" ht="21.75" customHeight="1" x14ac:dyDescent="0.25">
      <c r="A108" s="450">
        <v>106</v>
      </c>
      <c r="B108" s="480">
        <v>1711</v>
      </c>
      <c r="C108" s="444" t="s">
        <v>55</v>
      </c>
      <c r="D108" s="445">
        <v>487.4</v>
      </c>
      <c r="E108" s="446">
        <v>0.4</v>
      </c>
      <c r="F108" s="446">
        <f t="shared" si="4"/>
        <v>194.96</v>
      </c>
      <c r="G108" s="446">
        <f>190.31</f>
        <v>190.31</v>
      </c>
      <c r="H108" s="446">
        <f t="shared" si="3"/>
        <v>4.6500000000000057</v>
      </c>
      <c r="I108" s="447">
        <v>638353</v>
      </c>
      <c r="J108" s="507">
        <v>45691</v>
      </c>
      <c r="K108" s="449"/>
      <c r="L108" s="442"/>
    </row>
    <row r="109" spans="1:13" s="463" customFormat="1" ht="21.75" customHeight="1" x14ac:dyDescent="0.25">
      <c r="A109" s="442">
        <v>107</v>
      </c>
      <c r="B109" s="480">
        <v>1712</v>
      </c>
      <c r="C109" s="444" t="s">
        <v>57</v>
      </c>
      <c r="D109" s="445">
        <v>314.5</v>
      </c>
      <c r="E109" s="446">
        <v>0.4</v>
      </c>
      <c r="F109" s="446">
        <f t="shared" si="4"/>
        <v>125.80000000000001</v>
      </c>
      <c r="G109" s="446">
        <f>124.73+1.07</f>
        <v>125.8</v>
      </c>
      <c r="H109" s="446">
        <f t="shared" si="3"/>
        <v>0</v>
      </c>
      <c r="I109" s="447">
        <v>788958</v>
      </c>
      <c r="J109" s="507">
        <v>45665</v>
      </c>
      <c r="K109" s="452">
        <v>45963</v>
      </c>
      <c r="L109" s="442"/>
    </row>
    <row r="110" spans="1:13" s="463" customFormat="1" ht="21.75" customHeight="1" x14ac:dyDescent="0.25">
      <c r="A110" s="450">
        <v>108</v>
      </c>
      <c r="B110" s="480">
        <v>1713</v>
      </c>
      <c r="C110" s="444" t="s">
        <v>157</v>
      </c>
      <c r="D110" s="445">
        <v>352</v>
      </c>
      <c r="E110" s="446">
        <v>0.4</v>
      </c>
      <c r="F110" s="446">
        <f t="shared" si="4"/>
        <v>140.80000000000001</v>
      </c>
      <c r="G110" s="446">
        <f>136.8+4</f>
        <v>140.80000000000001</v>
      </c>
      <c r="H110" s="446">
        <f t="shared" si="3"/>
        <v>0</v>
      </c>
      <c r="I110" s="447">
        <v>19890467</v>
      </c>
      <c r="J110" s="507">
        <v>45635</v>
      </c>
      <c r="K110" s="452">
        <v>45297</v>
      </c>
      <c r="L110" s="462"/>
    </row>
    <row r="111" spans="1:13" s="463" customFormat="1" ht="21.75" customHeight="1" x14ac:dyDescent="0.25">
      <c r="A111" s="442">
        <v>109</v>
      </c>
      <c r="B111" s="480">
        <v>1714</v>
      </c>
      <c r="C111" s="444" t="s">
        <v>59</v>
      </c>
      <c r="D111" s="445">
        <v>314.8</v>
      </c>
      <c r="E111" s="446">
        <v>0.4</v>
      </c>
      <c r="F111" s="446">
        <f t="shared" si="4"/>
        <v>125.92000000000002</v>
      </c>
      <c r="G111" s="446">
        <f>123.35+2.57</f>
        <v>125.91999999999999</v>
      </c>
      <c r="H111" s="446">
        <f t="shared" si="3"/>
        <v>0</v>
      </c>
      <c r="I111" s="447">
        <v>6285703</v>
      </c>
      <c r="J111" s="507">
        <v>45637</v>
      </c>
      <c r="K111" s="452">
        <v>45672</v>
      </c>
      <c r="L111" s="462"/>
    </row>
    <row r="112" spans="1:13" s="463" customFormat="1" ht="21.75" customHeight="1" x14ac:dyDescent="0.25">
      <c r="A112" s="450">
        <v>110</v>
      </c>
      <c r="B112" s="480">
        <v>1715</v>
      </c>
      <c r="C112" s="444" t="s">
        <v>62</v>
      </c>
      <c r="D112" s="445">
        <v>228.6</v>
      </c>
      <c r="E112" s="446">
        <v>0.4</v>
      </c>
      <c r="F112" s="446">
        <f t="shared" si="4"/>
        <v>91.44</v>
      </c>
      <c r="G112" s="446">
        <f>F112</f>
        <v>91.44</v>
      </c>
      <c r="H112" s="446">
        <f t="shared" si="3"/>
        <v>0</v>
      </c>
      <c r="I112" s="447">
        <v>6511663</v>
      </c>
      <c r="J112" s="507">
        <v>45630</v>
      </c>
      <c r="K112" s="449" t="s">
        <v>555</v>
      </c>
      <c r="L112" s="462"/>
    </row>
    <row r="113" spans="1:12" s="463" customFormat="1" ht="21.75" customHeight="1" x14ac:dyDescent="0.25">
      <c r="A113" s="442">
        <v>111</v>
      </c>
      <c r="B113" s="480">
        <v>1716</v>
      </c>
      <c r="C113" s="444" t="s">
        <v>368</v>
      </c>
      <c r="D113" s="445">
        <v>704</v>
      </c>
      <c r="E113" s="446">
        <v>0.4</v>
      </c>
      <c r="F113" s="446">
        <f t="shared" si="4"/>
        <v>281.60000000000002</v>
      </c>
      <c r="G113" s="446">
        <f>281.53+0.07</f>
        <v>281.59999999999997</v>
      </c>
      <c r="H113" s="446">
        <f t="shared" si="3"/>
        <v>0</v>
      </c>
      <c r="I113" s="447">
        <v>24147445</v>
      </c>
      <c r="J113" s="507">
        <v>45630</v>
      </c>
      <c r="K113" s="452">
        <v>45658</v>
      </c>
      <c r="L113" s="462"/>
    </row>
    <row r="114" spans="1:12" s="463" customFormat="1" ht="21.75" customHeight="1" x14ac:dyDescent="0.25">
      <c r="A114" s="450">
        <v>112</v>
      </c>
      <c r="B114" s="480">
        <v>1717</v>
      </c>
      <c r="C114" s="444" t="s">
        <v>370</v>
      </c>
      <c r="D114" s="445">
        <v>316</v>
      </c>
      <c r="E114" s="446">
        <v>0.4</v>
      </c>
      <c r="F114" s="446">
        <f t="shared" si="4"/>
        <v>126.4</v>
      </c>
      <c r="G114" s="446">
        <f>124.57+1.83</f>
        <v>126.39999999999999</v>
      </c>
      <c r="H114" s="446">
        <f t="shared" si="3"/>
        <v>0</v>
      </c>
      <c r="I114" s="447">
        <v>3248965</v>
      </c>
      <c r="J114" s="507">
        <v>45658</v>
      </c>
      <c r="K114" s="452">
        <v>45963</v>
      </c>
      <c r="L114" s="462"/>
    </row>
    <row r="115" spans="1:12" s="463" customFormat="1" ht="21.75" customHeight="1" x14ac:dyDescent="0.25">
      <c r="A115" s="442">
        <v>113</v>
      </c>
      <c r="B115" s="480">
        <v>1718</v>
      </c>
      <c r="C115" s="444" t="s">
        <v>159</v>
      </c>
      <c r="D115" s="445">
        <v>329</v>
      </c>
      <c r="E115" s="446">
        <v>0.4</v>
      </c>
      <c r="F115" s="446">
        <f t="shared" si="4"/>
        <v>131.6</v>
      </c>
      <c r="G115" s="446">
        <f>131.3+0.3</f>
        <v>131.60000000000002</v>
      </c>
      <c r="H115" s="446">
        <f t="shared" si="3"/>
        <v>0</v>
      </c>
      <c r="I115" s="447">
        <v>18656137</v>
      </c>
      <c r="J115" s="507">
        <v>45621</v>
      </c>
      <c r="K115" s="452">
        <v>45656</v>
      </c>
      <c r="L115" s="462"/>
    </row>
    <row r="116" spans="1:12" s="463" customFormat="1" ht="21.75" customHeight="1" x14ac:dyDescent="0.25">
      <c r="A116" s="465">
        <v>114</v>
      </c>
      <c r="B116" s="481">
        <v>1720</v>
      </c>
      <c r="C116" s="455" t="s">
        <v>372</v>
      </c>
      <c r="D116" s="456">
        <v>330</v>
      </c>
      <c r="E116" s="457">
        <v>0.4</v>
      </c>
      <c r="F116" s="458">
        <f t="shared" si="4"/>
        <v>132</v>
      </c>
      <c r="G116" s="458"/>
      <c r="H116" s="458">
        <f t="shared" si="3"/>
        <v>132</v>
      </c>
      <c r="I116" s="459">
        <v>6812881</v>
      </c>
      <c r="J116" s="506"/>
      <c r="K116" s="461"/>
      <c r="L116" s="462"/>
    </row>
    <row r="117" spans="1:12" s="463" customFormat="1" ht="21.75" customHeight="1" x14ac:dyDescent="0.25">
      <c r="A117" s="442">
        <v>115</v>
      </c>
      <c r="B117" s="480">
        <v>1722</v>
      </c>
      <c r="C117" s="444" t="s">
        <v>374</v>
      </c>
      <c r="D117" s="445">
        <v>431.7</v>
      </c>
      <c r="E117" s="446">
        <v>0.4</v>
      </c>
      <c r="F117" s="446">
        <f t="shared" si="4"/>
        <v>172.68</v>
      </c>
      <c r="G117" s="446">
        <f>169.52+3.16</f>
        <v>172.68</v>
      </c>
      <c r="H117" s="446">
        <f t="shared" si="3"/>
        <v>0</v>
      </c>
      <c r="I117" s="447">
        <v>12979647</v>
      </c>
      <c r="J117" s="507">
        <v>45637</v>
      </c>
      <c r="K117" s="452">
        <v>45679</v>
      </c>
      <c r="L117" s="462"/>
    </row>
    <row r="118" spans="1:12" s="463" customFormat="1" ht="21.75" customHeight="1" x14ac:dyDescent="0.25">
      <c r="A118" s="450">
        <v>116</v>
      </c>
      <c r="B118" s="480">
        <v>1723</v>
      </c>
      <c r="C118" s="444" t="s">
        <v>65</v>
      </c>
      <c r="D118" s="445">
        <v>374</v>
      </c>
      <c r="E118" s="446">
        <v>0.4</v>
      </c>
      <c r="F118" s="446">
        <f t="shared" si="4"/>
        <v>149.6</v>
      </c>
      <c r="G118" s="446">
        <f>148.85</f>
        <v>148.85</v>
      </c>
      <c r="H118" s="446">
        <f t="shared" si="3"/>
        <v>0.75</v>
      </c>
      <c r="I118" s="447">
        <v>6631224</v>
      </c>
      <c r="J118" s="507">
        <v>45643</v>
      </c>
      <c r="K118" s="449"/>
      <c r="L118" s="462"/>
    </row>
    <row r="119" spans="1:12" s="463" customFormat="1" ht="21.75" customHeight="1" x14ac:dyDescent="0.25">
      <c r="A119" s="442">
        <v>117</v>
      </c>
      <c r="B119" s="480">
        <v>1724</v>
      </c>
      <c r="C119" s="444" t="s">
        <v>67</v>
      </c>
      <c r="D119" s="445">
        <v>330</v>
      </c>
      <c r="E119" s="446">
        <v>0.4</v>
      </c>
      <c r="F119" s="446">
        <f t="shared" si="4"/>
        <v>132</v>
      </c>
      <c r="G119" s="446">
        <f>131.65+0.35</f>
        <v>132</v>
      </c>
      <c r="H119" s="446">
        <f t="shared" si="3"/>
        <v>0</v>
      </c>
      <c r="I119" s="447">
        <v>10795143</v>
      </c>
      <c r="J119" s="448">
        <v>45630</v>
      </c>
      <c r="K119" s="452">
        <v>45658</v>
      </c>
      <c r="L119" s="462"/>
    </row>
    <row r="120" spans="1:12" s="463" customFormat="1" ht="21.75" customHeight="1" x14ac:dyDescent="0.25">
      <c r="A120" s="465">
        <v>118</v>
      </c>
      <c r="B120" s="481">
        <v>1725</v>
      </c>
      <c r="C120" s="455" t="s">
        <v>377</v>
      </c>
      <c r="D120" s="456">
        <v>695.5</v>
      </c>
      <c r="E120" s="457">
        <v>0.4</v>
      </c>
      <c r="F120" s="458">
        <f t="shared" si="4"/>
        <v>278.2</v>
      </c>
      <c r="G120" s="458"/>
      <c r="H120" s="458">
        <f t="shared" si="3"/>
        <v>278.2</v>
      </c>
      <c r="I120" s="459">
        <v>2223414</v>
      </c>
      <c r="J120" s="506"/>
      <c r="K120" s="461"/>
      <c r="L120" s="462"/>
    </row>
    <row r="121" spans="1:12" s="463" customFormat="1" ht="21.75" customHeight="1" x14ac:dyDescent="0.25">
      <c r="A121" s="442">
        <v>119</v>
      </c>
      <c r="B121" s="480">
        <v>1726</v>
      </c>
      <c r="C121" s="444" t="s">
        <v>379</v>
      </c>
      <c r="D121" s="445">
        <v>486.4</v>
      </c>
      <c r="E121" s="446">
        <v>0.4</v>
      </c>
      <c r="F121" s="446">
        <f t="shared" si="4"/>
        <v>194.56</v>
      </c>
      <c r="G121" s="446">
        <f>193.15+1.41</f>
        <v>194.56</v>
      </c>
      <c r="H121" s="446">
        <f t="shared" ref="H121:H144" si="5">F121-G121</f>
        <v>0</v>
      </c>
      <c r="I121" s="447">
        <v>5440535</v>
      </c>
      <c r="J121" s="448">
        <v>45628</v>
      </c>
      <c r="K121" s="472">
        <v>45684</v>
      </c>
      <c r="L121" s="462"/>
    </row>
    <row r="122" spans="1:12" s="463" customFormat="1" ht="21.75" customHeight="1" x14ac:dyDescent="0.25">
      <c r="A122" s="465">
        <v>120</v>
      </c>
      <c r="B122" s="481">
        <v>1728</v>
      </c>
      <c r="C122" s="455" t="s">
        <v>13</v>
      </c>
      <c r="D122" s="456">
        <v>333</v>
      </c>
      <c r="E122" s="457">
        <v>0.4</v>
      </c>
      <c r="F122" s="458">
        <f t="shared" si="4"/>
        <v>133.20000000000002</v>
      </c>
      <c r="G122" s="458"/>
      <c r="H122" s="458">
        <f t="shared" si="5"/>
        <v>133.20000000000002</v>
      </c>
      <c r="I122" s="459">
        <v>8977778</v>
      </c>
      <c r="J122" s="506"/>
      <c r="K122" s="461"/>
      <c r="L122" s="462"/>
    </row>
    <row r="123" spans="1:12" s="463" customFormat="1" ht="21.75" customHeight="1" x14ac:dyDescent="0.25">
      <c r="A123" s="442">
        <v>121</v>
      </c>
      <c r="B123" s="480">
        <v>1729</v>
      </c>
      <c r="C123" s="444" t="s">
        <v>382</v>
      </c>
      <c r="D123" s="445">
        <v>278.5</v>
      </c>
      <c r="E123" s="446">
        <v>0.4</v>
      </c>
      <c r="F123" s="446">
        <f t="shared" si="4"/>
        <v>111.4</v>
      </c>
      <c r="G123" s="446">
        <f>109.94+1.46</f>
        <v>111.39999999999999</v>
      </c>
      <c r="H123" s="446">
        <f t="shared" si="5"/>
        <v>0</v>
      </c>
      <c r="I123" s="447">
        <v>22975081</v>
      </c>
      <c r="J123" s="507">
        <v>45630</v>
      </c>
      <c r="K123" s="452">
        <v>45670</v>
      </c>
      <c r="L123" s="462"/>
    </row>
    <row r="124" spans="1:12" s="467" customFormat="1" ht="21.75" customHeight="1" x14ac:dyDescent="0.25">
      <c r="A124" s="450">
        <v>122</v>
      </c>
      <c r="B124" s="480">
        <v>1730</v>
      </c>
      <c r="C124" s="444" t="s">
        <v>162</v>
      </c>
      <c r="D124" s="445">
        <v>376.1</v>
      </c>
      <c r="E124" s="446">
        <v>0.4</v>
      </c>
      <c r="F124" s="446">
        <f t="shared" si="4"/>
        <v>150.44000000000003</v>
      </c>
      <c r="G124" s="446">
        <f>149.19+1.25</f>
        <v>150.44</v>
      </c>
      <c r="H124" s="446">
        <f t="shared" si="5"/>
        <v>0</v>
      </c>
      <c r="I124" s="447">
        <v>18458405</v>
      </c>
      <c r="J124" s="512" t="s">
        <v>540</v>
      </c>
      <c r="K124" s="452">
        <v>45658</v>
      </c>
      <c r="L124" s="442"/>
    </row>
    <row r="125" spans="1:12" s="463" customFormat="1" ht="21.75" customHeight="1" x14ac:dyDescent="0.25">
      <c r="A125" s="442">
        <v>123</v>
      </c>
      <c r="B125" s="480">
        <v>1731</v>
      </c>
      <c r="C125" s="444" t="s">
        <v>384</v>
      </c>
      <c r="D125" s="445">
        <v>335.8</v>
      </c>
      <c r="E125" s="446">
        <v>0.4</v>
      </c>
      <c r="F125" s="446">
        <f t="shared" si="4"/>
        <v>134.32000000000002</v>
      </c>
      <c r="G125" s="446">
        <f>133.7+0.62</f>
        <v>134.32</v>
      </c>
      <c r="H125" s="446">
        <f t="shared" si="5"/>
        <v>0</v>
      </c>
      <c r="I125" s="447">
        <v>604651</v>
      </c>
      <c r="J125" s="512" t="s">
        <v>540</v>
      </c>
      <c r="K125" s="452">
        <v>45663</v>
      </c>
      <c r="L125" s="462"/>
    </row>
    <row r="126" spans="1:12" s="463" customFormat="1" ht="21.75" customHeight="1" x14ac:dyDescent="0.25">
      <c r="A126" s="465">
        <v>124</v>
      </c>
      <c r="B126" s="481">
        <v>1733</v>
      </c>
      <c r="C126" s="455" t="s">
        <v>386</v>
      </c>
      <c r="D126" s="456">
        <v>348</v>
      </c>
      <c r="E126" s="457">
        <v>0.4</v>
      </c>
      <c r="F126" s="458">
        <f t="shared" si="4"/>
        <v>139.20000000000002</v>
      </c>
      <c r="G126" s="458"/>
      <c r="H126" s="458">
        <f t="shared" si="5"/>
        <v>139.20000000000002</v>
      </c>
      <c r="I126" s="459">
        <v>24598302</v>
      </c>
      <c r="J126" s="506"/>
      <c r="K126" s="461"/>
      <c r="L126" s="462"/>
    </row>
    <row r="127" spans="1:12" s="463" customFormat="1" ht="21.75" customHeight="1" x14ac:dyDescent="0.25">
      <c r="A127" s="453">
        <v>125</v>
      </c>
      <c r="B127" s="481">
        <v>1734</v>
      </c>
      <c r="C127" s="455" t="s">
        <v>388</v>
      </c>
      <c r="D127" s="456">
        <v>352</v>
      </c>
      <c r="E127" s="457">
        <v>0.4</v>
      </c>
      <c r="F127" s="458">
        <f t="shared" si="4"/>
        <v>140.80000000000001</v>
      </c>
      <c r="G127" s="458"/>
      <c r="H127" s="458">
        <f t="shared" si="5"/>
        <v>140.80000000000001</v>
      </c>
      <c r="I127" s="459">
        <v>1105552</v>
      </c>
      <c r="J127" s="506"/>
      <c r="K127" s="461"/>
      <c r="L127" s="462"/>
    </row>
    <row r="128" spans="1:12" s="463" customFormat="1" ht="21.75" customHeight="1" x14ac:dyDescent="0.25">
      <c r="A128" s="450">
        <v>126</v>
      </c>
      <c r="B128" s="480">
        <v>1736</v>
      </c>
      <c r="C128" s="444" t="s">
        <v>164</v>
      </c>
      <c r="D128" s="445">
        <v>307.5</v>
      </c>
      <c r="E128" s="446">
        <v>0.4</v>
      </c>
      <c r="F128" s="446">
        <f t="shared" si="4"/>
        <v>123</v>
      </c>
      <c r="G128" s="446">
        <f>122.42+0.58</f>
        <v>123</v>
      </c>
      <c r="H128" s="446">
        <f t="shared" si="5"/>
        <v>0</v>
      </c>
      <c r="I128" s="447">
        <v>960639</v>
      </c>
      <c r="J128" s="507">
        <v>45643</v>
      </c>
      <c r="K128" s="452">
        <v>45658</v>
      </c>
      <c r="L128" s="462"/>
    </row>
    <row r="129" spans="1:12" s="463" customFormat="1" ht="21.75" customHeight="1" x14ac:dyDescent="0.25">
      <c r="A129" s="442">
        <v>127</v>
      </c>
      <c r="B129" s="480">
        <v>1737</v>
      </c>
      <c r="C129" s="447" t="s">
        <v>390</v>
      </c>
      <c r="D129" s="445">
        <v>309.39999999999998</v>
      </c>
      <c r="E129" s="446">
        <v>0.4</v>
      </c>
      <c r="F129" s="446">
        <f t="shared" si="4"/>
        <v>123.75999999999999</v>
      </c>
      <c r="G129" s="446">
        <f>F129</f>
        <v>123.75999999999999</v>
      </c>
      <c r="H129" s="446">
        <f t="shared" si="5"/>
        <v>0</v>
      </c>
      <c r="I129" s="447">
        <v>5566367</v>
      </c>
      <c r="J129" s="512"/>
      <c r="K129" s="452">
        <v>45635</v>
      </c>
      <c r="L129" s="462" t="s">
        <v>556</v>
      </c>
    </row>
    <row r="130" spans="1:12" s="463" customFormat="1" ht="21.75" customHeight="1" x14ac:dyDescent="0.25">
      <c r="A130" s="465">
        <v>128</v>
      </c>
      <c r="B130" s="481">
        <v>1738</v>
      </c>
      <c r="C130" s="455" t="s">
        <v>166</v>
      </c>
      <c r="D130" s="456">
        <v>330</v>
      </c>
      <c r="E130" s="457">
        <v>0.4</v>
      </c>
      <c r="F130" s="458">
        <f t="shared" si="4"/>
        <v>132</v>
      </c>
      <c r="G130" s="458"/>
      <c r="H130" s="458">
        <f t="shared" si="5"/>
        <v>132</v>
      </c>
      <c r="I130" s="459">
        <v>23187863</v>
      </c>
      <c r="J130" s="506"/>
      <c r="K130" s="461"/>
      <c r="L130" s="462"/>
    </row>
    <row r="131" spans="1:12" s="463" customFormat="1" ht="21.75" customHeight="1" x14ac:dyDescent="0.25">
      <c r="A131" s="453">
        <v>129</v>
      </c>
      <c r="B131" s="481">
        <v>1740</v>
      </c>
      <c r="C131" s="455" t="s">
        <v>392</v>
      </c>
      <c r="D131" s="456">
        <v>440</v>
      </c>
      <c r="E131" s="457">
        <v>0.4</v>
      </c>
      <c r="F131" s="458">
        <f t="shared" si="4"/>
        <v>176</v>
      </c>
      <c r="G131" s="458"/>
      <c r="H131" s="458">
        <f t="shared" si="5"/>
        <v>176</v>
      </c>
      <c r="I131" s="459">
        <v>750305</v>
      </c>
      <c r="J131" s="506"/>
      <c r="K131" s="461"/>
      <c r="L131" s="462"/>
    </row>
    <row r="132" spans="1:12" s="463" customFormat="1" ht="21.75" customHeight="1" x14ac:dyDescent="0.25">
      <c r="A132" s="465">
        <v>130</v>
      </c>
      <c r="B132" s="481">
        <v>1741</v>
      </c>
      <c r="C132" s="455" t="s">
        <v>394</v>
      </c>
      <c r="D132" s="456">
        <v>1118</v>
      </c>
      <c r="E132" s="457">
        <v>0.4</v>
      </c>
      <c r="F132" s="458">
        <f t="shared" si="4"/>
        <v>447.20000000000005</v>
      </c>
      <c r="G132" s="458"/>
      <c r="H132" s="458">
        <f t="shared" si="5"/>
        <v>447.20000000000005</v>
      </c>
      <c r="I132" s="459">
        <v>3439836</v>
      </c>
      <c r="J132" s="506"/>
      <c r="K132" s="461"/>
      <c r="L132" s="462"/>
    </row>
    <row r="133" spans="1:12" s="463" customFormat="1" ht="21.75" customHeight="1" x14ac:dyDescent="0.25">
      <c r="A133" s="453">
        <v>131</v>
      </c>
      <c r="B133" s="481">
        <v>1742</v>
      </c>
      <c r="C133" s="455" t="s">
        <v>396</v>
      </c>
      <c r="D133" s="456">
        <v>373</v>
      </c>
      <c r="E133" s="457">
        <v>0.4</v>
      </c>
      <c r="F133" s="458">
        <f t="shared" ref="F133:F196" si="6">D133*E133</f>
        <v>149.20000000000002</v>
      </c>
      <c r="G133" s="458"/>
      <c r="H133" s="458">
        <f t="shared" si="5"/>
        <v>149.20000000000002</v>
      </c>
      <c r="I133" s="459">
        <v>7534942</v>
      </c>
      <c r="J133" s="506"/>
      <c r="K133" s="513">
        <v>45301</v>
      </c>
      <c r="L133" s="462"/>
    </row>
    <row r="134" spans="1:12" s="463" customFormat="1" ht="21.75" customHeight="1" x14ac:dyDescent="0.25">
      <c r="A134" s="450">
        <v>132</v>
      </c>
      <c r="B134" s="480">
        <v>1743</v>
      </c>
      <c r="C134" s="444" t="s">
        <v>398</v>
      </c>
      <c r="D134" s="445">
        <v>646.1</v>
      </c>
      <c r="E134" s="446">
        <v>0.4</v>
      </c>
      <c r="F134" s="446">
        <f t="shared" si="6"/>
        <v>258.44</v>
      </c>
      <c r="G134" s="446">
        <f>F134</f>
        <v>258.44</v>
      </c>
      <c r="H134" s="446">
        <f t="shared" si="5"/>
        <v>0</v>
      </c>
      <c r="I134" s="447">
        <v>14028717</v>
      </c>
      <c r="J134" s="507">
        <v>45622</v>
      </c>
      <c r="K134" s="461" t="s">
        <v>557</v>
      </c>
      <c r="L134" s="462"/>
    </row>
    <row r="135" spans="1:12" s="463" customFormat="1" ht="21.75" customHeight="1" x14ac:dyDescent="0.25">
      <c r="A135" s="442">
        <v>133</v>
      </c>
      <c r="B135" s="480">
        <v>1744</v>
      </c>
      <c r="C135" s="444" t="s">
        <v>400</v>
      </c>
      <c r="D135" s="445">
        <v>306.7</v>
      </c>
      <c r="E135" s="446">
        <v>0.4</v>
      </c>
      <c r="F135" s="446">
        <f t="shared" si="6"/>
        <v>122.68</v>
      </c>
      <c r="G135" s="446">
        <f>120.02+2.66</f>
        <v>122.67999999999999</v>
      </c>
      <c r="H135" s="446">
        <f t="shared" si="5"/>
        <v>0</v>
      </c>
      <c r="I135" s="447">
        <v>6653046</v>
      </c>
      <c r="J135" s="507">
        <v>45628</v>
      </c>
      <c r="K135" s="513">
        <v>45658</v>
      </c>
      <c r="L135" s="462"/>
    </row>
    <row r="136" spans="1:12" s="463" customFormat="1" ht="21.75" customHeight="1" x14ac:dyDescent="0.25">
      <c r="A136" s="465">
        <v>134</v>
      </c>
      <c r="B136" s="481">
        <v>1745</v>
      </c>
      <c r="C136" s="455" t="s">
        <v>402</v>
      </c>
      <c r="D136" s="456">
        <v>330</v>
      </c>
      <c r="E136" s="457">
        <v>0.4</v>
      </c>
      <c r="F136" s="458">
        <f t="shared" si="6"/>
        <v>132</v>
      </c>
      <c r="G136" s="458"/>
      <c r="H136" s="458">
        <f t="shared" si="5"/>
        <v>132</v>
      </c>
      <c r="I136" s="459">
        <v>781826</v>
      </c>
      <c r="J136" s="506"/>
      <c r="K136" s="461"/>
      <c r="L136" s="462"/>
    </row>
    <row r="137" spans="1:12" s="463" customFormat="1" ht="21.75" customHeight="1" x14ac:dyDescent="0.25">
      <c r="A137" s="442">
        <v>135</v>
      </c>
      <c r="B137" s="480">
        <v>1748</v>
      </c>
      <c r="C137" s="444" t="s">
        <v>169</v>
      </c>
      <c r="D137" s="445">
        <v>307.5</v>
      </c>
      <c r="E137" s="446">
        <v>0.4</v>
      </c>
      <c r="F137" s="446">
        <f t="shared" si="6"/>
        <v>123</v>
      </c>
      <c r="G137" s="446">
        <f>118.59+4.41</f>
        <v>123</v>
      </c>
      <c r="H137" s="446">
        <f t="shared" si="5"/>
        <v>0</v>
      </c>
      <c r="I137" s="447">
        <v>1354182</v>
      </c>
      <c r="J137" s="507">
        <v>45627</v>
      </c>
      <c r="K137" s="452">
        <v>45658</v>
      </c>
      <c r="L137" s="442"/>
    </row>
    <row r="138" spans="1:12" s="463" customFormat="1" ht="21.75" customHeight="1" x14ac:dyDescent="0.25">
      <c r="A138" s="450">
        <v>136</v>
      </c>
      <c r="B138" s="480">
        <v>1749</v>
      </c>
      <c r="C138" s="444" t="s">
        <v>404</v>
      </c>
      <c r="D138" s="445">
        <v>326.3</v>
      </c>
      <c r="E138" s="446">
        <v>0.4</v>
      </c>
      <c r="F138" s="446">
        <f t="shared" si="6"/>
        <v>130.52000000000001</v>
      </c>
      <c r="G138" s="446">
        <f>126.1+4.42</f>
        <v>130.51999999999998</v>
      </c>
      <c r="H138" s="446">
        <f t="shared" si="5"/>
        <v>0</v>
      </c>
      <c r="I138" s="447">
        <v>1304923</v>
      </c>
      <c r="J138" s="507">
        <v>45684</v>
      </c>
      <c r="K138" s="449" t="s">
        <v>600</v>
      </c>
      <c r="L138" s="442"/>
    </row>
    <row r="139" spans="1:12" s="463" customFormat="1" ht="21.75" customHeight="1" x14ac:dyDescent="0.25">
      <c r="A139" s="442">
        <v>137</v>
      </c>
      <c r="B139" s="480">
        <v>1750</v>
      </c>
      <c r="C139" s="444" t="s">
        <v>406</v>
      </c>
      <c r="D139" s="445">
        <v>374</v>
      </c>
      <c r="E139" s="446">
        <v>0.4</v>
      </c>
      <c r="F139" s="446">
        <f t="shared" si="6"/>
        <v>149.6</v>
      </c>
      <c r="G139" s="446">
        <f>149.16+0.44</f>
        <v>149.6</v>
      </c>
      <c r="H139" s="446">
        <f t="shared" si="5"/>
        <v>0</v>
      </c>
      <c r="I139" s="447">
        <v>18638806</v>
      </c>
      <c r="J139" s="507">
        <v>45644</v>
      </c>
      <c r="K139" s="452">
        <v>45672</v>
      </c>
      <c r="L139" s="442"/>
    </row>
    <row r="140" spans="1:12" s="463" customFormat="1" ht="21.75" customHeight="1" x14ac:dyDescent="0.25">
      <c r="A140" s="450">
        <v>138</v>
      </c>
      <c r="B140" s="480">
        <v>1752</v>
      </c>
      <c r="C140" s="444" t="s">
        <v>171</v>
      </c>
      <c r="D140" s="445">
        <v>349</v>
      </c>
      <c r="E140" s="446">
        <v>0.4</v>
      </c>
      <c r="F140" s="446">
        <f t="shared" si="6"/>
        <v>139.6</v>
      </c>
      <c r="G140" s="446">
        <f>138.83</f>
        <v>138.83000000000001</v>
      </c>
      <c r="H140" s="446">
        <f t="shared" si="5"/>
        <v>0.76999999999998181</v>
      </c>
      <c r="I140" s="447">
        <v>2808921</v>
      </c>
      <c r="J140" s="507">
        <v>45679</v>
      </c>
      <c r="K140" s="449"/>
      <c r="L140" s="442"/>
    </row>
    <row r="141" spans="1:12" s="463" customFormat="1" ht="21.75" customHeight="1" x14ac:dyDescent="0.25">
      <c r="A141" s="442">
        <v>139</v>
      </c>
      <c r="B141" s="480">
        <v>1753</v>
      </c>
      <c r="C141" s="444" t="s">
        <v>408</v>
      </c>
      <c r="D141" s="445">
        <v>330</v>
      </c>
      <c r="E141" s="446">
        <v>0.4</v>
      </c>
      <c r="F141" s="446">
        <f t="shared" si="6"/>
        <v>132</v>
      </c>
      <c r="G141" s="446">
        <f>130.19+1.81</f>
        <v>132</v>
      </c>
      <c r="H141" s="446">
        <f t="shared" si="5"/>
        <v>0</v>
      </c>
      <c r="I141" s="447">
        <v>6496182</v>
      </c>
      <c r="J141" s="507">
        <v>45635</v>
      </c>
      <c r="K141" s="452">
        <v>45658</v>
      </c>
      <c r="L141" s="442"/>
    </row>
    <row r="142" spans="1:12" s="463" customFormat="1" ht="21.75" customHeight="1" x14ac:dyDescent="0.25">
      <c r="A142" s="465">
        <v>140</v>
      </c>
      <c r="B142" s="481">
        <v>1754</v>
      </c>
      <c r="C142" s="455" t="s">
        <v>410</v>
      </c>
      <c r="D142" s="456">
        <v>1234</v>
      </c>
      <c r="E142" s="457">
        <v>0.4</v>
      </c>
      <c r="F142" s="458">
        <f t="shared" si="6"/>
        <v>493.6</v>
      </c>
      <c r="G142" s="458"/>
      <c r="H142" s="458">
        <f t="shared" si="5"/>
        <v>493.6</v>
      </c>
      <c r="I142" s="459">
        <v>1523934</v>
      </c>
      <c r="J142" s="506"/>
      <c r="K142" s="461"/>
      <c r="L142" s="462"/>
    </row>
    <row r="143" spans="1:12" s="463" customFormat="1" ht="21.75" customHeight="1" x14ac:dyDescent="0.25">
      <c r="A143" s="442">
        <v>141</v>
      </c>
      <c r="B143" s="480">
        <v>1755</v>
      </c>
      <c r="C143" s="444" t="s">
        <v>69</v>
      </c>
      <c r="D143" s="445">
        <v>615</v>
      </c>
      <c r="E143" s="446">
        <v>0.4</v>
      </c>
      <c r="F143" s="446">
        <f t="shared" si="6"/>
        <v>246</v>
      </c>
      <c r="G143" s="446">
        <f>F143</f>
        <v>246</v>
      </c>
      <c r="H143" s="446">
        <f t="shared" si="5"/>
        <v>0</v>
      </c>
      <c r="I143" s="447">
        <v>10592143</v>
      </c>
      <c r="J143" s="507">
        <v>45650</v>
      </c>
      <c r="K143" s="449"/>
      <c r="L143" s="442"/>
    </row>
    <row r="144" spans="1:12" s="467" customFormat="1" ht="21.75" customHeight="1" x14ac:dyDescent="0.25">
      <c r="A144" s="450">
        <v>142</v>
      </c>
      <c r="B144" s="480">
        <v>1756</v>
      </c>
      <c r="C144" s="444" t="s">
        <v>412</v>
      </c>
      <c r="D144" s="445">
        <v>302.5</v>
      </c>
      <c r="E144" s="446">
        <v>0.4</v>
      </c>
      <c r="F144" s="446">
        <f t="shared" si="6"/>
        <v>121</v>
      </c>
      <c r="G144" s="446">
        <f>F144</f>
        <v>121</v>
      </c>
      <c r="H144" s="446">
        <f t="shared" si="5"/>
        <v>0</v>
      </c>
      <c r="I144" s="447">
        <v>381412</v>
      </c>
      <c r="J144" s="507">
        <v>45963</v>
      </c>
      <c r="K144" s="449"/>
      <c r="L144" s="442"/>
    </row>
    <row r="145" spans="1:13" s="467" customFormat="1" ht="21.75" customHeight="1" x14ac:dyDescent="0.25">
      <c r="A145" s="442">
        <v>143</v>
      </c>
      <c r="B145" s="480">
        <v>1758</v>
      </c>
      <c r="C145" s="444" t="s">
        <v>74</v>
      </c>
      <c r="D145" s="445">
        <v>545.9</v>
      </c>
      <c r="E145" s="446">
        <v>0.4</v>
      </c>
      <c r="F145" s="446">
        <f t="shared" si="6"/>
        <v>218.36</v>
      </c>
      <c r="G145" s="446">
        <f>156.83+61.53</f>
        <v>218.36</v>
      </c>
      <c r="H145" s="446">
        <f>F145-G145</f>
        <v>0</v>
      </c>
      <c r="I145" s="447">
        <v>2443662</v>
      </c>
      <c r="J145" s="507">
        <v>45601</v>
      </c>
      <c r="K145" s="452">
        <v>45614</v>
      </c>
      <c r="L145" s="472" t="s">
        <v>15</v>
      </c>
    </row>
    <row r="146" spans="1:13" s="463" customFormat="1" ht="21.75" customHeight="1" x14ac:dyDescent="0.25">
      <c r="A146" s="465">
        <v>144</v>
      </c>
      <c r="B146" s="481">
        <v>1759</v>
      </c>
      <c r="C146" s="455" t="s">
        <v>415</v>
      </c>
      <c r="D146" s="456">
        <v>283.10000000000002</v>
      </c>
      <c r="E146" s="457">
        <v>0.4</v>
      </c>
      <c r="F146" s="458">
        <f t="shared" si="6"/>
        <v>113.24000000000001</v>
      </c>
      <c r="G146" s="458"/>
      <c r="H146" s="458">
        <f>F146-G146</f>
        <v>113.24000000000001</v>
      </c>
      <c r="I146" s="459">
        <v>5029866</v>
      </c>
      <c r="J146" s="506"/>
      <c r="K146" s="461"/>
      <c r="L146" s="462"/>
    </row>
    <row r="147" spans="1:13" s="463" customFormat="1" ht="21.75" customHeight="1" x14ac:dyDescent="0.25">
      <c r="A147" s="442">
        <v>145</v>
      </c>
      <c r="B147" s="480">
        <v>1760</v>
      </c>
      <c r="C147" s="444" t="s">
        <v>418</v>
      </c>
      <c r="D147" s="445">
        <v>329</v>
      </c>
      <c r="E147" s="446">
        <v>0.4</v>
      </c>
      <c r="F147" s="446">
        <f t="shared" si="6"/>
        <v>131.6</v>
      </c>
      <c r="G147" s="446">
        <f>129.07+2.53</f>
        <v>131.6</v>
      </c>
      <c r="H147" s="446">
        <f t="shared" ref="H147:H174" si="7">F147-G147</f>
        <v>0</v>
      </c>
      <c r="I147" s="447">
        <v>3847339</v>
      </c>
      <c r="J147" s="507">
        <v>45642</v>
      </c>
      <c r="K147" s="452">
        <v>45658</v>
      </c>
      <c r="L147" s="442"/>
    </row>
    <row r="148" spans="1:13" s="463" customFormat="1" ht="21.75" customHeight="1" x14ac:dyDescent="0.25">
      <c r="A148" s="465">
        <v>146</v>
      </c>
      <c r="B148" s="481">
        <v>1763</v>
      </c>
      <c r="C148" s="455" t="s">
        <v>420</v>
      </c>
      <c r="D148" s="456">
        <v>296</v>
      </c>
      <c r="E148" s="457">
        <v>0.4</v>
      </c>
      <c r="F148" s="458">
        <f t="shared" si="6"/>
        <v>118.4</v>
      </c>
      <c r="G148" s="458"/>
      <c r="H148" s="458">
        <f t="shared" si="7"/>
        <v>118.4</v>
      </c>
      <c r="I148" s="459">
        <v>5384098</v>
      </c>
      <c r="J148" s="506"/>
      <c r="K148" s="461"/>
      <c r="L148" s="462"/>
    </row>
    <row r="149" spans="1:13" s="463" customFormat="1" ht="21.75" customHeight="1" x14ac:dyDescent="0.25">
      <c r="A149" s="453">
        <v>147</v>
      </c>
      <c r="B149" s="481">
        <v>1764</v>
      </c>
      <c r="C149" s="455" t="s">
        <v>422</v>
      </c>
      <c r="D149" s="456">
        <v>440</v>
      </c>
      <c r="E149" s="457">
        <v>0.4</v>
      </c>
      <c r="F149" s="458">
        <f t="shared" si="6"/>
        <v>176</v>
      </c>
      <c r="G149" s="458"/>
      <c r="H149" s="458">
        <f t="shared" si="7"/>
        <v>176</v>
      </c>
      <c r="I149" s="459">
        <v>6923798</v>
      </c>
      <c r="J149" s="506"/>
      <c r="K149" s="461"/>
      <c r="L149" s="462"/>
    </row>
    <row r="150" spans="1:13" s="463" customFormat="1" ht="21.75" customHeight="1" x14ac:dyDescent="0.25">
      <c r="A150" s="450">
        <v>148</v>
      </c>
      <c r="B150" s="480">
        <v>1766</v>
      </c>
      <c r="C150" s="444" t="s">
        <v>423</v>
      </c>
      <c r="D150" s="445">
        <v>581.1</v>
      </c>
      <c r="E150" s="446">
        <v>0.4</v>
      </c>
      <c r="F150" s="446">
        <f t="shared" si="6"/>
        <v>232.44000000000003</v>
      </c>
      <c r="G150" s="446">
        <f>230.97+1.47</f>
        <v>232.44</v>
      </c>
      <c r="H150" s="446">
        <f t="shared" si="7"/>
        <v>0</v>
      </c>
      <c r="I150" s="447">
        <v>19548574</v>
      </c>
      <c r="J150" s="507">
        <v>45670</v>
      </c>
      <c r="K150" s="452">
        <v>45691</v>
      </c>
      <c r="L150" s="442"/>
    </row>
    <row r="151" spans="1:13" s="467" customFormat="1" ht="21.75" customHeight="1" x14ac:dyDescent="0.25">
      <c r="A151" s="442">
        <v>149</v>
      </c>
      <c r="B151" s="480">
        <v>1768</v>
      </c>
      <c r="C151" s="444" t="s">
        <v>172</v>
      </c>
      <c r="D151" s="445">
        <v>320.7</v>
      </c>
      <c r="E151" s="446">
        <v>0.4</v>
      </c>
      <c r="F151" s="446">
        <f t="shared" si="6"/>
        <v>128.28</v>
      </c>
      <c r="G151" s="446">
        <f>126.1</f>
        <v>126.1</v>
      </c>
      <c r="H151" s="446">
        <f t="shared" si="7"/>
        <v>2.1800000000000068</v>
      </c>
      <c r="I151" s="447">
        <v>13899464</v>
      </c>
      <c r="J151" s="507">
        <v>45963</v>
      </c>
      <c r="K151" s="449"/>
      <c r="L151" s="442"/>
    </row>
    <row r="152" spans="1:13" s="467" customFormat="1" ht="21.75" customHeight="1" x14ac:dyDescent="0.25">
      <c r="A152" s="450">
        <v>150</v>
      </c>
      <c r="B152" s="480">
        <v>1769</v>
      </c>
      <c r="C152" s="444" t="s">
        <v>425</v>
      </c>
      <c r="D152" s="445">
        <v>283</v>
      </c>
      <c r="E152" s="446">
        <v>0.4</v>
      </c>
      <c r="F152" s="446">
        <f t="shared" si="6"/>
        <v>113.2</v>
      </c>
      <c r="G152" s="446">
        <f>F152</f>
        <v>113.2</v>
      </c>
      <c r="H152" s="446">
        <f t="shared" si="7"/>
        <v>0</v>
      </c>
      <c r="I152" s="447">
        <v>19322478</v>
      </c>
      <c r="J152" s="507">
        <v>45963</v>
      </c>
      <c r="K152" s="449"/>
      <c r="L152" s="442"/>
    </row>
    <row r="153" spans="1:13" s="463" customFormat="1" ht="21.75" customHeight="1" x14ac:dyDescent="0.25">
      <c r="A153" s="442">
        <v>151</v>
      </c>
      <c r="B153" s="480">
        <v>1770</v>
      </c>
      <c r="C153" s="444" t="s">
        <v>427</v>
      </c>
      <c r="D153" s="445">
        <v>274.8</v>
      </c>
      <c r="E153" s="446">
        <v>0.4</v>
      </c>
      <c r="F153" s="446">
        <f t="shared" si="6"/>
        <v>109.92000000000002</v>
      </c>
      <c r="G153" s="446">
        <f>F153</f>
        <v>109.92000000000002</v>
      </c>
      <c r="H153" s="446">
        <f t="shared" si="7"/>
        <v>0</v>
      </c>
      <c r="I153" s="447">
        <v>24534799</v>
      </c>
      <c r="J153" s="507">
        <v>45672</v>
      </c>
      <c r="K153" s="449"/>
      <c r="L153" s="442"/>
    </row>
    <row r="154" spans="1:13" s="463" customFormat="1" ht="21.75" customHeight="1" x14ac:dyDescent="0.25">
      <c r="A154" s="450">
        <v>152</v>
      </c>
      <c r="B154" s="480">
        <v>1771</v>
      </c>
      <c r="C154" s="444" t="s">
        <v>174</v>
      </c>
      <c r="D154" s="445">
        <v>328</v>
      </c>
      <c r="E154" s="446">
        <v>0.4</v>
      </c>
      <c r="F154" s="446">
        <f t="shared" si="6"/>
        <v>131.20000000000002</v>
      </c>
      <c r="G154" s="446">
        <f>F154</f>
        <v>131.20000000000002</v>
      </c>
      <c r="H154" s="446">
        <f t="shared" si="7"/>
        <v>0</v>
      </c>
      <c r="I154" s="447">
        <v>5044401</v>
      </c>
      <c r="J154" s="507">
        <v>45672</v>
      </c>
      <c r="K154" s="449"/>
      <c r="L154" s="442"/>
    </row>
    <row r="155" spans="1:13" s="463" customFormat="1" ht="21.75" customHeight="1" x14ac:dyDescent="0.25">
      <c r="A155" s="453">
        <v>153</v>
      </c>
      <c r="B155" s="481">
        <v>1772</v>
      </c>
      <c r="C155" s="455" t="s">
        <v>429</v>
      </c>
      <c r="D155" s="456">
        <v>682</v>
      </c>
      <c r="E155" s="457">
        <v>0.4</v>
      </c>
      <c r="F155" s="458">
        <f t="shared" si="6"/>
        <v>272.8</v>
      </c>
      <c r="G155" s="458"/>
      <c r="H155" s="458">
        <f t="shared" si="7"/>
        <v>272.8</v>
      </c>
      <c r="I155" s="459">
        <v>5217694</v>
      </c>
      <c r="J155" s="506"/>
      <c r="K155" s="461"/>
      <c r="L155" s="462"/>
    </row>
    <row r="156" spans="1:13" s="463" customFormat="1" ht="21.75" customHeight="1" x14ac:dyDescent="0.25">
      <c r="A156" s="465">
        <v>154</v>
      </c>
      <c r="B156" s="481">
        <v>1773</v>
      </c>
      <c r="C156" s="455" t="s">
        <v>432</v>
      </c>
      <c r="D156" s="456">
        <v>281.5</v>
      </c>
      <c r="E156" s="457">
        <v>0.4</v>
      </c>
      <c r="F156" s="458">
        <f t="shared" si="6"/>
        <v>112.60000000000001</v>
      </c>
      <c r="G156" s="458"/>
      <c r="H156" s="458">
        <f t="shared" si="7"/>
        <v>112.60000000000001</v>
      </c>
      <c r="I156" s="459">
        <v>20562603</v>
      </c>
      <c r="J156" s="506"/>
      <c r="K156" s="461"/>
      <c r="L156" s="462"/>
    </row>
    <row r="157" spans="1:13" s="463" customFormat="1" ht="21.75" customHeight="1" x14ac:dyDescent="0.25">
      <c r="A157" s="453">
        <v>155</v>
      </c>
      <c r="B157" s="481">
        <v>1774</v>
      </c>
      <c r="C157" s="455" t="s">
        <v>175</v>
      </c>
      <c r="D157" s="456">
        <v>311.3</v>
      </c>
      <c r="E157" s="457">
        <v>0.4</v>
      </c>
      <c r="F157" s="458">
        <f t="shared" si="6"/>
        <v>124.52000000000001</v>
      </c>
      <c r="G157" s="458"/>
      <c r="H157" s="458">
        <f t="shared" si="7"/>
        <v>124.52000000000001</v>
      </c>
      <c r="I157" s="459">
        <v>20865047</v>
      </c>
      <c r="J157" s="506"/>
      <c r="K157" s="461"/>
      <c r="L157" s="462"/>
    </row>
    <row r="158" spans="1:13" s="463" customFormat="1" ht="21.75" customHeight="1" x14ac:dyDescent="0.25">
      <c r="A158" s="450">
        <v>156</v>
      </c>
      <c r="B158" s="480">
        <v>1775</v>
      </c>
      <c r="C158" s="444" t="s">
        <v>434</v>
      </c>
      <c r="D158" s="445">
        <v>520</v>
      </c>
      <c r="E158" s="446">
        <v>0.4</v>
      </c>
      <c r="F158" s="446">
        <f t="shared" si="6"/>
        <v>208</v>
      </c>
      <c r="G158" s="446">
        <f>108.85+97+2.15</f>
        <v>208</v>
      </c>
      <c r="H158" s="446">
        <f t="shared" si="7"/>
        <v>0</v>
      </c>
      <c r="I158" s="447">
        <v>18659223</v>
      </c>
      <c r="J158" s="507">
        <v>45621</v>
      </c>
      <c r="K158" s="452">
        <v>45623</v>
      </c>
      <c r="L158" s="472">
        <v>45658</v>
      </c>
    </row>
    <row r="159" spans="1:13" s="463" customFormat="1" ht="21.75" customHeight="1" x14ac:dyDescent="0.25">
      <c r="A159" s="442">
        <v>157</v>
      </c>
      <c r="B159" s="480">
        <v>1776</v>
      </c>
      <c r="C159" s="444" t="s">
        <v>436</v>
      </c>
      <c r="D159" s="445">
        <v>330</v>
      </c>
      <c r="E159" s="446">
        <v>0.4</v>
      </c>
      <c r="F159" s="446">
        <f t="shared" si="6"/>
        <v>132</v>
      </c>
      <c r="G159" s="446">
        <f>1.75</f>
        <v>1.75</v>
      </c>
      <c r="H159" s="446">
        <f t="shared" si="7"/>
        <v>130.25</v>
      </c>
      <c r="I159" s="447">
        <v>30837376</v>
      </c>
      <c r="J159" s="507">
        <v>45637</v>
      </c>
      <c r="K159" s="449"/>
      <c r="L159" s="442"/>
    </row>
    <row r="160" spans="1:13" s="463" customFormat="1" ht="21.75" customHeight="1" x14ac:dyDescent="0.25">
      <c r="A160" s="450">
        <v>158</v>
      </c>
      <c r="B160" s="480">
        <v>1777</v>
      </c>
      <c r="C160" s="444" t="s">
        <v>438</v>
      </c>
      <c r="D160" s="445">
        <v>653</v>
      </c>
      <c r="E160" s="446">
        <v>0.4</v>
      </c>
      <c r="F160" s="446">
        <f t="shared" si="6"/>
        <v>261.2</v>
      </c>
      <c r="G160" s="446">
        <f>0.21+97+97+66.69+0.3</f>
        <v>261.2</v>
      </c>
      <c r="H160" s="446">
        <f t="shared" si="7"/>
        <v>0</v>
      </c>
      <c r="I160" s="447">
        <v>15107764</v>
      </c>
      <c r="J160" s="507">
        <v>45651</v>
      </c>
      <c r="K160" s="452">
        <v>45665</v>
      </c>
      <c r="L160" s="472">
        <v>45684</v>
      </c>
      <c r="M160" s="511">
        <v>45810</v>
      </c>
    </row>
    <row r="161" spans="1:12" s="463" customFormat="1" ht="21.75" customHeight="1" x14ac:dyDescent="0.25">
      <c r="A161" s="453">
        <v>159</v>
      </c>
      <c r="B161" s="481">
        <v>1778</v>
      </c>
      <c r="C161" s="455" t="s">
        <v>440</v>
      </c>
      <c r="D161" s="456">
        <v>330</v>
      </c>
      <c r="E161" s="457">
        <v>0.4</v>
      </c>
      <c r="F161" s="458">
        <f t="shared" si="6"/>
        <v>132</v>
      </c>
      <c r="G161" s="458"/>
      <c r="H161" s="458">
        <f t="shared" si="7"/>
        <v>132</v>
      </c>
      <c r="I161" s="459">
        <v>24984002</v>
      </c>
      <c r="J161" s="506"/>
      <c r="K161" s="461"/>
      <c r="L161" s="462"/>
    </row>
    <row r="162" spans="1:12" s="463" customFormat="1" ht="21.75" customHeight="1" x14ac:dyDescent="0.25">
      <c r="A162" s="450">
        <v>160</v>
      </c>
      <c r="B162" s="480">
        <v>1780</v>
      </c>
      <c r="C162" s="444" t="s">
        <v>442</v>
      </c>
      <c r="D162" s="445">
        <v>712.2</v>
      </c>
      <c r="E162" s="446">
        <v>0.4</v>
      </c>
      <c r="F162" s="446">
        <f t="shared" si="6"/>
        <v>284.88000000000005</v>
      </c>
      <c r="G162" s="446">
        <f>280.89+3.99</f>
        <v>284.88</v>
      </c>
      <c r="H162" s="446">
        <f t="shared" si="7"/>
        <v>0</v>
      </c>
      <c r="I162" s="447">
        <v>6228066</v>
      </c>
      <c r="J162" s="507">
        <v>45644</v>
      </c>
      <c r="K162" s="452">
        <v>45691</v>
      </c>
      <c r="L162" s="442"/>
    </row>
    <row r="163" spans="1:12" s="467" customFormat="1" ht="21.75" customHeight="1" x14ac:dyDescent="0.25">
      <c r="A163" s="442">
        <v>161</v>
      </c>
      <c r="B163" s="480">
        <v>1781</v>
      </c>
      <c r="C163" s="444" t="s">
        <v>444</v>
      </c>
      <c r="D163" s="445">
        <v>303.60000000000002</v>
      </c>
      <c r="E163" s="446">
        <v>0.4</v>
      </c>
      <c r="F163" s="446">
        <f t="shared" si="6"/>
        <v>121.44000000000001</v>
      </c>
      <c r="G163" s="446">
        <f>117.7+3.74</f>
        <v>121.44</v>
      </c>
      <c r="H163" s="446">
        <f t="shared" si="7"/>
        <v>0</v>
      </c>
      <c r="I163" s="447">
        <v>7287174</v>
      </c>
      <c r="J163" s="507">
        <v>45963</v>
      </c>
      <c r="K163" s="449" t="s">
        <v>600</v>
      </c>
      <c r="L163" s="442"/>
    </row>
    <row r="164" spans="1:12" s="463" customFormat="1" ht="21.75" customHeight="1" x14ac:dyDescent="0.25">
      <c r="A164" s="450">
        <v>162</v>
      </c>
      <c r="B164" s="480">
        <v>1782</v>
      </c>
      <c r="C164" s="444" t="s">
        <v>446</v>
      </c>
      <c r="D164" s="445">
        <v>396.3</v>
      </c>
      <c r="E164" s="446">
        <v>0.4</v>
      </c>
      <c r="F164" s="446">
        <f t="shared" si="6"/>
        <v>158.52000000000001</v>
      </c>
      <c r="G164" s="446">
        <f>157.58+0.94</f>
        <v>158.52000000000001</v>
      </c>
      <c r="H164" s="446">
        <f t="shared" si="7"/>
        <v>0</v>
      </c>
      <c r="I164" s="447">
        <v>19818711</v>
      </c>
      <c r="J164" s="507">
        <v>45644</v>
      </c>
      <c r="K164" s="452">
        <v>45684</v>
      </c>
      <c r="L164" s="462"/>
    </row>
    <row r="165" spans="1:12" s="463" customFormat="1" ht="21.75" customHeight="1" x14ac:dyDescent="0.25">
      <c r="A165" s="442">
        <v>163</v>
      </c>
      <c r="B165" s="480">
        <v>1783</v>
      </c>
      <c r="C165" s="444" t="s">
        <v>177</v>
      </c>
      <c r="D165" s="445">
        <v>268.8</v>
      </c>
      <c r="E165" s="446">
        <v>0.4</v>
      </c>
      <c r="F165" s="446">
        <f t="shared" si="6"/>
        <v>107.52000000000001</v>
      </c>
      <c r="G165" s="446">
        <f>105.38+2.14</f>
        <v>107.52</v>
      </c>
      <c r="H165" s="446">
        <f t="shared" si="7"/>
        <v>0</v>
      </c>
      <c r="I165" s="447">
        <v>1500187</v>
      </c>
      <c r="J165" s="507">
        <v>45627</v>
      </c>
      <c r="K165" s="452">
        <v>45658</v>
      </c>
      <c r="L165" s="462"/>
    </row>
    <row r="166" spans="1:12" s="463" customFormat="1" ht="21.75" customHeight="1" x14ac:dyDescent="0.25">
      <c r="A166" s="450">
        <v>164</v>
      </c>
      <c r="B166" s="480">
        <v>1784</v>
      </c>
      <c r="C166" s="444" t="s">
        <v>448</v>
      </c>
      <c r="D166" s="445">
        <v>436.1</v>
      </c>
      <c r="E166" s="446">
        <v>0.4</v>
      </c>
      <c r="F166" s="446">
        <f t="shared" si="6"/>
        <v>174.44000000000003</v>
      </c>
      <c r="G166" s="446">
        <f>173.61+0.83</f>
        <v>174.44000000000003</v>
      </c>
      <c r="H166" s="446">
        <f t="shared" si="7"/>
        <v>0</v>
      </c>
      <c r="I166" s="447">
        <v>19534652</v>
      </c>
      <c r="J166" s="507">
        <v>45656</v>
      </c>
      <c r="K166" s="452">
        <v>45691</v>
      </c>
      <c r="L166" s="462"/>
    </row>
    <row r="167" spans="1:12" s="463" customFormat="1" ht="21.75" customHeight="1" x14ac:dyDescent="0.25">
      <c r="A167" s="453">
        <v>165</v>
      </c>
      <c r="B167" s="481">
        <v>1785</v>
      </c>
      <c r="C167" s="455" t="s">
        <v>179</v>
      </c>
      <c r="D167" s="456">
        <v>330</v>
      </c>
      <c r="E167" s="457">
        <v>0.4</v>
      </c>
      <c r="F167" s="458">
        <f t="shared" si="6"/>
        <v>132</v>
      </c>
      <c r="G167" s="458"/>
      <c r="H167" s="458">
        <f t="shared" si="7"/>
        <v>132</v>
      </c>
      <c r="I167" s="459">
        <v>7374743</v>
      </c>
      <c r="J167" s="506"/>
      <c r="K167" s="461"/>
      <c r="L167" s="462"/>
    </row>
    <row r="168" spans="1:12" s="463" customFormat="1" ht="21.75" customHeight="1" x14ac:dyDescent="0.25">
      <c r="A168" s="450">
        <v>166</v>
      </c>
      <c r="B168" s="480">
        <v>1786</v>
      </c>
      <c r="C168" s="444" t="s">
        <v>181</v>
      </c>
      <c r="D168" s="445">
        <v>301.10000000000002</v>
      </c>
      <c r="E168" s="446">
        <v>0.4</v>
      </c>
      <c r="F168" s="446">
        <f t="shared" si="6"/>
        <v>120.44000000000001</v>
      </c>
      <c r="G168" s="446">
        <f>F168</f>
        <v>120.44000000000001</v>
      </c>
      <c r="H168" s="446">
        <f t="shared" si="7"/>
        <v>0</v>
      </c>
      <c r="I168" s="447">
        <v>5614637</v>
      </c>
      <c r="J168" s="507">
        <v>45810</v>
      </c>
      <c r="K168" s="449"/>
      <c r="L168" s="442"/>
    </row>
    <row r="169" spans="1:12" s="463" customFormat="1" ht="21.75" customHeight="1" x14ac:dyDescent="0.25">
      <c r="A169" s="453">
        <v>167</v>
      </c>
      <c r="B169" s="481">
        <v>1787</v>
      </c>
      <c r="C169" s="455" t="s">
        <v>77</v>
      </c>
      <c r="D169" s="456">
        <v>330</v>
      </c>
      <c r="E169" s="457">
        <v>0.4</v>
      </c>
      <c r="F169" s="458">
        <f t="shared" si="6"/>
        <v>132</v>
      </c>
      <c r="G169" s="458"/>
      <c r="H169" s="458">
        <f t="shared" si="7"/>
        <v>132</v>
      </c>
      <c r="I169" s="459">
        <v>22980157</v>
      </c>
      <c r="J169" s="506"/>
      <c r="K169" s="461"/>
      <c r="L169" s="462"/>
    </row>
    <row r="170" spans="1:12" s="463" customFormat="1" ht="21.75" customHeight="1" x14ac:dyDescent="0.25">
      <c r="A170" s="465">
        <v>168</v>
      </c>
      <c r="B170" s="481">
        <v>1788</v>
      </c>
      <c r="C170" s="455" t="s">
        <v>450</v>
      </c>
      <c r="D170" s="456">
        <v>330</v>
      </c>
      <c r="E170" s="457">
        <v>0.4</v>
      </c>
      <c r="F170" s="458">
        <f t="shared" si="6"/>
        <v>132</v>
      </c>
      <c r="G170" s="458"/>
      <c r="H170" s="458">
        <f t="shared" si="7"/>
        <v>132</v>
      </c>
      <c r="I170" s="459">
        <v>25632707</v>
      </c>
      <c r="J170" s="506"/>
      <c r="K170" s="461"/>
      <c r="L170" s="462"/>
    </row>
    <row r="171" spans="1:12" s="463" customFormat="1" ht="21.75" customHeight="1" x14ac:dyDescent="0.25">
      <c r="A171" s="453">
        <v>169</v>
      </c>
      <c r="B171" s="481">
        <v>1789</v>
      </c>
      <c r="C171" s="455" t="s">
        <v>452</v>
      </c>
      <c r="D171" s="456">
        <v>335.3</v>
      </c>
      <c r="E171" s="457">
        <v>0.4</v>
      </c>
      <c r="F171" s="458">
        <f t="shared" si="6"/>
        <v>134.12</v>
      </c>
      <c r="G171" s="458"/>
      <c r="H171" s="458">
        <f t="shared" si="7"/>
        <v>134.12</v>
      </c>
      <c r="I171" s="459">
        <v>6687053</v>
      </c>
      <c r="J171" s="506"/>
      <c r="K171" s="461"/>
      <c r="L171" s="462"/>
    </row>
    <row r="172" spans="1:12" s="463" customFormat="1" ht="21.75" customHeight="1" x14ac:dyDescent="0.25">
      <c r="A172" s="465">
        <v>170</v>
      </c>
      <c r="B172" s="481">
        <v>1790</v>
      </c>
      <c r="C172" s="455" t="s">
        <v>454</v>
      </c>
      <c r="D172" s="456">
        <v>252.1</v>
      </c>
      <c r="E172" s="457">
        <v>0.4</v>
      </c>
      <c r="F172" s="458">
        <f t="shared" si="6"/>
        <v>100.84</v>
      </c>
      <c r="G172" s="458"/>
      <c r="H172" s="458">
        <f t="shared" si="7"/>
        <v>100.84</v>
      </c>
      <c r="I172" s="459">
        <v>22971771</v>
      </c>
      <c r="J172" s="506"/>
      <c r="K172" s="461"/>
      <c r="L172" s="462"/>
    </row>
    <row r="173" spans="1:12" s="467" customFormat="1" ht="21.75" customHeight="1" x14ac:dyDescent="0.25">
      <c r="A173" s="442">
        <v>171</v>
      </c>
      <c r="B173" s="480">
        <v>1791</v>
      </c>
      <c r="C173" s="444" t="s">
        <v>80</v>
      </c>
      <c r="D173" s="445">
        <v>328.2</v>
      </c>
      <c r="E173" s="446">
        <v>0.4</v>
      </c>
      <c r="F173" s="446">
        <f t="shared" si="6"/>
        <v>131.28</v>
      </c>
      <c r="G173" s="446">
        <f>F173</f>
        <v>131.28</v>
      </c>
      <c r="H173" s="446">
        <f t="shared" si="7"/>
        <v>0</v>
      </c>
      <c r="I173" s="447">
        <v>5335073</v>
      </c>
      <c r="J173" s="507">
        <v>45963</v>
      </c>
      <c r="K173" s="449"/>
      <c r="L173" s="442"/>
    </row>
    <row r="174" spans="1:12" s="463" customFormat="1" ht="21.75" customHeight="1" x14ac:dyDescent="0.25">
      <c r="A174" s="450">
        <v>172</v>
      </c>
      <c r="B174" s="480">
        <v>1793</v>
      </c>
      <c r="C174" s="444" t="s">
        <v>456</v>
      </c>
      <c r="D174" s="445">
        <v>902</v>
      </c>
      <c r="E174" s="446">
        <v>0.4</v>
      </c>
      <c r="F174" s="446">
        <f t="shared" si="6"/>
        <v>360.8</v>
      </c>
      <c r="G174" s="446">
        <f>357.2+3.6</f>
        <v>360.8</v>
      </c>
      <c r="H174" s="446">
        <f t="shared" si="7"/>
        <v>0</v>
      </c>
      <c r="I174" s="447">
        <v>1629686</v>
      </c>
      <c r="J174" s="507">
        <v>45630</v>
      </c>
      <c r="K174" s="513">
        <v>45658</v>
      </c>
      <c r="L174" s="462"/>
    </row>
    <row r="175" spans="1:12" s="463" customFormat="1" ht="21.75" customHeight="1" x14ac:dyDescent="0.25">
      <c r="A175" s="442">
        <v>173</v>
      </c>
      <c r="B175" s="480">
        <v>1794</v>
      </c>
      <c r="C175" s="444" t="s">
        <v>82</v>
      </c>
      <c r="D175" s="445">
        <v>352</v>
      </c>
      <c r="E175" s="446">
        <v>0.4</v>
      </c>
      <c r="F175" s="446">
        <f t="shared" si="6"/>
        <v>140.80000000000001</v>
      </c>
      <c r="G175" s="446">
        <f>7.87+130.95+1.98</f>
        <v>140.79999999999998</v>
      </c>
      <c r="H175" s="446">
        <f>F175-G175</f>
        <v>0</v>
      </c>
      <c r="I175" s="447">
        <v>6122928</v>
      </c>
      <c r="J175" s="507">
        <v>45602</v>
      </c>
      <c r="K175" s="513">
        <v>45635</v>
      </c>
      <c r="L175" s="510">
        <v>45663</v>
      </c>
    </row>
    <row r="176" spans="1:12" s="463" customFormat="1" ht="21.75" customHeight="1" x14ac:dyDescent="0.25">
      <c r="A176" s="450">
        <v>174</v>
      </c>
      <c r="B176" s="480">
        <v>1795</v>
      </c>
      <c r="C176" s="444" t="s">
        <v>458</v>
      </c>
      <c r="D176" s="445">
        <v>444.8</v>
      </c>
      <c r="E176" s="446">
        <v>0.4</v>
      </c>
      <c r="F176" s="446">
        <f t="shared" si="6"/>
        <v>177.92000000000002</v>
      </c>
      <c r="G176" s="446">
        <f>176.33+1.59</f>
        <v>177.92000000000002</v>
      </c>
      <c r="H176" s="446">
        <f>F176-G176</f>
        <v>0</v>
      </c>
      <c r="I176" s="447">
        <v>6496299</v>
      </c>
      <c r="J176" s="507">
        <v>45623</v>
      </c>
      <c r="K176" s="513">
        <v>45658</v>
      </c>
      <c r="L176" s="462"/>
    </row>
    <row r="177" spans="1:12" s="463" customFormat="1" ht="21.75" customHeight="1" x14ac:dyDescent="0.25">
      <c r="A177" s="442">
        <v>175</v>
      </c>
      <c r="B177" s="480">
        <v>1796</v>
      </c>
      <c r="C177" s="444" t="s">
        <v>460</v>
      </c>
      <c r="D177" s="445">
        <v>331.8</v>
      </c>
      <c r="E177" s="446">
        <v>0.4</v>
      </c>
      <c r="F177" s="446">
        <f t="shared" si="6"/>
        <v>132.72</v>
      </c>
      <c r="G177" s="446">
        <f>127.95+4.77</f>
        <v>132.72</v>
      </c>
      <c r="H177" s="446">
        <f t="shared" ref="H177:H213" si="8">F177-G177</f>
        <v>0</v>
      </c>
      <c r="I177" s="447">
        <v>7140382</v>
      </c>
      <c r="J177" s="507">
        <v>45637</v>
      </c>
      <c r="K177" s="513">
        <v>45658</v>
      </c>
      <c r="L177" s="462"/>
    </row>
    <row r="178" spans="1:12" s="463" customFormat="1" ht="21.75" customHeight="1" x14ac:dyDescent="0.25">
      <c r="A178" s="465">
        <v>176</v>
      </c>
      <c r="B178" s="481">
        <v>1797</v>
      </c>
      <c r="C178" s="455" t="s">
        <v>463</v>
      </c>
      <c r="D178" s="456">
        <v>327.5</v>
      </c>
      <c r="E178" s="457">
        <v>0.4</v>
      </c>
      <c r="F178" s="458">
        <f t="shared" si="6"/>
        <v>131</v>
      </c>
      <c r="G178" s="458"/>
      <c r="H178" s="458">
        <f t="shared" si="8"/>
        <v>131</v>
      </c>
      <c r="I178" s="459">
        <v>3677869</v>
      </c>
      <c r="J178" s="506"/>
      <c r="K178" s="461"/>
      <c r="L178" s="462"/>
    </row>
    <row r="179" spans="1:12" s="463" customFormat="1" ht="21.75" customHeight="1" x14ac:dyDescent="0.25">
      <c r="A179" s="442">
        <v>177</v>
      </c>
      <c r="B179" s="480">
        <v>1798</v>
      </c>
      <c r="C179" s="444" t="s">
        <v>84</v>
      </c>
      <c r="D179" s="445">
        <v>327.2</v>
      </c>
      <c r="E179" s="446">
        <v>0.4</v>
      </c>
      <c r="F179" s="446">
        <f t="shared" si="6"/>
        <v>130.88</v>
      </c>
      <c r="G179" s="446">
        <f>F179</f>
        <v>130.88</v>
      </c>
      <c r="H179" s="446">
        <f t="shared" si="8"/>
        <v>0</v>
      </c>
      <c r="I179" s="447">
        <v>5314229</v>
      </c>
      <c r="J179" s="507">
        <v>45670</v>
      </c>
      <c r="K179" s="449"/>
      <c r="L179" s="442"/>
    </row>
    <row r="180" spans="1:12" s="463" customFormat="1" ht="21.75" customHeight="1" x14ac:dyDescent="0.25">
      <c r="A180" s="450">
        <v>178</v>
      </c>
      <c r="B180" s="480">
        <v>1799</v>
      </c>
      <c r="C180" s="444" t="s">
        <v>183</v>
      </c>
      <c r="D180" s="445">
        <v>316.7</v>
      </c>
      <c r="E180" s="446">
        <v>0.4</v>
      </c>
      <c r="F180" s="446">
        <f t="shared" si="6"/>
        <v>126.68</v>
      </c>
      <c r="G180" s="446">
        <f>123.74+2.94</f>
        <v>126.67999999999999</v>
      </c>
      <c r="H180" s="446">
        <f t="shared" si="8"/>
        <v>0</v>
      </c>
      <c r="I180" s="447">
        <v>5219843</v>
      </c>
      <c r="J180" s="507">
        <v>45643</v>
      </c>
      <c r="K180" s="452">
        <v>45658</v>
      </c>
      <c r="L180" s="462"/>
    </row>
    <row r="181" spans="1:12" s="467" customFormat="1" ht="21.75" customHeight="1" x14ac:dyDescent="0.25">
      <c r="A181" s="442">
        <v>179</v>
      </c>
      <c r="B181" s="480">
        <v>1800</v>
      </c>
      <c r="C181" s="444" t="s">
        <v>185</v>
      </c>
      <c r="D181" s="445">
        <v>279.60000000000002</v>
      </c>
      <c r="E181" s="446">
        <v>0.4</v>
      </c>
      <c r="F181" s="446">
        <f t="shared" si="6"/>
        <v>111.84000000000002</v>
      </c>
      <c r="G181" s="446">
        <f>111.55</f>
        <v>111.55</v>
      </c>
      <c r="H181" s="446">
        <f t="shared" si="8"/>
        <v>0.29000000000002046</v>
      </c>
      <c r="I181" s="447">
        <v>7293505</v>
      </c>
      <c r="J181" s="512" t="s">
        <v>600</v>
      </c>
      <c r="K181" s="449"/>
      <c r="L181" s="442"/>
    </row>
    <row r="182" spans="1:12" s="463" customFormat="1" ht="21.75" customHeight="1" x14ac:dyDescent="0.25">
      <c r="A182" s="502">
        <v>180</v>
      </c>
      <c r="B182" s="487">
        <v>1801</v>
      </c>
      <c r="C182" s="488" t="s">
        <v>187</v>
      </c>
      <c r="D182" s="489">
        <v>352</v>
      </c>
      <c r="E182" s="490">
        <v>0.4</v>
      </c>
      <c r="F182" s="490">
        <f t="shared" si="6"/>
        <v>140.80000000000001</v>
      </c>
      <c r="G182" s="490">
        <f>F182</f>
        <v>140.80000000000001</v>
      </c>
      <c r="H182" s="490">
        <f t="shared" si="8"/>
        <v>0</v>
      </c>
      <c r="I182" s="491">
        <v>655141</v>
      </c>
      <c r="J182" s="514" t="s">
        <v>558</v>
      </c>
      <c r="K182" s="461"/>
      <c r="L182" s="462"/>
    </row>
    <row r="183" spans="1:12" s="463" customFormat="1" ht="21.75" customHeight="1" x14ac:dyDescent="0.25">
      <c r="A183" s="442">
        <v>181</v>
      </c>
      <c r="B183" s="480">
        <v>1802</v>
      </c>
      <c r="C183" s="444" t="s">
        <v>465</v>
      </c>
      <c r="D183" s="445">
        <v>308</v>
      </c>
      <c r="E183" s="446">
        <v>0.4</v>
      </c>
      <c r="F183" s="446">
        <f t="shared" si="6"/>
        <v>123.2</v>
      </c>
      <c r="G183" s="446">
        <f>119.44+3.76</f>
        <v>123.2</v>
      </c>
      <c r="H183" s="446">
        <f t="shared" si="8"/>
        <v>0</v>
      </c>
      <c r="I183" s="447">
        <v>14760225</v>
      </c>
      <c r="J183" s="507">
        <v>45623</v>
      </c>
      <c r="K183" s="513">
        <v>45658</v>
      </c>
      <c r="L183" s="462"/>
    </row>
    <row r="184" spans="1:12" s="463" customFormat="1" ht="21.75" customHeight="1" x14ac:dyDescent="0.25">
      <c r="A184" s="465">
        <v>182</v>
      </c>
      <c r="B184" s="481">
        <v>1803</v>
      </c>
      <c r="C184" s="455" t="s">
        <v>467</v>
      </c>
      <c r="D184" s="456">
        <v>578.9</v>
      </c>
      <c r="E184" s="457">
        <v>0.4</v>
      </c>
      <c r="F184" s="458">
        <f t="shared" si="6"/>
        <v>231.56</v>
      </c>
      <c r="G184" s="458"/>
      <c r="H184" s="458">
        <f t="shared" si="8"/>
        <v>231.56</v>
      </c>
      <c r="I184" s="459">
        <v>5502798</v>
      </c>
      <c r="J184" s="506"/>
      <c r="K184" s="461"/>
      <c r="L184" s="462"/>
    </row>
    <row r="185" spans="1:12" s="463" customFormat="1" ht="21.75" customHeight="1" x14ac:dyDescent="0.25">
      <c r="A185" s="453">
        <v>183</v>
      </c>
      <c r="B185" s="481">
        <v>1804</v>
      </c>
      <c r="C185" s="455" t="s">
        <v>469</v>
      </c>
      <c r="D185" s="456">
        <v>279.5</v>
      </c>
      <c r="E185" s="457">
        <v>0.4</v>
      </c>
      <c r="F185" s="458">
        <f t="shared" si="6"/>
        <v>111.80000000000001</v>
      </c>
      <c r="G185" s="458"/>
      <c r="H185" s="458">
        <f t="shared" si="8"/>
        <v>111.80000000000001</v>
      </c>
      <c r="I185" s="459">
        <v>19623766</v>
      </c>
      <c r="J185" s="506"/>
      <c r="K185" s="461"/>
      <c r="L185" s="462"/>
    </row>
    <row r="186" spans="1:12" s="522" customFormat="1" ht="21.75" customHeight="1" x14ac:dyDescent="0.25">
      <c r="A186" s="515">
        <v>184</v>
      </c>
      <c r="B186" s="516">
        <v>1805</v>
      </c>
      <c r="C186" s="499" t="s">
        <v>471</v>
      </c>
      <c r="D186" s="517">
        <v>478.2</v>
      </c>
      <c r="E186" s="518">
        <v>0.4</v>
      </c>
      <c r="F186" s="518">
        <f t="shared" si="6"/>
        <v>191.28</v>
      </c>
      <c r="G186" s="518">
        <f>F186</f>
        <v>191.28</v>
      </c>
      <c r="H186" s="518">
        <f t="shared" si="8"/>
        <v>0</v>
      </c>
      <c r="I186" s="519">
        <v>1648586</v>
      </c>
      <c r="J186" s="520" t="s">
        <v>543</v>
      </c>
      <c r="K186" s="500"/>
      <c r="L186" s="521"/>
    </row>
    <row r="187" spans="1:12" s="463" customFormat="1" ht="21.75" customHeight="1" x14ac:dyDescent="0.25">
      <c r="A187" s="442">
        <v>185</v>
      </c>
      <c r="B187" s="480">
        <v>1808</v>
      </c>
      <c r="C187" s="444" t="s">
        <v>86</v>
      </c>
      <c r="D187" s="445">
        <v>321.60000000000002</v>
      </c>
      <c r="E187" s="446">
        <v>0.4</v>
      </c>
      <c r="F187" s="446">
        <f t="shared" si="6"/>
        <v>128.64000000000001</v>
      </c>
      <c r="G187" s="446">
        <f>126.01+2.63</f>
        <v>128.64000000000001</v>
      </c>
      <c r="H187" s="446">
        <f t="shared" si="8"/>
        <v>0</v>
      </c>
      <c r="I187" s="447">
        <v>611136</v>
      </c>
      <c r="J187" s="507">
        <v>45651</v>
      </c>
      <c r="K187" s="452">
        <v>45658</v>
      </c>
      <c r="L187" s="462"/>
    </row>
    <row r="188" spans="1:12" s="463" customFormat="1" ht="21.75" customHeight="1" x14ac:dyDescent="0.25">
      <c r="A188" s="450">
        <v>186</v>
      </c>
      <c r="B188" s="480">
        <v>1809</v>
      </c>
      <c r="C188" s="444" t="s">
        <v>474</v>
      </c>
      <c r="D188" s="445">
        <v>330</v>
      </c>
      <c r="E188" s="446">
        <v>0.4</v>
      </c>
      <c r="F188" s="446">
        <f t="shared" si="6"/>
        <v>132</v>
      </c>
      <c r="G188" s="446">
        <f>131.3</f>
        <v>131.30000000000001</v>
      </c>
      <c r="H188" s="446">
        <f t="shared" si="8"/>
        <v>0.69999999999998863</v>
      </c>
      <c r="I188" s="447">
        <v>14957086</v>
      </c>
      <c r="J188" s="507">
        <v>45686</v>
      </c>
      <c r="K188" s="449"/>
      <c r="L188" s="442"/>
    </row>
    <row r="189" spans="1:12" s="463" customFormat="1" ht="21.75" customHeight="1" x14ac:dyDescent="0.25">
      <c r="A189" s="442">
        <v>187</v>
      </c>
      <c r="B189" s="480">
        <v>1811</v>
      </c>
      <c r="C189" s="444" t="s">
        <v>476</v>
      </c>
      <c r="D189" s="445">
        <v>434</v>
      </c>
      <c r="E189" s="446">
        <v>0.4</v>
      </c>
      <c r="F189" s="446">
        <f t="shared" si="6"/>
        <v>173.60000000000002</v>
      </c>
      <c r="G189" s="446">
        <f>169.59+4.01</f>
        <v>173.6</v>
      </c>
      <c r="H189" s="446">
        <f t="shared" si="8"/>
        <v>0</v>
      </c>
      <c r="I189" s="447">
        <v>6384618</v>
      </c>
      <c r="J189" s="507">
        <v>45656</v>
      </c>
      <c r="K189" s="452">
        <v>45672</v>
      </c>
      <c r="L189" s="462"/>
    </row>
    <row r="190" spans="1:12" s="467" customFormat="1" ht="21.75" customHeight="1" x14ac:dyDescent="0.25">
      <c r="A190" s="450">
        <v>188</v>
      </c>
      <c r="B190" s="480">
        <v>1812</v>
      </c>
      <c r="C190" s="444" t="s">
        <v>544</v>
      </c>
      <c r="D190" s="445">
        <v>333</v>
      </c>
      <c r="E190" s="446">
        <v>0.4</v>
      </c>
      <c r="F190" s="446">
        <f t="shared" si="6"/>
        <v>133.20000000000002</v>
      </c>
      <c r="G190" s="446">
        <f>129.9+3.3</f>
        <v>133.20000000000002</v>
      </c>
      <c r="H190" s="446">
        <f t="shared" si="8"/>
        <v>0</v>
      </c>
      <c r="I190" s="447">
        <v>4748701</v>
      </c>
      <c r="J190" s="507">
        <v>45628</v>
      </c>
      <c r="K190" s="452">
        <v>45658</v>
      </c>
      <c r="L190" s="442"/>
    </row>
    <row r="191" spans="1:12" s="463" customFormat="1" ht="21.75" customHeight="1" x14ac:dyDescent="0.25">
      <c r="A191" s="453">
        <v>189</v>
      </c>
      <c r="B191" s="481">
        <v>1813</v>
      </c>
      <c r="C191" s="455" t="s">
        <v>481</v>
      </c>
      <c r="D191" s="456">
        <v>330</v>
      </c>
      <c r="E191" s="457">
        <v>0.4</v>
      </c>
      <c r="F191" s="458">
        <f t="shared" si="6"/>
        <v>132</v>
      </c>
      <c r="G191" s="458"/>
      <c r="H191" s="458">
        <f t="shared" si="8"/>
        <v>132</v>
      </c>
      <c r="I191" s="459">
        <v>2942396</v>
      </c>
      <c r="J191" s="506"/>
      <c r="K191" s="461"/>
      <c r="L191" s="462"/>
    </row>
    <row r="192" spans="1:12" s="467" customFormat="1" ht="21.75" customHeight="1" x14ac:dyDescent="0.25">
      <c r="A192" s="450">
        <v>190</v>
      </c>
      <c r="B192" s="480">
        <v>1816</v>
      </c>
      <c r="C192" s="444" t="s">
        <v>191</v>
      </c>
      <c r="D192" s="445">
        <v>352</v>
      </c>
      <c r="E192" s="446">
        <v>0.4</v>
      </c>
      <c r="F192" s="446">
        <f t="shared" si="6"/>
        <v>140.80000000000001</v>
      </c>
      <c r="G192" s="446">
        <f>139.7+1.1</f>
        <v>140.79999999999998</v>
      </c>
      <c r="H192" s="446">
        <f t="shared" si="8"/>
        <v>0</v>
      </c>
      <c r="I192" s="447">
        <v>15694259</v>
      </c>
      <c r="J192" s="507">
        <v>45637</v>
      </c>
      <c r="K192" s="452">
        <v>45670</v>
      </c>
      <c r="L192" s="442"/>
    </row>
    <row r="193" spans="1:12" s="463" customFormat="1" ht="21.75" customHeight="1" x14ac:dyDescent="0.25">
      <c r="A193" s="453">
        <v>191</v>
      </c>
      <c r="B193" s="481">
        <v>1817</v>
      </c>
      <c r="C193" s="455" t="s">
        <v>483</v>
      </c>
      <c r="D193" s="456">
        <v>960</v>
      </c>
      <c r="E193" s="457">
        <v>0.4</v>
      </c>
      <c r="F193" s="458">
        <f t="shared" si="6"/>
        <v>384</v>
      </c>
      <c r="G193" s="458"/>
      <c r="H193" s="458">
        <f t="shared" si="8"/>
        <v>384</v>
      </c>
      <c r="I193" s="459">
        <v>6492948</v>
      </c>
      <c r="J193" s="506"/>
      <c r="K193" s="461"/>
      <c r="L193" s="462"/>
    </row>
    <row r="194" spans="1:12" s="463" customFormat="1" ht="21.75" customHeight="1" x14ac:dyDescent="0.25">
      <c r="A194" s="450">
        <v>192</v>
      </c>
      <c r="B194" s="480">
        <v>1818</v>
      </c>
      <c r="C194" s="444" t="s">
        <v>485</v>
      </c>
      <c r="D194" s="445">
        <v>459.1</v>
      </c>
      <c r="E194" s="446">
        <v>0.4</v>
      </c>
      <c r="F194" s="446">
        <f t="shared" si="6"/>
        <v>183.64000000000001</v>
      </c>
      <c r="G194" s="446">
        <f>183.43+0.21</f>
        <v>183.64000000000001</v>
      </c>
      <c r="H194" s="446">
        <f t="shared" si="8"/>
        <v>0</v>
      </c>
      <c r="I194" s="447">
        <v>15677827</v>
      </c>
      <c r="J194" s="507">
        <v>45630</v>
      </c>
      <c r="K194" s="452">
        <v>45658</v>
      </c>
      <c r="L194" s="462"/>
    </row>
    <row r="195" spans="1:12" s="463" customFormat="1" ht="21.75" customHeight="1" x14ac:dyDescent="0.25">
      <c r="A195" s="442">
        <v>193</v>
      </c>
      <c r="B195" s="480">
        <v>1819</v>
      </c>
      <c r="C195" s="444" t="s">
        <v>487</v>
      </c>
      <c r="D195" s="445">
        <v>352</v>
      </c>
      <c r="E195" s="446">
        <v>0.4</v>
      </c>
      <c r="F195" s="446">
        <f t="shared" si="6"/>
        <v>140.80000000000001</v>
      </c>
      <c r="G195" s="446">
        <f>136.7+4.1</f>
        <v>140.79999999999998</v>
      </c>
      <c r="H195" s="446">
        <f t="shared" si="8"/>
        <v>0</v>
      </c>
      <c r="I195" s="447">
        <v>851375</v>
      </c>
      <c r="J195" s="507">
        <v>45635</v>
      </c>
      <c r="K195" s="452">
        <v>45658</v>
      </c>
      <c r="L195" s="462"/>
    </row>
    <row r="196" spans="1:12" s="463" customFormat="1" ht="21.75" customHeight="1" x14ac:dyDescent="0.25">
      <c r="A196" s="465">
        <v>194</v>
      </c>
      <c r="B196" s="481">
        <v>1820</v>
      </c>
      <c r="C196" s="455" t="s">
        <v>489</v>
      </c>
      <c r="D196" s="456">
        <v>324</v>
      </c>
      <c r="E196" s="457">
        <v>0.4</v>
      </c>
      <c r="F196" s="458">
        <f t="shared" si="6"/>
        <v>129.6</v>
      </c>
      <c r="G196" s="458"/>
      <c r="H196" s="458">
        <f t="shared" si="8"/>
        <v>129.6</v>
      </c>
      <c r="I196" s="459">
        <v>7124544</v>
      </c>
      <c r="J196" s="506"/>
      <c r="K196" s="461"/>
      <c r="L196" s="462"/>
    </row>
    <row r="197" spans="1:12" s="463" customFormat="1" ht="21.75" customHeight="1" x14ac:dyDescent="0.25">
      <c r="A197" s="453">
        <v>195</v>
      </c>
      <c r="B197" s="481">
        <v>1821</v>
      </c>
      <c r="C197" s="473" t="s">
        <v>491</v>
      </c>
      <c r="D197" s="456">
        <v>615.9</v>
      </c>
      <c r="E197" s="457">
        <v>0.4</v>
      </c>
      <c r="F197" s="458">
        <f t="shared" ref="F197:F223" si="9">D197*E197</f>
        <v>246.36</v>
      </c>
      <c r="G197" s="458"/>
      <c r="H197" s="458">
        <f t="shared" si="8"/>
        <v>246.36</v>
      </c>
      <c r="I197" s="459">
        <v>2454202</v>
      </c>
      <c r="J197" s="506"/>
      <c r="K197" s="461"/>
      <c r="L197" s="462"/>
    </row>
    <row r="198" spans="1:12" s="463" customFormat="1" ht="21.75" customHeight="1" x14ac:dyDescent="0.25">
      <c r="A198" s="465">
        <v>196</v>
      </c>
      <c r="B198" s="481">
        <v>1822</v>
      </c>
      <c r="C198" s="473" t="s">
        <v>193</v>
      </c>
      <c r="D198" s="456">
        <v>326</v>
      </c>
      <c r="E198" s="457">
        <v>0.4</v>
      </c>
      <c r="F198" s="458">
        <f t="shared" si="9"/>
        <v>130.4</v>
      </c>
      <c r="G198" s="458"/>
      <c r="H198" s="458">
        <f t="shared" si="8"/>
        <v>130.4</v>
      </c>
      <c r="I198" s="459">
        <v>22005737</v>
      </c>
      <c r="J198" s="506"/>
      <c r="K198" s="461"/>
      <c r="L198" s="462"/>
    </row>
    <row r="199" spans="1:12" s="463" customFormat="1" ht="21.75" customHeight="1" x14ac:dyDescent="0.25">
      <c r="A199" s="453">
        <v>197</v>
      </c>
      <c r="B199" s="481">
        <v>1823</v>
      </c>
      <c r="C199" s="473" t="s">
        <v>493</v>
      </c>
      <c r="D199" s="456">
        <v>330</v>
      </c>
      <c r="E199" s="457">
        <v>0.4</v>
      </c>
      <c r="F199" s="458">
        <f t="shared" si="9"/>
        <v>132</v>
      </c>
      <c r="G199" s="458"/>
      <c r="H199" s="458">
        <f t="shared" si="8"/>
        <v>132</v>
      </c>
      <c r="I199" s="459">
        <v>25722393</v>
      </c>
      <c r="J199" s="506"/>
      <c r="K199" s="461"/>
      <c r="L199" s="462"/>
    </row>
    <row r="200" spans="1:12" s="463" customFormat="1" ht="21.75" customHeight="1" x14ac:dyDescent="0.25">
      <c r="A200" s="450">
        <v>198</v>
      </c>
      <c r="B200" s="480">
        <v>1824</v>
      </c>
      <c r="C200" s="447" t="s">
        <v>195</v>
      </c>
      <c r="D200" s="445">
        <v>316.5</v>
      </c>
      <c r="E200" s="446">
        <v>0.4</v>
      </c>
      <c r="F200" s="446">
        <f t="shared" si="9"/>
        <v>126.60000000000001</v>
      </c>
      <c r="G200" s="446">
        <f>125.64+0.96</f>
        <v>126.6</v>
      </c>
      <c r="H200" s="446">
        <f t="shared" si="8"/>
        <v>0</v>
      </c>
      <c r="I200" s="447">
        <v>766709</v>
      </c>
      <c r="J200" s="507">
        <v>45643</v>
      </c>
      <c r="K200" s="452">
        <v>45684</v>
      </c>
      <c r="L200" s="462"/>
    </row>
    <row r="201" spans="1:12" s="463" customFormat="1" ht="21.75" customHeight="1" x14ac:dyDescent="0.25">
      <c r="A201" s="442">
        <v>199</v>
      </c>
      <c r="B201" s="480">
        <v>1825</v>
      </c>
      <c r="C201" s="447" t="s">
        <v>495</v>
      </c>
      <c r="D201" s="445">
        <v>286.2</v>
      </c>
      <c r="E201" s="446">
        <v>0.4</v>
      </c>
      <c r="F201" s="446">
        <f t="shared" si="9"/>
        <v>114.48</v>
      </c>
      <c r="G201" s="446">
        <f>114.39+0.09</f>
        <v>114.48</v>
      </c>
      <c r="H201" s="446">
        <f t="shared" si="8"/>
        <v>0</v>
      </c>
      <c r="I201" s="447">
        <v>7293524</v>
      </c>
      <c r="J201" s="507">
        <v>45656</v>
      </c>
      <c r="K201" s="452">
        <v>45665</v>
      </c>
      <c r="L201" s="462"/>
    </row>
    <row r="202" spans="1:12" s="463" customFormat="1" ht="21.75" customHeight="1" x14ac:dyDescent="0.2">
      <c r="A202" s="450">
        <v>200</v>
      </c>
      <c r="B202" s="480">
        <v>1826</v>
      </c>
      <c r="C202" s="523" t="s">
        <v>88</v>
      </c>
      <c r="D202" s="445">
        <v>326.3</v>
      </c>
      <c r="E202" s="446">
        <v>0.4</v>
      </c>
      <c r="F202" s="446">
        <f t="shared" si="9"/>
        <v>130.52000000000001</v>
      </c>
      <c r="G202" s="446">
        <f>F202</f>
        <v>130.52000000000001</v>
      </c>
      <c r="H202" s="446">
        <f t="shared" si="8"/>
        <v>0</v>
      </c>
      <c r="I202" s="524">
        <v>381215</v>
      </c>
      <c r="J202" s="452">
        <v>45684</v>
      </c>
      <c r="K202" s="449"/>
      <c r="L202" s="442"/>
    </row>
    <row r="203" spans="1:12" s="463" customFormat="1" ht="21.75" customHeight="1" x14ac:dyDescent="0.25">
      <c r="A203" s="442">
        <v>201</v>
      </c>
      <c r="B203" s="480">
        <v>1827</v>
      </c>
      <c r="C203" s="447" t="s">
        <v>497</v>
      </c>
      <c r="D203" s="445">
        <v>328.5</v>
      </c>
      <c r="E203" s="446">
        <v>0.4</v>
      </c>
      <c r="F203" s="446">
        <f t="shared" si="9"/>
        <v>131.4</v>
      </c>
      <c r="G203" s="446">
        <f>100.31+29.1+1.99</f>
        <v>131.4</v>
      </c>
      <c r="H203" s="446">
        <f t="shared" si="8"/>
        <v>0</v>
      </c>
      <c r="I203" s="447">
        <v>24218909</v>
      </c>
      <c r="J203" s="507" t="s">
        <v>559</v>
      </c>
      <c r="K203" s="452">
        <v>45652</v>
      </c>
      <c r="L203" s="472">
        <v>45671</v>
      </c>
    </row>
    <row r="204" spans="1:12" s="463" customFormat="1" ht="21.75" customHeight="1" x14ac:dyDescent="0.25">
      <c r="A204" s="465">
        <v>202</v>
      </c>
      <c r="B204" s="481">
        <v>1830</v>
      </c>
      <c r="C204" s="473" t="s">
        <v>499</v>
      </c>
      <c r="D204" s="456">
        <v>617.9</v>
      </c>
      <c r="E204" s="457">
        <v>0.4</v>
      </c>
      <c r="F204" s="458">
        <f t="shared" si="9"/>
        <v>247.16</v>
      </c>
      <c r="G204" s="458"/>
      <c r="H204" s="458">
        <f t="shared" si="8"/>
        <v>247.16</v>
      </c>
      <c r="I204" s="459">
        <v>22697535</v>
      </c>
      <c r="J204" s="506"/>
      <c r="K204" s="461"/>
      <c r="L204" s="462"/>
    </row>
    <row r="205" spans="1:12" s="463" customFormat="1" ht="21.75" customHeight="1" x14ac:dyDescent="0.25">
      <c r="A205" s="442">
        <v>203</v>
      </c>
      <c r="B205" s="480">
        <v>3074</v>
      </c>
      <c r="C205" s="444" t="s">
        <v>501</v>
      </c>
      <c r="D205" s="445">
        <v>264</v>
      </c>
      <c r="E205" s="446">
        <v>0.4</v>
      </c>
      <c r="F205" s="446">
        <f t="shared" si="9"/>
        <v>105.60000000000001</v>
      </c>
      <c r="G205" s="446">
        <f>104.48+1.12</f>
        <v>105.60000000000001</v>
      </c>
      <c r="H205" s="446">
        <f t="shared" si="8"/>
        <v>0</v>
      </c>
      <c r="I205" s="525">
        <v>6327112</v>
      </c>
      <c r="J205" s="507">
        <v>45658</v>
      </c>
      <c r="K205" s="449" t="s">
        <v>560</v>
      </c>
      <c r="L205" s="462"/>
    </row>
    <row r="206" spans="1:12" s="463" customFormat="1" ht="21.75" customHeight="1" x14ac:dyDescent="0.25">
      <c r="A206" s="465">
        <v>204</v>
      </c>
      <c r="B206" s="481">
        <v>3075</v>
      </c>
      <c r="C206" s="473" t="s">
        <v>503</v>
      </c>
      <c r="D206" s="456">
        <v>538</v>
      </c>
      <c r="E206" s="457">
        <v>0.4</v>
      </c>
      <c r="F206" s="458">
        <f t="shared" si="9"/>
        <v>215.20000000000002</v>
      </c>
      <c r="G206" s="458"/>
      <c r="H206" s="458">
        <f t="shared" si="8"/>
        <v>215.20000000000002</v>
      </c>
      <c r="I206" s="526">
        <v>6207551</v>
      </c>
      <c r="J206" s="506"/>
      <c r="K206" s="461"/>
      <c r="L206" s="462"/>
    </row>
    <row r="207" spans="1:12" ht="21.75" customHeight="1" x14ac:dyDescent="0.25">
      <c r="A207" s="442">
        <v>205</v>
      </c>
      <c r="B207" s="464">
        <v>3250</v>
      </c>
      <c r="C207" s="447" t="s">
        <v>198</v>
      </c>
      <c r="D207" s="445">
        <v>634</v>
      </c>
      <c r="E207" s="446">
        <v>0.4</v>
      </c>
      <c r="F207" s="446">
        <f t="shared" si="9"/>
        <v>253.60000000000002</v>
      </c>
      <c r="G207" s="527">
        <f>251.95+1.65</f>
        <v>253.6</v>
      </c>
      <c r="H207" s="446">
        <f t="shared" si="8"/>
        <v>0</v>
      </c>
      <c r="I207" s="528">
        <v>1357047</v>
      </c>
      <c r="J207" s="507">
        <v>45643</v>
      </c>
      <c r="K207" s="452">
        <v>45658</v>
      </c>
    </row>
    <row r="208" spans="1:12" s="467" customFormat="1" ht="21.75" customHeight="1" x14ac:dyDescent="0.25">
      <c r="A208" s="450">
        <v>206</v>
      </c>
      <c r="B208" s="464">
        <v>3317</v>
      </c>
      <c r="C208" s="447" t="s">
        <v>505</v>
      </c>
      <c r="D208" s="445">
        <v>440</v>
      </c>
      <c r="E208" s="446">
        <v>0.4</v>
      </c>
      <c r="F208" s="446">
        <f t="shared" si="9"/>
        <v>176</v>
      </c>
      <c r="G208" s="446">
        <f>F208</f>
        <v>176</v>
      </c>
      <c r="H208" s="446">
        <f t="shared" si="8"/>
        <v>0</v>
      </c>
      <c r="I208" s="477">
        <v>2366794</v>
      </c>
      <c r="J208" s="507">
        <v>45963</v>
      </c>
      <c r="K208" s="449"/>
      <c r="L208" s="442"/>
    </row>
    <row r="209" spans="1:12" s="463" customFormat="1" ht="21.75" customHeight="1" x14ac:dyDescent="0.25">
      <c r="A209" s="442">
        <v>207</v>
      </c>
      <c r="B209" s="464">
        <v>3323</v>
      </c>
      <c r="C209" s="447" t="s">
        <v>507</v>
      </c>
      <c r="D209" s="445">
        <v>586</v>
      </c>
      <c r="E209" s="446">
        <v>0.4</v>
      </c>
      <c r="F209" s="446">
        <f t="shared" si="9"/>
        <v>234.4</v>
      </c>
      <c r="G209" s="446">
        <f>230.71+3.69</f>
        <v>234.4</v>
      </c>
      <c r="H209" s="446">
        <f t="shared" si="8"/>
        <v>0</v>
      </c>
      <c r="I209" s="477">
        <v>683613</v>
      </c>
      <c r="J209" s="507">
        <v>45628</v>
      </c>
      <c r="K209" s="513">
        <v>45658</v>
      </c>
      <c r="L209" s="462"/>
    </row>
    <row r="210" spans="1:12" s="467" customFormat="1" ht="21.75" customHeight="1" x14ac:dyDescent="0.25">
      <c r="A210" s="450">
        <v>208</v>
      </c>
      <c r="B210" s="480">
        <v>3327</v>
      </c>
      <c r="C210" s="447" t="s">
        <v>509</v>
      </c>
      <c r="D210" s="445">
        <v>546</v>
      </c>
      <c r="E210" s="446">
        <v>0.4</v>
      </c>
      <c r="F210" s="446">
        <f t="shared" si="9"/>
        <v>218.4</v>
      </c>
      <c r="G210" s="446">
        <f>F210</f>
        <v>218.4</v>
      </c>
      <c r="H210" s="446">
        <f t="shared" si="8"/>
        <v>0</v>
      </c>
      <c r="I210" s="447">
        <v>4919647</v>
      </c>
      <c r="J210" s="479" t="s">
        <v>600</v>
      </c>
      <c r="K210" s="449"/>
      <c r="L210" s="442"/>
    </row>
    <row r="211" spans="1:12" s="463" customFormat="1" ht="21.75" customHeight="1" x14ac:dyDescent="0.25">
      <c r="A211" s="453">
        <v>209</v>
      </c>
      <c r="B211" s="481">
        <v>3345</v>
      </c>
      <c r="C211" s="473" t="s">
        <v>511</v>
      </c>
      <c r="D211" s="456">
        <v>330</v>
      </c>
      <c r="E211" s="457">
        <v>0.4</v>
      </c>
      <c r="F211" s="458">
        <f t="shared" si="9"/>
        <v>132</v>
      </c>
      <c r="G211" s="458"/>
      <c r="H211" s="458">
        <f t="shared" si="8"/>
        <v>132</v>
      </c>
      <c r="I211" s="459">
        <v>6572395</v>
      </c>
      <c r="J211" s="460"/>
      <c r="K211" s="461"/>
      <c r="L211" s="462"/>
    </row>
    <row r="212" spans="1:12" s="463" customFormat="1" ht="21.75" customHeight="1" x14ac:dyDescent="0.25">
      <c r="A212" s="450">
        <v>210</v>
      </c>
      <c r="B212" s="480">
        <v>3701</v>
      </c>
      <c r="C212" s="444" t="s">
        <v>513</v>
      </c>
      <c r="D212" s="445">
        <v>321.3</v>
      </c>
      <c r="E212" s="446">
        <v>0.4</v>
      </c>
      <c r="F212" s="446">
        <f t="shared" si="9"/>
        <v>128.52000000000001</v>
      </c>
      <c r="G212" s="446">
        <f>126.92+1.6</f>
        <v>128.52000000000001</v>
      </c>
      <c r="H212" s="446">
        <f t="shared" si="8"/>
        <v>0</v>
      </c>
      <c r="I212" s="447">
        <v>5146416</v>
      </c>
      <c r="J212" s="512" t="s">
        <v>561</v>
      </c>
      <c r="K212" s="461"/>
      <c r="L212" s="462"/>
    </row>
    <row r="213" spans="1:12" s="463" customFormat="1" ht="21.75" customHeight="1" x14ac:dyDescent="0.25">
      <c r="A213" s="442">
        <v>211</v>
      </c>
      <c r="B213" s="480">
        <v>3710</v>
      </c>
      <c r="C213" s="444" t="s">
        <v>515</v>
      </c>
      <c r="D213" s="445">
        <v>280.3</v>
      </c>
      <c r="E213" s="446">
        <v>0.4</v>
      </c>
      <c r="F213" s="446">
        <f t="shared" si="9"/>
        <v>112.12</v>
      </c>
      <c r="G213" s="446">
        <f>110.34+1.78</f>
        <v>112.12</v>
      </c>
      <c r="H213" s="446">
        <f t="shared" si="8"/>
        <v>0</v>
      </c>
      <c r="I213" s="447">
        <v>22749678</v>
      </c>
      <c r="J213" s="507">
        <v>45650</v>
      </c>
      <c r="K213" s="452">
        <v>45658</v>
      </c>
      <c r="L213" s="462"/>
    </row>
    <row r="214" spans="1:12" s="463" customFormat="1" ht="21.75" customHeight="1" x14ac:dyDescent="0.25">
      <c r="A214" s="450">
        <v>212</v>
      </c>
      <c r="B214" s="480">
        <v>3715</v>
      </c>
      <c r="C214" s="444" t="s">
        <v>517</v>
      </c>
      <c r="D214" s="445">
        <v>271.8</v>
      </c>
      <c r="E214" s="446">
        <v>0.4</v>
      </c>
      <c r="F214" s="446">
        <f t="shared" si="9"/>
        <v>108.72000000000001</v>
      </c>
      <c r="G214" s="446">
        <f>6.55+100.1+2.07</f>
        <v>108.71999999999998</v>
      </c>
      <c r="H214" s="446">
        <f>F214-G214</f>
        <v>0</v>
      </c>
      <c r="I214" s="447">
        <v>6327183</v>
      </c>
      <c r="J214" s="507">
        <v>45602</v>
      </c>
      <c r="K214" s="513">
        <v>45628</v>
      </c>
      <c r="L214" s="510">
        <v>45658</v>
      </c>
    </row>
    <row r="215" spans="1:12" s="463" customFormat="1" ht="21.75" customHeight="1" x14ac:dyDescent="0.25">
      <c r="A215" s="453">
        <v>213</v>
      </c>
      <c r="B215" s="481">
        <v>3721</v>
      </c>
      <c r="C215" s="455" t="s">
        <v>519</v>
      </c>
      <c r="D215" s="456">
        <v>275.2</v>
      </c>
      <c r="E215" s="457">
        <v>0.4</v>
      </c>
      <c r="F215" s="458">
        <f t="shared" si="9"/>
        <v>110.08</v>
      </c>
      <c r="G215" s="458"/>
      <c r="H215" s="458">
        <f>F215-G215</f>
        <v>110.08</v>
      </c>
      <c r="I215" s="459">
        <v>5332235</v>
      </c>
      <c r="J215" s="506"/>
      <c r="K215" s="461"/>
      <c r="L215" s="462"/>
    </row>
    <row r="216" spans="1:12" s="463" customFormat="1" ht="21.75" customHeight="1" x14ac:dyDescent="0.25">
      <c r="A216" s="465">
        <v>214</v>
      </c>
      <c r="B216" s="481">
        <v>3738</v>
      </c>
      <c r="C216" s="473" t="s">
        <v>521</v>
      </c>
      <c r="D216" s="456">
        <v>349.5</v>
      </c>
      <c r="E216" s="457">
        <v>0.4</v>
      </c>
      <c r="F216" s="458">
        <f t="shared" si="9"/>
        <v>139.80000000000001</v>
      </c>
      <c r="G216" s="458"/>
      <c r="H216" s="458">
        <f t="shared" ref="H216:H223" si="10">F216-G216</f>
        <v>139.80000000000001</v>
      </c>
      <c r="I216" s="459">
        <v>730741</v>
      </c>
      <c r="J216" s="506"/>
      <c r="K216" s="461"/>
      <c r="L216" s="462"/>
    </row>
    <row r="217" spans="1:12" s="463" customFormat="1" ht="21.75" customHeight="1" x14ac:dyDescent="0.25">
      <c r="A217" s="453">
        <v>215</v>
      </c>
      <c r="B217" s="481">
        <v>3763</v>
      </c>
      <c r="C217" s="473" t="s">
        <v>92</v>
      </c>
      <c r="D217" s="456">
        <v>306.39999999999998</v>
      </c>
      <c r="E217" s="457">
        <v>0.4</v>
      </c>
      <c r="F217" s="458">
        <f t="shared" si="9"/>
        <v>122.56</v>
      </c>
      <c r="G217" s="458"/>
      <c r="H217" s="458">
        <f t="shared" si="10"/>
        <v>122.56</v>
      </c>
      <c r="I217" s="459">
        <v>19189247</v>
      </c>
      <c r="J217" s="506"/>
      <c r="K217" s="461"/>
      <c r="L217" s="462"/>
    </row>
    <row r="218" spans="1:12" s="463" customFormat="1" ht="21.75" customHeight="1" x14ac:dyDescent="0.25">
      <c r="A218" s="450">
        <v>216</v>
      </c>
      <c r="B218" s="480">
        <v>3788</v>
      </c>
      <c r="C218" s="447" t="s">
        <v>523</v>
      </c>
      <c r="D218" s="445">
        <v>329.5</v>
      </c>
      <c r="E218" s="446">
        <v>0.4</v>
      </c>
      <c r="F218" s="446">
        <f t="shared" si="9"/>
        <v>131.80000000000001</v>
      </c>
      <c r="G218" s="446">
        <f>128.12+3.68</f>
        <v>131.80000000000001</v>
      </c>
      <c r="H218" s="446">
        <f t="shared" si="10"/>
        <v>0</v>
      </c>
      <c r="I218" s="447">
        <v>5146627</v>
      </c>
      <c r="J218" s="507">
        <v>45644</v>
      </c>
      <c r="K218" s="452">
        <v>45663</v>
      </c>
      <c r="L218" s="462"/>
    </row>
    <row r="219" spans="1:12" s="463" customFormat="1" ht="21.75" customHeight="1" x14ac:dyDescent="0.25">
      <c r="A219" s="453">
        <v>217</v>
      </c>
      <c r="B219" s="481">
        <v>3806</v>
      </c>
      <c r="C219" s="473" t="s">
        <v>525</v>
      </c>
      <c r="D219" s="456">
        <v>331.4</v>
      </c>
      <c r="E219" s="457">
        <v>0.4</v>
      </c>
      <c r="F219" s="458">
        <f t="shared" si="9"/>
        <v>132.56</v>
      </c>
      <c r="G219" s="458"/>
      <c r="H219" s="458">
        <f t="shared" si="10"/>
        <v>132.56</v>
      </c>
      <c r="I219" s="459">
        <v>14457167</v>
      </c>
      <c r="J219" s="506"/>
      <c r="K219" s="461"/>
      <c r="L219" s="462"/>
    </row>
    <row r="220" spans="1:12" s="463" customFormat="1" ht="21.75" customHeight="1" x14ac:dyDescent="0.25">
      <c r="A220" s="450">
        <v>218</v>
      </c>
      <c r="B220" s="480">
        <v>3825</v>
      </c>
      <c r="C220" s="447" t="s">
        <v>526</v>
      </c>
      <c r="D220" s="445">
        <v>219.3</v>
      </c>
      <c r="E220" s="446">
        <v>0.4</v>
      </c>
      <c r="F220" s="446">
        <f t="shared" si="9"/>
        <v>87.720000000000013</v>
      </c>
      <c r="G220" s="446">
        <f>83.68+4.04</f>
        <v>87.720000000000013</v>
      </c>
      <c r="H220" s="446">
        <f t="shared" si="10"/>
        <v>0</v>
      </c>
      <c r="I220" s="447">
        <v>6327337</v>
      </c>
      <c r="J220" s="507">
        <v>45650</v>
      </c>
      <c r="K220" s="449" t="s">
        <v>562</v>
      </c>
      <c r="L220" s="462"/>
    </row>
    <row r="221" spans="1:12" s="463" customFormat="1" ht="21.75" customHeight="1" x14ac:dyDescent="0.25">
      <c r="A221" s="453">
        <v>219</v>
      </c>
      <c r="B221" s="481">
        <v>3826</v>
      </c>
      <c r="C221" s="473" t="s">
        <v>203</v>
      </c>
      <c r="D221" s="456">
        <v>340.9</v>
      </c>
      <c r="E221" s="457">
        <v>0.4</v>
      </c>
      <c r="F221" s="458">
        <f t="shared" si="9"/>
        <v>136.35999999999999</v>
      </c>
      <c r="G221" s="458"/>
      <c r="H221" s="458">
        <f t="shared" si="10"/>
        <v>136.35999999999999</v>
      </c>
      <c r="I221" s="459">
        <v>4919699</v>
      </c>
      <c r="J221" s="506"/>
      <c r="K221" s="461"/>
      <c r="L221" s="462"/>
    </row>
    <row r="222" spans="1:12" s="463" customFormat="1" ht="21.75" customHeight="1" x14ac:dyDescent="0.25">
      <c r="A222" s="450">
        <v>220</v>
      </c>
      <c r="B222" s="480">
        <v>3881</v>
      </c>
      <c r="C222" s="509" t="s">
        <v>529</v>
      </c>
      <c r="D222" s="445">
        <v>302.5</v>
      </c>
      <c r="E222" s="446">
        <v>0.4</v>
      </c>
      <c r="F222" s="446">
        <f t="shared" si="9"/>
        <v>121</v>
      </c>
      <c r="G222" s="446">
        <f>F222</f>
        <v>121</v>
      </c>
      <c r="H222" s="446">
        <f t="shared" si="10"/>
        <v>0</v>
      </c>
      <c r="I222" s="447">
        <v>5335138</v>
      </c>
      <c r="J222" s="507">
        <v>45686</v>
      </c>
      <c r="K222" s="449"/>
      <c r="L222" s="442"/>
    </row>
    <row r="223" spans="1:12" s="463" customFormat="1" ht="21.75" customHeight="1" x14ac:dyDescent="0.25">
      <c r="A223" s="453">
        <v>221</v>
      </c>
      <c r="B223" s="481">
        <v>3883</v>
      </c>
      <c r="C223" s="473" t="s">
        <v>531</v>
      </c>
      <c r="D223" s="456">
        <v>298.10000000000002</v>
      </c>
      <c r="E223" s="457">
        <v>0.4</v>
      </c>
      <c r="F223" s="458">
        <f t="shared" si="9"/>
        <v>119.24000000000001</v>
      </c>
      <c r="G223" s="458"/>
      <c r="H223" s="458">
        <f t="shared" si="10"/>
        <v>119.24000000000001</v>
      </c>
      <c r="I223" s="459">
        <v>18636502</v>
      </c>
      <c r="J223" s="506"/>
      <c r="K223" s="461"/>
      <c r="L223" s="462"/>
    </row>
    <row r="224" spans="1:12" s="427" customFormat="1" ht="21" customHeight="1" x14ac:dyDescent="0.25">
      <c r="A224" s="428"/>
      <c r="B224" s="428"/>
      <c r="C224" s="429"/>
      <c r="D224" s="430">
        <f>SUM(D3:D223)</f>
        <v>100365.20000000003</v>
      </c>
      <c r="E224" s="431">
        <v>0.4</v>
      </c>
      <c r="F224" s="432">
        <f>SUM(F3:F223)</f>
        <v>40146.07999999998</v>
      </c>
      <c r="G224" s="432">
        <f t="shared" ref="G224:H224" si="11">SUM(G3:G223)</f>
        <v>27977.979999999981</v>
      </c>
      <c r="H224" s="432">
        <f t="shared" si="11"/>
        <v>12168.1</v>
      </c>
      <c r="I224" s="431"/>
      <c r="J224" s="433"/>
      <c r="K224" s="434"/>
      <c r="L224" s="428"/>
    </row>
    <row r="225" spans="1:12" x14ac:dyDescent="0.25">
      <c r="B225" s="529"/>
      <c r="C225" s="530"/>
      <c r="D225" s="436"/>
      <c r="E225" s="531"/>
      <c r="F225" s="532"/>
      <c r="G225" s="532"/>
      <c r="H225" s="532"/>
      <c r="I225" s="532"/>
      <c r="K225" s="529"/>
      <c r="L225" s="436"/>
    </row>
    <row r="226" spans="1:12" x14ac:dyDescent="0.25">
      <c r="B226" s="529"/>
      <c r="C226" s="530"/>
      <c r="D226" s="533" t="s">
        <v>15</v>
      </c>
      <c r="E226" s="533"/>
      <c r="F226" s="529"/>
      <c r="G226" s="534">
        <f>G186+303.35</f>
        <v>494.63</v>
      </c>
      <c r="H226" s="534">
        <f>G224-G226</f>
        <v>27483.34999999998</v>
      </c>
      <c r="I226" s="529"/>
      <c r="K226" s="529"/>
      <c r="L226" s="436"/>
    </row>
    <row r="227" spans="1:12" x14ac:dyDescent="0.25">
      <c r="D227" s="530"/>
      <c r="H227" s="535">
        <f>H226/F224</f>
        <v>0.68458365050834336</v>
      </c>
      <c r="J227" s="536"/>
      <c r="K227" s="529"/>
      <c r="L227" s="436"/>
    </row>
    <row r="228" spans="1:12" x14ac:dyDescent="0.25">
      <c r="D228" s="530"/>
      <c r="K228" s="529"/>
      <c r="L228" s="436"/>
    </row>
    <row r="229" spans="1:12" x14ac:dyDescent="0.25">
      <c r="D229" s="530"/>
      <c r="I229" s="535"/>
      <c r="K229" s="529"/>
      <c r="L229" s="436"/>
    </row>
    <row r="230" spans="1:12" x14ac:dyDescent="0.25">
      <c r="D230" s="530"/>
      <c r="K230" s="529"/>
      <c r="L230" s="436"/>
    </row>
    <row r="231" spans="1:12" x14ac:dyDescent="0.25">
      <c r="D231" s="530"/>
      <c r="K231" s="529"/>
      <c r="L231" s="436"/>
    </row>
    <row r="232" spans="1:12" x14ac:dyDescent="0.25">
      <c r="D232" s="530"/>
      <c r="K232" s="529"/>
      <c r="L232" s="436"/>
    </row>
    <row r="233" spans="1:12" x14ac:dyDescent="0.25">
      <c r="A233" s="529"/>
      <c r="D233" s="530"/>
      <c r="I233" s="535" t="s">
        <v>15</v>
      </c>
      <c r="K233" s="529"/>
      <c r="L233" s="436"/>
    </row>
    <row r="234" spans="1:12" x14ac:dyDescent="0.25">
      <c r="K234" s="538"/>
      <c r="L234" s="539"/>
    </row>
  </sheetData>
  <autoFilter ref="A2:K224" xr:uid="{3676D5F3-4EDD-4878-B70D-57DB8FD23580}"/>
  <mergeCells count="1">
    <mergeCell ref="A1:K1"/>
  </mergeCells>
  <conditionalFormatting sqref="B7">
    <cfRule type="duplicateValues" dxfId="98" priority="9"/>
  </conditionalFormatting>
  <conditionalFormatting sqref="B18:B19">
    <cfRule type="duplicateValues" dxfId="97" priority="11"/>
  </conditionalFormatting>
  <conditionalFormatting sqref="B33">
    <cfRule type="duplicateValues" dxfId="96" priority="2"/>
  </conditionalFormatting>
  <conditionalFormatting sqref="B34">
    <cfRule type="duplicateValues" dxfId="95" priority="8"/>
  </conditionalFormatting>
  <conditionalFormatting sqref="B39:B41">
    <cfRule type="duplicateValues" dxfId="94" priority="7"/>
  </conditionalFormatting>
  <conditionalFormatting sqref="B48">
    <cfRule type="duplicateValues" dxfId="93" priority="6"/>
  </conditionalFormatting>
  <conditionalFormatting sqref="B59:B61">
    <cfRule type="duplicateValues" dxfId="92" priority="5"/>
  </conditionalFormatting>
  <conditionalFormatting sqref="B63">
    <cfRule type="duplicateValues" dxfId="91" priority="1"/>
  </conditionalFormatting>
  <conditionalFormatting sqref="B78">
    <cfRule type="duplicateValues" dxfId="90" priority="4"/>
  </conditionalFormatting>
  <conditionalFormatting sqref="B79">
    <cfRule type="duplicateValues" dxfId="89" priority="3"/>
  </conditionalFormatting>
  <conditionalFormatting sqref="B206">
    <cfRule type="duplicateValues" dxfId="88" priority="10"/>
  </conditionalFormatting>
  <pageMargins left="0.7" right="0.7" top="0.75" bottom="0.75" header="0.3" footer="0.3"/>
  <pageSetup scale="46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9FA1-2C15-4508-8F01-56B298EE8ECF}">
  <sheetPr>
    <pageSetUpPr fitToPage="1"/>
  </sheetPr>
  <dimension ref="A1:AI234"/>
  <sheetViews>
    <sheetView view="pageBreakPreview" topLeftCell="A140" zoomScaleNormal="89" zoomScaleSheetLayoutView="100" workbookViewId="0">
      <selection activeCell="O13" sqref="O13"/>
    </sheetView>
  </sheetViews>
  <sheetFormatPr defaultColWidth="9" defaultRowHeight="11.25" x14ac:dyDescent="0.25"/>
  <cols>
    <col min="1" max="1" width="7.28515625" style="335" customWidth="1"/>
    <col min="2" max="2" width="13" style="335" customWidth="1"/>
    <col min="3" max="3" width="32" style="409" customWidth="1"/>
    <col min="4" max="4" width="15.42578125" style="410" bestFit="1" customWidth="1"/>
    <col min="5" max="5" width="12" style="335" customWidth="1"/>
    <col min="6" max="6" width="16.140625" style="335" customWidth="1"/>
    <col min="7" max="7" width="11.5703125" style="335" customWidth="1"/>
    <col min="8" max="9" width="13.28515625" style="335" customWidth="1"/>
    <col min="10" max="10" width="19.28515625" style="409" customWidth="1"/>
    <col min="11" max="11" width="22.85546875" style="409" bestFit="1" customWidth="1"/>
    <col min="12" max="12" width="19" style="334" customWidth="1"/>
    <col min="13" max="35" width="9" style="334"/>
    <col min="36" max="16384" width="9" style="335"/>
  </cols>
  <sheetData>
    <row r="1" spans="1:35" ht="34.5" customHeight="1" x14ac:dyDescent="0.25">
      <c r="A1" s="655" t="s">
        <v>563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</row>
    <row r="2" spans="1:35" ht="30" customHeight="1" x14ac:dyDescent="0.25">
      <c r="A2" s="336" t="s">
        <v>1</v>
      </c>
      <c r="B2" s="336" t="s">
        <v>2</v>
      </c>
      <c r="C2" s="337" t="s">
        <v>3</v>
      </c>
      <c r="D2" s="338" t="s">
        <v>4</v>
      </c>
      <c r="E2" s="336" t="s">
        <v>5</v>
      </c>
      <c r="F2" s="339" t="s">
        <v>564</v>
      </c>
      <c r="G2" s="339" t="s">
        <v>7</v>
      </c>
      <c r="H2" s="339" t="s">
        <v>19</v>
      </c>
      <c r="I2" s="337" t="s">
        <v>9</v>
      </c>
      <c r="J2" s="340" t="s">
        <v>10</v>
      </c>
      <c r="K2" s="340" t="s">
        <v>10</v>
      </c>
    </row>
    <row r="3" spans="1:35" ht="21.75" customHeight="1" x14ac:dyDescent="0.25">
      <c r="A3" s="341">
        <v>1</v>
      </c>
      <c r="B3" s="342">
        <v>1001</v>
      </c>
      <c r="C3" s="343" t="s">
        <v>95</v>
      </c>
      <c r="D3" s="344">
        <v>293.7</v>
      </c>
      <c r="E3" s="345">
        <v>0.4</v>
      </c>
      <c r="F3" s="345">
        <f t="shared" ref="F3:F66" si="0">D3*E3</f>
        <v>117.48</v>
      </c>
      <c r="G3" s="345">
        <f>112.85+4.63</f>
        <v>117.47999999999999</v>
      </c>
      <c r="H3" s="345">
        <f t="shared" ref="H3:H66" si="1">F3-G3</f>
        <v>0</v>
      </c>
      <c r="I3" s="346">
        <v>2130934</v>
      </c>
      <c r="J3" s="347">
        <v>45672</v>
      </c>
      <c r="K3" s="350">
        <v>45963</v>
      </c>
    </row>
    <row r="4" spans="1:35" s="351" customFormat="1" ht="21.75" customHeight="1" x14ac:dyDescent="0.25">
      <c r="A4" s="341">
        <v>2</v>
      </c>
      <c r="B4" s="342">
        <v>1007</v>
      </c>
      <c r="C4" s="343" t="s">
        <v>213</v>
      </c>
      <c r="D4" s="348">
        <v>1627.9</v>
      </c>
      <c r="E4" s="345">
        <v>0.4</v>
      </c>
      <c r="F4" s="345">
        <f t="shared" si="0"/>
        <v>651.16000000000008</v>
      </c>
      <c r="G4" s="345">
        <f>650.78+0.38</f>
        <v>651.16</v>
      </c>
      <c r="H4" s="345">
        <f t="shared" si="1"/>
        <v>0</v>
      </c>
      <c r="I4" s="349">
        <v>1515504</v>
      </c>
      <c r="J4" s="347">
        <v>45650</v>
      </c>
      <c r="K4" s="350">
        <v>45665</v>
      </c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</row>
    <row r="5" spans="1:35" s="334" customFormat="1" ht="21.75" customHeight="1" x14ac:dyDescent="0.25">
      <c r="A5" s="352">
        <v>3</v>
      </c>
      <c r="B5" s="353">
        <v>1028</v>
      </c>
      <c r="C5" s="354" t="s">
        <v>215</v>
      </c>
      <c r="D5" s="355">
        <v>290.8</v>
      </c>
      <c r="E5" s="356">
        <v>0.4</v>
      </c>
      <c r="F5" s="357">
        <f t="shared" si="0"/>
        <v>116.32000000000001</v>
      </c>
      <c r="G5" s="357"/>
      <c r="H5" s="357">
        <f t="shared" si="1"/>
        <v>116.32000000000001</v>
      </c>
      <c r="I5" s="358">
        <v>802875</v>
      </c>
      <c r="J5" s="359" t="s">
        <v>15</v>
      </c>
      <c r="K5" s="352"/>
    </row>
    <row r="6" spans="1:35" ht="21.75" customHeight="1" x14ac:dyDescent="0.25">
      <c r="A6" s="341">
        <v>4</v>
      </c>
      <c r="B6" s="360">
        <v>1033</v>
      </c>
      <c r="C6" s="343" t="s">
        <v>217</v>
      </c>
      <c r="D6" s="361">
        <v>690</v>
      </c>
      <c r="E6" s="345">
        <v>0.4</v>
      </c>
      <c r="F6" s="345">
        <f t="shared" si="0"/>
        <v>276</v>
      </c>
      <c r="G6" s="345">
        <f>271.6+4.4</f>
        <v>276</v>
      </c>
      <c r="H6" s="345">
        <f t="shared" si="1"/>
        <v>0</v>
      </c>
      <c r="I6" s="346">
        <v>10132435</v>
      </c>
      <c r="J6" s="347">
        <v>45644</v>
      </c>
      <c r="K6" s="350">
        <v>45670</v>
      </c>
    </row>
    <row r="7" spans="1:35" ht="21.75" customHeight="1" x14ac:dyDescent="0.25">
      <c r="A7" s="352">
        <v>5</v>
      </c>
      <c r="B7" s="362">
        <v>1040</v>
      </c>
      <c r="C7" s="354" t="s">
        <v>11</v>
      </c>
      <c r="D7" s="355">
        <v>297</v>
      </c>
      <c r="E7" s="356">
        <v>0.4</v>
      </c>
      <c r="F7" s="357">
        <f t="shared" si="0"/>
        <v>118.80000000000001</v>
      </c>
      <c r="G7" s="357"/>
      <c r="H7" s="357">
        <f t="shared" si="1"/>
        <v>118.80000000000001</v>
      </c>
      <c r="I7" s="358">
        <v>25082374</v>
      </c>
      <c r="J7" s="359"/>
      <c r="K7" s="363"/>
    </row>
    <row r="8" spans="1:35" ht="21.75" customHeight="1" x14ac:dyDescent="0.25">
      <c r="A8" s="352">
        <v>6</v>
      </c>
      <c r="B8" s="362">
        <v>1044</v>
      </c>
      <c r="C8" s="354" t="s">
        <v>221</v>
      </c>
      <c r="D8" s="355">
        <v>345</v>
      </c>
      <c r="E8" s="356">
        <v>0.4</v>
      </c>
      <c r="F8" s="357">
        <f t="shared" si="0"/>
        <v>138</v>
      </c>
      <c r="G8" s="357"/>
      <c r="H8" s="357">
        <f t="shared" si="1"/>
        <v>138</v>
      </c>
      <c r="I8" s="358">
        <v>81904</v>
      </c>
      <c r="J8" s="359"/>
      <c r="K8" s="363"/>
    </row>
    <row r="9" spans="1:35" s="351" customFormat="1" ht="21.75" customHeight="1" x14ac:dyDescent="0.25">
      <c r="A9" s="341">
        <v>7</v>
      </c>
      <c r="B9" s="360">
        <v>1080</v>
      </c>
      <c r="C9" s="343" t="s">
        <v>223</v>
      </c>
      <c r="D9" s="361">
        <v>315.3</v>
      </c>
      <c r="E9" s="345">
        <v>0.4</v>
      </c>
      <c r="F9" s="345">
        <f t="shared" si="0"/>
        <v>126.12</v>
      </c>
      <c r="G9" s="345">
        <f>121.9</f>
        <v>121.9</v>
      </c>
      <c r="H9" s="345">
        <f t="shared" si="1"/>
        <v>4.2199999999999989</v>
      </c>
      <c r="I9" s="346">
        <v>78762</v>
      </c>
      <c r="J9" s="347">
        <v>45963</v>
      </c>
      <c r="K9" s="341"/>
    </row>
    <row r="10" spans="1:35" s="334" customFormat="1" ht="21.75" customHeight="1" x14ac:dyDescent="0.25">
      <c r="A10" s="341">
        <v>8</v>
      </c>
      <c r="B10" s="360">
        <v>1089</v>
      </c>
      <c r="C10" s="364" t="s">
        <v>225</v>
      </c>
      <c r="D10" s="361">
        <v>544</v>
      </c>
      <c r="E10" s="345">
        <v>0.4</v>
      </c>
      <c r="F10" s="345">
        <f t="shared" si="0"/>
        <v>217.60000000000002</v>
      </c>
      <c r="G10" s="345">
        <f>F10</f>
        <v>217.60000000000002</v>
      </c>
      <c r="H10" s="345">
        <f t="shared" si="1"/>
        <v>0</v>
      </c>
      <c r="I10" s="346">
        <v>892683</v>
      </c>
      <c r="J10" s="365">
        <v>45686</v>
      </c>
      <c r="K10" s="341"/>
    </row>
    <row r="11" spans="1:35" s="334" customFormat="1" ht="21.75" customHeight="1" x14ac:dyDescent="0.25">
      <c r="A11" s="341">
        <v>9</v>
      </c>
      <c r="B11" s="360">
        <v>1096</v>
      </c>
      <c r="C11" s="343" t="s">
        <v>227</v>
      </c>
      <c r="D11" s="361">
        <v>451.5</v>
      </c>
      <c r="E11" s="345">
        <v>0.4</v>
      </c>
      <c r="F11" s="345">
        <f t="shared" si="0"/>
        <v>180.60000000000002</v>
      </c>
      <c r="G11" s="345">
        <f>176.72+3.88</f>
        <v>180.6</v>
      </c>
      <c r="H11" s="345">
        <f t="shared" si="1"/>
        <v>0</v>
      </c>
      <c r="I11" s="346">
        <v>1959918</v>
      </c>
      <c r="J11" s="347">
        <v>45658</v>
      </c>
      <c r="K11" s="350">
        <v>45686</v>
      </c>
    </row>
    <row r="12" spans="1:35" s="334" customFormat="1" ht="21.75" customHeight="1" x14ac:dyDescent="0.25">
      <c r="A12" s="352">
        <v>10</v>
      </c>
      <c r="B12" s="362">
        <v>1106</v>
      </c>
      <c r="C12" s="354" t="s">
        <v>24</v>
      </c>
      <c r="D12" s="355">
        <v>1012</v>
      </c>
      <c r="E12" s="356">
        <v>0.4</v>
      </c>
      <c r="F12" s="357">
        <f t="shared" si="0"/>
        <v>404.8</v>
      </c>
      <c r="G12" s="357"/>
      <c r="H12" s="357">
        <f t="shared" si="1"/>
        <v>404.8</v>
      </c>
      <c r="I12" s="358">
        <v>5502751</v>
      </c>
      <c r="J12" s="359"/>
      <c r="K12" s="352"/>
    </row>
    <row r="13" spans="1:35" ht="21.75" customHeight="1" x14ac:dyDescent="0.25">
      <c r="A13" s="341">
        <v>11</v>
      </c>
      <c r="B13" s="360">
        <v>1110</v>
      </c>
      <c r="C13" s="343" t="s">
        <v>229</v>
      </c>
      <c r="D13" s="361">
        <v>529</v>
      </c>
      <c r="E13" s="345">
        <v>0.4</v>
      </c>
      <c r="F13" s="345">
        <f t="shared" si="0"/>
        <v>211.60000000000002</v>
      </c>
      <c r="G13" s="345">
        <f>209.95+1.65</f>
        <v>211.6</v>
      </c>
      <c r="H13" s="345">
        <f t="shared" si="1"/>
        <v>0</v>
      </c>
      <c r="I13" s="346">
        <v>934298</v>
      </c>
      <c r="J13" s="347">
        <v>45658</v>
      </c>
      <c r="K13" s="350">
        <v>45679</v>
      </c>
    </row>
    <row r="14" spans="1:35" ht="21.75" customHeight="1" x14ac:dyDescent="0.25">
      <c r="A14" s="352">
        <v>12</v>
      </c>
      <c r="B14" s="362">
        <v>1111</v>
      </c>
      <c r="C14" s="354" t="s">
        <v>231</v>
      </c>
      <c r="D14" s="355">
        <v>596.29999999999995</v>
      </c>
      <c r="E14" s="356">
        <v>0.4</v>
      </c>
      <c r="F14" s="357">
        <f t="shared" si="0"/>
        <v>238.51999999999998</v>
      </c>
      <c r="G14" s="357"/>
      <c r="H14" s="357">
        <f t="shared" si="1"/>
        <v>238.51999999999998</v>
      </c>
      <c r="I14" s="358">
        <v>15571992</v>
      </c>
      <c r="J14" s="359"/>
      <c r="K14" s="363"/>
    </row>
    <row r="15" spans="1:35" ht="21.75" customHeight="1" x14ac:dyDescent="0.25">
      <c r="A15" s="352">
        <v>13</v>
      </c>
      <c r="B15" s="362">
        <v>1119</v>
      </c>
      <c r="C15" s="366" t="s">
        <v>233</v>
      </c>
      <c r="D15" s="355">
        <v>339.9</v>
      </c>
      <c r="E15" s="356">
        <v>0.4</v>
      </c>
      <c r="F15" s="357">
        <f t="shared" si="0"/>
        <v>135.96</v>
      </c>
      <c r="G15" s="357"/>
      <c r="H15" s="357">
        <f t="shared" si="1"/>
        <v>135.96</v>
      </c>
      <c r="I15" s="358">
        <v>24000245</v>
      </c>
      <c r="J15" s="367"/>
      <c r="K15" s="363"/>
    </row>
    <row r="16" spans="1:35" ht="21.75" customHeight="1" x14ac:dyDescent="0.25">
      <c r="A16" s="341">
        <v>14</v>
      </c>
      <c r="B16" s="360">
        <v>1122</v>
      </c>
      <c r="C16" s="343" t="s">
        <v>98</v>
      </c>
      <c r="D16" s="361">
        <v>319.60000000000002</v>
      </c>
      <c r="E16" s="345">
        <v>0.4</v>
      </c>
      <c r="F16" s="345">
        <f t="shared" si="0"/>
        <v>127.84000000000002</v>
      </c>
      <c r="G16" s="345">
        <f>124.08+3.76</f>
        <v>127.84</v>
      </c>
      <c r="H16" s="345">
        <f t="shared" si="1"/>
        <v>0</v>
      </c>
      <c r="I16" s="346">
        <v>5219876</v>
      </c>
      <c r="J16" s="347">
        <v>45658</v>
      </c>
      <c r="K16" s="350">
        <v>45684</v>
      </c>
    </row>
    <row r="17" spans="1:11" ht="21.75" customHeight="1" x14ac:dyDescent="0.25">
      <c r="A17" s="341">
        <v>15</v>
      </c>
      <c r="B17" s="360">
        <v>1135</v>
      </c>
      <c r="C17" s="343" t="s">
        <v>101</v>
      </c>
      <c r="D17" s="361">
        <v>595.70000000000005</v>
      </c>
      <c r="E17" s="345">
        <v>0.4</v>
      </c>
      <c r="F17" s="345">
        <f t="shared" si="0"/>
        <v>238.28000000000003</v>
      </c>
      <c r="G17" s="345">
        <f>234.2+0.48</f>
        <v>234.67999999999998</v>
      </c>
      <c r="H17" s="345">
        <f t="shared" si="1"/>
        <v>3.6000000000000512</v>
      </c>
      <c r="I17" s="346">
        <v>19202954</v>
      </c>
      <c r="J17" s="347">
        <v>45665</v>
      </c>
      <c r="K17" s="350">
        <v>45684</v>
      </c>
    </row>
    <row r="18" spans="1:11" ht="21.75" customHeight="1" x14ac:dyDescent="0.25">
      <c r="A18" s="341">
        <v>16</v>
      </c>
      <c r="B18" s="360">
        <v>1141</v>
      </c>
      <c r="C18" s="343" t="s">
        <v>235</v>
      </c>
      <c r="D18" s="361">
        <v>437.8</v>
      </c>
      <c r="E18" s="345">
        <v>0.4</v>
      </c>
      <c r="F18" s="345">
        <f t="shared" si="0"/>
        <v>175.12</v>
      </c>
      <c r="G18" s="345">
        <f>173.2+1.92</f>
        <v>175.11999999999998</v>
      </c>
      <c r="H18" s="345">
        <f t="shared" si="1"/>
        <v>0</v>
      </c>
      <c r="I18" s="346">
        <v>11753992</v>
      </c>
      <c r="J18" s="347">
        <v>45658</v>
      </c>
      <c r="K18" s="350">
        <v>45679</v>
      </c>
    </row>
    <row r="19" spans="1:11" ht="21.75" customHeight="1" x14ac:dyDescent="0.25">
      <c r="A19" s="352">
        <v>17</v>
      </c>
      <c r="B19" s="362">
        <v>1154</v>
      </c>
      <c r="C19" s="358" t="s">
        <v>237</v>
      </c>
      <c r="D19" s="355">
        <v>917.8</v>
      </c>
      <c r="E19" s="356">
        <v>0.4</v>
      </c>
      <c r="F19" s="357">
        <f t="shared" si="0"/>
        <v>367.12</v>
      </c>
      <c r="G19" s="357"/>
      <c r="H19" s="357">
        <f t="shared" si="1"/>
        <v>367.12</v>
      </c>
      <c r="I19" s="368">
        <v>18654817</v>
      </c>
      <c r="J19" s="359"/>
      <c r="K19" s="363"/>
    </row>
    <row r="20" spans="1:11" s="351" customFormat="1" ht="21.75" customHeight="1" x14ac:dyDescent="0.25">
      <c r="A20" s="341">
        <v>18</v>
      </c>
      <c r="B20" s="360">
        <v>1161</v>
      </c>
      <c r="C20" s="343" t="s">
        <v>239</v>
      </c>
      <c r="D20" s="361">
        <v>339.3</v>
      </c>
      <c r="E20" s="345">
        <v>0.4</v>
      </c>
      <c r="F20" s="345">
        <f t="shared" si="0"/>
        <v>135.72</v>
      </c>
      <c r="G20" s="345">
        <f>F20</f>
        <v>135.72</v>
      </c>
      <c r="H20" s="345">
        <f t="shared" si="1"/>
        <v>0</v>
      </c>
      <c r="I20" s="346">
        <v>257926</v>
      </c>
      <c r="J20" s="369">
        <v>45810</v>
      </c>
      <c r="K20" s="341"/>
    </row>
    <row r="21" spans="1:11" ht="21.75" customHeight="1" x14ac:dyDescent="0.25">
      <c r="A21" s="341">
        <v>19</v>
      </c>
      <c r="B21" s="360">
        <v>1168</v>
      </c>
      <c r="C21" s="343" t="s">
        <v>241</v>
      </c>
      <c r="D21" s="361">
        <v>533.70000000000005</v>
      </c>
      <c r="E21" s="345">
        <v>0.4</v>
      </c>
      <c r="F21" s="345">
        <f t="shared" si="0"/>
        <v>213.48000000000002</v>
      </c>
      <c r="G21" s="345">
        <f>212.1</f>
        <v>212.1</v>
      </c>
      <c r="H21" s="345">
        <f t="shared" si="1"/>
        <v>1.3800000000000239</v>
      </c>
      <c r="I21" s="346">
        <v>15498714</v>
      </c>
      <c r="J21" s="347">
        <v>45691</v>
      </c>
      <c r="K21" s="341"/>
    </row>
    <row r="22" spans="1:11" ht="21.75" customHeight="1" x14ac:dyDescent="0.25">
      <c r="A22" s="352">
        <v>20</v>
      </c>
      <c r="B22" s="362">
        <v>1177</v>
      </c>
      <c r="C22" s="366" t="s">
        <v>243</v>
      </c>
      <c r="D22" s="355">
        <v>338.3</v>
      </c>
      <c r="E22" s="356">
        <v>0.4</v>
      </c>
      <c r="F22" s="357">
        <f t="shared" si="0"/>
        <v>135.32000000000002</v>
      </c>
      <c r="G22" s="357"/>
      <c r="H22" s="357">
        <f t="shared" si="1"/>
        <v>135.32000000000002</v>
      </c>
      <c r="I22" s="358">
        <v>219353</v>
      </c>
      <c r="J22" s="367"/>
      <c r="K22" s="363"/>
    </row>
    <row r="23" spans="1:11" ht="21.75" customHeight="1" x14ac:dyDescent="0.2">
      <c r="A23" s="341">
        <v>21</v>
      </c>
      <c r="B23" s="360">
        <v>1178</v>
      </c>
      <c r="C23" s="343" t="s">
        <v>245</v>
      </c>
      <c r="D23" s="361">
        <v>580.4</v>
      </c>
      <c r="E23" s="345">
        <v>0.4</v>
      </c>
      <c r="F23" s="345">
        <f t="shared" si="0"/>
        <v>232.16</v>
      </c>
      <c r="G23" s="345">
        <f>232.11+0.05</f>
        <v>232.16000000000003</v>
      </c>
      <c r="H23" s="345">
        <f t="shared" si="1"/>
        <v>0</v>
      </c>
      <c r="I23" s="370">
        <v>970872</v>
      </c>
      <c r="J23" s="347">
        <v>45664</v>
      </c>
      <c r="K23" s="350">
        <v>45685</v>
      </c>
    </row>
    <row r="24" spans="1:11" ht="21.75" customHeight="1" x14ac:dyDescent="0.25">
      <c r="A24" s="341">
        <v>22</v>
      </c>
      <c r="B24" s="360">
        <v>1224</v>
      </c>
      <c r="C24" s="343" t="s">
        <v>247</v>
      </c>
      <c r="D24" s="361">
        <v>713</v>
      </c>
      <c r="E24" s="345">
        <v>0.4</v>
      </c>
      <c r="F24" s="345">
        <f t="shared" si="0"/>
        <v>285.2</v>
      </c>
      <c r="G24" s="345">
        <f>283.96</f>
        <v>283.95999999999998</v>
      </c>
      <c r="H24" s="345">
        <f t="shared" si="1"/>
        <v>1.2400000000000091</v>
      </c>
      <c r="I24" s="346">
        <v>24911691</v>
      </c>
      <c r="J24" s="347">
        <v>45686</v>
      </c>
      <c r="K24" s="341"/>
    </row>
    <row r="25" spans="1:11" s="334" customFormat="1" ht="21.75" customHeight="1" x14ac:dyDescent="0.25">
      <c r="A25" s="352">
        <v>23</v>
      </c>
      <c r="B25" s="362">
        <v>1225</v>
      </c>
      <c r="C25" s="354" t="s">
        <v>249</v>
      </c>
      <c r="D25" s="355">
        <v>592.79999999999995</v>
      </c>
      <c r="E25" s="356">
        <v>0.4</v>
      </c>
      <c r="F25" s="357">
        <f t="shared" si="0"/>
        <v>237.12</v>
      </c>
      <c r="G25" s="357"/>
      <c r="H25" s="357">
        <f t="shared" si="1"/>
        <v>237.12</v>
      </c>
      <c r="I25" s="358">
        <v>9642357</v>
      </c>
      <c r="J25" s="359"/>
      <c r="K25" s="352"/>
    </row>
    <row r="26" spans="1:11" s="334" customFormat="1" ht="21.75" customHeight="1" x14ac:dyDescent="0.25">
      <c r="A26" s="352">
        <v>24</v>
      </c>
      <c r="B26" s="362">
        <v>1235</v>
      </c>
      <c r="C26" s="371" t="s">
        <v>253</v>
      </c>
      <c r="D26" s="355">
        <v>662</v>
      </c>
      <c r="E26" s="356">
        <v>0.4</v>
      </c>
      <c r="F26" s="357">
        <f t="shared" si="0"/>
        <v>264.8</v>
      </c>
      <c r="G26" s="357"/>
      <c r="H26" s="357">
        <f t="shared" si="1"/>
        <v>264.8</v>
      </c>
      <c r="I26" s="372">
        <v>1992436</v>
      </c>
      <c r="J26" s="359"/>
      <c r="K26" s="352"/>
    </row>
    <row r="27" spans="1:11" ht="21.75" customHeight="1" x14ac:dyDescent="0.25">
      <c r="A27" s="341">
        <v>25</v>
      </c>
      <c r="B27" s="360">
        <v>1241</v>
      </c>
      <c r="C27" s="343" t="s">
        <v>255</v>
      </c>
      <c r="D27" s="361">
        <v>579.6</v>
      </c>
      <c r="E27" s="345">
        <v>0.4</v>
      </c>
      <c r="F27" s="345">
        <f t="shared" si="0"/>
        <v>231.84000000000003</v>
      </c>
      <c r="G27" s="345">
        <f>230.78+1.06</f>
        <v>231.84</v>
      </c>
      <c r="H27" s="345">
        <f t="shared" si="1"/>
        <v>0</v>
      </c>
      <c r="I27" s="346">
        <v>5343254</v>
      </c>
      <c r="J27" s="347">
        <v>45645</v>
      </c>
      <c r="K27" s="350">
        <v>45684</v>
      </c>
    </row>
    <row r="28" spans="1:11" ht="21.75" customHeight="1" x14ac:dyDescent="0.25">
      <c r="A28" s="341">
        <v>26</v>
      </c>
      <c r="B28" s="360">
        <v>1247</v>
      </c>
      <c r="C28" s="343" t="s">
        <v>103</v>
      </c>
      <c r="D28" s="361">
        <v>552</v>
      </c>
      <c r="E28" s="345">
        <v>0.4</v>
      </c>
      <c r="F28" s="345">
        <f t="shared" si="0"/>
        <v>220.8</v>
      </c>
      <c r="G28" s="345">
        <f>217.95+2.85</f>
        <v>220.79999999999998</v>
      </c>
      <c r="H28" s="345">
        <f t="shared" si="1"/>
        <v>0</v>
      </c>
      <c r="I28" s="346">
        <v>4748561</v>
      </c>
      <c r="J28" s="347">
        <v>45665</v>
      </c>
      <c r="K28" s="350">
        <v>45679</v>
      </c>
    </row>
    <row r="29" spans="1:11" ht="21.75" customHeight="1" x14ac:dyDescent="0.25">
      <c r="A29" s="352">
        <v>27</v>
      </c>
      <c r="B29" s="362">
        <v>1252</v>
      </c>
      <c r="C29" s="354" t="s">
        <v>258</v>
      </c>
      <c r="D29" s="355">
        <v>505.2</v>
      </c>
      <c r="E29" s="356">
        <v>0.4</v>
      </c>
      <c r="F29" s="357">
        <f t="shared" si="0"/>
        <v>202.08</v>
      </c>
      <c r="G29" s="357"/>
      <c r="H29" s="357">
        <f t="shared" si="1"/>
        <v>202.08</v>
      </c>
      <c r="I29" s="358">
        <v>2433959</v>
      </c>
      <c r="J29" s="359"/>
      <c r="K29" s="363"/>
    </row>
    <row r="30" spans="1:11" ht="21.75" customHeight="1" x14ac:dyDescent="0.25">
      <c r="A30" s="341">
        <v>28</v>
      </c>
      <c r="B30" s="360">
        <v>1258</v>
      </c>
      <c r="C30" s="343" t="s">
        <v>105</v>
      </c>
      <c r="D30" s="361">
        <v>733</v>
      </c>
      <c r="E30" s="345">
        <v>0.4</v>
      </c>
      <c r="F30" s="345">
        <f t="shared" si="0"/>
        <v>293.2</v>
      </c>
      <c r="G30" s="345">
        <f>292.06+1.14</f>
        <v>293.2</v>
      </c>
      <c r="H30" s="345">
        <f t="shared" si="1"/>
        <v>0</v>
      </c>
      <c r="I30" s="346">
        <v>1924174</v>
      </c>
      <c r="J30" s="347">
        <v>45658</v>
      </c>
      <c r="K30" s="350">
        <v>45677</v>
      </c>
    </row>
    <row r="31" spans="1:11" ht="21.75" customHeight="1" x14ac:dyDescent="0.25">
      <c r="A31" s="341">
        <v>29</v>
      </c>
      <c r="B31" s="360">
        <v>1260</v>
      </c>
      <c r="C31" s="343" t="s">
        <v>260</v>
      </c>
      <c r="D31" s="361">
        <v>642</v>
      </c>
      <c r="E31" s="345">
        <v>0.4</v>
      </c>
      <c r="F31" s="345">
        <f t="shared" si="0"/>
        <v>256.8</v>
      </c>
      <c r="G31" s="345">
        <f>255.4+1.4</f>
        <v>256.8</v>
      </c>
      <c r="H31" s="345">
        <f t="shared" si="1"/>
        <v>0</v>
      </c>
      <c r="I31" s="346">
        <v>18363579</v>
      </c>
      <c r="J31" s="347">
        <v>45663</v>
      </c>
      <c r="K31" s="350">
        <v>45684</v>
      </c>
    </row>
    <row r="32" spans="1:11" ht="21.75" customHeight="1" x14ac:dyDescent="0.25">
      <c r="A32" s="341">
        <v>30</v>
      </c>
      <c r="B32" s="360">
        <v>1261</v>
      </c>
      <c r="C32" s="346" t="s">
        <v>107</v>
      </c>
      <c r="D32" s="361">
        <v>331.9</v>
      </c>
      <c r="E32" s="345">
        <v>0.4</v>
      </c>
      <c r="F32" s="345">
        <f t="shared" si="0"/>
        <v>132.76</v>
      </c>
      <c r="G32" s="345">
        <f>130.54+2.22</f>
        <v>132.76</v>
      </c>
      <c r="H32" s="345">
        <f t="shared" si="1"/>
        <v>0</v>
      </c>
      <c r="I32" s="346">
        <v>14429332</v>
      </c>
      <c r="J32" s="347">
        <v>45658</v>
      </c>
      <c r="K32" s="373">
        <v>45679</v>
      </c>
    </row>
    <row r="33" spans="1:11" ht="21.75" customHeight="1" x14ac:dyDescent="0.25">
      <c r="A33" s="341">
        <v>31</v>
      </c>
      <c r="B33" s="360">
        <v>1268</v>
      </c>
      <c r="C33" s="343" t="s">
        <v>109</v>
      </c>
      <c r="D33" s="361">
        <v>460</v>
      </c>
      <c r="E33" s="345">
        <v>0.4</v>
      </c>
      <c r="F33" s="345">
        <f t="shared" si="0"/>
        <v>184</v>
      </c>
      <c r="G33" s="345">
        <f>179.45+4.55</f>
        <v>184</v>
      </c>
      <c r="H33" s="345">
        <f t="shared" si="1"/>
        <v>0</v>
      </c>
      <c r="I33" s="346">
        <v>722058</v>
      </c>
      <c r="J33" s="347">
        <v>45670</v>
      </c>
      <c r="K33" s="350">
        <v>45684</v>
      </c>
    </row>
    <row r="34" spans="1:11" ht="21.75" customHeight="1" x14ac:dyDescent="0.25">
      <c r="A34" s="341">
        <v>32</v>
      </c>
      <c r="B34" s="360">
        <v>1282</v>
      </c>
      <c r="C34" s="343" t="s">
        <v>111</v>
      </c>
      <c r="D34" s="361">
        <v>621</v>
      </c>
      <c r="E34" s="345">
        <v>0.4</v>
      </c>
      <c r="F34" s="345">
        <f t="shared" si="0"/>
        <v>248.4</v>
      </c>
      <c r="G34" s="345">
        <f>247.35+1.05</f>
        <v>248.4</v>
      </c>
      <c r="H34" s="345">
        <f t="shared" si="1"/>
        <v>0</v>
      </c>
      <c r="I34" s="346">
        <v>2997747</v>
      </c>
      <c r="J34" s="347">
        <v>45656</v>
      </c>
      <c r="K34" s="350">
        <v>45684</v>
      </c>
    </row>
    <row r="35" spans="1:11" ht="21.75" customHeight="1" x14ac:dyDescent="0.25">
      <c r="A35" s="352">
        <v>33</v>
      </c>
      <c r="B35" s="360">
        <v>1284</v>
      </c>
      <c r="C35" s="343" t="s">
        <v>115</v>
      </c>
      <c r="D35" s="361">
        <v>598</v>
      </c>
      <c r="E35" s="345">
        <v>0.4</v>
      </c>
      <c r="F35" s="345">
        <f t="shared" si="0"/>
        <v>239.20000000000002</v>
      </c>
      <c r="G35" s="345">
        <f>234.42+4.78</f>
        <v>239.2</v>
      </c>
      <c r="H35" s="345">
        <f t="shared" si="1"/>
        <v>0</v>
      </c>
      <c r="I35" s="346">
        <v>1177598</v>
      </c>
      <c r="J35" s="347">
        <v>45663</v>
      </c>
      <c r="K35" s="350">
        <v>45679</v>
      </c>
    </row>
    <row r="36" spans="1:11" ht="21.75" customHeight="1" x14ac:dyDescent="0.25">
      <c r="A36" s="352">
        <v>34</v>
      </c>
      <c r="B36" s="362">
        <v>1300</v>
      </c>
      <c r="C36" s="371" t="s">
        <v>263</v>
      </c>
      <c r="D36" s="355">
        <v>733.7</v>
      </c>
      <c r="E36" s="356">
        <v>0.4</v>
      </c>
      <c r="F36" s="357">
        <f t="shared" si="0"/>
        <v>293.48</v>
      </c>
      <c r="G36" s="357"/>
      <c r="H36" s="357">
        <f t="shared" si="1"/>
        <v>293.48</v>
      </c>
      <c r="I36" s="372">
        <v>19534277</v>
      </c>
      <c r="J36" s="359"/>
      <c r="K36" s="363"/>
    </row>
    <row r="37" spans="1:11" ht="21.75" customHeight="1" x14ac:dyDescent="0.2">
      <c r="A37" s="352">
        <v>35</v>
      </c>
      <c r="B37" s="360">
        <v>1306</v>
      </c>
      <c r="C37" s="374" t="s">
        <v>265</v>
      </c>
      <c r="D37" s="361">
        <v>363.7</v>
      </c>
      <c r="E37" s="345">
        <v>0.4</v>
      </c>
      <c r="F37" s="345">
        <f t="shared" si="0"/>
        <v>145.47999999999999</v>
      </c>
      <c r="G37" s="345">
        <f>143.12+2.36</f>
        <v>145.48000000000002</v>
      </c>
      <c r="H37" s="345">
        <f t="shared" si="1"/>
        <v>0</v>
      </c>
      <c r="I37" s="370">
        <v>2006904</v>
      </c>
      <c r="J37" s="375">
        <v>45663</v>
      </c>
      <c r="K37" s="350">
        <v>45684</v>
      </c>
    </row>
    <row r="38" spans="1:11" ht="21.75" customHeight="1" x14ac:dyDescent="0.25">
      <c r="A38" s="352">
        <v>36</v>
      </c>
      <c r="B38" s="362">
        <v>1315</v>
      </c>
      <c r="C38" s="354" t="s">
        <v>267</v>
      </c>
      <c r="D38" s="355">
        <v>263</v>
      </c>
      <c r="E38" s="356">
        <v>0.4</v>
      </c>
      <c r="F38" s="357">
        <f t="shared" si="0"/>
        <v>105.2</v>
      </c>
      <c r="G38" s="357"/>
      <c r="H38" s="357">
        <f t="shared" si="1"/>
        <v>105.2</v>
      </c>
      <c r="I38" s="358">
        <v>19528845</v>
      </c>
      <c r="J38" s="359"/>
      <c r="K38" s="363"/>
    </row>
    <row r="39" spans="1:11" ht="21.75" customHeight="1" x14ac:dyDescent="0.25">
      <c r="A39" s="341">
        <v>37</v>
      </c>
      <c r="B39" s="360">
        <v>1328</v>
      </c>
      <c r="C39" s="343" t="s">
        <v>117</v>
      </c>
      <c r="D39" s="361">
        <v>400.2</v>
      </c>
      <c r="E39" s="345">
        <v>0.4</v>
      </c>
      <c r="F39" s="345">
        <f t="shared" si="0"/>
        <v>160.08000000000001</v>
      </c>
      <c r="G39" s="345">
        <f>158.7+1.38</f>
        <v>160.07999999999998</v>
      </c>
      <c r="H39" s="345">
        <f t="shared" si="1"/>
        <v>0</v>
      </c>
      <c r="I39" s="346">
        <v>782833</v>
      </c>
      <c r="J39" s="347">
        <v>45658</v>
      </c>
      <c r="K39" s="350">
        <v>45686</v>
      </c>
    </row>
    <row r="40" spans="1:11" s="351" customFormat="1" ht="21.75" customHeight="1" x14ac:dyDescent="0.25">
      <c r="A40" s="341">
        <v>38</v>
      </c>
      <c r="B40" s="360">
        <v>1330</v>
      </c>
      <c r="C40" s="376" t="s">
        <v>119</v>
      </c>
      <c r="D40" s="361">
        <v>631.5</v>
      </c>
      <c r="E40" s="345">
        <v>0.4</v>
      </c>
      <c r="F40" s="345">
        <f t="shared" si="0"/>
        <v>252.60000000000002</v>
      </c>
      <c r="G40" s="345">
        <f>36.73+213.4</f>
        <v>250.13</v>
      </c>
      <c r="H40" s="345">
        <f t="shared" si="1"/>
        <v>2.4700000000000273</v>
      </c>
      <c r="I40" s="346">
        <v>12194826</v>
      </c>
      <c r="J40" s="347">
        <v>45810</v>
      </c>
      <c r="K40" s="341" t="s">
        <v>600</v>
      </c>
    </row>
    <row r="41" spans="1:11" s="334" customFormat="1" ht="21.75" customHeight="1" x14ac:dyDescent="0.25">
      <c r="A41" s="341">
        <v>39</v>
      </c>
      <c r="B41" s="360">
        <v>1331</v>
      </c>
      <c r="C41" s="343" t="s">
        <v>269</v>
      </c>
      <c r="D41" s="361">
        <v>344.8</v>
      </c>
      <c r="E41" s="345">
        <v>0.4</v>
      </c>
      <c r="F41" s="345">
        <f t="shared" si="0"/>
        <v>137.92000000000002</v>
      </c>
      <c r="G41" s="345">
        <f>F41</f>
        <v>137.92000000000002</v>
      </c>
      <c r="H41" s="345">
        <f t="shared" si="1"/>
        <v>0</v>
      </c>
      <c r="I41" s="346">
        <v>2107763</v>
      </c>
      <c r="J41" s="347">
        <v>45679</v>
      </c>
      <c r="K41" s="341"/>
    </row>
    <row r="42" spans="1:11" ht="21.75" customHeight="1" x14ac:dyDescent="0.25">
      <c r="A42" s="352">
        <v>40</v>
      </c>
      <c r="B42" s="362">
        <v>1333</v>
      </c>
      <c r="C42" s="354" t="s">
        <v>29</v>
      </c>
      <c r="D42" s="355">
        <v>554</v>
      </c>
      <c r="E42" s="356">
        <v>0.4</v>
      </c>
      <c r="F42" s="357">
        <f t="shared" si="0"/>
        <v>221.60000000000002</v>
      </c>
      <c r="G42" s="357"/>
      <c r="H42" s="357">
        <f t="shared" si="1"/>
        <v>221.60000000000002</v>
      </c>
      <c r="I42" s="358">
        <v>1736679</v>
      </c>
      <c r="J42" s="359"/>
      <c r="K42" s="363"/>
    </row>
    <row r="43" spans="1:11" ht="21.75" customHeight="1" x14ac:dyDescent="0.25">
      <c r="A43" s="341">
        <v>41</v>
      </c>
      <c r="B43" s="360">
        <v>1382</v>
      </c>
      <c r="C43" s="343" t="s">
        <v>34</v>
      </c>
      <c r="D43" s="361">
        <v>667</v>
      </c>
      <c r="E43" s="345">
        <v>0.4</v>
      </c>
      <c r="F43" s="345">
        <f t="shared" si="0"/>
        <v>266.8</v>
      </c>
      <c r="G43" s="345">
        <f>264.9+1.9</f>
        <v>266.79999999999995</v>
      </c>
      <c r="H43" s="345">
        <f t="shared" si="1"/>
        <v>0</v>
      </c>
      <c r="I43" s="346">
        <v>886492</v>
      </c>
      <c r="J43" s="347">
        <v>45658</v>
      </c>
      <c r="K43" s="341" t="s">
        <v>565</v>
      </c>
    </row>
    <row r="44" spans="1:11" ht="21.75" customHeight="1" x14ac:dyDescent="0.25">
      <c r="A44" s="341">
        <v>42</v>
      </c>
      <c r="B44" s="360">
        <v>1384</v>
      </c>
      <c r="C44" s="343" t="s">
        <v>37</v>
      </c>
      <c r="D44" s="361">
        <v>301.10000000000002</v>
      </c>
      <c r="E44" s="345">
        <v>0.4</v>
      </c>
      <c r="F44" s="345">
        <f t="shared" si="0"/>
        <v>120.44000000000001</v>
      </c>
      <c r="G44" s="345">
        <f>119.51+0.93</f>
        <v>120.44000000000001</v>
      </c>
      <c r="H44" s="345">
        <f t="shared" si="1"/>
        <v>0</v>
      </c>
      <c r="I44" s="346">
        <v>4426701</v>
      </c>
      <c r="J44" s="347">
        <v>45679</v>
      </c>
      <c r="K44" s="373">
        <v>45684</v>
      </c>
    </row>
    <row r="45" spans="1:11" ht="21.75" customHeight="1" x14ac:dyDescent="0.25">
      <c r="A45" s="341">
        <v>43</v>
      </c>
      <c r="B45" s="360">
        <v>1386</v>
      </c>
      <c r="C45" s="343" t="s">
        <v>39</v>
      </c>
      <c r="D45" s="361">
        <v>734.4</v>
      </c>
      <c r="E45" s="345">
        <v>0.4</v>
      </c>
      <c r="F45" s="345">
        <f t="shared" si="0"/>
        <v>293.76</v>
      </c>
      <c r="G45" s="345">
        <f>293.17+0.59</f>
        <v>293.76</v>
      </c>
      <c r="H45" s="345">
        <f t="shared" si="1"/>
        <v>0</v>
      </c>
      <c r="I45" s="346">
        <v>711799</v>
      </c>
      <c r="J45" s="347">
        <v>45658</v>
      </c>
      <c r="K45" s="350">
        <v>45677</v>
      </c>
    </row>
    <row r="46" spans="1:11" ht="21.75" customHeight="1" x14ac:dyDescent="0.25">
      <c r="A46" s="352">
        <v>44</v>
      </c>
      <c r="B46" s="362">
        <v>1387</v>
      </c>
      <c r="C46" s="354" t="s">
        <v>271</v>
      </c>
      <c r="D46" s="355">
        <v>621</v>
      </c>
      <c r="E46" s="356">
        <v>0.4</v>
      </c>
      <c r="F46" s="357">
        <f t="shared" si="0"/>
        <v>248.4</v>
      </c>
      <c r="G46" s="357"/>
      <c r="H46" s="357">
        <f t="shared" si="1"/>
        <v>248.4</v>
      </c>
      <c r="I46" s="358">
        <v>6759716</v>
      </c>
      <c r="J46" s="359"/>
      <c r="K46" s="363"/>
    </row>
    <row r="47" spans="1:11" ht="21.75" customHeight="1" x14ac:dyDescent="0.25">
      <c r="A47" s="352">
        <v>45</v>
      </c>
      <c r="B47" s="362">
        <v>1388</v>
      </c>
      <c r="C47" s="354" t="s">
        <v>273</v>
      </c>
      <c r="D47" s="355">
        <v>368</v>
      </c>
      <c r="E47" s="356">
        <v>0.4</v>
      </c>
      <c r="F47" s="357">
        <f t="shared" si="0"/>
        <v>147.20000000000002</v>
      </c>
      <c r="G47" s="357"/>
      <c r="H47" s="357">
        <f t="shared" si="1"/>
        <v>147.20000000000002</v>
      </c>
      <c r="I47" s="358">
        <v>18610874</v>
      </c>
      <c r="J47" s="359"/>
      <c r="K47" s="363"/>
    </row>
    <row r="48" spans="1:11" ht="21.75" customHeight="1" x14ac:dyDescent="0.25">
      <c r="A48" s="341">
        <v>46</v>
      </c>
      <c r="B48" s="360">
        <v>1389</v>
      </c>
      <c r="C48" s="343" t="s">
        <v>275</v>
      </c>
      <c r="D48" s="361">
        <v>920</v>
      </c>
      <c r="E48" s="345">
        <v>0.4</v>
      </c>
      <c r="F48" s="345">
        <f t="shared" si="0"/>
        <v>368</v>
      </c>
      <c r="G48" s="345">
        <f>366.05+1.95</f>
        <v>368</v>
      </c>
      <c r="H48" s="345">
        <f t="shared" si="1"/>
        <v>0</v>
      </c>
      <c r="I48" s="346">
        <v>1036354</v>
      </c>
      <c r="J48" s="347">
        <v>45658</v>
      </c>
      <c r="K48" s="350">
        <v>45686</v>
      </c>
    </row>
    <row r="49" spans="1:11" ht="21.75" customHeight="1" x14ac:dyDescent="0.25">
      <c r="A49" s="341">
        <v>47</v>
      </c>
      <c r="B49" s="360">
        <v>1394</v>
      </c>
      <c r="C49" s="343" t="s">
        <v>277</v>
      </c>
      <c r="D49" s="361">
        <v>364.5</v>
      </c>
      <c r="E49" s="345">
        <v>0.4</v>
      </c>
      <c r="F49" s="345">
        <f t="shared" si="0"/>
        <v>145.80000000000001</v>
      </c>
      <c r="G49" s="345">
        <f>143.37+2.43</f>
        <v>145.80000000000001</v>
      </c>
      <c r="H49" s="345">
        <f t="shared" si="1"/>
        <v>0</v>
      </c>
      <c r="I49" s="346">
        <v>25656187</v>
      </c>
      <c r="J49" s="347">
        <v>45663</v>
      </c>
      <c r="K49" s="373">
        <v>45684</v>
      </c>
    </row>
    <row r="50" spans="1:11" ht="21.75" customHeight="1" x14ac:dyDescent="0.25">
      <c r="A50" s="341">
        <v>48</v>
      </c>
      <c r="B50" s="360">
        <v>1396</v>
      </c>
      <c r="C50" s="343" t="s">
        <v>123</v>
      </c>
      <c r="D50" s="361">
        <v>401.9</v>
      </c>
      <c r="E50" s="345">
        <v>0.4</v>
      </c>
      <c r="F50" s="345">
        <f t="shared" si="0"/>
        <v>160.76</v>
      </c>
      <c r="G50" s="345">
        <f>156.93+3.83</f>
        <v>160.76000000000002</v>
      </c>
      <c r="H50" s="345">
        <f t="shared" si="1"/>
        <v>0</v>
      </c>
      <c r="I50" s="346">
        <v>905845</v>
      </c>
      <c r="J50" s="347">
        <v>45679</v>
      </c>
      <c r="K50" s="341"/>
    </row>
    <row r="51" spans="1:11" ht="21.75" customHeight="1" x14ac:dyDescent="0.25">
      <c r="A51" s="341">
        <v>49</v>
      </c>
      <c r="B51" s="360">
        <v>1397</v>
      </c>
      <c r="C51" s="343" t="s">
        <v>125</v>
      </c>
      <c r="D51" s="361">
        <v>327</v>
      </c>
      <c r="E51" s="345">
        <v>0.4</v>
      </c>
      <c r="F51" s="345">
        <f t="shared" si="0"/>
        <v>130.80000000000001</v>
      </c>
      <c r="G51" s="345">
        <f>126.58+4.22</f>
        <v>130.80000000000001</v>
      </c>
      <c r="H51" s="345">
        <f t="shared" si="1"/>
        <v>0</v>
      </c>
      <c r="I51" s="346">
        <v>1292885</v>
      </c>
      <c r="J51" s="347">
        <v>45677</v>
      </c>
      <c r="K51" s="350">
        <v>45686</v>
      </c>
    </row>
    <row r="52" spans="1:11" ht="21.75" customHeight="1" x14ac:dyDescent="0.25">
      <c r="A52" s="341">
        <v>50</v>
      </c>
      <c r="B52" s="360">
        <v>1398</v>
      </c>
      <c r="C52" s="343" t="s">
        <v>279</v>
      </c>
      <c r="D52" s="361">
        <v>263</v>
      </c>
      <c r="E52" s="345">
        <v>0.4</v>
      </c>
      <c r="F52" s="345">
        <f t="shared" si="0"/>
        <v>105.2</v>
      </c>
      <c r="G52" s="345">
        <f>103.73+1.47</f>
        <v>105.2</v>
      </c>
      <c r="H52" s="345">
        <f t="shared" si="1"/>
        <v>0</v>
      </c>
      <c r="I52" s="346">
        <v>1161437</v>
      </c>
      <c r="J52" s="347">
        <v>45665</v>
      </c>
      <c r="K52" s="350">
        <v>45684</v>
      </c>
    </row>
    <row r="53" spans="1:11" s="334" customFormat="1" ht="21.75" customHeight="1" x14ac:dyDescent="0.25">
      <c r="A53" s="377">
        <v>51</v>
      </c>
      <c r="B53" s="378">
        <v>1400</v>
      </c>
      <c r="C53" s="379" t="s">
        <v>281</v>
      </c>
      <c r="D53" s="380">
        <v>532.5</v>
      </c>
      <c r="E53" s="381">
        <v>0.4</v>
      </c>
      <c r="F53" s="381">
        <f t="shared" si="0"/>
        <v>213</v>
      </c>
      <c r="G53" s="381">
        <f>F53</f>
        <v>213</v>
      </c>
      <c r="H53" s="381">
        <f t="shared" si="1"/>
        <v>0</v>
      </c>
      <c r="I53" s="382">
        <v>7223707</v>
      </c>
      <c r="J53" s="383"/>
      <c r="K53" s="384">
        <v>45691</v>
      </c>
    </row>
    <row r="54" spans="1:11" ht="21.75" customHeight="1" x14ac:dyDescent="0.25">
      <c r="A54" s="341">
        <v>52</v>
      </c>
      <c r="B54" s="360">
        <v>1403</v>
      </c>
      <c r="C54" s="343" t="s">
        <v>283</v>
      </c>
      <c r="D54" s="361">
        <v>525</v>
      </c>
      <c r="E54" s="345">
        <v>0.4</v>
      </c>
      <c r="F54" s="345">
        <f t="shared" si="0"/>
        <v>210</v>
      </c>
      <c r="G54" s="345">
        <f>209.36+0.64</f>
        <v>210</v>
      </c>
      <c r="H54" s="345">
        <f t="shared" si="1"/>
        <v>0</v>
      </c>
      <c r="I54" s="346">
        <v>499044</v>
      </c>
      <c r="J54" s="347">
        <v>45663</v>
      </c>
      <c r="K54" s="350">
        <v>45963</v>
      </c>
    </row>
    <row r="55" spans="1:11" ht="21.75" customHeight="1" x14ac:dyDescent="0.25">
      <c r="A55" s="341">
        <v>53</v>
      </c>
      <c r="B55" s="385">
        <v>1406</v>
      </c>
      <c r="C55" s="343" t="s">
        <v>285</v>
      </c>
      <c r="D55" s="361">
        <v>444.6</v>
      </c>
      <c r="E55" s="345">
        <v>0.4</v>
      </c>
      <c r="F55" s="345">
        <f t="shared" si="0"/>
        <v>177.84000000000003</v>
      </c>
      <c r="G55" s="345">
        <f>174.81+3.03</f>
        <v>177.84</v>
      </c>
      <c r="H55" s="345">
        <f t="shared" si="1"/>
        <v>0</v>
      </c>
      <c r="I55" s="346">
        <v>880849</v>
      </c>
      <c r="J55" s="347">
        <v>45663</v>
      </c>
      <c r="K55" s="350">
        <v>45691</v>
      </c>
    </row>
    <row r="56" spans="1:11" ht="21.75" customHeight="1" x14ac:dyDescent="0.25">
      <c r="A56" s="352">
        <v>54</v>
      </c>
      <c r="B56" s="386">
        <v>1408</v>
      </c>
      <c r="C56" s="358" t="s">
        <v>287</v>
      </c>
      <c r="D56" s="355">
        <v>1334</v>
      </c>
      <c r="E56" s="356">
        <v>0.4</v>
      </c>
      <c r="F56" s="357">
        <f t="shared" si="0"/>
        <v>533.6</v>
      </c>
      <c r="G56" s="357"/>
      <c r="H56" s="357">
        <f t="shared" si="1"/>
        <v>533.6</v>
      </c>
      <c r="I56" s="358">
        <v>997465</v>
      </c>
      <c r="J56" s="359"/>
      <c r="K56" s="363"/>
    </row>
    <row r="57" spans="1:11" ht="21.75" customHeight="1" x14ac:dyDescent="0.25">
      <c r="A57" s="341">
        <v>55</v>
      </c>
      <c r="B57" s="385">
        <v>1409</v>
      </c>
      <c r="C57" s="343" t="s">
        <v>289</v>
      </c>
      <c r="D57" s="344">
        <v>521</v>
      </c>
      <c r="E57" s="345">
        <v>0.4</v>
      </c>
      <c r="F57" s="345">
        <f t="shared" si="0"/>
        <v>208.4</v>
      </c>
      <c r="G57" s="345">
        <f>206.03+2.37</f>
        <v>208.4</v>
      </c>
      <c r="H57" s="345">
        <f t="shared" si="1"/>
        <v>0</v>
      </c>
      <c r="I57" s="346">
        <v>7279409</v>
      </c>
      <c r="J57" s="347">
        <v>45658</v>
      </c>
      <c r="K57" s="350">
        <v>45809</v>
      </c>
    </row>
    <row r="58" spans="1:11" ht="21.75" customHeight="1" x14ac:dyDescent="0.25">
      <c r="A58" s="341">
        <v>56</v>
      </c>
      <c r="B58" s="385">
        <v>1410</v>
      </c>
      <c r="C58" s="343" t="s">
        <v>292</v>
      </c>
      <c r="D58" s="348">
        <v>574.20000000000005</v>
      </c>
      <c r="E58" s="345">
        <v>0.4</v>
      </c>
      <c r="F58" s="345">
        <f t="shared" si="0"/>
        <v>229.68000000000004</v>
      </c>
      <c r="G58" s="345">
        <f>225.64+4.04</f>
        <v>229.67999999999998</v>
      </c>
      <c r="H58" s="345">
        <f t="shared" si="1"/>
        <v>0</v>
      </c>
      <c r="I58" s="346">
        <v>757372</v>
      </c>
      <c r="J58" s="347">
        <v>45663</v>
      </c>
      <c r="K58" s="350">
        <v>45686</v>
      </c>
    </row>
    <row r="59" spans="1:11" ht="21.75" customHeight="1" x14ac:dyDescent="0.25">
      <c r="A59" s="341">
        <v>57</v>
      </c>
      <c r="B59" s="385">
        <v>1411</v>
      </c>
      <c r="C59" s="343" t="s">
        <v>294</v>
      </c>
      <c r="D59" s="361">
        <v>573.5</v>
      </c>
      <c r="E59" s="345">
        <v>0.4</v>
      </c>
      <c r="F59" s="345">
        <f t="shared" si="0"/>
        <v>229.4</v>
      </c>
      <c r="G59" s="345">
        <f>225.2+4.2</f>
        <v>229.39999999999998</v>
      </c>
      <c r="H59" s="345">
        <f t="shared" si="1"/>
        <v>0</v>
      </c>
      <c r="I59" s="346">
        <v>1650389</v>
      </c>
      <c r="J59" s="347">
        <v>45663</v>
      </c>
      <c r="K59" s="350">
        <v>45677</v>
      </c>
    </row>
    <row r="60" spans="1:11" ht="21.75" customHeight="1" x14ac:dyDescent="0.25">
      <c r="A60" s="352">
        <v>58</v>
      </c>
      <c r="B60" s="362">
        <v>1412</v>
      </c>
      <c r="C60" s="354" t="s">
        <v>296</v>
      </c>
      <c r="D60" s="355">
        <v>690</v>
      </c>
      <c r="E60" s="356">
        <v>0.4</v>
      </c>
      <c r="F60" s="357">
        <f t="shared" si="0"/>
        <v>276</v>
      </c>
      <c r="G60" s="357"/>
      <c r="H60" s="357">
        <f t="shared" si="1"/>
        <v>276</v>
      </c>
      <c r="I60" s="358">
        <v>312227</v>
      </c>
      <c r="J60" s="359"/>
      <c r="K60" s="363"/>
    </row>
    <row r="61" spans="1:11" ht="21.75" customHeight="1" x14ac:dyDescent="0.25">
      <c r="A61" s="341">
        <v>59</v>
      </c>
      <c r="B61" s="360">
        <v>1413</v>
      </c>
      <c r="C61" s="346" t="s">
        <v>298</v>
      </c>
      <c r="D61" s="361">
        <v>346</v>
      </c>
      <c r="E61" s="345">
        <v>0.4</v>
      </c>
      <c r="F61" s="345">
        <f t="shared" si="0"/>
        <v>138.4</v>
      </c>
      <c r="G61" s="345">
        <f>138.1+0.3</f>
        <v>138.4</v>
      </c>
      <c r="H61" s="345">
        <f t="shared" si="1"/>
        <v>0</v>
      </c>
      <c r="I61" s="346">
        <v>539906</v>
      </c>
      <c r="J61" s="347">
        <v>45658</v>
      </c>
      <c r="K61" s="350">
        <v>45686</v>
      </c>
    </row>
    <row r="62" spans="1:11" s="334" customFormat="1" ht="21.75" customHeight="1" x14ac:dyDescent="0.25">
      <c r="A62" s="352">
        <v>60</v>
      </c>
      <c r="B62" s="360">
        <v>1414</v>
      </c>
      <c r="C62" s="343" t="s">
        <v>300</v>
      </c>
      <c r="D62" s="361">
        <v>1029.5</v>
      </c>
      <c r="E62" s="345">
        <v>0.4</v>
      </c>
      <c r="F62" s="345">
        <f t="shared" si="0"/>
        <v>411.8</v>
      </c>
      <c r="G62" s="345">
        <f>407.185+4.615</f>
        <v>411.8</v>
      </c>
      <c r="H62" s="345">
        <f t="shared" si="1"/>
        <v>0</v>
      </c>
      <c r="I62" s="346">
        <v>9178238</v>
      </c>
      <c r="J62" s="347">
        <v>45663</v>
      </c>
      <c r="K62" s="350">
        <v>45684</v>
      </c>
    </row>
    <row r="63" spans="1:11" ht="21.75" customHeight="1" x14ac:dyDescent="0.25">
      <c r="A63" s="341">
        <v>61</v>
      </c>
      <c r="B63" s="360">
        <v>1415</v>
      </c>
      <c r="C63" s="343" t="s">
        <v>302</v>
      </c>
      <c r="D63" s="361">
        <v>314.8</v>
      </c>
      <c r="E63" s="345">
        <v>0.4</v>
      </c>
      <c r="F63" s="345">
        <f t="shared" si="0"/>
        <v>125.92000000000002</v>
      </c>
      <c r="G63" s="345">
        <f>125.54+0.38</f>
        <v>125.92</v>
      </c>
      <c r="H63" s="345">
        <f t="shared" si="1"/>
        <v>0</v>
      </c>
      <c r="I63" s="346">
        <v>818787</v>
      </c>
      <c r="J63" s="347">
        <v>45658</v>
      </c>
      <c r="K63" s="350">
        <v>45672</v>
      </c>
    </row>
    <row r="64" spans="1:11" ht="21.75" customHeight="1" x14ac:dyDescent="0.25">
      <c r="A64" s="341">
        <v>62</v>
      </c>
      <c r="B64" s="360">
        <v>1417</v>
      </c>
      <c r="C64" s="343" t="s">
        <v>42</v>
      </c>
      <c r="D64" s="361">
        <v>486</v>
      </c>
      <c r="E64" s="345">
        <v>0.4</v>
      </c>
      <c r="F64" s="345">
        <f t="shared" si="0"/>
        <v>194.4</v>
      </c>
      <c r="G64" s="345">
        <f>F64</f>
        <v>194.4</v>
      </c>
      <c r="H64" s="345">
        <f t="shared" si="1"/>
        <v>0</v>
      </c>
      <c r="I64" s="346">
        <v>1252579</v>
      </c>
      <c r="J64" s="347">
        <v>45686</v>
      </c>
      <c r="K64" s="341"/>
    </row>
    <row r="65" spans="1:13" ht="21.75" customHeight="1" x14ac:dyDescent="0.25">
      <c r="A65" s="341">
        <v>63</v>
      </c>
      <c r="B65" s="360">
        <v>1418</v>
      </c>
      <c r="C65" s="343" t="s">
        <v>304</v>
      </c>
      <c r="D65" s="361">
        <v>288.7</v>
      </c>
      <c r="E65" s="345">
        <v>0.4</v>
      </c>
      <c r="F65" s="345">
        <f t="shared" si="0"/>
        <v>115.48</v>
      </c>
      <c r="G65" s="345">
        <f>111.18+4.3</f>
        <v>115.48</v>
      </c>
      <c r="H65" s="345">
        <f t="shared" si="1"/>
        <v>0</v>
      </c>
      <c r="I65" s="346">
        <v>9954378</v>
      </c>
      <c r="J65" s="347">
        <v>45656</v>
      </c>
      <c r="K65" s="350">
        <v>45670</v>
      </c>
    </row>
    <row r="66" spans="1:13" ht="21.75" customHeight="1" x14ac:dyDescent="0.25">
      <c r="A66" s="341">
        <v>64</v>
      </c>
      <c r="B66" s="360">
        <v>1419</v>
      </c>
      <c r="C66" s="343" t="s">
        <v>308</v>
      </c>
      <c r="D66" s="361">
        <v>828</v>
      </c>
      <c r="E66" s="345">
        <v>0.4</v>
      </c>
      <c r="F66" s="345">
        <f t="shared" si="0"/>
        <v>331.20000000000005</v>
      </c>
      <c r="G66" s="345">
        <f>106.7+111.55+111.55+1.4</f>
        <v>331.2</v>
      </c>
      <c r="H66" s="345">
        <f t="shared" si="1"/>
        <v>0</v>
      </c>
      <c r="I66" s="346">
        <v>386821</v>
      </c>
      <c r="J66" s="347">
        <v>45658</v>
      </c>
      <c r="K66" s="350">
        <v>45663</v>
      </c>
      <c r="L66" s="387">
        <v>45677</v>
      </c>
      <c r="M66" s="387">
        <v>45684</v>
      </c>
    </row>
    <row r="67" spans="1:13" ht="21.75" customHeight="1" x14ac:dyDescent="0.25">
      <c r="A67" s="352">
        <v>65</v>
      </c>
      <c r="B67" s="362">
        <v>1420</v>
      </c>
      <c r="C67" s="354" t="s">
        <v>310</v>
      </c>
      <c r="D67" s="355">
        <v>616.6</v>
      </c>
      <c r="E67" s="356">
        <v>0.4</v>
      </c>
      <c r="F67" s="357">
        <f t="shared" ref="F67:F130" si="2">D67*E67</f>
        <v>246.64000000000001</v>
      </c>
      <c r="G67" s="357"/>
      <c r="H67" s="357">
        <f t="shared" ref="H67:H130" si="3">F67-G67</f>
        <v>246.64000000000001</v>
      </c>
      <c r="I67" s="358">
        <v>5460297</v>
      </c>
      <c r="J67" s="359"/>
      <c r="K67" s="363"/>
    </row>
    <row r="68" spans="1:13" ht="21.75" customHeight="1" x14ac:dyDescent="0.25">
      <c r="A68" s="352">
        <v>66</v>
      </c>
      <c r="B68" s="362">
        <v>1421</v>
      </c>
      <c r="C68" s="354" t="s">
        <v>129</v>
      </c>
      <c r="D68" s="355">
        <v>667</v>
      </c>
      <c r="E68" s="356">
        <v>0.4</v>
      </c>
      <c r="F68" s="357">
        <f t="shared" si="2"/>
        <v>266.8</v>
      </c>
      <c r="G68" s="357"/>
      <c r="H68" s="357">
        <f t="shared" si="3"/>
        <v>266.8</v>
      </c>
      <c r="I68" s="358">
        <v>15314262</v>
      </c>
      <c r="J68" s="359"/>
      <c r="K68" s="363"/>
    </row>
    <row r="69" spans="1:13" s="351" customFormat="1" ht="21.75" customHeight="1" x14ac:dyDescent="0.25">
      <c r="A69" s="341">
        <v>67</v>
      </c>
      <c r="B69" s="360">
        <v>1423</v>
      </c>
      <c r="C69" s="343" t="s">
        <v>131</v>
      </c>
      <c r="D69" s="361">
        <v>585.5</v>
      </c>
      <c r="E69" s="345">
        <v>0.4</v>
      </c>
      <c r="F69" s="345">
        <f t="shared" si="2"/>
        <v>234.20000000000002</v>
      </c>
      <c r="G69" s="345">
        <f>230.94</f>
        <v>230.94</v>
      </c>
      <c r="H69" s="345">
        <f t="shared" si="3"/>
        <v>3.2600000000000193</v>
      </c>
      <c r="I69" s="346">
        <v>5044397</v>
      </c>
      <c r="J69" s="347">
        <v>45963</v>
      </c>
      <c r="K69" s="341"/>
    </row>
    <row r="70" spans="1:13" s="351" customFormat="1" ht="21.75" customHeight="1" x14ac:dyDescent="0.25">
      <c r="A70" s="341">
        <v>68</v>
      </c>
      <c r="B70" s="360">
        <v>1425</v>
      </c>
      <c r="C70" s="343" t="s">
        <v>312</v>
      </c>
      <c r="D70" s="361">
        <v>565.29999999999995</v>
      </c>
      <c r="E70" s="345">
        <v>0.4</v>
      </c>
      <c r="F70" s="345">
        <f t="shared" si="2"/>
        <v>226.12</v>
      </c>
      <c r="G70" s="345">
        <f>22.74+198.85</f>
        <v>221.59</v>
      </c>
      <c r="H70" s="345">
        <f t="shared" si="3"/>
        <v>4.5300000000000011</v>
      </c>
      <c r="I70" s="346">
        <v>5614623</v>
      </c>
      <c r="J70" s="347">
        <v>45810</v>
      </c>
      <c r="K70" s="341" t="s">
        <v>600</v>
      </c>
    </row>
    <row r="71" spans="1:13" ht="21.75" customHeight="1" x14ac:dyDescent="0.25">
      <c r="A71" s="341">
        <v>69</v>
      </c>
      <c r="B71" s="385">
        <v>1426</v>
      </c>
      <c r="C71" s="343" t="s">
        <v>314</v>
      </c>
      <c r="D71" s="361">
        <v>603.70000000000005</v>
      </c>
      <c r="E71" s="345">
        <v>0.4</v>
      </c>
      <c r="F71" s="345">
        <f t="shared" si="2"/>
        <v>241.48000000000002</v>
      </c>
      <c r="G71" s="345">
        <f>238.58+2.9</f>
        <v>241.48000000000002</v>
      </c>
      <c r="H71" s="345">
        <f t="shared" si="3"/>
        <v>0</v>
      </c>
      <c r="I71" s="346">
        <v>2160707</v>
      </c>
      <c r="J71" s="347">
        <v>45658</v>
      </c>
      <c r="K71" s="350">
        <v>45686</v>
      </c>
    </row>
    <row r="72" spans="1:13" ht="21.75" customHeight="1" x14ac:dyDescent="0.25">
      <c r="A72" s="341">
        <v>70</v>
      </c>
      <c r="B72" s="360">
        <v>1427</v>
      </c>
      <c r="C72" s="343" t="s">
        <v>134</v>
      </c>
      <c r="D72" s="361">
        <v>288.39999999999998</v>
      </c>
      <c r="E72" s="345">
        <v>0.4</v>
      </c>
      <c r="F72" s="345">
        <f t="shared" si="2"/>
        <v>115.36</v>
      </c>
      <c r="G72" s="345">
        <f>F72</f>
        <v>115.36</v>
      </c>
      <c r="H72" s="345">
        <f t="shared" si="3"/>
        <v>0</v>
      </c>
      <c r="I72" s="346">
        <v>24171637</v>
      </c>
      <c r="J72" s="369">
        <v>45684</v>
      </c>
      <c r="K72" s="341"/>
    </row>
    <row r="73" spans="1:13" ht="21.75" customHeight="1" x14ac:dyDescent="0.25">
      <c r="A73" s="341">
        <v>71</v>
      </c>
      <c r="B73" s="360">
        <v>1428</v>
      </c>
      <c r="C73" s="343" t="s">
        <v>316</v>
      </c>
      <c r="D73" s="361">
        <v>318.5</v>
      </c>
      <c r="E73" s="345">
        <v>0.4</v>
      </c>
      <c r="F73" s="345">
        <f t="shared" si="2"/>
        <v>127.4</v>
      </c>
      <c r="G73" s="345">
        <f>125.94+1.46</f>
        <v>127.39999999999999</v>
      </c>
      <c r="H73" s="345">
        <f t="shared" si="3"/>
        <v>0</v>
      </c>
      <c r="I73" s="346">
        <v>921364</v>
      </c>
      <c r="J73" s="347">
        <v>45658</v>
      </c>
      <c r="K73" s="350">
        <v>45679</v>
      </c>
    </row>
    <row r="74" spans="1:13" ht="21.75" customHeight="1" x14ac:dyDescent="0.25">
      <c r="A74" s="341">
        <v>72</v>
      </c>
      <c r="B74" s="360">
        <v>1430</v>
      </c>
      <c r="C74" s="343" t="s">
        <v>136</v>
      </c>
      <c r="D74" s="361">
        <v>321.2</v>
      </c>
      <c r="E74" s="345">
        <v>0.4</v>
      </c>
      <c r="F74" s="345">
        <f t="shared" si="2"/>
        <v>128.47999999999999</v>
      </c>
      <c r="G74" s="345">
        <f>125.62+2.86</f>
        <v>128.48000000000002</v>
      </c>
      <c r="H74" s="345">
        <f t="shared" si="3"/>
        <v>0</v>
      </c>
      <c r="I74" s="346">
        <v>564698</v>
      </c>
      <c r="J74" s="347">
        <v>45658</v>
      </c>
      <c r="K74" s="373">
        <v>45684</v>
      </c>
    </row>
    <row r="75" spans="1:13" ht="21.75" customHeight="1" x14ac:dyDescent="0.25">
      <c r="A75" s="352">
        <v>73</v>
      </c>
      <c r="B75" s="362">
        <v>1432</v>
      </c>
      <c r="C75" s="354" t="s">
        <v>318</v>
      </c>
      <c r="D75" s="355">
        <v>759</v>
      </c>
      <c r="E75" s="356">
        <v>0.4</v>
      </c>
      <c r="F75" s="357">
        <f t="shared" si="2"/>
        <v>303.60000000000002</v>
      </c>
      <c r="G75" s="357"/>
      <c r="H75" s="357">
        <f t="shared" si="3"/>
        <v>303.60000000000002</v>
      </c>
      <c r="I75" s="358">
        <v>5004855</v>
      </c>
      <c r="J75" s="359"/>
      <c r="K75" s="363"/>
    </row>
    <row r="76" spans="1:13" ht="21.75" customHeight="1" x14ac:dyDescent="0.25">
      <c r="A76" s="352">
        <v>74</v>
      </c>
      <c r="B76" s="362">
        <v>1433</v>
      </c>
      <c r="C76" s="354" t="s">
        <v>320</v>
      </c>
      <c r="D76" s="355">
        <v>741</v>
      </c>
      <c r="E76" s="356">
        <v>0.4</v>
      </c>
      <c r="F76" s="357">
        <f t="shared" si="2"/>
        <v>296.40000000000003</v>
      </c>
      <c r="G76" s="357"/>
      <c r="H76" s="357">
        <f t="shared" si="3"/>
        <v>296.40000000000003</v>
      </c>
      <c r="I76" s="358">
        <v>285841</v>
      </c>
      <c r="J76" s="359"/>
      <c r="K76" s="363"/>
    </row>
    <row r="77" spans="1:13" ht="21.75" customHeight="1" x14ac:dyDescent="0.25">
      <c r="A77" s="352">
        <v>75</v>
      </c>
      <c r="B77" s="386">
        <v>1434</v>
      </c>
      <c r="C77" s="354" t="s">
        <v>138</v>
      </c>
      <c r="D77" s="355">
        <v>368</v>
      </c>
      <c r="E77" s="356">
        <v>0.4</v>
      </c>
      <c r="F77" s="357">
        <f t="shared" si="2"/>
        <v>147.20000000000002</v>
      </c>
      <c r="G77" s="357"/>
      <c r="H77" s="357">
        <f t="shared" si="3"/>
        <v>147.20000000000002</v>
      </c>
      <c r="I77" s="358">
        <v>19197503</v>
      </c>
      <c r="J77" s="359"/>
      <c r="K77" s="363"/>
    </row>
    <row r="78" spans="1:13" ht="21.75" customHeight="1" x14ac:dyDescent="0.25">
      <c r="A78" s="341">
        <v>76</v>
      </c>
      <c r="B78" s="385">
        <v>1435</v>
      </c>
      <c r="C78" s="343" t="s">
        <v>45</v>
      </c>
      <c r="D78" s="361">
        <v>1012</v>
      </c>
      <c r="E78" s="345">
        <v>0.4</v>
      </c>
      <c r="F78" s="345">
        <f t="shared" si="2"/>
        <v>404.8</v>
      </c>
      <c r="G78" s="345">
        <f>403.62+1.18</f>
        <v>404.8</v>
      </c>
      <c r="H78" s="345">
        <f t="shared" si="3"/>
        <v>0</v>
      </c>
      <c r="I78" s="346">
        <v>1305522</v>
      </c>
      <c r="J78" s="347">
        <v>45658</v>
      </c>
      <c r="K78" s="350">
        <v>45679</v>
      </c>
    </row>
    <row r="79" spans="1:13" ht="21.75" customHeight="1" x14ac:dyDescent="0.25">
      <c r="A79" s="341">
        <v>77</v>
      </c>
      <c r="B79" s="385">
        <v>1437</v>
      </c>
      <c r="C79" s="343" t="s">
        <v>143</v>
      </c>
      <c r="D79" s="361">
        <v>667</v>
      </c>
      <c r="E79" s="345">
        <v>0.4</v>
      </c>
      <c r="F79" s="345">
        <f t="shared" si="2"/>
        <v>266.8</v>
      </c>
      <c r="G79" s="345">
        <f>F79</f>
        <v>266.8</v>
      </c>
      <c r="H79" s="345">
        <f t="shared" si="3"/>
        <v>0</v>
      </c>
      <c r="I79" s="346">
        <v>9685144</v>
      </c>
      <c r="J79" s="347">
        <v>45658</v>
      </c>
      <c r="K79" s="363" t="s">
        <v>566</v>
      </c>
    </row>
    <row r="80" spans="1:13" ht="21.75" customHeight="1" x14ac:dyDescent="0.25">
      <c r="A80" s="341">
        <v>78</v>
      </c>
      <c r="B80" s="360">
        <v>1438</v>
      </c>
      <c r="C80" s="343" t="s">
        <v>145</v>
      </c>
      <c r="D80" s="361">
        <v>1012</v>
      </c>
      <c r="E80" s="345">
        <v>0.4</v>
      </c>
      <c r="F80" s="345">
        <f t="shared" si="2"/>
        <v>404.8</v>
      </c>
      <c r="G80" s="345">
        <f>401.55+3.25</f>
        <v>404.8</v>
      </c>
      <c r="H80" s="345">
        <f t="shared" si="3"/>
        <v>0</v>
      </c>
      <c r="I80" s="346">
        <v>656621</v>
      </c>
      <c r="J80" s="347">
        <v>45670</v>
      </c>
      <c r="K80" s="350">
        <v>45691</v>
      </c>
    </row>
    <row r="81" spans="1:35" ht="21.75" customHeight="1" x14ac:dyDescent="0.25">
      <c r="A81" s="341">
        <v>79</v>
      </c>
      <c r="B81" s="360">
        <v>1439</v>
      </c>
      <c r="C81" s="343" t="s">
        <v>323</v>
      </c>
      <c r="D81" s="361">
        <v>480.4</v>
      </c>
      <c r="E81" s="345">
        <v>0.4</v>
      </c>
      <c r="F81" s="345">
        <f t="shared" si="2"/>
        <v>192.16</v>
      </c>
      <c r="G81" s="345">
        <f>190.66+1.5</f>
        <v>192.16</v>
      </c>
      <c r="H81" s="345">
        <f t="shared" si="3"/>
        <v>0</v>
      </c>
      <c r="I81" s="346">
        <v>18880548</v>
      </c>
      <c r="J81" s="347">
        <v>45652</v>
      </c>
      <c r="K81" s="350">
        <v>45679</v>
      </c>
    </row>
    <row r="82" spans="1:35" ht="21.75" customHeight="1" x14ac:dyDescent="0.25">
      <c r="A82" s="341">
        <v>80</v>
      </c>
      <c r="B82" s="360">
        <v>1441</v>
      </c>
      <c r="C82" s="343" t="s">
        <v>325</v>
      </c>
      <c r="D82" s="361">
        <v>552</v>
      </c>
      <c r="E82" s="345">
        <v>0.4</v>
      </c>
      <c r="F82" s="345">
        <f t="shared" si="2"/>
        <v>220.8</v>
      </c>
      <c r="G82" s="345">
        <f>219.14+1.66</f>
        <v>220.79999999999998</v>
      </c>
      <c r="H82" s="345">
        <f t="shared" si="3"/>
        <v>0</v>
      </c>
      <c r="I82" s="346">
        <v>7285624</v>
      </c>
      <c r="J82" s="347">
        <v>45684</v>
      </c>
      <c r="K82" s="350">
        <v>45686</v>
      </c>
    </row>
    <row r="83" spans="1:35" ht="21.75" customHeight="1" x14ac:dyDescent="0.25">
      <c r="A83" s="352">
        <v>81</v>
      </c>
      <c r="B83" s="362">
        <v>1444</v>
      </c>
      <c r="C83" s="354" t="s">
        <v>327</v>
      </c>
      <c r="D83" s="355">
        <v>782</v>
      </c>
      <c r="E83" s="356">
        <v>0.4</v>
      </c>
      <c r="F83" s="357">
        <f t="shared" si="2"/>
        <v>312.8</v>
      </c>
      <c r="G83" s="357"/>
      <c r="H83" s="357">
        <f t="shared" si="3"/>
        <v>312.8</v>
      </c>
      <c r="I83" s="358">
        <v>13487202</v>
      </c>
      <c r="J83" s="359"/>
      <c r="K83" s="363"/>
    </row>
    <row r="84" spans="1:35" ht="21.75" customHeight="1" x14ac:dyDescent="0.2">
      <c r="A84" s="352">
        <v>82</v>
      </c>
      <c r="B84" s="388">
        <v>1448</v>
      </c>
      <c r="C84" s="354" t="s">
        <v>147</v>
      </c>
      <c r="D84" s="355">
        <v>423.6</v>
      </c>
      <c r="E84" s="356">
        <v>0.4</v>
      </c>
      <c r="F84" s="357">
        <f t="shared" si="2"/>
        <v>169.44000000000003</v>
      </c>
      <c r="G84" s="357"/>
      <c r="H84" s="357">
        <f t="shared" si="3"/>
        <v>169.44000000000003</v>
      </c>
      <c r="I84" s="389">
        <v>26433121</v>
      </c>
      <c r="J84" s="390"/>
      <c r="K84" s="363"/>
    </row>
    <row r="85" spans="1:35" ht="21.75" customHeight="1" x14ac:dyDescent="0.25">
      <c r="A85" s="341">
        <v>83</v>
      </c>
      <c r="B85" s="360">
        <v>1451</v>
      </c>
      <c r="C85" s="343" t="s">
        <v>329</v>
      </c>
      <c r="D85" s="361">
        <v>335.6</v>
      </c>
      <c r="E85" s="345">
        <v>0.4</v>
      </c>
      <c r="F85" s="345">
        <f t="shared" si="2"/>
        <v>134.24</v>
      </c>
      <c r="G85" s="345">
        <f>130.73+3.51</f>
        <v>134.23999999999998</v>
      </c>
      <c r="H85" s="345">
        <f t="shared" si="3"/>
        <v>0</v>
      </c>
      <c r="I85" s="346">
        <v>20337612</v>
      </c>
      <c r="J85" s="347">
        <v>45672</v>
      </c>
      <c r="K85" s="350">
        <v>45684</v>
      </c>
    </row>
    <row r="86" spans="1:35" ht="21.75" customHeight="1" x14ac:dyDescent="0.25">
      <c r="A86" s="341">
        <v>84</v>
      </c>
      <c r="B86" s="360">
        <v>1453</v>
      </c>
      <c r="C86" s="343" t="s">
        <v>331</v>
      </c>
      <c r="D86" s="361">
        <v>345</v>
      </c>
      <c r="E86" s="345">
        <v>0.4</v>
      </c>
      <c r="F86" s="345">
        <f t="shared" si="2"/>
        <v>138</v>
      </c>
      <c r="G86" s="345">
        <f>133.61+4.39</f>
        <v>138</v>
      </c>
      <c r="H86" s="345">
        <f t="shared" si="3"/>
        <v>0</v>
      </c>
      <c r="I86" s="346">
        <v>5460259</v>
      </c>
      <c r="J86" s="347">
        <v>45658</v>
      </c>
      <c r="K86" s="350">
        <v>45679</v>
      </c>
    </row>
    <row r="87" spans="1:35" ht="21.75" customHeight="1" x14ac:dyDescent="0.25">
      <c r="A87" s="341">
        <v>85</v>
      </c>
      <c r="B87" s="360">
        <v>1455</v>
      </c>
      <c r="C87" s="343" t="s">
        <v>333</v>
      </c>
      <c r="D87" s="361">
        <v>644.1</v>
      </c>
      <c r="E87" s="345">
        <v>0.4</v>
      </c>
      <c r="F87" s="345">
        <f t="shared" si="2"/>
        <v>257.64000000000004</v>
      </c>
      <c r="G87" s="345">
        <f>133.2+123.05+1.39</f>
        <v>257.64</v>
      </c>
      <c r="H87" s="345">
        <f t="shared" si="3"/>
        <v>0</v>
      </c>
      <c r="I87" s="346">
        <v>9954383</v>
      </c>
      <c r="J87" s="347">
        <v>45663</v>
      </c>
      <c r="K87" s="350">
        <v>45665</v>
      </c>
      <c r="L87" s="391">
        <v>45677</v>
      </c>
    </row>
    <row r="88" spans="1:35" ht="21.75" customHeight="1" x14ac:dyDescent="0.25">
      <c r="A88" s="341">
        <v>86</v>
      </c>
      <c r="B88" s="360">
        <v>1462</v>
      </c>
      <c r="C88" s="343" t="s">
        <v>48</v>
      </c>
      <c r="D88" s="361">
        <v>344</v>
      </c>
      <c r="E88" s="345">
        <v>0.4</v>
      </c>
      <c r="F88" s="345">
        <f t="shared" si="2"/>
        <v>137.6</v>
      </c>
      <c r="G88" s="345">
        <f>135.45+2.15</f>
        <v>137.6</v>
      </c>
      <c r="H88" s="345">
        <f t="shared" si="3"/>
        <v>0</v>
      </c>
      <c r="I88" s="346">
        <v>9664038</v>
      </c>
      <c r="J88" s="347">
        <v>45658</v>
      </c>
      <c r="K88" s="350">
        <v>45686</v>
      </c>
    </row>
    <row r="89" spans="1:35" ht="21.75" customHeight="1" x14ac:dyDescent="0.25">
      <c r="A89" s="341">
        <v>87</v>
      </c>
      <c r="B89" s="360">
        <v>1463</v>
      </c>
      <c r="C89" s="343" t="s">
        <v>50</v>
      </c>
      <c r="D89" s="361">
        <v>550</v>
      </c>
      <c r="E89" s="345">
        <v>0.4</v>
      </c>
      <c r="F89" s="345">
        <f t="shared" si="2"/>
        <v>220</v>
      </c>
      <c r="G89" s="345">
        <f>F89</f>
        <v>220</v>
      </c>
      <c r="H89" s="345">
        <f t="shared" si="3"/>
        <v>0</v>
      </c>
      <c r="I89" s="346">
        <v>3798072</v>
      </c>
      <c r="J89" s="347">
        <v>45691</v>
      </c>
      <c r="K89" s="341"/>
    </row>
    <row r="90" spans="1:35" ht="21.75" customHeight="1" x14ac:dyDescent="0.25">
      <c r="A90" s="352">
        <v>88</v>
      </c>
      <c r="B90" s="362">
        <v>1464</v>
      </c>
      <c r="C90" s="354" t="s">
        <v>335</v>
      </c>
      <c r="D90" s="355">
        <v>644</v>
      </c>
      <c r="E90" s="356">
        <v>0.4</v>
      </c>
      <c r="F90" s="357">
        <f t="shared" si="2"/>
        <v>257.60000000000002</v>
      </c>
      <c r="G90" s="357"/>
      <c r="H90" s="357">
        <f t="shared" si="3"/>
        <v>257.60000000000002</v>
      </c>
      <c r="I90" s="358">
        <v>6352996</v>
      </c>
      <c r="J90" s="359"/>
      <c r="K90" s="363"/>
    </row>
    <row r="91" spans="1:35" ht="21.75" customHeight="1" x14ac:dyDescent="0.25">
      <c r="A91" s="352">
        <v>89</v>
      </c>
      <c r="B91" s="362">
        <v>1467</v>
      </c>
      <c r="C91" s="358" t="s">
        <v>337</v>
      </c>
      <c r="D91" s="355">
        <v>501.4</v>
      </c>
      <c r="E91" s="356">
        <v>0.4</v>
      </c>
      <c r="F91" s="357">
        <f t="shared" si="2"/>
        <v>200.56</v>
      </c>
      <c r="G91" s="357"/>
      <c r="H91" s="357">
        <f t="shared" si="3"/>
        <v>200.56</v>
      </c>
      <c r="I91" s="358">
        <v>4279933</v>
      </c>
      <c r="J91" s="359"/>
      <c r="K91" s="363"/>
    </row>
    <row r="92" spans="1:35" ht="21.75" customHeight="1" x14ac:dyDescent="0.25">
      <c r="A92" s="341">
        <v>90</v>
      </c>
      <c r="B92" s="360">
        <v>1468</v>
      </c>
      <c r="C92" s="364" t="s">
        <v>149</v>
      </c>
      <c r="D92" s="361">
        <v>685.6</v>
      </c>
      <c r="E92" s="345">
        <v>0.4</v>
      </c>
      <c r="F92" s="345">
        <f t="shared" si="2"/>
        <v>274.24</v>
      </c>
      <c r="G92" s="345">
        <f>269.87+4.37</f>
        <v>274.24</v>
      </c>
      <c r="H92" s="345">
        <f t="shared" si="3"/>
        <v>0</v>
      </c>
      <c r="I92" s="346">
        <v>6996485</v>
      </c>
      <c r="J92" s="392">
        <v>45684</v>
      </c>
      <c r="K92" s="350">
        <v>45810</v>
      </c>
    </row>
    <row r="93" spans="1:35" s="395" customFormat="1" ht="21.75" customHeight="1" x14ac:dyDescent="0.25">
      <c r="A93" s="352">
        <v>91</v>
      </c>
      <c r="B93" s="362">
        <v>1472</v>
      </c>
      <c r="C93" s="354" t="s">
        <v>554</v>
      </c>
      <c r="D93" s="355">
        <v>606.9</v>
      </c>
      <c r="E93" s="356">
        <v>0.4</v>
      </c>
      <c r="F93" s="357">
        <f t="shared" si="2"/>
        <v>242.76</v>
      </c>
      <c r="G93" s="357"/>
      <c r="H93" s="357">
        <f t="shared" si="3"/>
        <v>242.76</v>
      </c>
      <c r="I93" s="358">
        <v>12987814</v>
      </c>
      <c r="J93" s="393"/>
      <c r="K93" s="394" t="s">
        <v>202</v>
      </c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34"/>
      <c r="Z93" s="334"/>
      <c r="AA93" s="334"/>
      <c r="AB93" s="334"/>
      <c r="AC93" s="334"/>
      <c r="AD93" s="334"/>
      <c r="AE93" s="334"/>
      <c r="AF93" s="334"/>
      <c r="AG93" s="334"/>
      <c r="AH93" s="334"/>
      <c r="AI93" s="334"/>
    </row>
    <row r="94" spans="1:35" ht="21.75" customHeight="1" x14ac:dyDescent="0.25">
      <c r="A94" s="352">
        <v>92</v>
      </c>
      <c r="B94" s="362">
        <v>1473</v>
      </c>
      <c r="C94" s="354" t="s">
        <v>341</v>
      </c>
      <c r="D94" s="355">
        <v>553.29999999999995</v>
      </c>
      <c r="E94" s="356">
        <v>0.4</v>
      </c>
      <c r="F94" s="357">
        <f t="shared" si="2"/>
        <v>221.32</v>
      </c>
      <c r="G94" s="357"/>
      <c r="H94" s="357">
        <f t="shared" si="3"/>
        <v>221.32</v>
      </c>
      <c r="I94" s="358">
        <v>18722784</v>
      </c>
      <c r="J94" s="396"/>
      <c r="K94" s="363"/>
    </row>
    <row r="95" spans="1:35" ht="21.75" customHeight="1" x14ac:dyDescent="0.25">
      <c r="A95" s="341">
        <v>93</v>
      </c>
      <c r="B95" s="360">
        <v>1475</v>
      </c>
      <c r="C95" s="364" t="s">
        <v>151</v>
      </c>
      <c r="D95" s="361">
        <v>341</v>
      </c>
      <c r="E95" s="345">
        <v>0.4</v>
      </c>
      <c r="F95" s="345">
        <f t="shared" si="2"/>
        <v>136.4</v>
      </c>
      <c r="G95" s="345">
        <f>135.14</f>
        <v>135.13999999999999</v>
      </c>
      <c r="H95" s="345">
        <f t="shared" si="3"/>
        <v>1.2600000000000193</v>
      </c>
      <c r="I95" s="346">
        <v>4584011</v>
      </c>
      <c r="J95" s="392">
        <v>45691</v>
      </c>
      <c r="K95" s="341"/>
    </row>
    <row r="96" spans="1:35" ht="21.75" customHeight="1" x14ac:dyDescent="0.25">
      <c r="A96" s="341">
        <v>94</v>
      </c>
      <c r="B96" s="360">
        <v>1476</v>
      </c>
      <c r="C96" s="346" t="s">
        <v>343</v>
      </c>
      <c r="D96" s="361">
        <v>327.60000000000002</v>
      </c>
      <c r="E96" s="345">
        <v>0.4</v>
      </c>
      <c r="F96" s="345">
        <f t="shared" si="2"/>
        <v>131.04000000000002</v>
      </c>
      <c r="G96" s="345">
        <f>130.26+0.78</f>
        <v>131.04</v>
      </c>
      <c r="H96" s="345">
        <f t="shared" si="3"/>
        <v>0</v>
      </c>
      <c r="I96" s="346">
        <v>5486858</v>
      </c>
      <c r="J96" s="347">
        <v>45663</v>
      </c>
      <c r="K96" s="369">
        <v>45684</v>
      </c>
    </row>
    <row r="97" spans="1:13" ht="21.75" customHeight="1" x14ac:dyDescent="0.25">
      <c r="A97" s="341">
        <v>95</v>
      </c>
      <c r="B97" s="360">
        <v>1477</v>
      </c>
      <c r="C97" s="343" t="s">
        <v>345</v>
      </c>
      <c r="D97" s="361">
        <v>321.2</v>
      </c>
      <c r="E97" s="345">
        <v>0.4</v>
      </c>
      <c r="F97" s="345">
        <f t="shared" si="2"/>
        <v>128.47999999999999</v>
      </c>
      <c r="G97" s="345">
        <f>109.6</f>
        <v>109.6</v>
      </c>
      <c r="H97" s="345">
        <f t="shared" si="3"/>
        <v>18.879999999999995</v>
      </c>
      <c r="I97" s="346">
        <v>18656494</v>
      </c>
      <c r="J97" s="392">
        <v>45691</v>
      </c>
      <c r="K97" s="341"/>
    </row>
    <row r="98" spans="1:13" ht="21.75" customHeight="1" x14ac:dyDescent="0.25">
      <c r="A98" s="341">
        <v>96</v>
      </c>
      <c r="B98" s="360">
        <v>1480</v>
      </c>
      <c r="C98" s="343" t="s">
        <v>347</v>
      </c>
      <c r="D98" s="361">
        <v>339.8</v>
      </c>
      <c r="E98" s="345">
        <v>0.4</v>
      </c>
      <c r="F98" s="345">
        <f t="shared" si="2"/>
        <v>135.92000000000002</v>
      </c>
      <c r="G98" s="345">
        <f>132.72</f>
        <v>132.72</v>
      </c>
      <c r="H98" s="345">
        <f t="shared" si="3"/>
        <v>3.2000000000000171</v>
      </c>
      <c r="I98" s="346">
        <v>19820777</v>
      </c>
      <c r="J98" s="392">
        <v>45684</v>
      </c>
      <c r="K98" s="341"/>
    </row>
    <row r="99" spans="1:13" s="334" customFormat="1" ht="21.75" customHeight="1" x14ac:dyDescent="0.25">
      <c r="A99" s="377">
        <v>97</v>
      </c>
      <c r="B99" s="362">
        <v>1482</v>
      </c>
      <c r="C99" s="354" t="s">
        <v>349</v>
      </c>
      <c r="D99" s="397">
        <v>523.29999999999995</v>
      </c>
      <c r="E99" s="356">
        <v>0.4</v>
      </c>
      <c r="F99" s="356">
        <f t="shared" si="2"/>
        <v>209.32</v>
      </c>
      <c r="G99" s="356">
        <v>0</v>
      </c>
      <c r="H99" s="356">
        <f t="shared" si="3"/>
        <v>209.32</v>
      </c>
      <c r="I99" s="358">
        <v>4024306</v>
      </c>
      <c r="J99" s="396"/>
      <c r="K99" s="352"/>
    </row>
    <row r="100" spans="1:13" s="334" customFormat="1" ht="26.25" customHeight="1" x14ac:dyDescent="0.25">
      <c r="A100" s="341">
        <v>98</v>
      </c>
      <c r="B100" s="360">
        <v>1485</v>
      </c>
      <c r="C100" s="343" t="s">
        <v>352</v>
      </c>
      <c r="D100" s="361">
        <v>388.5</v>
      </c>
      <c r="E100" s="345">
        <v>0.4</v>
      </c>
      <c r="F100" s="345">
        <f t="shared" si="2"/>
        <v>155.4</v>
      </c>
      <c r="G100" s="345">
        <f>152.5+2.9</f>
        <v>155.4</v>
      </c>
      <c r="H100" s="345">
        <f t="shared" si="3"/>
        <v>0</v>
      </c>
      <c r="I100" s="346">
        <v>18585573</v>
      </c>
      <c r="J100" s="375">
        <v>45663</v>
      </c>
      <c r="K100" s="350">
        <v>45679</v>
      </c>
    </row>
    <row r="101" spans="1:13" s="334" customFormat="1" ht="26.25" customHeight="1" x14ac:dyDescent="0.25">
      <c r="A101" s="341">
        <v>99</v>
      </c>
      <c r="B101" s="360">
        <v>1487</v>
      </c>
      <c r="C101" s="398" t="s">
        <v>354</v>
      </c>
      <c r="D101" s="361">
        <v>162.1</v>
      </c>
      <c r="E101" s="345">
        <v>0.4</v>
      </c>
      <c r="F101" s="345">
        <f t="shared" si="2"/>
        <v>64.84</v>
      </c>
      <c r="G101" s="345">
        <f>62.3</f>
        <v>62.3</v>
      </c>
      <c r="H101" s="345">
        <f t="shared" si="3"/>
        <v>2.5400000000000063</v>
      </c>
      <c r="I101" s="399">
        <v>19315674</v>
      </c>
      <c r="J101" s="347">
        <v>45658</v>
      </c>
      <c r="K101" s="341"/>
    </row>
    <row r="102" spans="1:13" s="334" customFormat="1" ht="21.75" customHeight="1" x14ac:dyDescent="0.25">
      <c r="A102" s="341">
        <v>100</v>
      </c>
      <c r="B102" s="360">
        <v>1700</v>
      </c>
      <c r="C102" s="343" t="s">
        <v>356</v>
      </c>
      <c r="D102" s="361">
        <v>666</v>
      </c>
      <c r="E102" s="345">
        <v>0.4</v>
      </c>
      <c r="F102" s="345">
        <f t="shared" si="2"/>
        <v>266.40000000000003</v>
      </c>
      <c r="G102" s="345">
        <f>262.63+3.77</f>
        <v>266.39999999999998</v>
      </c>
      <c r="H102" s="345">
        <f t="shared" si="3"/>
        <v>0</v>
      </c>
      <c r="I102" s="346">
        <v>6332437</v>
      </c>
      <c r="J102" s="392">
        <v>45665</v>
      </c>
      <c r="K102" s="350">
        <v>45684</v>
      </c>
    </row>
    <row r="103" spans="1:13" s="334" customFormat="1" ht="21.75" customHeight="1" x14ac:dyDescent="0.25">
      <c r="A103" s="352">
        <v>101</v>
      </c>
      <c r="B103" s="362">
        <v>1702</v>
      </c>
      <c r="C103" s="354" t="s">
        <v>359</v>
      </c>
      <c r="D103" s="355">
        <v>524.70000000000005</v>
      </c>
      <c r="E103" s="356">
        <v>0.4</v>
      </c>
      <c r="F103" s="357">
        <f t="shared" si="2"/>
        <v>209.88000000000002</v>
      </c>
      <c r="G103" s="357"/>
      <c r="H103" s="357">
        <f t="shared" si="3"/>
        <v>209.88000000000002</v>
      </c>
      <c r="I103" s="358">
        <v>1572875</v>
      </c>
      <c r="J103" s="396"/>
      <c r="K103" s="352"/>
    </row>
    <row r="104" spans="1:13" s="334" customFormat="1" ht="21.75" customHeight="1" x14ac:dyDescent="0.25">
      <c r="A104" s="352">
        <v>102</v>
      </c>
      <c r="B104" s="362">
        <v>1704</v>
      </c>
      <c r="C104" s="354" t="s">
        <v>361</v>
      </c>
      <c r="D104" s="355">
        <v>395</v>
      </c>
      <c r="E104" s="356">
        <v>0.4</v>
      </c>
      <c r="F104" s="357">
        <f t="shared" si="2"/>
        <v>158</v>
      </c>
      <c r="G104" s="357"/>
      <c r="H104" s="357">
        <f t="shared" si="3"/>
        <v>158</v>
      </c>
      <c r="I104" s="358">
        <v>19235157</v>
      </c>
      <c r="J104" s="396"/>
      <c r="K104" s="352"/>
    </row>
    <row r="105" spans="1:13" s="334" customFormat="1" ht="21.75" customHeight="1" x14ac:dyDescent="0.25">
      <c r="A105" s="341">
        <v>103</v>
      </c>
      <c r="B105" s="360">
        <v>1706</v>
      </c>
      <c r="C105" s="343" t="s">
        <v>153</v>
      </c>
      <c r="D105" s="361">
        <v>313.89999999999998</v>
      </c>
      <c r="E105" s="345">
        <v>0.4</v>
      </c>
      <c r="F105" s="345">
        <f t="shared" si="2"/>
        <v>125.56</v>
      </c>
      <c r="G105" s="345">
        <f>122.64+2.92</f>
        <v>125.56</v>
      </c>
      <c r="H105" s="345">
        <f t="shared" si="3"/>
        <v>0</v>
      </c>
      <c r="I105" s="346">
        <v>2520947</v>
      </c>
      <c r="J105" s="392">
        <v>45677</v>
      </c>
      <c r="K105" s="350">
        <v>45686</v>
      </c>
    </row>
    <row r="106" spans="1:13" s="334" customFormat="1" ht="21.75" customHeight="1" x14ac:dyDescent="0.25">
      <c r="A106" s="341">
        <v>104</v>
      </c>
      <c r="B106" s="360">
        <v>1708</v>
      </c>
      <c r="C106" s="343" t="s">
        <v>363</v>
      </c>
      <c r="D106" s="361">
        <v>1081.0999999999999</v>
      </c>
      <c r="E106" s="345">
        <v>0.4</v>
      </c>
      <c r="F106" s="345">
        <f t="shared" si="2"/>
        <v>432.44</v>
      </c>
      <c r="G106" s="345">
        <f>32.22+204+194+2.22</f>
        <v>432.44000000000005</v>
      </c>
      <c r="H106" s="345">
        <f t="shared" si="3"/>
        <v>0</v>
      </c>
      <c r="I106" s="346">
        <v>1331691</v>
      </c>
      <c r="J106" s="392">
        <v>45663</v>
      </c>
      <c r="K106" s="350">
        <v>45665</v>
      </c>
      <c r="L106" s="387">
        <v>45670</v>
      </c>
      <c r="M106" s="387">
        <v>45684</v>
      </c>
    </row>
    <row r="107" spans="1:13" s="334" customFormat="1" ht="21.75" customHeight="1" x14ac:dyDescent="0.25">
      <c r="A107" s="352">
        <v>105</v>
      </c>
      <c r="B107" s="362">
        <v>1709</v>
      </c>
      <c r="C107" s="354" t="s">
        <v>365</v>
      </c>
      <c r="D107" s="355">
        <v>343</v>
      </c>
      <c r="E107" s="356">
        <v>0.4</v>
      </c>
      <c r="F107" s="357">
        <f t="shared" si="2"/>
        <v>137.20000000000002</v>
      </c>
      <c r="G107" s="357"/>
      <c r="H107" s="357">
        <f t="shared" si="3"/>
        <v>137.20000000000002</v>
      </c>
      <c r="I107" s="358">
        <v>2406629</v>
      </c>
      <c r="J107" s="396"/>
      <c r="K107" s="352"/>
    </row>
    <row r="108" spans="1:13" s="334" customFormat="1" ht="21.75" customHeight="1" x14ac:dyDescent="0.25">
      <c r="A108" s="352">
        <v>106</v>
      </c>
      <c r="B108" s="362">
        <v>1711</v>
      </c>
      <c r="C108" s="354" t="s">
        <v>55</v>
      </c>
      <c r="D108" s="355">
        <v>539.6</v>
      </c>
      <c r="E108" s="356">
        <v>0.4</v>
      </c>
      <c r="F108" s="357">
        <f t="shared" si="2"/>
        <v>215.84000000000003</v>
      </c>
      <c r="G108" s="357"/>
      <c r="H108" s="357">
        <f t="shared" si="3"/>
        <v>215.84000000000003</v>
      </c>
      <c r="I108" s="358">
        <v>638353</v>
      </c>
      <c r="J108" s="396"/>
      <c r="K108" s="352"/>
    </row>
    <row r="109" spans="1:13" s="351" customFormat="1" ht="21.75" customHeight="1" x14ac:dyDescent="0.25">
      <c r="A109" s="341">
        <v>107</v>
      </c>
      <c r="B109" s="360">
        <v>1712</v>
      </c>
      <c r="C109" s="343" t="s">
        <v>57</v>
      </c>
      <c r="D109" s="361">
        <v>345</v>
      </c>
      <c r="E109" s="345">
        <v>0.4</v>
      </c>
      <c r="F109" s="345">
        <f t="shared" si="2"/>
        <v>138</v>
      </c>
      <c r="G109" s="345">
        <f>134.73</f>
        <v>134.72999999999999</v>
      </c>
      <c r="H109" s="345">
        <f t="shared" si="3"/>
        <v>3.2700000000000102</v>
      </c>
      <c r="I109" s="346">
        <v>788958</v>
      </c>
      <c r="J109" s="392">
        <v>45963</v>
      </c>
      <c r="K109" s="341"/>
    </row>
    <row r="110" spans="1:13" s="334" customFormat="1" ht="21.75" customHeight="1" x14ac:dyDescent="0.25">
      <c r="A110" s="341">
        <v>108</v>
      </c>
      <c r="B110" s="360">
        <v>1713</v>
      </c>
      <c r="C110" s="343" t="s">
        <v>157</v>
      </c>
      <c r="D110" s="361">
        <v>368</v>
      </c>
      <c r="E110" s="345">
        <v>0.4</v>
      </c>
      <c r="F110" s="345">
        <f t="shared" si="2"/>
        <v>147.20000000000002</v>
      </c>
      <c r="G110" s="345">
        <f>146.35+0.85</f>
        <v>147.19999999999999</v>
      </c>
      <c r="H110" s="345">
        <f t="shared" si="3"/>
        <v>0</v>
      </c>
      <c r="I110" s="346">
        <v>19890467</v>
      </c>
      <c r="J110" s="392">
        <v>45663</v>
      </c>
      <c r="K110" s="350">
        <v>45679</v>
      </c>
    </row>
    <row r="111" spans="1:13" s="334" customFormat="1" ht="21.75" customHeight="1" x14ac:dyDescent="0.25">
      <c r="A111" s="341">
        <v>109</v>
      </c>
      <c r="B111" s="360">
        <v>1714</v>
      </c>
      <c r="C111" s="343" t="s">
        <v>59</v>
      </c>
      <c r="D111" s="361">
        <v>343</v>
      </c>
      <c r="E111" s="345">
        <v>0.4</v>
      </c>
      <c r="F111" s="345">
        <f t="shared" si="2"/>
        <v>137.20000000000002</v>
      </c>
      <c r="G111" s="345">
        <f>133.23+3.97</f>
        <v>137.19999999999999</v>
      </c>
      <c r="H111" s="345">
        <f t="shared" si="3"/>
        <v>0</v>
      </c>
      <c r="I111" s="346">
        <v>6285703</v>
      </c>
      <c r="J111" s="392">
        <v>45672</v>
      </c>
      <c r="K111" s="350">
        <v>45677</v>
      </c>
    </row>
    <row r="112" spans="1:13" s="334" customFormat="1" ht="21.75" customHeight="1" x14ac:dyDescent="0.25">
      <c r="A112" s="341">
        <v>110</v>
      </c>
      <c r="B112" s="360">
        <v>1715</v>
      </c>
      <c r="C112" s="343" t="s">
        <v>62</v>
      </c>
      <c r="D112" s="361">
        <v>241.2</v>
      </c>
      <c r="E112" s="345">
        <v>0.4</v>
      </c>
      <c r="F112" s="345">
        <f t="shared" si="2"/>
        <v>96.48</v>
      </c>
      <c r="G112" s="345">
        <f>96.25+0.23</f>
        <v>96.48</v>
      </c>
      <c r="H112" s="345">
        <f t="shared" si="3"/>
        <v>0</v>
      </c>
      <c r="I112" s="346">
        <v>6511663</v>
      </c>
      <c r="J112" s="392">
        <v>45658</v>
      </c>
      <c r="K112" s="400" t="s">
        <v>567</v>
      </c>
    </row>
    <row r="113" spans="1:11" s="334" customFormat="1" ht="21.75" customHeight="1" x14ac:dyDescent="0.25">
      <c r="A113" s="341">
        <v>111</v>
      </c>
      <c r="B113" s="360">
        <v>1716</v>
      </c>
      <c r="C113" s="343" t="s">
        <v>368</v>
      </c>
      <c r="D113" s="361">
        <v>733.4</v>
      </c>
      <c r="E113" s="345">
        <v>0.4</v>
      </c>
      <c r="F113" s="345">
        <f t="shared" si="2"/>
        <v>293.36</v>
      </c>
      <c r="G113" s="345">
        <f>290.93+2.43</f>
        <v>293.36</v>
      </c>
      <c r="H113" s="345">
        <f t="shared" si="3"/>
        <v>0</v>
      </c>
      <c r="I113" s="346">
        <v>24147445</v>
      </c>
      <c r="J113" s="392">
        <v>45658</v>
      </c>
      <c r="K113" s="350">
        <v>45810</v>
      </c>
    </row>
    <row r="114" spans="1:11" s="351" customFormat="1" ht="21.75" customHeight="1" x14ac:dyDescent="0.25">
      <c r="A114" s="341">
        <v>112</v>
      </c>
      <c r="B114" s="360">
        <v>1717</v>
      </c>
      <c r="C114" s="343" t="s">
        <v>370</v>
      </c>
      <c r="D114" s="361">
        <v>362</v>
      </c>
      <c r="E114" s="345">
        <v>0.4</v>
      </c>
      <c r="F114" s="345">
        <f t="shared" si="2"/>
        <v>144.80000000000001</v>
      </c>
      <c r="G114" s="345">
        <f>142.62</f>
        <v>142.62</v>
      </c>
      <c r="H114" s="345">
        <f t="shared" si="3"/>
        <v>2.1800000000000068</v>
      </c>
      <c r="I114" s="346">
        <v>3248965</v>
      </c>
      <c r="J114" s="392">
        <v>45963</v>
      </c>
      <c r="K114" s="341"/>
    </row>
    <row r="115" spans="1:11" s="334" customFormat="1" ht="21.75" customHeight="1" x14ac:dyDescent="0.25">
      <c r="A115" s="341">
        <v>113</v>
      </c>
      <c r="B115" s="360">
        <v>1718</v>
      </c>
      <c r="C115" s="343" t="s">
        <v>159</v>
      </c>
      <c r="D115" s="361">
        <v>335.7</v>
      </c>
      <c r="E115" s="345">
        <v>0.4</v>
      </c>
      <c r="F115" s="345">
        <f t="shared" si="2"/>
        <v>134.28</v>
      </c>
      <c r="G115" s="345">
        <f>130.65+3.63</f>
        <v>134.28</v>
      </c>
      <c r="H115" s="345">
        <f t="shared" si="3"/>
        <v>0</v>
      </c>
      <c r="I115" s="346">
        <v>18656137</v>
      </c>
      <c r="J115" s="392">
        <v>45656</v>
      </c>
      <c r="K115" s="369">
        <v>45684</v>
      </c>
    </row>
    <row r="116" spans="1:11" s="334" customFormat="1" ht="21.75" customHeight="1" x14ac:dyDescent="0.25">
      <c r="A116" s="352">
        <v>114</v>
      </c>
      <c r="B116" s="362">
        <v>1720</v>
      </c>
      <c r="C116" s="354" t="s">
        <v>372</v>
      </c>
      <c r="D116" s="355">
        <v>345</v>
      </c>
      <c r="E116" s="356">
        <v>0.4</v>
      </c>
      <c r="F116" s="357">
        <f t="shared" si="2"/>
        <v>138</v>
      </c>
      <c r="G116" s="357"/>
      <c r="H116" s="357">
        <f t="shared" si="3"/>
        <v>138</v>
      </c>
      <c r="I116" s="358">
        <v>6812881</v>
      </c>
      <c r="J116" s="396"/>
      <c r="K116" s="352"/>
    </row>
    <row r="117" spans="1:11" s="334" customFormat="1" ht="21.75" customHeight="1" x14ac:dyDescent="0.25">
      <c r="A117" s="341">
        <v>115</v>
      </c>
      <c r="B117" s="360">
        <v>1722</v>
      </c>
      <c r="C117" s="343" t="s">
        <v>374</v>
      </c>
      <c r="D117" s="361">
        <v>449.8</v>
      </c>
      <c r="E117" s="345">
        <v>0.4</v>
      </c>
      <c r="F117" s="345">
        <f t="shared" si="2"/>
        <v>179.92000000000002</v>
      </c>
      <c r="G117" s="345">
        <f>176.29+3.63</f>
        <v>179.92</v>
      </c>
      <c r="H117" s="345">
        <f t="shared" si="3"/>
        <v>0</v>
      </c>
      <c r="I117" s="346">
        <v>12979647</v>
      </c>
      <c r="J117" s="392">
        <v>45679</v>
      </c>
      <c r="K117" s="350">
        <v>45686</v>
      </c>
    </row>
    <row r="118" spans="1:11" s="334" customFormat="1" ht="21.75" customHeight="1" x14ac:dyDescent="0.25">
      <c r="A118" s="352">
        <v>116</v>
      </c>
      <c r="B118" s="362">
        <v>1723</v>
      </c>
      <c r="C118" s="354" t="s">
        <v>65</v>
      </c>
      <c r="D118" s="355">
        <v>391</v>
      </c>
      <c r="E118" s="356">
        <v>0.4</v>
      </c>
      <c r="F118" s="357">
        <f t="shared" si="2"/>
        <v>156.4</v>
      </c>
      <c r="G118" s="357"/>
      <c r="H118" s="357">
        <f t="shared" si="3"/>
        <v>156.4</v>
      </c>
      <c r="I118" s="358">
        <v>6631224</v>
      </c>
      <c r="J118" s="396"/>
      <c r="K118" s="352"/>
    </row>
    <row r="119" spans="1:11" s="334" customFormat="1" ht="21.75" customHeight="1" x14ac:dyDescent="0.25">
      <c r="A119" s="341">
        <v>117</v>
      </c>
      <c r="B119" s="360">
        <v>1724</v>
      </c>
      <c r="C119" s="343" t="s">
        <v>67</v>
      </c>
      <c r="D119" s="361">
        <v>345</v>
      </c>
      <c r="E119" s="345">
        <v>0.4</v>
      </c>
      <c r="F119" s="345">
        <f t="shared" si="2"/>
        <v>138</v>
      </c>
      <c r="G119" s="345">
        <f>135.45+2.55</f>
        <v>138</v>
      </c>
      <c r="H119" s="345">
        <f t="shared" si="3"/>
        <v>0</v>
      </c>
      <c r="I119" s="346">
        <v>10795143</v>
      </c>
      <c r="J119" s="392">
        <v>45658</v>
      </c>
      <c r="K119" s="350">
        <v>45686</v>
      </c>
    </row>
    <row r="120" spans="1:11" s="334" customFormat="1" ht="21.75" customHeight="1" x14ac:dyDescent="0.25">
      <c r="A120" s="352">
        <v>118</v>
      </c>
      <c r="B120" s="362">
        <v>1725</v>
      </c>
      <c r="C120" s="354" t="s">
        <v>377</v>
      </c>
      <c r="D120" s="355">
        <v>732.6</v>
      </c>
      <c r="E120" s="356">
        <v>0.4</v>
      </c>
      <c r="F120" s="357">
        <f t="shared" si="2"/>
        <v>293.04000000000002</v>
      </c>
      <c r="G120" s="357"/>
      <c r="H120" s="357">
        <f t="shared" si="3"/>
        <v>293.04000000000002</v>
      </c>
      <c r="I120" s="358">
        <v>2223414</v>
      </c>
      <c r="J120" s="396"/>
      <c r="K120" s="352"/>
    </row>
    <row r="121" spans="1:11" s="334" customFormat="1" ht="21.75" customHeight="1" x14ac:dyDescent="0.25">
      <c r="A121" s="341">
        <v>119</v>
      </c>
      <c r="B121" s="360">
        <v>1726</v>
      </c>
      <c r="C121" s="343" t="s">
        <v>379</v>
      </c>
      <c r="D121" s="361">
        <v>516</v>
      </c>
      <c r="E121" s="345">
        <v>0.4</v>
      </c>
      <c r="F121" s="345">
        <f t="shared" si="2"/>
        <v>206.4</v>
      </c>
      <c r="G121" s="345">
        <f>202.296+4.11</f>
        <v>206.40600000000001</v>
      </c>
      <c r="H121" s="345">
        <f t="shared" si="3"/>
        <v>-6.0000000000002274E-3</v>
      </c>
      <c r="I121" s="346">
        <v>5440535</v>
      </c>
      <c r="J121" s="350">
        <v>45684</v>
      </c>
      <c r="K121" s="350">
        <v>45691</v>
      </c>
    </row>
    <row r="122" spans="1:11" s="334" customFormat="1" ht="21.75" customHeight="1" x14ac:dyDescent="0.25">
      <c r="A122" s="352">
        <v>120</v>
      </c>
      <c r="B122" s="362">
        <v>1728</v>
      </c>
      <c r="C122" s="354" t="s">
        <v>13</v>
      </c>
      <c r="D122" s="355">
        <v>368</v>
      </c>
      <c r="E122" s="356">
        <v>0.4</v>
      </c>
      <c r="F122" s="357">
        <f t="shared" si="2"/>
        <v>147.20000000000002</v>
      </c>
      <c r="G122" s="357"/>
      <c r="H122" s="357">
        <f t="shared" si="3"/>
        <v>147.20000000000002</v>
      </c>
      <c r="I122" s="358">
        <v>8977778</v>
      </c>
      <c r="J122" s="396"/>
      <c r="K122" s="352"/>
    </row>
    <row r="123" spans="1:11" s="334" customFormat="1" ht="21.75" customHeight="1" x14ac:dyDescent="0.25">
      <c r="A123" s="341">
        <v>121</v>
      </c>
      <c r="B123" s="360">
        <v>1729</v>
      </c>
      <c r="C123" s="343" t="s">
        <v>382</v>
      </c>
      <c r="D123" s="361">
        <v>309.10000000000002</v>
      </c>
      <c r="E123" s="345">
        <v>0.4</v>
      </c>
      <c r="F123" s="345">
        <f t="shared" si="2"/>
        <v>123.64000000000001</v>
      </c>
      <c r="G123" s="345">
        <f>121.25+2.39</f>
        <v>123.64</v>
      </c>
      <c r="H123" s="345">
        <f t="shared" si="3"/>
        <v>0</v>
      </c>
      <c r="I123" s="346">
        <v>22975081</v>
      </c>
      <c r="J123" s="392">
        <v>45670</v>
      </c>
      <c r="K123" s="369">
        <v>45684</v>
      </c>
    </row>
    <row r="124" spans="1:11" s="334" customFormat="1" ht="21.75" customHeight="1" x14ac:dyDescent="0.25">
      <c r="A124" s="341">
        <v>122</v>
      </c>
      <c r="B124" s="360">
        <v>1730</v>
      </c>
      <c r="C124" s="343" t="s">
        <v>162</v>
      </c>
      <c r="D124" s="361">
        <v>401.1</v>
      </c>
      <c r="E124" s="345">
        <v>0.4</v>
      </c>
      <c r="F124" s="345">
        <f t="shared" si="2"/>
        <v>160.44000000000003</v>
      </c>
      <c r="G124" s="345">
        <f>158.8+1.64</f>
        <v>160.44</v>
      </c>
      <c r="H124" s="345">
        <f t="shared" si="3"/>
        <v>0</v>
      </c>
      <c r="I124" s="346">
        <v>18458405</v>
      </c>
      <c r="J124" s="392">
        <v>45658</v>
      </c>
      <c r="K124" s="350">
        <v>45686</v>
      </c>
    </row>
    <row r="125" spans="1:11" s="334" customFormat="1" ht="21.75" customHeight="1" x14ac:dyDescent="0.25">
      <c r="A125" s="341">
        <v>123</v>
      </c>
      <c r="B125" s="360">
        <v>1731</v>
      </c>
      <c r="C125" s="343" t="s">
        <v>384</v>
      </c>
      <c r="D125" s="361">
        <v>349.1</v>
      </c>
      <c r="E125" s="345">
        <v>0.4</v>
      </c>
      <c r="F125" s="345">
        <f t="shared" si="2"/>
        <v>139.64000000000001</v>
      </c>
      <c r="G125" s="345">
        <f>137.98+1.66</f>
        <v>139.63999999999999</v>
      </c>
      <c r="H125" s="345">
        <f t="shared" si="3"/>
        <v>0</v>
      </c>
      <c r="I125" s="346">
        <v>604651</v>
      </c>
      <c r="J125" s="392">
        <v>45663</v>
      </c>
      <c r="K125" s="350">
        <v>45691</v>
      </c>
    </row>
    <row r="126" spans="1:11" s="334" customFormat="1" ht="21.75" customHeight="1" x14ac:dyDescent="0.25">
      <c r="A126" s="352">
        <v>124</v>
      </c>
      <c r="B126" s="362">
        <v>1733</v>
      </c>
      <c r="C126" s="354" t="s">
        <v>386</v>
      </c>
      <c r="D126" s="355">
        <v>363.5</v>
      </c>
      <c r="E126" s="356">
        <v>0.4</v>
      </c>
      <c r="F126" s="357">
        <f t="shared" si="2"/>
        <v>145.4</v>
      </c>
      <c r="G126" s="357"/>
      <c r="H126" s="357">
        <f t="shared" si="3"/>
        <v>145.4</v>
      </c>
      <c r="I126" s="358">
        <v>24598302</v>
      </c>
      <c r="J126" s="396"/>
      <c r="K126" s="352"/>
    </row>
    <row r="127" spans="1:11" s="334" customFormat="1" ht="21.75" customHeight="1" x14ac:dyDescent="0.25">
      <c r="A127" s="352">
        <v>125</v>
      </c>
      <c r="B127" s="362">
        <v>1734</v>
      </c>
      <c r="C127" s="354" t="s">
        <v>388</v>
      </c>
      <c r="D127" s="355">
        <v>368</v>
      </c>
      <c r="E127" s="356">
        <v>0.4</v>
      </c>
      <c r="F127" s="357">
        <f t="shared" si="2"/>
        <v>147.20000000000002</v>
      </c>
      <c r="G127" s="357"/>
      <c r="H127" s="357">
        <f t="shared" si="3"/>
        <v>147.20000000000002</v>
      </c>
      <c r="I127" s="358">
        <v>1105552</v>
      </c>
      <c r="J127" s="396"/>
      <c r="K127" s="352"/>
    </row>
    <row r="128" spans="1:11" s="334" customFormat="1" ht="21.75" customHeight="1" x14ac:dyDescent="0.25">
      <c r="A128" s="341">
        <v>126</v>
      </c>
      <c r="B128" s="360">
        <v>1736</v>
      </c>
      <c r="C128" s="343" t="s">
        <v>164</v>
      </c>
      <c r="D128" s="361">
        <v>322</v>
      </c>
      <c r="E128" s="345">
        <v>0.4</v>
      </c>
      <c r="F128" s="345">
        <f t="shared" si="2"/>
        <v>128.80000000000001</v>
      </c>
      <c r="G128" s="345">
        <f>125.52+3.28</f>
        <v>128.79999999999998</v>
      </c>
      <c r="H128" s="345">
        <f t="shared" si="3"/>
        <v>0</v>
      </c>
      <c r="I128" s="346">
        <v>960639</v>
      </c>
      <c r="J128" s="392">
        <v>45658</v>
      </c>
      <c r="K128" s="350">
        <v>45684</v>
      </c>
    </row>
    <row r="129" spans="1:12" s="334" customFormat="1" ht="21.75" customHeight="1" x14ac:dyDescent="0.25">
      <c r="A129" s="341">
        <v>127</v>
      </c>
      <c r="B129" s="360">
        <v>1737</v>
      </c>
      <c r="C129" s="346" t="s">
        <v>390</v>
      </c>
      <c r="D129" s="361">
        <v>345</v>
      </c>
      <c r="E129" s="345">
        <v>0.4</v>
      </c>
      <c r="F129" s="345">
        <f t="shared" si="2"/>
        <v>138</v>
      </c>
      <c r="G129" s="345">
        <f>0.05+135.8+2.15</f>
        <v>138.00000000000003</v>
      </c>
      <c r="H129" s="345">
        <f t="shared" si="3"/>
        <v>0</v>
      </c>
      <c r="I129" s="346">
        <v>5566367</v>
      </c>
      <c r="J129" s="392">
        <v>45665</v>
      </c>
      <c r="K129" s="341" t="s">
        <v>556</v>
      </c>
      <c r="L129" s="387">
        <v>45686</v>
      </c>
    </row>
    <row r="130" spans="1:12" s="334" customFormat="1" ht="21.75" customHeight="1" x14ac:dyDescent="0.25">
      <c r="A130" s="352">
        <v>128</v>
      </c>
      <c r="B130" s="362">
        <v>1738</v>
      </c>
      <c r="C130" s="354" t="s">
        <v>166</v>
      </c>
      <c r="D130" s="355">
        <v>343.6</v>
      </c>
      <c r="E130" s="356">
        <v>0.4</v>
      </c>
      <c r="F130" s="357">
        <f t="shared" si="2"/>
        <v>137.44000000000003</v>
      </c>
      <c r="G130" s="357"/>
      <c r="H130" s="357">
        <f t="shared" si="3"/>
        <v>137.44000000000003</v>
      </c>
      <c r="I130" s="358">
        <v>23187863</v>
      </c>
      <c r="J130" s="396"/>
      <c r="K130" s="352"/>
    </row>
    <row r="131" spans="1:12" s="334" customFormat="1" ht="21.75" customHeight="1" x14ac:dyDescent="0.25">
      <c r="A131" s="352">
        <v>129</v>
      </c>
      <c r="B131" s="362">
        <v>1740</v>
      </c>
      <c r="C131" s="354" t="s">
        <v>392</v>
      </c>
      <c r="D131" s="355">
        <v>475.1</v>
      </c>
      <c r="E131" s="356">
        <v>0.4</v>
      </c>
      <c r="F131" s="357">
        <f t="shared" ref="F131:F194" si="4">D131*E131</f>
        <v>190.04000000000002</v>
      </c>
      <c r="G131" s="357"/>
      <c r="H131" s="357">
        <f t="shared" ref="H131:H194" si="5">F131-G131</f>
        <v>190.04000000000002</v>
      </c>
      <c r="I131" s="358">
        <v>750305</v>
      </c>
      <c r="J131" s="396"/>
      <c r="K131" s="352"/>
    </row>
    <row r="132" spans="1:12" s="334" customFormat="1" ht="21.75" customHeight="1" x14ac:dyDescent="0.25">
      <c r="A132" s="352">
        <v>130</v>
      </c>
      <c r="B132" s="362">
        <v>1741</v>
      </c>
      <c r="C132" s="354" t="s">
        <v>394</v>
      </c>
      <c r="D132" s="355">
        <v>1127.8</v>
      </c>
      <c r="E132" s="356">
        <v>0.4</v>
      </c>
      <c r="F132" s="357">
        <f t="shared" si="4"/>
        <v>451.12</v>
      </c>
      <c r="G132" s="357"/>
      <c r="H132" s="357">
        <f t="shared" si="5"/>
        <v>451.12</v>
      </c>
      <c r="I132" s="358">
        <v>3439836</v>
      </c>
      <c r="J132" s="396"/>
      <c r="K132" s="352"/>
    </row>
    <row r="133" spans="1:12" s="334" customFormat="1" ht="21.75" customHeight="1" x14ac:dyDescent="0.25">
      <c r="A133" s="352">
        <v>131</v>
      </c>
      <c r="B133" s="362">
        <v>1742</v>
      </c>
      <c r="C133" s="354" t="s">
        <v>396</v>
      </c>
      <c r="D133" s="355">
        <v>391</v>
      </c>
      <c r="E133" s="356">
        <v>0.4</v>
      </c>
      <c r="F133" s="357">
        <f t="shared" si="4"/>
        <v>156.4</v>
      </c>
      <c r="G133" s="357"/>
      <c r="H133" s="357">
        <f t="shared" si="5"/>
        <v>156.4</v>
      </c>
      <c r="I133" s="358">
        <v>7534942</v>
      </c>
      <c r="J133" s="396" t="s">
        <v>15</v>
      </c>
      <c r="K133" s="352"/>
    </row>
    <row r="134" spans="1:12" s="334" customFormat="1" ht="21.75" customHeight="1" x14ac:dyDescent="0.25">
      <c r="A134" s="341">
        <v>132</v>
      </c>
      <c r="B134" s="360">
        <v>1743</v>
      </c>
      <c r="C134" s="343" t="s">
        <v>398</v>
      </c>
      <c r="D134" s="361">
        <v>690</v>
      </c>
      <c r="E134" s="345">
        <v>0.4</v>
      </c>
      <c r="F134" s="345">
        <f t="shared" si="4"/>
        <v>276</v>
      </c>
      <c r="G134" s="345">
        <f>271.6+4.4</f>
        <v>276</v>
      </c>
      <c r="H134" s="345">
        <f t="shared" si="5"/>
        <v>0</v>
      </c>
      <c r="I134" s="346">
        <v>14028717</v>
      </c>
      <c r="J134" s="392">
        <v>45644</v>
      </c>
      <c r="K134" s="350">
        <v>45670</v>
      </c>
    </row>
    <row r="135" spans="1:12" s="334" customFormat="1" ht="21.75" customHeight="1" x14ac:dyDescent="0.25">
      <c r="A135" s="341">
        <v>133</v>
      </c>
      <c r="B135" s="360">
        <v>1744</v>
      </c>
      <c r="C135" s="343" t="s">
        <v>400</v>
      </c>
      <c r="D135" s="361">
        <v>335.5</v>
      </c>
      <c r="E135" s="345">
        <v>0.4</v>
      </c>
      <c r="F135" s="345">
        <f t="shared" si="4"/>
        <v>134.20000000000002</v>
      </c>
      <c r="G135" s="345">
        <f>132.09+2.11</f>
        <v>134.20000000000002</v>
      </c>
      <c r="H135" s="345">
        <f t="shared" si="5"/>
        <v>0</v>
      </c>
      <c r="I135" s="346">
        <v>6653046</v>
      </c>
      <c r="J135" s="392">
        <v>45658</v>
      </c>
      <c r="K135" s="350">
        <v>45686</v>
      </c>
    </row>
    <row r="136" spans="1:12" s="334" customFormat="1" ht="21.75" customHeight="1" x14ac:dyDescent="0.25">
      <c r="A136" s="352">
        <v>134</v>
      </c>
      <c r="B136" s="362">
        <v>1745</v>
      </c>
      <c r="C136" s="354" t="s">
        <v>402</v>
      </c>
      <c r="D136" s="355">
        <v>343.5</v>
      </c>
      <c r="E136" s="356">
        <v>0.4</v>
      </c>
      <c r="F136" s="357">
        <f t="shared" si="4"/>
        <v>137.4</v>
      </c>
      <c r="G136" s="357"/>
      <c r="H136" s="357">
        <f t="shared" si="5"/>
        <v>137.4</v>
      </c>
      <c r="I136" s="358">
        <v>781826</v>
      </c>
      <c r="J136" s="396"/>
      <c r="K136" s="352"/>
    </row>
    <row r="137" spans="1:12" s="334" customFormat="1" ht="21.75" customHeight="1" x14ac:dyDescent="0.25">
      <c r="A137" s="341">
        <v>135</v>
      </c>
      <c r="B137" s="360">
        <v>1748</v>
      </c>
      <c r="C137" s="343" t="s">
        <v>169</v>
      </c>
      <c r="D137" s="361">
        <v>307.89999999999998</v>
      </c>
      <c r="E137" s="345">
        <v>0.4</v>
      </c>
      <c r="F137" s="345">
        <f t="shared" si="4"/>
        <v>123.16</v>
      </c>
      <c r="G137" s="345">
        <f>121.69+1.47</f>
        <v>123.16</v>
      </c>
      <c r="H137" s="345">
        <f t="shared" si="5"/>
        <v>0</v>
      </c>
      <c r="I137" s="346">
        <v>1354182</v>
      </c>
      <c r="J137" s="392">
        <v>45658</v>
      </c>
      <c r="K137" s="350">
        <v>45718</v>
      </c>
    </row>
    <row r="138" spans="1:12" s="351" customFormat="1" ht="21.75" customHeight="1" x14ac:dyDescent="0.25">
      <c r="A138" s="341">
        <v>136</v>
      </c>
      <c r="B138" s="360">
        <v>1749</v>
      </c>
      <c r="C138" s="343" t="s">
        <v>404</v>
      </c>
      <c r="D138" s="361">
        <v>295.3</v>
      </c>
      <c r="E138" s="345">
        <v>0.4</v>
      </c>
      <c r="F138" s="345">
        <f t="shared" si="4"/>
        <v>118.12</v>
      </c>
      <c r="G138" s="345">
        <f>116.83</f>
        <v>116.83</v>
      </c>
      <c r="H138" s="345">
        <f t="shared" si="5"/>
        <v>1.2900000000000063</v>
      </c>
      <c r="I138" s="346">
        <v>1304923</v>
      </c>
      <c r="J138" s="406" t="s">
        <v>600</v>
      </c>
      <c r="K138" s="341"/>
    </row>
    <row r="139" spans="1:12" s="334" customFormat="1" ht="21.75" customHeight="1" x14ac:dyDescent="0.25">
      <c r="A139" s="341">
        <v>137</v>
      </c>
      <c r="B139" s="360">
        <v>1750</v>
      </c>
      <c r="C139" s="343" t="s">
        <v>406</v>
      </c>
      <c r="D139" s="361">
        <v>381.3</v>
      </c>
      <c r="E139" s="345">
        <v>0.4</v>
      </c>
      <c r="F139" s="345">
        <f t="shared" si="4"/>
        <v>152.52000000000001</v>
      </c>
      <c r="G139" s="345">
        <f>149.363+3.157</f>
        <v>152.52000000000001</v>
      </c>
      <c r="H139" s="345">
        <f t="shared" si="5"/>
        <v>0</v>
      </c>
      <c r="I139" s="346">
        <v>18638806</v>
      </c>
      <c r="J139" s="392">
        <v>45672</v>
      </c>
      <c r="K139" s="369">
        <v>45684</v>
      </c>
    </row>
    <row r="140" spans="1:12" s="334" customFormat="1" ht="21.75" customHeight="1" x14ac:dyDescent="0.25">
      <c r="A140" s="352">
        <v>138</v>
      </c>
      <c r="B140" s="362">
        <v>1752</v>
      </c>
      <c r="C140" s="354" t="s">
        <v>171</v>
      </c>
      <c r="D140" s="355">
        <v>363</v>
      </c>
      <c r="E140" s="356">
        <v>0.4</v>
      </c>
      <c r="F140" s="357">
        <f t="shared" si="4"/>
        <v>145.20000000000002</v>
      </c>
      <c r="G140" s="357"/>
      <c r="H140" s="357">
        <f t="shared" si="5"/>
        <v>145.20000000000002</v>
      </c>
      <c r="I140" s="358">
        <v>2808921</v>
      </c>
      <c r="J140" s="396"/>
      <c r="K140" s="352"/>
    </row>
    <row r="141" spans="1:12" s="334" customFormat="1" ht="21.75" customHeight="1" x14ac:dyDescent="0.25">
      <c r="A141" s="341">
        <v>139</v>
      </c>
      <c r="B141" s="360">
        <v>1753</v>
      </c>
      <c r="C141" s="343" t="s">
        <v>408</v>
      </c>
      <c r="D141" s="361">
        <v>343</v>
      </c>
      <c r="E141" s="345">
        <v>0.4</v>
      </c>
      <c r="F141" s="345">
        <f t="shared" si="4"/>
        <v>137.20000000000002</v>
      </c>
      <c r="G141" s="345">
        <f>F141</f>
        <v>137.20000000000002</v>
      </c>
      <c r="H141" s="345">
        <f t="shared" si="5"/>
        <v>0</v>
      </c>
      <c r="I141" s="346">
        <v>6496182</v>
      </c>
      <c r="J141" s="392">
        <v>45658</v>
      </c>
      <c r="K141" s="341" t="s">
        <v>568</v>
      </c>
    </row>
    <row r="142" spans="1:12" s="334" customFormat="1" ht="21.75" customHeight="1" x14ac:dyDescent="0.25">
      <c r="A142" s="352">
        <v>140</v>
      </c>
      <c r="B142" s="362">
        <v>1754</v>
      </c>
      <c r="C142" s="354" t="s">
        <v>410</v>
      </c>
      <c r="D142" s="355">
        <v>1305</v>
      </c>
      <c r="E142" s="356">
        <v>0.4</v>
      </c>
      <c r="F142" s="357">
        <f t="shared" si="4"/>
        <v>522</v>
      </c>
      <c r="G142" s="357"/>
      <c r="H142" s="357">
        <f t="shared" si="5"/>
        <v>522</v>
      </c>
      <c r="I142" s="358">
        <v>1523934</v>
      </c>
      <c r="J142" s="396"/>
      <c r="K142" s="352"/>
    </row>
    <row r="143" spans="1:12" s="334" customFormat="1" ht="21.75" customHeight="1" x14ac:dyDescent="0.25">
      <c r="A143" s="341">
        <v>141</v>
      </c>
      <c r="B143" s="360">
        <v>1755</v>
      </c>
      <c r="C143" s="343" t="s">
        <v>69</v>
      </c>
      <c r="D143" s="361">
        <v>644</v>
      </c>
      <c r="E143" s="345">
        <v>0.4</v>
      </c>
      <c r="F143" s="345">
        <f t="shared" si="4"/>
        <v>257.60000000000002</v>
      </c>
      <c r="G143" s="345">
        <f>1.99+250+5.61</f>
        <v>257.60000000000002</v>
      </c>
      <c r="H143" s="345">
        <f t="shared" si="5"/>
        <v>0</v>
      </c>
      <c r="I143" s="346">
        <v>10592143</v>
      </c>
      <c r="J143" s="392">
        <v>45650</v>
      </c>
      <c r="K143" s="350">
        <v>45665</v>
      </c>
      <c r="L143" s="387">
        <v>45684</v>
      </c>
    </row>
    <row r="144" spans="1:12" s="351" customFormat="1" ht="21.75" customHeight="1" x14ac:dyDescent="0.25">
      <c r="A144" s="341">
        <v>142</v>
      </c>
      <c r="B144" s="360">
        <v>1756</v>
      </c>
      <c r="C144" s="343" t="s">
        <v>412</v>
      </c>
      <c r="D144" s="361">
        <v>289.5</v>
      </c>
      <c r="E144" s="345">
        <v>0.4</v>
      </c>
      <c r="F144" s="345">
        <f t="shared" si="4"/>
        <v>115.80000000000001</v>
      </c>
      <c r="G144" s="345">
        <f>0.25</f>
        <v>0.25</v>
      </c>
      <c r="H144" s="345">
        <f t="shared" si="5"/>
        <v>115.55000000000001</v>
      </c>
      <c r="I144" s="346">
        <v>381412</v>
      </c>
      <c r="J144" s="392">
        <v>45963</v>
      </c>
      <c r="K144" s="341"/>
    </row>
    <row r="145" spans="1:35" s="334" customFormat="1" ht="21.75" customHeight="1" x14ac:dyDescent="0.25">
      <c r="A145" s="341">
        <v>143</v>
      </c>
      <c r="B145" s="360">
        <v>1758</v>
      </c>
      <c r="C145" s="343" t="s">
        <v>74</v>
      </c>
      <c r="D145" s="361">
        <v>607</v>
      </c>
      <c r="E145" s="345">
        <v>0.4</v>
      </c>
      <c r="F145" s="345">
        <f t="shared" si="4"/>
        <v>242.8</v>
      </c>
      <c r="G145" s="345">
        <f>59.72+63.05+120.03</f>
        <v>242.8</v>
      </c>
      <c r="H145" s="345">
        <f t="shared" si="5"/>
        <v>0</v>
      </c>
      <c r="I145" s="346">
        <v>2443662</v>
      </c>
      <c r="J145" s="392" t="s">
        <v>569</v>
      </c>
      <c r="K145" s="341" t="s">
        <v>570</v>
      </c>
      <c r="L145" s="387">
        <v>45663</v>
      </c>
      <c r="M145" s="334" t="s">
        <v>571</v>
      </c>
    </row>
    <row r="146" spans="1:35" s="334" customFormat="1" ht="21.75" customHeight="1" x14ac:dyDescent="0.25">
      <c r="A146" s="352">
        <v>144</v>
      </c>
      <c r="B146" s="362">
        <v>1759</v>
      </c>
      <c r="C146" s="354" t="s">
        <v>415</v>
      </c>
      <c r="D146" s="355">
        <v>261.8</v>
      </c>
      <c r="E146" s="356">
        <v>0.4</v>
      </c>
      <c r="F146" s="357">
        <f t="shared" si="4"/>
        <v>104.72000000000001</v>
      </c>
      <c r="G146" s="357"/>
      <c r="H146" s="357">
        <f t="shared" si="5"/>
        <v>104.72000000000001</v>
      </c>
      <c r="I146" s="358">
        <v>5029866</v>
      </c>
      <c r="J146" s="396"/>
      <c r="K146" s="352"/>
    </row>
    <row r="147" spans="1:35" s="334" customFormat="1" ht="21.75" customHeight="1" x14ac:dyDescent="0.25">
      <c r="A147" s="341">
        <v>145</v>
      </c>
      <c r="B147" s="360">
        <v>1760</v>
      </c>
      <c r="C147" s="343" t="s">
        <v>418</v>
      </c>
      <c r="D147" s="361">
        <v>345</v>
      </c>
      <c r="E147" s="345">
        <v>0.4</v>
      </c>
      <c r="F147" s="345">
        <f t="shared" si="4"/>
        <v>138</v>
      </c>
      <c r="G147" s="345">
        <f>135.47+2.53</f>
        <v>138</v>
      </c>
      <c r="H147" s="345">
        <f t="shared" si="5"/>
        <v>0</v>
      </c>
      <c r="I147" s="346">
        <v>3847339</v>
      </c>
      <c r="J147" s="392">
        <v>45658</v>
      </c>
      <c r="K147" s="350">
        <v>45810</v>
      </c>
    </row>
    <row r="148" spans="1:35" s="334" customFormat="1" ht="21.75" customHeight="1" x14ac:dyDescent="0.25">
      <c r="A148" s="352">
        <v>146</v>
      </c>
      <c r="B148" s="362">
        <v>1763</v>
      </c>
      <c r="C148" s="354" t="s">
        <v>420</v>
      </c>
      <c r="D148" s="355">
        <v>311.5</v>
      </c>
      <c r="E148" s="356">
        <v>0.4</v>
      </c>
      <c r="F148" s="357">
        <f t="shared" si="4"/>
        <v>124.60000000000001</v>
      </c>
      <c r="G148" s="357"/>
      <c r="H148" s="357">
        <f t="shared" si="5"/>
        <v>124.60000000000001</v>
      </c>
      <c r="I148" s="358">
        <v>5384098</v>
      </c>
      <c r="J148" s="396"/>
      <c r="K148" s="352"/>
    </row>
    <row r="149" spans="1:35" s="334" customFormat="1" ht="21.75" customHeight="1" x14ac:dyDescent="0.25">
      <c r="A149" s="352">
        <v>147</v>
      </c>
      <c r="B149" s="362">
        <v>1764</v>
      </c>
      <c r="C149" s="354" t="s">
        <v>422</v>
      </c>
      <c r="D149" s="355">
        <v>460</v>
      </c>
      <c r="E149" s="356">
        <v>0.4</v>
      </c>
      <c r="F149" s="357">
        <f t="shared" si="4"/>
        <v>184</v>
      </c>
      <c r="G149" s="357"/>
      <c r="H149" s="357">
        <f t="shared" si="5"/>
        <v>184</v>
      </c>
      <c r="I149" s="358">
        <v>6923798</v>
      </c>
      <c r="J149" s="396"/>
      <c r="K149" s="352"/>
    </row>
    <row r="150" spans="1:35" s="334" customFormat="1" ht="21.75" customHeight="1" x14ac:dyDescent="0.25">
      <c r="A150" s="341">
        <v>148</v>
      </c>
      <c r="B150" s="360">
        <v>1766</v>
      </c>
      <c r="C150" s="343" t="s">
        <v>423</v>
      </c>
      <c r="D150" s="361">
        <v>619</v>
      </c>
      <c r="E150" s="345">
        <v>0.4</v>
      </c>
      <c r="F150" s="345">
        <f t="shared" si="4"/>
        <v>247.60000000000002</v>
      </c>
      <c r="G150" s="345">
        <f>F150</f>
        <v>247.60000000000002</v>
      </c>
      <c r="H150" s="345">
        <f t="shared" si="5"/>
        <v>0</v>
      </c>
      <c r="I150" s="346">
        <v>19548574</v>
      </c>
      <c r="J150" s="392">
        <v>45691</v>
      </c>
      <c r="K150" s="341"/>
    </row>
    <row r="151" spans="1:35" s="334" customFormat="1" ht="21.75" customHeight="1" x14ac:dyDescent="0.25">
      <c r="A151" s="352">
        <v>149</v>
      </c>
      <c r="B151" s="362">
        <v>1768</v>
      </c>
      <c r="C151" s="354" t="s">
        <v>172</v>
      </c>
      <c r="D151" s="355">
        <v>341.2</v>
      </c>
      <c r="E151" s="356">
        <v>0.4</v>
      </c>
      <c r="F151" s="357">
        <f t="shared" si="4"/>
        <v>136.47999999999999</v>
      </c>
      <c r="G151" s="357"/>
      <c r="H151" s="357">
        <f t="shared" si="5"/>
        <v>136.47999999999999</v>
      </c>
      <c r="I151" s="358">
        <v>13899464</v>
      </c>
      <c r="J151" s="396"/>
      <c r="K151" s="352"/>
    </row>
    <row r="152" spans="1:35" s="351" customFormat="1" ht="21.75" customHeight="1" x14ac:dyDescent="0.25">
      <c r="A152" s="341">
        <v>150</v>
      </c>
      <c r="B152" s="360">
        <v>1769</v>
      </c>
      <c r="C152" s="343" t="s">
        <v>425</v>
      </c>
      <c r="D152" s="361">
        <v>313.3</v>
      </c>
      <c r="E152" s="345">
        <v>0.4</v>
      </c>
      <c r="F152" s="345">
        <f t="shared" si="4"/>
        <v>125.32000000000001</v>
      </c>
      <c r="G152" s="345">
        <f>124.45</f>
        <v>124.45</v>
      </c>
      <c r="H152" s="345">
        <f t="shared" si="5"/>
        <v>0.87000000000000455</v>
      </c>
      <c r="I152" s="346">
        <v>19322478</v>
      </c>
      <c r="J152" s="392">
        <v>45963</v>
      </c>
      <c r="K152" s="341"/>
    </row>
    <row r="153" spans="1:35" s="334" customFormat="1" ht="21.75" customHeight="1" x14ac:dyDescent="0.25">
      <c r="A153" s="341">
        <v>151</v>
      </c>
      <c r="B153" s="360">
        <v>1770</v>
      </c>
      <c r="C153" s="343" t="s">
        <v>427</v>
      </c>
      <c r="D153" s="361">
        <v>268</v>
      </c>
      <c r="E153" s="345">
        <v>0.4</v>
      </c>
      <c r="F153" s="345">
        <f t="shared" si="4"/>
        <v>107.2</v>
      </c>
      <c r="G153" s="345">
        <f>105.96+1.24</f>
        <v>107.19999999999999</v>
      </c>
      <c r="H153" s="345">
        <f t="shared" si="5"/>
        <v>0</v>
      </c>
      <c r="I153" s="346">
        <v>24534799</v>
      </c>
      <c r="J153" s="392">
        <v>45672</v>
      </c>
      <c r="K153" s="350">
        <v>45686</v>
      </c>
    </row>
    <row r="154" spans="1:35" s="334" customFormat="1" ht="21.75" customHeight="1" x14ac:dyDescent="0.25">
      <c r="A154" s="341">
        <v>152</v>
      </c>
      <c r="B154" s="360">
        <v>1771</v>
      </c>
      <c r="C154" s="343" t="s">
        <v>174</v>
      </c>
      <c r="D154" s="361">
        <v>315.7</v>
      </c>
      <c r="E154" s="345">
        <v>0.4</v>
      </c>
      <c r="F154" s="345">
        <f t="shared" si="4"/>
        <v>126.28</v>
      </c>
      <c r="G154" s="345">
        <f>124.8</f>
        <v>124.8</v>
      </c>
      <c r="H154" s="345">
        <f t="shared" si="5"/>
        <v>1.480000000000004</v>
      </c>
      <c r="I154" s="346">
        <v>5044401</v>
      </c>
      <c r="J154" s="392">
        <v>45672</v>
      </c>
      <c r="K154" s="341"/>
    </row>
    <row r="155" spans="1:35" s="395" customFormat="1" ht="21.75" customHeight="1" x14ac:dyDescent="0.25">
      <c r="A155" s="352">
        <v>153</v>
      </c>
      <c r="B155" s="362">
        <v>1772</v>
      </c>
      <c r="C155" s="354" t="s">
        <v>429</v>
      </c>
      <c r="D155" s="355">
        <v>702</v>
      </c>
      <c r="E155" s="356">
        <v>0.4</v>
      </c>
      <c r="F155" s="357">
        <f t="shared" si="4"/>
        <v>280.8</v>
      </c>
      <c r="G155" s="357"/>
      <c r="H155" s="357">
        <f t="shared" si="5"/>
        <v>280.8</v>
      </c>
      <c r="I155" s="358">
        <v>5217694</v>
      </c>
      <c r="J155" s="396"/>
      <c r="K155" s="39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  <c r="Z155" s="334"/>
      <c r="AA155" s="334"/>
      <c r="AB155" s="334"/>
      <c r="AC155" s="334"/>
      <c r="AD155" s="334"/>
      <c r="AE155" s="334"/>
      <c r="AF155" s="334"/>
      <c r="AG155" s="334"/>
      <c r="AH155" s="334"/>
      <c r="AI155" s="334"/>
    </row>
    <row r="156" spans="1:35" s="334" customFormat="1" ht="21.75" customHeight="1" x14ac:dyDescent="0.25">
      <c r="A156" s="352">
        <v>154</v>
      </c>
      <c r="B156" s="362">
        <v>1773</v>
      </c>
      <c r="C156" s="354" t="s">
        <v>432</v>
      </c>
      <c r="D156" s="355">
        <v>281.60000000000002</v>
      </c>
      <c r="E156" s="356">
        <v>0.4</v>
      </c>
      <c r="F156" s="357">
        <f t="shared" si="4"/>
        <v>112.64000000000001</v>
      </c>
      <c r="G156" s="357"/>
      <c r="H156" s="357">
        <f t="shared" si="5"/>
        <v>112.64000000000001</v>
      </c>
      <c r="I156" s="358">
        <v>20562603</v>
      </c>
      <c r="J156" s="396"/>
      <c r="K156" s="352"/>
    </row>
    <row r="157" spans="1:35" s="334" customFormat="1" ht="21.75" customHeight="1" x14ac:dyDescent="0.25">
      <c r="A157" s="352">
        <v>155</v>
      </c>
      <c r="B157" s="362">
        <v>1774</v>
      </c>
      <c r="C157" s="354" t="s">
        <v>175</v>
      </c>
      <c r="D157" s="355">
        <v>314.5</v>
      </c>
      <c r="E157" s="356">
        <v>0.4</v>
      </c>
      <c r="F157" s="357">
        <f t="shared" si="4"/>
        <v>125.80000000000001</v>
      </c>
      <c r="G157" s="357"/>
      <c r="H157" s="357">
        <f t="shared" si="5"/>
        <v>125.80000000000001</v>
      </c>
      <c r="I157" s="358">
        <v>20865047</v>
      </c>
      <c r="J157" s="396"/>
      <c r="K157" s="352"/>
    </row>
    <row r="158" spans="1:35" s="334" customFormat="1" ht="21.75" customHeight="1" x14ac:dyDescent="0.25">
      <c r="A158" s="341">
        <v>156</v>
      </c>
      <c r="B158" s="360">
        <v>1775</v>
      </c>
      <c r="C158" s="343" t="s">
        <v>434</v>
      </c>
      <c r="D158" s="361">
        <v>536.29999999999995</v>
      </c>
      <c r="E158" s="345">
        <v>0.4</v>
      </c>
      <c r="F158" s="345">
        <f t="shared" si="4"/>
        <v>214.51999999999998</v>
      </c>
      <c r="G158" s="345">
        <f>211.25+3.27</f>
        <v>214.52</v>
      </c>
      <c r="H158" s="345">
        <f t="shared" si="5"/>
        <v>0</v>
      </c>
      <c r="I158" s="346">
        <v>18659223</v>
      </c>
      <c r="J158" s="392">
        <v>45658</v>
      </c>
      <c r="K158" s="369">
        <v>45679</v>
      </c>
    </row>
    <row r="159" spans="1:35" s="334" customFormat="1" ht="21.75" customHeight="1" x14ac:dyDescent="0.25">
      <c r="A159" s="352">
        <v>157</v>
      </c>
      <c r="B159" s="362">
        <v>1776</v>
      </c>
      <c r="C159" s="354" t="s">
        <v>436</v>
      </c>
      <c r="D159" s="355">
        <v>300</v>
      </c>
      <c r="E159" s="356">
        <v>0.4</v>
      </c>
      <c r="F159" s="357">
        <f t="shared" si="4"/>
        <v>120</v>
      </c>
      <c r="G159" s="357"/>
      <c r="H159" s="357">
        <f t="shared" si="5"/>
        <v>120</v>
      </c>
      <c r="I159" s="358">
        <v>30837376</v>
      </c>
      <c r="J159" s="396"/>
      <c r="K159" s="352"/>
    </row>
    <row r="160" spans="1:35" s="334" customFormat="1" ht="21.75" customHeight="1" x14ac:dyDescent="0.25">
      <c r="A160" s="341">
        <v>158</v>
      </c>
      <c r="B160" s="360">
        <v>1777</v>
      </c>
      <c r="C160" s="343" t="s">
        <v>438</v>
      </c>
      <c r="D160" s="361">
        <v>690</v>
      </c>
      <c r="E160" s="345">
        <v>0.4</v>
      </c>
      <c r="F160" s="345">
        <f t="shared" si="4"/>
        <v>276</v>
      </c>
      <c r="G160" s="345">
        <f>40.01+97+135.8</f>
        <v>272.81</v>
      </c>
      <c r="H160" s="345">
        <f t="shared" si="5"/>
        <v>3.1899999999999977</v>
      </c>
      <c r="I160" s="346">
        <v>15107764</v>
      </c>
      <c r="J160" s="392">
        <v>45684</v>
      </c>
      <c r="K160" s="350">
        <v>45810</v>
      </c>
      <c r="L160" s="334" t="s">
        <v>600</v>
      </c>
    </row>
    <row r="161" spans="1:11" s="334" customFormat="1" ht="21.75" customHeight="1" x14ac:dyDescent="0.25">
      <c r="A161" s="352">
        <v>159</v>
      </c>
      <c r="B161" s="362">
        <v>1778</v>
      </c>
      <c r="C161" s="354" t="s">
        <v>440</v>
      </c>
      <c r="D161" s="355">
        <v>345</v>
      </c>
      <c r="E161" s="356">
        <v>0.4</v>
      </c>
      <c r="F161" s="357">
        <f t="shared" si="4"/>
        <v>138</v>
      </c>
      <c r="G161" s="357"/>
      <c r="H161" s="357">
        <f t="shared" si="5"/>
        <v>138</v>
      </c>
      <c r="I161" s="358">
        <v>24984002</v>
      </c>
      <c r="J161" s="396"/>
      <c r="K161" s="352"/>
    </row>
    <row r="162" spans="1:11" s="334" customFormat="1" ht="21.75" customHeight="1" x14ac:dyDescent="0.25">
      <c r="A162" s="341">
        <v>160</v>
      </c>
      <c r="B162" s="360">
        <v>1780</v>
      </c>
      <c r="C162" s="343" t="s">
        <v>442</v>
      </c>
      <c r="D162" s="361">
        <v>762.8</v>
      </c>
      <c r="E162" s="345">
        <v>0.4</v>
      </c>
      <c r="F162" s="345">
        <f t="shared" si="4"/>
        <v>305.12</v>
      </c>
      <c r="G162" s="345">
        <f>301.6</f>
        <v>301.60000000000002</v>
      </c>
      <c r="H162" s="345">
        <f t="shared" si="5"/>
        <v>3.5199999999999818</v>
      </c>
      <c r="I162" s="346">
        <v>6228066</v>
      </c>
      <c r="J162" s="392">
        <v>45691</v>
      </c>
      <c r="K162" s="341"/>
    </row>
    <row r="163" spans="1:11" s="351" customFormat="1" ht="21.75" customHeight="1" x14ac:dyDescent="0.25">
      <c r="A163" s="341">
        <v>161</v>
      </c>
      <c r="B163" s="360">
        <v>1781</v>
      </c>
      <c r="C163" s="343" t="s">
        <v>444</v>
      </c>
      <c r="D163" s="361">
        <v>306.8</v>
      </c>
      <c r="E163" s="345">
        <v>0.4</v>
      </c>
      <c r="F163" s="345">
        <f t="shared" si="4"/>
        <v>122.72000000000001</v>
      </c>
      <c r="G163" s="345">
        <f>113.96</f>
        <v>113.96</v>
      </c>
      <c r="H163" s="345">
        <f t="shared" si="5"/>
        <v>8.7600000000000193</v>
      </c>
      <c r="I163" s="346">
        <v>7287174</v>
      </c>
      <c r="J163" s="406" t="s">
        <v>600</v>
      </c>
      <c r="K163" s="341"/>
    </row>
    <row r="164" spans="1:11" s="334" customFormat="1" ht="21.75" customHeight="1" x14ac:dyDescent="0.25">
      <c r="A164" s="341">
        <v>162</v>
      </c>
      <c r="B164" s="360">
        <v>1782</v>
      </c>
      <c r="C164" s="343" t="s">
        <v>446</v>
      </c>
      <c r="D164" s="361">
        <v>271.2</v>
      </c>
      <c r="E164" s="345">
        <v>0.4</v>
      </c>
      <c r="F164" s="345">
        <f t="shared" si="4"/>
        <v>108.48</v>
      </c>
      <c r="G164" s="345">
        <f>F164</f>
        <v>108.48</v>
      </c>
      <c r="H164" s="345">
        <f t="shared" si="5"/>
        <v>0</v>
      </c>
      <c r="I164" s="346">
        <v>19818711</v>
      </c>
      <c r="J164" s="369">
        <v>45684</v>
      </c>
      <c r="K164" s="341"/>
    </row>
    <row r="165" spans="1:11" s="334" customFormat="1" ht="21.75" customHeight="1" x14ac:dyDescent="0.25">
      <c r="A165" s="341">
        <v>163</v>
      </c>
      <c r="B165" s="360">
        <v>1783</v>
      </c>
      <c r="C165" s="343" t="s">
        <v>177</v>
      </c>
      <c r="D165" s="361">
        <v>297</v>
      </c>
      <c r="E165" s="345">
        <v>0.4</v>
      </c>
      <c r="F165" s="345">
        <f t="shared" si="4"/>
        <v>118.80000000000001</v>
      </c>
      <c r="G165" s="345">
        <f>114.26+4.54</f>
        <v>118.80000000000001</v>
      </c>
      <c r="H165" s="345">
        <f t="shared" si="5"/>
        <v>0</v>
      </c>
      <c r="I165" s="346">
        <v>1500187</v>
      </c>
      <c r="J165" s="392">
        <v>45658</v>
      </c>
      <c r="K165" s="350">
        <v>45691</v>
      </c>
    </row>
    <row r="166" spans="1:11" s="334" customFormat="1" ht="21.75" customHeight="1" x14ac:dyDescent="0.25">
      <c r="A166" s="341">
        <v>164</v>
      </c>
      <c r="B166" s="360">
        <v>1784</v>
      </c>
      <c r="C166" s="343" t="s">
        <v>448</v>
      </c>
      <c r="D166" s="361">
        <v>456.5</v>
      </c>
      <c r="E166" s="345">
        <v>0.4</v>
      </c>
      <c r="F166" s="345">
        <f t="shared" si="4"/>
        <v>182.60000000000002</v>
      </c>
      <c r="G166" s="345">
        <f>181.1</f>
        <v>181.1</v>
      </c>
      <c r="H166" s="345">
        <f t="shared" si="5"/>
        <v>1.5000000000000284</v>
      </c>
      <c r="I166" s="346">
        <v>19534652</v>
      </c>
      <c r="J166" s="392">
        <v>45691</v>
      </c>
      <c r="K166" s="341"/>
    </row>
    <row r="167" spans="1:11" s="334" customFormat="1" ht="21.75" customHeight="1" x14ac:dyDescent="0.25">
      <c r="A167" s="352">
        <v>165</v>
      </c>
      <c r="B167" s="362">
        <v>1785</v>
      </c>
      <c r="C167" s="354" t="s">
        <v>179</v>
      </c>
      <c r="D167" s="355">
        <v>339.3</v>
      </c>
      <c r="E167" s="356">
        <v>0.4</v>
      </c>
      <c r="F167" s="357">
        <f t="shared" si="4"/>
        <v>135.72</v>
      </c>
      <c r="G167" s="357"/>
      <c r="H167" s="357">
        <f t="shared" si="5"/>
        <v>135.72</v>
      </c>
      <c r="I167" s="358">
        <v>7374743</v>
      </c>
      <c r="J167" s="396"/>
      <c r="K167" s="352"/>
    </row>
    <row r="168" spans="1:11" s="334" customFormat="1" ht="21.75" customHeight="1" x14ac:dyDescent="0.25">
      <c r="A168" s="341">
        <v>166</v>
      </c>
      <c r="B168" s="360">
        <v>1786</v>
      </c>
      <c r="C168" s="343" t="s">
        <v>181</v>
      </c>
      <c r="D168" s="361">
        <v>300</v>
      </c>
      <c r="E168" s="345">
        <v>0.4</v>
      </c>
      <c r="F168" s="345">
        <f t="shared" si="4"/>
        <v>120</v>
      </c>
      <c r="G168" s="345">
        <f>20.21+97</f>
        <v>117.21000000000001</v>
      </c>
      <c r="H168" s="345">
        <f t="shared" si="5"/>
        <v>2.789999999999992</v>
      </c>
      <c r="I168" s="346">
        <v>5614637</v>
      </c>
      <c r="J168" s="401">
        <v>45810</v>
      </c>
      <c r="K168" s="341" t="s">
        <v>599</v>
      </c>
    </row>
    <row r="169" spans="1:11" s="334" customFormat="1" ht="21.75" customHeight="1" x14ac:dyDescent="0.25">
      <c r="A169" s="352">
        <v>167</v>
      </c>
      <c r="B169" s="362">
        <v>1787</v>
      </c>
      <c r="C169" s="354" t="s">
        <v>77</v>
      </c>
      <c r="D169" s="355">
        <v>345</v>
      </c>
      <c r="E169" s="356">
        <v>0.4</v>
      </c>
      <c r="F169" s="357">
        <f t="shared" si="4"/>
        <v>138</v>
      </c>
      <c r="G169" s="357"/>
      <c r="H169" s="357">
        <f t="shared" si="5"/>
        <v>138</v>
      </c>
      <c r="I169" s="358">
        <v>22980157</v>
      </c>
      <c r="J169" s="396"/>
      <c r="K169" s="352"/>
    </row>
    <row r="170" spans="1:11" s="334" customFormat="1" ht="21.75" customHeight="1" x14ac:dyDescent="0.25">
      <c r="A170" s="352">
        <v>168</v>
      </c>
      <c r="B170" s="362">
        <v>1788</v>
      </c>
      <c r="C170" s="354" t="s">
        <v>450</v>
      </c>
      <c r="D170" s="355">
        <v>344.3</v>
      </c>
      <c r="E170" s="356">
        <v>0.4</v>
      </c>
      <c r="F170" s="357">
        <f t="shared" si="4"/>
        <v>137.72</v>
      </c>
      <c r="G170" s="357"/>
      <c r="H170" s="357">
        <f t="shared" si="5"/>
        <v>137.72</v>
      </c>
      <c r="I170" s="358">
        <v>25632707</v>
      </c>
      <c r="J170" s="396"/>
      <c r="K170" s="352"/>
    </row>
    <row r="171" spans="1:11" s="334" customFormat="1" ht="21.75" customHeight="1" x14ac:dyDescent="0.25">
      <c r="A171" s="352">
        <v>169</v>
      </c>
      <c r="B171" s="362">
        <v>1789</v>
      </c>
      <c r="C171" s="354" t="s">
        <v>452</v>
      </c>
      <c r="D171" s="355">
        <v>354</v>
      </c>
      <c r="E171" s="356">
        <v>0.4</v>
      </c>
      <c r="F171" s="357">
        <f t="shared" si="4"/>
        <v>141.6</v>
      </c>
      <c r="G171" s="357"/>
      <c r="H171" s="357">
        <f t="shared" si="5"/>
        <v>141.6</v>
      </c>
      <c r="I171" s="358">
        <v>6687053</v>
      </c>
      <c r="J171" s="396"/>
      <c r="K171" s="352"/>
    </row>
    <row r="172" spans="1:11" s="334" customFormat="1" ht="21.75" customHeight="1" x14ac:dyDescent="0.25">
      <c r="A172" s="352">
        <v>170</v>
      </c>
      <c r="B172" s="362">
        <v>1790</v>
      </c>
      <c r="C172" s="354" t="s">
        <v>454</v>
      </c>
      <c r="D172" s="355">
        <v>273.2</v>
      </c>
      <c r="E172" s="356">
        <v>0.4</v>
      </c>
      <c r="F172" s="357">
        <f t="shared" si="4"/>
        <v>109.28</v>
      </c>
      <c r="G172" s="357"/>
      <c r="H172" s="357">
        <f t="shared" si="5"/>
        <v>109.28</v>
      </c>
      <c r="I172" s="358">
        <v>22971771</v>
      </c>
      <c r="J172" s="396"/>
      <c r="K172" s="352"/>
    </row>
    <row r="173" spans="1:11" s="351" customFormat="1" ht="21.75" customHeight="1" x14ac:dyDescent="0.25">
      <c r="A173" s="341">
        <v>171</v>
      </c>
      <c r="B173" s="360">
        <v>1791</v>
      </c>
      <c r="C173" s="343" t="s">
        <v>80</v>
      </c>
      <c r="D173" s="361">
        <v>337.2</v>
      </c>
      <c r="E173" s="345">
        <v>0.4</v>
      </c>
      <c r="F173" s="345">
        <f t="shared" si="4"/>
        <v>134.88</v>
      </c>
      <c r="G173" s="345">
        <f>133.42</f>
        <v>133.41999999999999</v>
      </c>
      <c r="H173" s="345">
        <f t="shared" si="5"/>
        <v>1.460000000000008</v>
      </c>
      <c r="I173" s="346">
        <v>5335073</v>
      </c>
      <c r="J173" s="392">
        <v>45963</v>
      </c>
      <c r="K173" s="341"/>
    </row>
    <row r="174" spans="1:11" s="334" customFormat="1" ht="21.75" customHeight="1" x14ac:dyDescent="0.25">
      <c r="A174" s="341">
        <v>172</v>
      </c>
      <c r="B174" s="360">
        <v>1793</v>
      </c>
      <c r="C174" s="343" t="s">
        <v>456</v>
      </c>
      <c r="D174" s="361">
        <v>910.1</v>
      </c>
      <c r="E174" s="345">
        <v>0.4</v>
      </c>
      <c r="F174" s="345">
        <f t="shared" si="4"/>
        <v>364.04</v>
      </c>
      <c r="G174" s="345">
        <f>360.15+3.89</f>
        <v>364.03999999999996</v>
      </c>
      <c r="H174" s="345">
        <f t="shared" si="5"/>
        <v>0</v>
      </c>
      <c r="I174" s="346">
        <v>1629686</v>
      </c>
      <c r="J174" s="392">
        <v>45658</v>
      </c>
      <c r="K174" s="350">
        <v>45810</v>
      </c>
    </row>
    <row r="175" spans="1:11" s="334" customFormat="1" ht="21.75" customHeight="1" x14ac:dyDescent="0.25">
      <c r="A175" s="341">
        <v>173</v>
      </c>
      <c r="B175" s="360">
        <v>1794</v>
      </c>
      <c r="C175" s="343" t="s">
        <v>82</v>
      </c>
      <c r="D175" s="361">
        <v>368</v>
      </c>
      <c r="E175" s="345">
        <v>0.4</v>
      </c>
      <c r="F175" s="345">
        <f t="shared" si="4"/>
        <v>147.20000000000002</v>
      </c>
      <c r="G175" s="345">
        <f>143.52+3.68</f>
        <v>147.20000000000002</v>
      </c>
      <c r="H175" s="345">
        <f t="shared" si="5"/>
        <v>0</v>
      </c>
      <c r="I175" s="346">
        <v>6122928</v>
      </c>
      <c r="J175" s="392">
        <v>45663</v>
      </c>
      <c r="K175" s="350">
        <v>45691</v>
      </c>
    </row>
    <row r="176" spans="1:11" s="334" customFormat="1" ht="21.75" customHeight="1" x14ac:dyDescent="0.25">
      <c r="A176" s="341">
        <v>174</v>
      </c>
      <c r="B176" s="360">
        <v>1795</v>
      </c>
      <c r="C176" s="343" t="s">
        <v>458</v>
      </c>
      <c r="D176" s="361">
        <v>526</v>
      </c>
      <c r="E176" s="345">
        <v>0.4</v>
      </c>
      <c r="F176" s="345">
        <f t="shared" si="4"/>
        <v>210.4</v>
      </c>
      <c r="G176" s="345">
        <f>207.06+3.34</f>
        <v>210.4</v>
      </c>
      <c r="H176" s="345">
        <f t="shared" si="5"/>
        <v>0</v>
      </c>
      <c r="I176" s="346">
        <v>6496299</v>
      </c>
      <c r="J176" s="392">
        <v>45658</v>
      </c>
      <c r="K176" s="350">
        <v>45684</v>
      </c>
    </row>
    <row r="177" spans="1:35" s="334" customFormat="1" ht="21.75" customHeight="1" x14ac:dyDescent="0.25">
      <c r="A177" s="341">
        <v>175</v>
      </c>
      <c r="B177" s="360">
        <v>1796</v>
      </c>
      <c r="C177" s="343" t="s">
        <v>460</v>
      </c>
      <c r="D177" s="361">
        <v>361.5</v>
      </c>
      <c r="E177" s="345">
        <v>0.4</v>
      </c>
      <c r="F177" s="345">
        <f t="shared" si="4"/>
        <v>144.6</v>
      </c>
      <c r="G177" s="345">
        <f>140.73+3.87</f>
        <v>144.6</v>
      </c>
      <c r="H177" s="345">
        <f t="shared" si="5"/>
        <v>0</v>
      </c>
      <c r="I177" s="346">
        <v>7140382</v>
      </c>
      <c r="J177" s="392">
        <v>45658</v>
      </c>
      <c r="K177" s="350">
        <v>45677</v>
      </c>
    </row>
    <row r="178" spans="1:35" s="334" customFormat="1" ht="21.75" customHeight="1" x14ac:dyDescent="0.25">
      <c r="A178" s="352">
        <v>176</v>
      </c>
      <c r="B178" s="362">
        <v>1797</v>
      </c>
      <c r="C178" s="354" t="s">
        <v>463</v>
      </c>
      <c r="D178" s="355">
        <v>345</v>
      </c>
      <c r="E178" s="356">
        <v>0.4</v>
      </c>
      <c r="F178" s="357">
        <f t="shared" si="4"/>
        <v>138</v>
      </c>
      <c r="G178" s="357"/>
      <c r="H178" s="357">
        <f t="shared" si="5"/>
        <v>138</v>
      </c>
      <c r="I178" s="358">
        <v>3677869</v>
      </c>
      <c r="J178" s="396"/>
      <c r="K178" s="352"/>
    </row>
    <row r="179" spans="1:35" s="334" customFormat="1" ht="21.75" customHeight="1" x14ac:dyDescent="0.25">
      <c r="A179" s="341">
        <v>177</v>
      </c>
      <c r="B179" s="360">
        <v>1798</v>
      </c>
      <c r="C179" s="343" t="s">
        <v>84</v>
      </c>
      <c r="D179" s="361">
        <v>347</v>
      </c>
      <c r="E179" s="345">
        <v>0.4</v>
      </c>
      <c r="F179" s="345">
        <f t="shared" si="4"/>
        <v>138.80000000000001</v>
      </c>
      <c r="G179" s="345">
        <f>137.44</f>
        <v>137.44</v>
      </c>
      <c r="H179" s="345">
        <f t="shared" si="5"/>
        <v>1.3600000000000136</v>
      </c>
      <c r="I179" s="346">
        <v>5314229</v>
      </c>
      <c r="J179" s="392">
        <v>45670</v>
      </c>
      <c r="K179" s="341"/>
    </row>
    <row r="180" spans="1:35" s="334" customFormat="1" ht="21.75" customHeight="1" x14ac:dyDescent="0.25">
      <c r="A180" s="341">
        <v>178</v>
      </c>
      <c r="B180" s="360">
        <v>1799</v>
      </c>
      <c r="C180" s="343" t="s">
        <v>183</v>
      </c>
      <c r="D180" s="361">
        <v>337.5</v>
      </c>
      <c r="E180" s="345">
        <v>0.4</v>
      </c>
      <c r="F180" s="345">
        <f t="shared" si="4"/>
        <v>135</v>
      </c>
      <c r="G180" s="345">
        <f>132.86+2.14</f>
        <v>135</v>
      </c>
      <c r="H180" s="345">
        <f t="shared" si="5"/>
        <v>0</v>
      </c>
      <c r="I180" s="346">
        <v>5219843</v>
      </c>
      <c r="J180" s="392">
        <v>45658</v>
      </c>
      <c r="K180" s="369">
        <v>45684</v>
      </c>
    </row>
    <row r="181" spans="1:35" s="334" customFormat="1" ht="21.75" customHeight="1" x14ac:dyDescent="0.25">
      <c r="A181" s="352">
        <v>179</v>
      </c>
      <c r="B181" s="362">
        <v>1800</v>
      </c>
      <c r="C181" s="354" t="s">
        <v>185</v>
      </c>
      <c r="D181" s="355">
        <v>339.6</v>
      </c>
      <c r="E181" s="356">
        <v>0.4</v>
      </c>
      <c r="F181" s="357">
        <f t="shared" si="4"/>
        <v>135.84</v>
      </c>
      <c r="G181" s="357"/>
      <c r="H181" s="357">
        <f t="shared" si="5"/>
        <v>135.84</v>
      </c>
      <c r="I181" s="358">
        <v>7293505</v>
      </c>
      <c r="J181" s="396"/>
      <c r="K181" s="352"/>
    </row>
    <row r="182" spans="1:35" s="334" customFormat="1" ht="21.75" customHeight="1" x14ac:dyDescent="0.25">
      <c r="A182" s="377">
        <v>180</v>
      </c>
      <c r="B182" s="378">
        <v>1801</v>
      </c>
      <c r="C182" s="379" t="s">
        <v>187</v>
      </c>
      <c r="D182" s="380">
        <v>366.3</v>
      </c>
      <c r="E182" s="381">
        <v>0.4</v>
      </c>
      <c r="F182" s="381">
        <f t="shared" si="4"/>
        <v>146.52000000000001</v>
      </c>
      <c r="G182" s="381">
        <f>F182</f>
        <v>146.52000000000001</v>
      </c>
      <c r="H182" s="381">
        <f t="shared" si="5"/>
        <v>0</v>
      </c>
      <c r="I182" s="382">
        <v>655141</v>
      </c>
      <c r="J182" s="402"/>
      <c r="K182" s="352"/>
    </row>
    <row r="183" spans="1:35" s="334" customFormat="1" ht="21.75" customHeight="1" x14ac:dyDescent="0.25">
      <c r="A183" s="341">
        <v>181</v>
      </c>
      <c r="B183" s="360">
        <v>1802</v>
      </c>
      <c r="C183" s="343" t="s">
        <v>465</v>
      </c>
      <c r="D183" s="361">
        <v>316.2</v>
      </c>
      <c r="E183" s="345">
        <v>0.4</v>
      </c>
      <c r="F183" s="345">
        <f t="shared" si="4"/>
        <v>126.48</v>
      </c>
      <c r="G183" s="345">
        <f>122.34+4.14</f>
        <v>126.48</v>
      </c>
      <c r="H183" s="345">
        <f t="shared" si="5"/>
        <v>0</v>
      </c>
      <c r="I183" s="346">
        <v>14760225</v>
      </c>
      <c r="J183" s="392">
        <v>45658</v>
      </c>
      <c r="K183" s="350">
        <v>45679</v>
      </c>
    </row>
    <row r="184" spans="1:35" s="334" customFormat="1" ht="21.75" customHeight="1" x14ac:dyDescent="0.25">
      <c r="A184" s="352">
        <v>182</v>
      </c>
      <c r="B184" s="362">
        <v>1803</v>
      </c>
      <c r="C184" s="354" t="s">
        <v>467</v>
      </c>
      <c r="D184" s="355">
        <v>584.70000000000005</v>
      </c>
      <c r="E184" s="356">
        <v>0.4</v>
      </c>
      <c r="F184" s="357">
        <f t="shared" si="4"/>
        <v>233.88000000000002</v>
      </c>
      <c r="G184" s="357"/>
      <c r="H184" s="357">
        <f t="shared" si="5"/>
        <v>233.88000000000002</v>
      </c>
      <c r="I184" s="358">
        <v>5502798</v>
      </c>
      <c r="J184" s="396"/>
      <c r="K184" s="352"/>
    </row>
    <row r="185" spans="1:35" s="334" customFormat="1" ht="21.75" customHeight="1" x14ac:dyDescent="0.25">
      <c r="A185" s="352">
        <v>183</v>
      </c>
      <c r="B185" s="362">
        <v>1804</v>
      </c>
      <c r="C185" s="354" t="s">
        <v>469</v>
      </c>
      <c r="D185" s="355">
        <v>295.60000000000002</v>
      </c>
      <c r="E185" s="356">
        <v>0.4</v>
      </c>
      <c r="F185" s="357">
        <f t="shared" si="4"/>
        <v>118.24000000000001</v>
      </c>
      <c r="G185" s="357"/>
      <c r="H185" s="357">
        <f t="shared" si="5"/>
        <v>118.24000000000001</v>
      </c>
      <c r="I185" s="358">
        <v>19623766</v>
      </c>
      <c r="J185" s="396"/>
      <c r="K185" s="352"/>
    </row>
    <row r="186" spans="1:35" s="334" customFormat="1" ht="21.75" customHeight="1" x14ac:dyDescent="0.25">
      <c r="A186" s="352">
        <v>184</v>
      </c>
      <c r="B186" s="362">
        <v>1805</v>
      </c>
      <c r="C186" s="354" t="s">
        <v>471</v>
      </c>
      <c r="D186" s="355">
        <v>484</v>
      </c>
      <c r="E186" s="356">
        <v>0.4</v>
      </c>
      <c r="F186" s="357">
        <f t="shared" si="4"/>
        <v>193.60000000000002</v>
      </c>
      <c r="G186" s="357"/>
      <c r="H186" s="357">
        <f t="shared" si="5"/>
        <v>193.60000000000002</v>
      </c>
      <c r="I186" s="358">
        <v>1648586</v>
      </c>
      <c r="J186" s="396"/>
      <c r="K186" s="352"/>
    </row>
    <row r="187" spans="1:35" s="334" customFormat="1" ht="21.75" customHeight="1" x14ac:dyDescent="0.25">
      <c r="A187" s="341">
        <v>185</v>
      </c>
      <c r="B187" s="360">
        <v>1808</v>
      </c>
      <c r="C187" s="343" t="s">
        <v>86</v>
      </c>
      <c r="D187" s="361">
        <v>340</v>
      </c>
      <c r="E187" s="345">
        <v>0.4</v>
      </c>
      <c r="F187" s="345">
        <f t="shared" si="4"/>
        <v>136</v>
      </c>
      <c r="G187" s="345">
        <f>133.17+2.83</f>
        <v>136</v>
      </c>
      <c r="H187" s="345">
        <f t="shared" si="5"/>
        <v>0</v>
      </c>
      <c r="I187" s="346">
        <v>611136</v>
      </c>
      <c r="J187" s="392">
        <v>45658</v>
      </c>
      <c r="K187" s="403">
        <v>45963</v>
      </c>
    </row>
    <row r="188" spans="1:35" s="334" customFormat="1" ht="21.75" customHeight="1" x14ac:dyDescent="0.25">
      <c r="A188" s="352">
        <v>186</v>
      </c>
      <c r="B188" s="362">
        <v>1809</v>
      </c>
      <c r="C188" s="354" t="s">
        <v>474</v>
      </c>
      <c r="D188" s="355">
        <v>345</v>
      </c>
      <c r="E188" s="356">
        <v>0.4</v>
      </c>
      <c r="F188" s="357">
        <f t="shared" si="4"/>
        <v>138</v>
      </c>
      <c r="G188" s="357"/>
      <c r="H188" s="357">
        <f t="shared" si="5"/>
        <v>138</v>
      </c>
      <c r="I188" s="358">
        <v>14957086</v>
      </c>
      <c r="J188" s="396"/>
      <c r="K188" s="352"/>
    </row>
    <row r="189" spans="1:35" s="334" customFormat="1" ht="21.75" customHeight="1" x14ac:dyDescent="0.25">
      <c r="A189" s="341">
        <v>187</v>
      </c>
      <c r="B189" s="360">
        <v>1811</v>
      </c>
      <c r="C189" s="343" t="s">
        <v>476</v>
      </c>
      <c r="D189" s="361">
        <v>434.4</v>
      </c>
      <c r="E189" s="345">
        <v>0.4</v>
      </c>
      <c r="F189" s="345">
        <f t="shared" si="4"/>
        <v>173.76</v>
      </c>
      <c r="G189" s="345">
        <f>170.59+3.17</f>
        <v>173.76</v>
      </c>
      <c r="H189" s="345">
        <f t="shared" si="5"/>
        <v>0</v>
      </c>
      <c r="I189" s="346">
        <v>6384618</v>
      </c>
      <c r="J189" s="392">
        <v>45672</v>
      </c>
      <c r="K189" s="350">
        <v>45677</v>
      </c>
    </row>
    <row r="190" spans="1:35" s="334" customFormat="1" ht="21.75" customHeight="1" x14ac:dyDescent="0.25">
      <c r="A190" s="341">
        <v>188</v>
      </c>
      <c r="B190" s="360">
        <v>1812</v>
      </c>
      <c r="C190" s="343" t="s">
        <v>478</v>
      </c>
      <c r="D190" s="361">
        <v>345</v>
      </c>
      <c r="E190" s="345">
        <v>0.4</v>
      </c>
      <c r="F190" s="345">
        <f t="shared" si="4"/>
        <v>138</v>
      </c>
      <c r="G190" s="345">
        <f>137.35+0.65</f>
        <v>138</v>
      </c>
      <c r="H190" s="345">
        <f t="shared" si="5"/>
        <v>0</v>
      </c>
      <c r="I190" s="346">
        <v>4748659</v>
      </c>
      <c r="J190" s="392">
        <v>45658</v>
      </c>
      <c r="K190" s="350">
        <v>45679</v>
      </c>
    </row>
    <row r="191" spans="1:35" s="334" customFormat="1" ht="21.75" customHeight="1" x14ac:dyDescent="0.25">
      <c r="A191" s="352">
        <v>189</v>
      </c>
      <c r="B191" s="362">
        <v>1813</v>
      </c>
      <c r="C191" s="354" t="s">
        <v>481</v>
      </c>
      <c r="D191" s="355">
        <v>344</v>
      </c>
      <c r="E191" s="356">
        <v>0.4</v>
      </c>
      <c r="F191" s="357">
        <f t="shared" si="4"/>
        <v>137.6</v>
      </c>
      <c r="G191" s="357"/>
      <c r="H191" s="357">
        <f t="shared" si="5"/>
        <v>137.6</v>
      </c>
      <c r="I191" s="358">
        <v>2942396</v>
      </c>
      <c r="J191" s="396"/>
      <c r="K191" s="352"/>
    </row>
    <row r="192" spans="1:35" s="351" customFormat="1" ht="21.75" customHeight="1" x14ac:dyDescent="0.25">
      <c r="A192" s="341">
        <v>190</v>
      </c>
      <c r="B192" s="360">
        <v>1816</v>
      </c>
      <c r="C192" s="343" t="s">
        <v>191</v>
      </c>
      <c r="D192" s="361">
        <v>362</v>
      </c>
      <c r="E192" s="345">
        <v>0.4</v>
      </c>
      <c r="F192" s="345">
        <f t="shared" si="4"/>
        <v>144.80000000000001</v>
      </c>
      <c r="G192" s="345">
        <f>144.4+0.4</f>
        <v>144.80000000000001</v>
      </c>
      <c r="H192" s="345">
        <f t="shared" si="5"/>
        <v>0</v>
      </c>
      <c r="I192" s="346">
        <v>15694259</v>
      </c>
      <c r="J192" s="392">
        <v>45670</v>
      </c>
      <c r="K192" s="350">
        <v>45691</v>
      </c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  <c r="Z192" s="334"/>
      <c r="AA192" s="334"/>
      <c r="AB192" s="334"/>
      <c r="AC192" s="334"/>
      <c r="AD192" s="334"/>
      <c r="AE192" s="334"/>
      <c r="AF192" s="334"/>
      <c r="AG192" s="334"/>
      <c r="AH192" s="334"/>
      <c r="AI192" s="334"/>
    </row>
    <row r="193" spans="1:12" s="334" customFormat="1" ht="21.75" customHeight="1" x14ac:dyDescent="0.25">
      <c r="A193" s="352">
        <v>191</v>
      </c>
      <c r="B193" s="362">
        <v>1817</v>
      </c>
      <c r="C193" s="354" t="s">
        <v>483</v>
      </c>
      <c r="D193" s="355">
        <v>960</v>
      </c>
      <c r="E193" s="356">
        <v>0.4</v>
      </c>
      <c r="F193" s="357">
        <f t="shared" si="4"/>
        <v>384</v>
      </c>
      <c r="G193" s="357"/>
      <c r="H193" s="357">
        <f t="shared" si="5"/>
        <v>384</v>
      </c>
      <c r="I193" s="358">
        <v>6492948</v>
      </c>
      <c r="J193" s="396"/>
      <c r="K193" s="352"/>
    </row>
    <row r="194" spans="1:12" s="334" customFormat="1" ht="21.75" customHeight="1" x14ac:dyDescent="0.25">
      <c r="A194" s="341">
        <v>192</v>
      </c>
      <c r="B194" s="360">
        <v>1818</v>
      </c>
      <c r="C194" s="343" t="s">
        <v>485</v>
      </c>
      <c r="D194" s="361">
        <v>413.9</v>
      </c>
      <c r="E194" s="345">
        <v>0.4</v>
      </c>
      <c r="F194" s="345">
        <f t="shared" si="4"/>
        <v>165.56</v>
      </c>
      <c r="G194" s="345">
        <f>164.09+1.47</f>
        <v>165.56</v>
      </c>
      <c r="H194" s="345">
        <f t="shared" si="5"/>
        <v>0</v>
      </c>
      <c r="I194" s="346">
        <v>15677827</v>
      </c>
      <c r="J194" s="392">
        <v>45658</v>
      </c>
      <c r="K194" s="350">
        <v>45684</v>
      </c>
    </row>
    <row r="195" spans="1:12" s="334" customFormat="1" ht="21.75" customHeight="1" x14ac:dyDescent="0.25">
      <c r="A195" s="341">
        <v>193</v>
      </c>
      <c r="B195" s="360">
        <v>1819</v>
      </c>
      <c r="C195" s="343" t="s">
        <v>487</v>
      </c>
      <c r="D195" s="361">
        <v>366.7</v>
      </c>
      <c r="E195" s="345">
        <v>0.4</v>
      </c>
      <c r="F195" s="345">
        <f t="shared" ref="F195:F223" si="6">D195*E195</f>
        <v>146.68</v>
      </c>
      <c r="G195" s="345">
        <f>145.7+0.98</f>
        <v>146.67999999999998</v>
      </c>
      <c r="H195" s="345">
        <f t="shared" ref="H195:H223" si="7">F195-G195</f>
        <v>0</v>
      </c>
      <c r="I195" s="346">
        <v>851375</v>
      </c>
      <c r="J195" s="392">
        <v>45658</v>
      </c>
      <c r="K195" s="403">
        <v>45691</v>
      </c>
    </row>
    <row r="196" spans="1:12" s="334" customFormat="1" ht="21.75" customHeight="1" x14ac:dyDescent="0.25">
      <c r="A196" s="352">
        <v>194</v>
      </c>
      <c r="B196" s="362">
        <v>1820</v>
      </c>
      <c r="C196" s="354" t="s">
        <v>489</v>
      </c>
      <c r="D196" s="355">
        <v>345</v>
      </c>
      <c r="E196" s="356">
        <v>0.4</v>
      </c>
      <c r="F196" s="357">
        <f t="shared" si="6"/>
        <v>138</v>
      </c>
      <c r="G196" s="357"/>
      <c r="H196" s="357">
        <f t="shared" si="7"/>
        <v>138</v>
      </c>
      <c r="I196" s="358">
        <v>7124544</v>
      </c>
      <c r="J196" s="396"/>
      <c r="K196" s="352"/>
    </row>
    <row r="197" spans="1:12" s="334" customFormat="1" ht="21.75" customHeight="1" x14ac:dyDescent="0.25">
      <c r="A197" s="352">
        <v>195</v>
      </c>
      <c r="B197" s="362">
        <v>1821</v>
      </c>
      <c r="C197" s="358" t="s">
        <v>491</v>
      </c>
      <c r="D197" s="355">
        <v>603.5</v>
      </c>
      <c r="E197" s="356">
        <v>0.4</v>
      </c>
      <c r="F197" s="357">
        <f t="shared" si="6"/>
        <v>241.4</v>
      </c>
      <c r="G197" s="357"/>
      <c r="H197" s="357">
        <f t="shared" si="7"/>
        <v>241.4</v>
      </c>
      <c r="I197" s="358">
        <v>2454202</v>
      </c>
      <c r="J197" s="396"/>
      <c r="K197" s="352"/>
    </row>
    <row r="198" spans="1:12" s="334" customFormat="1" ht="21.75" customHeight="1" x14ac:dyDescent="0.25">
      <c r="A198" s="352">
        <v>196</v>
      </c>
      <c r="B198" s="362">
        <v>1822</v>
      </c>
      <c r="C198" s="358" t="s">
        <v>193</v>
      </c>
      <c r="D198" s="355">
        <v>316.7</v>
      </c>
      <c r="E198" s="356">
        <v>0.4</v>
      </c>
      <c r="F198" s="357">
        <f t="shared" si="6"/>
        <v>126.68</v>
      </c>
      <c r="G198" s="357"/>
      <c r="H198" s="357">
        <f t="shared" si="7"/>
        <v>126.68</v>
      </c>
      <c r="I198" s="358">
        <v>22005737</v>
      </c>
      <c r="J198" s="396"/>
      <c r="K198" s="352"/>
    </row>
    <row r="199" spans="1:12" s="334" customFormat="1" ht="21.75" customHeight="1" x14ac:dyDescent="0.25">
      <c r="A199" s="352">
        <v>197</v>
      </c>
      <c r="B199" s="362">
        <v>1823</v>
      </c>
      <c r="C199" s="358" t="s">
        <v>493</v>
      </c>
      <c r="D199" s="355">
        <v>341</v>
      </c>
      <c r="E199" s="356">
        <v>0.4</v>
      </c>
      <c r="F199" s="357">
        <f t="shared" si="6"/>
        <v>136.4</v>
      </c>
      <c r="G199" s="357"/>
      <c r="H199" s="357">
        <f t="shared" si="7"/>
        <v>136.4</v>
      </c>
      <c r="I199" s="358">
        <v>25722393</v>
      </c>
      <c r="J199" s="396"/>
      <c r="K199" s="352"/>
    </row>
    <row r="200" spans="1:12" s="334" customFormat="1" ht="21.75" customHeight="1" x14ac:dyDescent="0.25">
      <c r="A200" s="341">
        <v>198</v>
      </c>
      <c r="B200" s="360">
        <v>1824</v>
      </c>
      <c r="C200" s="346" t="s">
        <v>195</v>
      </c>
      <c r="D200" s="361">
        <v>311.8</v>
      </c>
      <c r="E200" s="345">
        <v>0.4</v>
      </c>
      <c r="F200" s="345">
        <f t="shared" si="6"/>
        <v>124.72000000000001</v>
      </c>
      <c r="G200" s="345">
        <f>F200</f>
        <v>124.72000000000001</v>
      </c>
      <c r="H200" s="345">
        <f t="shared" si="7"/>
        <v>0</v>
      </c>
      <c r="I200" s="346">
        <v>766709</v>
      </c>
      <c r="J200" s="369">
        <v>45684</v>
      </c>
      <c r="K200" s="341"/>
    </row>
    <row r="201" spans="1:12" s="334" customFormat="1" ht="21.75" customHeight="1" x14ac:dyDescent="0.25">
      <c r="A201" s="341">
        <v>199</v>
      </c>
      <c r="B201" s="360">
        <v>1825</v>
      </c>
      <c r="C201" s="346" t="s">
        <v>495</v>
      </c>
      <c r="D201" s="361">
        <v>334.1</v>
      </c>
      <c r="E201" s="345">
        <v>0.4</v>
      </c>
      <c r="F201" s="345">
        <f t="shared" si="6"/>
        <v>133.64000000000001</v>
      </c>
      <c r="G201" s="345">
        <f>130.86+2.78</f>
        <v>133.64000000000001</v>
      </c>
      <c r="H201" s="345">
        <f t="shared" si="7"/>
        <v>0</v>
      </c>
      <c r="I201" s="346">
        <v>7293524</v>
      </c>
      <c r="J201" s="392">
        <v>45665</v>
      </c>
      <c r="K201" s="350">
        <v>45686</v>
      </c>
      <c r="L201" s="351"/>
    </row>
    <row r="202" spans="1:12" s="334" customFormat="1" ht="21.75" customHeight="1" x14ac:dyDescent="0.2">
      <c r="A202" s="341">
        <v>200</v>
      </c>
      <c r="B202" s="360">
        <v>1826</v>
      </c>
      <c r="C202" s="404" t="s">
        <v>88</v>
      </c>
      <c r="D202" s="361">
        <v>334.7</v>
      </c>
      <c r="E202" s="345">
        <v>0.4</v>
      </c>
      <c r="F202" s="345">
        <f t="shared" si="6"/>
        <v>133.88</v>
      </c>
      <c r="G202" s="345">
        <f>131.04+2.84</f>
        <v>133.88</v>
      </c>
      <c r="H202" s="345">
        <f t="shared" si="7"/>
        <v>0</v>
      </c>
      <c r="I202" s="405">
        <v>381215</v>
      </c>
      <c r="J202" s="369">
        <v>45684</v>
      </c>
      <c r="K202" s="350">
        <v>45963</v>
      </c>
    </row>
    <row r="203" spans="1:12" s="334" customFormat="1" ht="21.75" customHeight="1" x14ac:dyDescent="0.25">
      <c r="A203" s="341">
        <v>201</v>
      </c>
      <c r="B203" s="360">
        <v>1827</v>
      </c>
      <c r="C203" s="346" t="s">
        <v>497</v>
      </c>
      <c r="D203" s="361">
        <v>343.9</v>
      </c>
      <c r="E203" s="345">
        <v>0.4</v>
      </c>
      <c r="F203" s="345">
        <f t="shared" si="6"/>
        <v>137.56</v>
      </c>
      <c r="G203" s="345">
        <f>109.56+28</f>
        <v>137.56</v>
      </c>
      <c r="H203" s="345">
        <f t="shared" si="7"/>
        <v>0</v>
      </c>
      <c r="I203" s="346">
        <v>24218909</v>
      </c>
      <c r="J203" s="392">
        <v>45671</v>
      </c>
      <c r="K203" s="350">
        <v>45718</v>
      </c>
      <c r="L203" s="351"/>
    </row>
    <row r="204" spans="1:12" s="334" customFormat="1" ht="21.75" customHeight="1" x14ac:dyDescent="0.25">
      <c r="A204" s="352">
        <v>202</v>
      </c>
      <c r="B204" s="362">
        <v>1830</v>
      </c>
      <c r="C204" s="358" t="s">
        <v>499</v>
      </c>
      <c r="D204" s="355">
        <v>661.4</v>
      </c>
      <c r="E204" s="356">
        <v>0.4</v>
      </c>
      <c r="F204" s="357">
        <f t="shared" si="6"/>
        <v>264.56</v>
      </c>
      <c r="G204" s="357"/>
      <c r="H204" s="357">
        <f t="shared" si="7"/>
        <v>264.56</v>
      </c>
      <c r="I204" s="358">
        <v>22697535</v>
      </c>
      <c r="J204" s="396"/>
      <c r="K204" s="352"/>
    </row>
    <row r="205" spans="1:12" s="334" customFormat="1" ht="21.75" customHeight="1" x14ac:dyDescent="0.25">
      <c r="A205" s="341">
        <v>203</v>
      </c>
      <c r="B205" s="360">
        <v>3074</v>
      </c>
      <c r="C205" s="343" t="s">
        <v>501</v>
      </c>
      <c r="D205" s="361">
        <v>248.2</v>
      </c>
      <c r="E205" s="345">
        <v>0.4</v>
      </c>
      <c r="F205" s="345">
        <f t="shared" si="6"/>
        <v>99.28</v>
      </c>
      <c r="G205" s="345">
        <f>95.88+3.4</f>
        <v>99.28</v>
      </c>
      <c r="H205" s="345">
        <f t="shared" si="7"/>
        <v>0</v>
      </c>
      <c r="I205" s="385">
        <v>6327112</v>
      </c>
      <c r="J205" s="392">
        <v>45670</v>
      </c>
      <c r="K205" s="350">
        <v>45718</v>
      </c>
    </row>
    <row r="206" spans="1:12" s="334" customFormat="1" ht="21.75" customHeight="1" x14ac:dyDescent="0.25">
      <c r="A206" s="352">
        <v>204</v>
      </c>
      <c r="B206" s="362">
        <v>3075</v>
      </c>
      <c r="C206" s="358" t="s">
        <v>503</v>
      </c>
      <c r="D206" s="355">
        <v>534.20000000000005</v>
      </c>
      <c r="E206" s="356">
        <v>0.4</v>
      </c>
      <c r="F206" s="357">
        <f t="shared" si="6"/>
        <v>213.68000000000004</v>
      </c>
      <c r="G206" s="357"/>
      <c r="H206" s="357">
        <f t="shared" si="7"/>
        <v>213.68000000000004</v>
      </c>
      <c r="I206" s="386">
        <v>6207551</v>
      </c>
      <c r="J206" s="396"/>
      <c r="K206" s="352"/>
    </row>
    <row r="207" spans="1:12" ht="21.75" customHeight="1" x14ac:dyDescent="0.25">
      <c r="A207" s="341">
        <v>205</v>
      </c>
      <c r="B207" s="360">
        <v>3250</v>
      </c>
      <c r="C207" s="346" t="s">
        <v>198</v>
      </c>
      <c r="D207" s="361">
        <v>661.2</v>
      </c>
      <c r="E207" s="345">
        <v>0.4</v>
      </c>
      <c r="F207" s="345">
        <f t="shared" si="6"/>
        <v>264.48</v>
      </c>
      <c r="G207" s="345">
        <f>260.25+4.23</f>
        <v>264.48</v>
      </c>
      <c r="H207" s="345">
        <f t="shared" si="7"/>
        <v>0</v>
      </c>
      <c r="I207" s="399">
        <v>1357047</v>
      </c>
      <c r="J207" s="392">
        <v>45658</v>
      </c>
      <c r="K207" s="363" t="s">
        <v>607</v>
      </c>
    </row>
    <row r="208" spans="1:12" s="351" customFormat="1" ht="21.75" customHeight="1" x14ac:dyDescent="0.25">
      <c r="A208" s="341">
        <v>206</v>
      </c>
      <c r="B208" s="360">
        <v>3317</v>
      </c>
      <c r="C208" s="346" t="s">
        <v>505</v>
      </c>
      <c r="D208" s="361">
        <v>434.4</v>
      </c>
      <c r="E208" s="345">
        <v>0.4</v>
      </c>
      <c r="F208" s="345">
        <f t="shared" si="6"/>
        <v>173.76</v>
      </c>
      <c r="G208" s="345">
        <f>173.2</f>
        <v>173.2</v>
      </c>
      <c r="H208" s="345">
        <f t="shared" si="7"/>
        <v>0.56000000000000227</v>
      </c>
      <c r="I208" s="399">
        <v>2366794</v>
      </c>
      <c r="J208" s="392">
        <v>45963</v>
      </c>
      <c r="K208" s="341"/>
    </row>
    <row r="209" spans="1:11" s="334" customFormat="1" ht="21.75" customHeight="1" x14ac:dyDescent="0.25">
      <c r="A209" s="341">
        <v>207</v>
      </c>
      <c r="B209" s="360">
        <v>3323</v>
      </c>
      <c r="C209" s="346" t="s">
        <v>507</v>
      </c>
      <c r="D209" s="361">
        <v>614.5</v>
      </c>
      <c r="E209" s="345">
        <v>0.4</v>
      </c>
      <c r="F209" s="345">
        <f t="shared" si="6"/>
        <v>245.8</v>
      </c>
      <c r="G209" s="345">
        <f>243.66+2.14</f>
        <v>245.79999999999998</v>
      </c>
      <c r="H209" s="345">
        <f t="shared" si="7"/>
        <v>0</v>
      </c>
      <c r="I209" s="399">
        <v>683613</v>
      </c>
      <c r="J209" s="392">
        <v>45658</v>
      </c>
      <c r="K209" s="403">
        <v>45679</v>
      </c>
    </row>
    <row r="210" spans="1:11" s="351" customFormat="1" ht="21.75" customHeight="1" x14ac:dyDescent="0.25">
      <c r="A210" s="341">
        <v>208</v>
      </c>
      <c r="B210" s="360">
        <v>3327</v>
      </c>
      <c r="C210" s="346" t="s">
        <v>509</v>
      </c>
      <c r="D210" s="361">
        <v>586.6</v>
      </c>
      <c r="E210" s="345">
        <v>0.4</v>
      </c>
      <c r="F210" s="345">
        <f t="shared" si="6"/>
        <v>234.64000000000001</v>
      </c>
      <c r="G210" s="345">
        <f>F210</f>
        <v>234.64000000000001</v>
      </c>
      <c r="H210" s="345">
        <f t="shared" si="7"/>
        <v>0</v>
      </c>
      <c r="I210" s="346">
        <v>4919647</v>
      </c>
      <c r="J210" s="426" t="s">
        <v>600</v>
      </c>
      <c r="K210" s="341"/>
    </row>
    <row r="211" spans="1:11" s="334" customFormat="1" ht="21.75" customHeight="1" x14ac:dyDescent="0.25">
      <c r="A211" s="352">
        <v>209</v>
      </c>
      <c r="B211" s="362">
        <v>3345</v>
      </c>
      <c r="C211" s="358" t="s">
        <v>511</v>
      </c>
      <c r="D211" s="355">
        <v>345</v>
      </c>
      <c r="E211" s="356">
        <v>0.4</v>
      </c>
      <c r="F211" s="357">
        <f t="shared" si="6"/>
        <v>138</v>
      </c>
      <c r="G211" s="357"/>
      <c r="H211" s="357">
        <f t="shared" si="7"/>
        <v>138</v>
      </c>
      <c r="I211" s="358">
        <v>6572395</v>
      </c>
      <c r="J211" s="396"/>
      <c r="K211" s="352"/>
    </row>
    <row r="212" spans="1:11" s="334" customFormat="1" ht="21.75" customHeight="1" x14ac:dyDescent="0.25">
      <c r="A212" s="341">
        <v>210</v>
      </c>
      <c r="B212" s="360">
        <v>3701</v>
      </c>
      <c r="C212" s="343" t="s">
        <v>513</v>
      </c>
      <c r="D212" s="361">
        <v>345</v>
      </c>
      <c r="E212" s="345">
        <v>0.4</v>
      </c>
      <c r="F212" s="345">
        <f t="shared" si="6"/>
        <v>138</v>
      </c>
      <c r="G212" s="345">
        <f>134.2+3.8</f>
        <v>138</v>
      </c>
      <c r="H212" s="345">
        <f t="shared" si="7"/>
        <v>0</v>
      </c>
      <c r="I212" s="346">
        <v>5146416</v>
      </c>
      <c r="J212" s="392">
        <v>45658</v>
      </c>
      <c r="K212" s="350">
        <v>45679</v>
      </c>
    </row>
    <row r="213" spans="1:11" s="334" customFormat="1" ht="21.75" customHeight="1" x14ac:dyDescent="0.25">
      <c r="A213" s="341">
        <v>211</v>
      </c>
      <c r="B213" s="360">
        <v>3710</v>
      </c>
      <c r="C213" s="343" t="s">
        <v>515</v>
      </c>
      <c r="D213" s="361">
        <v>259</v>
      </c>
      <c r="E213" s="345">
        <v>0.4</v>
      </c>
      <c r="F213" s="345">
        <f t="shared" si="6"/>
        <v>103.60000000000001</v>
      </c>
      <c r="G213" s="345">
        <f>100.07+3.53</f>
        <v>103.6</v>
      </c>
      <c r="H213" s="345">
        <f t="shared" si="7"/>
        <v>0</v>
      </c>
      <c r="I213" s="346">
        <v>22749678</v>
      </c>
      <c r="J213" s="392">
        <v>45658</v>
      </c>
      <c r="K213" s="350">
        <v>45718</v>
      </c>
    </row>
    <row r="214" spans="1:11" s="334" customFormat="1" ht="21.75" customHeight="1" x14ac:dyDescent="0.25">
      <c r="A214" s="341">
        <v>212</v>
      </c>
      <c r="B214" s="360">
        <v>3715</v>
      </c>
      <c r="C214" s="343" t="s">
        <v>517</v>
      </c>
      <c r="D214" s="361">
        <v>228.5</v>
      </c>
      <c r="E214" s="345">
        <v>0.4</v>
      </c>
      <c r="F214" s="345">
        <f t="shared" si="6"/>
        <v>91.4</v>
      </c>
      <c r="G214" s="345">
        <f>90.08+1.32</f>
        <v>91.399999999999991</v>
      </c>
      <c r="H214" s="345">
        <f t="shared" si="7"/>
        <v>0</v>
      </c>
      <c r="I214" s="346">
        <v>6327183</v>
      </c>
      <c r="J214" s="392">
        <v>45658</v>
      </c>
      <c r="K214" s="350">
        <v>45810</v>
      </c>
    </row>
    <row r="215" spans="1:11" s="334" customFormat="1" ht="21.75" customHeight="1" x14ac:dyDescent="0.25">
      <c r="A215" s="352">
        <v>213</v>
      </c>
      <c r="B215" s="362">
        <v>3721</v>
      </c>
      <c r="C215" s="354" t="s">
        <v>519</v>
      </c>
      <c r="D215" s="355">
        <v>249.5</v>
      </c>
      <c r="E215" s="356">
        <v>0.4</v>
      </c>
      <c r="F215" s="357">
        <f t="shared" si="6"/>
        <v>99.800000000000011</v>
      </c>
      <c r="G215" s="357"/>
      <c r="H215" s="357">
        <f t="shared" si="7"/>
        <v>99.800000000000011</v>
      </c>
      <c r="I215" s="358">
        <v>5332235</v>
      </c>
      <c r="J215" s="396"/>
      <c r="K215" s="352"/>
    </row>
    <row r="216" spans="1:11" s="334" customFormat="1" ht="21.75" customHeight="1" x14ac:dyDescent="0.25">
      <c r="A216" s="352">
        <v>214</v>
      </c>
      <c r="B216" s="362">
        <v>3738</v>
      </c>
      <c r="C216" s="358" t="s">
        <v>521</v>
      </c>
      <c r="D216" s="355">
        <v>366.6</v>
      </c>
      <c r="E216" s="356">
        <v>0.4</v>
      </c>
      <c r="F216" s="357">
        <f t="shared" si="6"/>
        <v>146.64000000000001</v>
      </c>
      <c r="G216" s="357"/>
      <c r="H216" s="357">
        <f t="shared" si="7"/>
        <v>146.64000000000001</v>
      </c>
      <c r="I216" s="358">
        <v>730741</v>
      </c>
      <c r="J216" s="396"/>
      <c r="K216" s="352"/>
    </row>
    <row r="217" spans="1:11" s="334" customFormat="1" ht="21.75" customHeight="1" x14ac:dyDescent="0.25">
      <c r="A217" s="352">
        <v>215</v>
      </c>
      <c r="B217" s="362">
        <v>3763</v>
      </c>
      <c r="C217" s="358" t="s">
        <v>92</v>
      </c>
      <c r="D217" s="355">
        <v>316.7</v>
      </c>
      <c r="E217" s="356">
        <v>0.4</v>
      </c>
      <c r="F217" s="357">
        <f t="shared" si="6"/>
        <v>126.68</v>
      </c>
      <c r="G217" s="357"/>
      <c r="H217" s="357">
        <f t="shared" si="7"/>
        <v>126.68</v>
      </c>
      <c r="I217" s="358">
        <v>19189247</v>
      </c>
      <c r="J217" s="396"/>
      <c r="K217" s="352"/>
    </row>
    <row r="218" spans="1:11" s="334" customFormat="1" ht="21.75" customHeight="1" x14ac:dyDescent="0.25">
      <c r="A218" s="341">
        <v>216</v>
      </c>
      <c r="B218" s="360">
        <v>3788</v>
      </c>
      <c r="C218" s="346" t="s">
        <v>523</v>
      </c>
      <c r="D218" s="361">
        <v>345</v>
      </c>
      <c r="E218" s="345">
        <v>0.4</v>
      </c>
      <c r="F218" s="345">
        <f t="shared" si="6"/>
        <v>138</v>
      </c>
      <c r="G218" s="345">
        <f>136.97+1.03</f>
        <v>138</v>
      </c>
      <c r="H218" s="345">
        <f t="shared" si="7"/>
        <v>0</v>
      </c>
      <c r="I218" s="346">
        <v>5146627</v>
      </c>
      <c r="J218" s="392">
        <v>45663</v>
      </c>
      <c r="K218" s="350">
        <v>45679</v>
      </c>
    </row>
    <row r="219" spans="1:11" s="334" customFormat="1" ht="21.75" customHeight="1" x14ac:dyDescent="0.25">
      <c r="A219" s="352">
        <v>217</v>
      </c>
      <c r="B219" s="362">
        <v>3806</v>
      </c>
      <c r="C219" s="358" t="s">
        <v>525</v>
      </c>
      <c r="D219" s="355">
        <v>280.10000000000002</v>
      </c>
      <c r="E219" s="356">
        <v>0.4</v>
      </c>
      <c r="F219" s="357">
        <f t="shared" si="6"/>
        <v>112.04000000000002</v>
      </c>
      <c r="G219" s="357"/>
      <c r="H219" s="357">
        <f t="shared" si="7"/>
        <v>112.04000000000002</v>
      </c>
      <c r="I219" s="358">
        <v>14457167</v>
      </c>
      <c r="J219" s="396"/>
      <c r="K219" s="352"/>
    </row>
    <row r="220" spans="1:11" s="334" customFormat="1" ht="21.75" customHeight="1" x14ac:dyDescent="0.25">
      <c r="A220" s="341">
        <v>218</v>
      </c>
      <c r="B220" s="360">
        <v>3825</v>
      </c>
      <c r="C220" s="346" t="s">
        <v>526</v>
      </c>
      <c r="D220" s="361">
        <v>192</v>
      </c>
      <c r="E220" s="345">
        <v>0.4</v>
      </c>
      <c r="F220" s="345">
        <f t="shared" si="6"/>
        <v>76.800000000000011</v>
      </c>
      <c r="G220" s="345">
        <f>73.56+3.24</f>
        <v>76.8</v>
      </c>
      <c r="H220" s="345">
        <f t="shared" si="7"/>
        <v>0</v>
      </c>
      <c r="I220" s="346">
        <v>6327337</v>
      </c>
      <c r="J220" s="392">
        <v>45658</v>
      </c>
      <c r="K220" s="350">
        <v>45718</v>
      </c>
    </row>
    <row r="221" spans="1:11" s="334" customFormat="1" ht="21.75" customHeight="1" x14ac:dyDescent="0.25">
      <c r="A221" s="352">
        <v>219</v>
      </c>
      <c r="B221" s="362">
        <v>3826</v>
      </c>
      <c r="C221" s="358" t="s">
        <v>200</v>
      </c>
      <c r="D221" s="355">
        <v>325.5</v>
      </c>
      <c r="E221" s="356">
        <v>0.4</v>
      </c>
      <c r="F221" s="357">
        <f t="shared" si="6"/>
        <v>130.20000000000002</v>
      </c>
      <c r="G221" s="357"/>
      <c r="H221" s="357">
        <f t="shared" si="7"/>
        <v>130.20000000000002</v>
      </c>
      <c r="I221" s="358">
        <v>4919671</v>
      </c>
      <c r="J221" s="396"/>
      <c r="K221" s="352" t="s">
        <v>202</v>
      </c>
    </row>
    <row r="222" spans="1:11" s="334" customFormat="1" ht="21.75" customHeight="1" x14ac:dyDescent="0.25">
      <c r="A222" s="341">
        <v>220</v>
      </c>
      <c r="B222" s="360">
        <v>3881</v>
      </c>
      <c r="C222" s="398" t="s">
        <v>529</v>
      </c>
      <c r="D222" s="361">
        <v>315.7</v>
      </c>
      <c r="E222" s="345">
        <v>0.4</v>
      </c>
      <c r="F222" s="345">
        <f t="shared" si="6"/>
        <v>126.28</v>
      </c>
      <c r="G222" s="345">
        <f>F222</f>
        <v>126.28</v>
      </c>
      <c r="H222" s="345">
        <f t="shared" si="7"/>
        <v>0</v>
      </c>
      <c r="I222" s="346">
        <v>5335138</v>
      </c>
      <c r="J222" s="406"/>
      <c r="K222" s="369">
        <v>45686</v>
      </c>
    </row>
    <row r="223" spans="1:11" s="334" customFormat="1" ht="21.75" customHeight="1" x14ac:dyDescent="0.25">
      <c r="A223" s="352">
        <v>221</v>
      </c>
      <c r="B223" s="362">
        <v>3883</v>
      </c>
      <c r="C223" s="358" t="s">
        <v>531</v>
      </c>
      <c r="D223" s="355">
        <v>274.89999999999998</v>
      </c>
      <c r="E223" s="356">
        <v>0.4</v>
      </c>
      <c r="F223" s="357">
        <f t="shared" si="6"/>
        <v>109.96</v>
      </c>
      <c r="G223" s="357"/>
      <c r="H223" s="357">
        <f t="shared" si="7"/>
        <v>109.96</v>
      </c>
      <c r="I223" s="358">
        <v>18636502</v>
      </c>
      <c r="J223" s="396"/>
      <c r="K223" s="352"/>
    </row>
    <row r="224" spans="1:11" x14ac:dyDescent="0.25">
      <c r="A224" s="352"/>
      <c r="B224" s="352"/>
      <c r="C224" s="407"/>
      <c r="D224" s="408">
        <f>SUM(D3:D223)</f>
        <v>104747.40000000001</v>
      </c>
      <c r="E224" s="356"/>
      <c r="F224" s="357">
        <f>SUM(F3:F223)</f>
        <v>41898.959999999985</v>
      </c>
      <c r="G224" s="357">
        <f>SUM(G3:G223)</f>
        <v>25705.525999999983</v>
      </c>
      <c r="H224" s="357">
        <f>SUM(H3:H223)</f>
        <v>16193.434000000003</v>
      </c>
      <c r="I224" s="407"/>
      <c r="J224" s="396"/>
      <c r="K224" s="363"/>
    </row>
    <row r="225" spans="1:11" x14ac:dyDescent="0.25">
      <c r="B225" s="409"/>
      <c r="C225" s="410"/>
      <c r="D225" s="335"/>
      <c r="E225" s="411"/>
      <c r="F225" s="412"/>
      <c r="G225" s="412"/>
      <c r="H225" s="412"/>
      <c r="I225" s="412"/>
      <c r="K225" s="335"/>
    </row>
    <row r="226" spans="1:11" x14ac:dyDescent="0.25">
      <c r="B226" s="409"/>
      <c r="C226" s="410"/>
      <c r="D226" s="335"/>
      <c r="E226" s="413"/>
      <c r="F226" s="409"/>
      <c r="G226" s="414">
        <f>G224/F224</f>
        <v>0.61351226856227437</v>
      </c>
      <c r="H226" s="409"/>
      <c r="I226" s="414"/>
      <c r="K226" s="335"/>
    </row>
    <row r="227" spans="1:11" x14ac:dyDescent="0.25">
      <c r="J227" s="415"/>
    </row>
    <row r="230" spans="1:11" x14ac:dyDescent="0.2">
      <c r="A230" s="416"/>
      <c r="B230" s="417"/>
      <c r="C230" s="416"/>
      <c r="D230" s="418"/>
      <c r="E230" s="416"/>
      <c r="F230" s="419"/>
      <c r="G230" s="419"/>
      <c r="H230" s="419"/>
      <c r="I230" s="419"/>
    </row>
    <row r="231" spans="1:11" x14ac:dyDescent="0.2">
      <c r="A231" s="419"/>
      <c r="B231" s="419"/>
      <c r="C231" s="419"/>
      <c r="D231" s="420"/>
      <c r="E231" s="419"/>
      <c r="F231" s="419"/>
      <c r="G231" s="419"/>
      <c r="H231" s="419"/>
      <c r="I231" s="419"/>
    </row>
    <row r="232" spans="1:11" x14ac:dyDescent="0.2">
      <c r="A232" s="421"/>
      <c r="B232" s="421"/>
      <c r="C232" s="421"/>
      <c r="D232" s="422"/>
      <c r="E232" s="421"/>
      <c r="F232" s="421"/>
      <c r="G232" s="421"/>
      <c r="H232" s="421"/>
      <c r="I232" s="421"/>
    </row>
    <row r="233" spans="1:11" x14ac:dyDescent="0.2">
      <c r="A233" s="421"/>
      <c r="B233" s="421"/>
      <c r="C233" s="421"/>
      <c r="D233" s="422"/>
      <c r="E233" s="421"/>
      <c r="F233" s="421"/>
      <c r="G233" s="421"/>
      <c r="H233" s="421"/>
      <c r="I233" s="421"/>
    </row>
    <row r="234" spans="1:11" x14ac:dyDescent="0.2">
      <c r="A234" s="421"/>
      <c r="B234" s="421"/>
      <c r="C234" s="421"/>
      <c r="D234" s="422"/>
      <c r="E234" s="421"/>
      <c r="F234" s="421"/>
      <c r="G234" s="421"/>
      <c r="H234" s="421"/>
      <c r="I234" s="421"/>
    </row>
  </sheetData>
  <autoFilter ref="A2:J2" xr:uid="{C5359FA1-2C15-4508-8F01-56B298EE8ECF}"/>
  <mergeCells count="1">
    <mergeCell ref="A1:K1"/>
  </mergeCells>
  <conditionalFormatting sqref="B7">
    <cfRule type="duplicateValues" dxfId="87" priority="9"/>
  </conditionalFormatting>
  <conditionalFormatting sqref="B18:B19">
    <cfRule type="duplicateValues" dxfId="86" priority="11"/>
  </conditionalFormatting>
  <conditionalFormatting sqref="B33">
    <cfRule type="duplicateValues" dxfId="85" priority="1"/>
  </conditionalFormatting>
  <conditionalFormatting sqref="B34">
    <cfRule type="duplicateValues" dxfId="84" priority="8"/>
  </conditionalFormatting>
  <conditionalFormatting sqref="B39:B41">
    <cfRule type="duplicateValues" dxfId="83" priority="7"/>
  </conditionalFormatting>
  <conditionalFormatting sqref="B48">
    <cfRule type="duplicateValues" dxfId="82" priority="6"/>
  </conditionalFormatting>
  <conditionalFormatting sqref="B59:B61">
    <cfRule type="duplicateValues" dxfId="81" priority="5"/>
  </conditionalFormatting>
  <conditionalFormatting sqref="B63">
    <cfRule type="duplicateValues" dxfId="80" priority="4"/>
  </conditionalFormatting>
  <conditionalFormatting sqref="B78">
    <cfRule type="duplicateValues" dxfId="79" priority="3"/>
  </conditionalFormatting>
  <conditionalFormatting sqref="B79">
    <cfRule type="duplicateValues" dxfId="78" priority="2"/>
  </conditionalFormatting>
  <conditionalFormatting sqref="B206">
    <cfRule type="duplicateValues" dxfId="77" priority="10"/>
  </conditionalFormatting>
  <pageMargins left="0.7" right="0.7" top="0.75" bottom="0.75" header="0.3" footer="0.3"/>
  <pageSetup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33A6-528D-4EE1-A8D1-DAAAB06F0602}">
  <dimension ref="A1:AA234"/>
  <sheetViews>
    <sheetView view="pageBreakPreview" topLeftCell="A80" zoomScale="88" zoomScaleNormal="100" zoomScaleSheetLayoutView="88" workbookViewId="0">
      <selection activeCell="O13" sqref="O13"/>
    </sheetView>
  </sheetViews>
  <sheetFormatPr defaultColWidth="9" defaultRowHeight="12" x14ac:dyDescent="0.25"/>
  <cols>
    <col min="1" max="1" width="7.28515625" style="5" customWidth="1"/>
    <col min="2" max="2" width="13" style="5" customWidth="1"/>
    <col min="3" max="3" width="35.140625" style="6" customWidth="1"/>
    <col min="4" max="4" width="13.42578125" style="290" customWidth="1"/>
    <col min="5" max="5" width="12" style="5" customWidth="1"/>
    <col min="6" max="6" width="21.28515625" style="5" customWidth="1"/>
    <col min="7" max="7" width="13.5703125" style="5" customWidth="1"/>
    <col min="8" max="8" width="18.5703125" style="5" customWidth="1"/>
    <col min="9" max="9" width="13.28515625" style="5" customWidth="1"/>
    <col min="10" max="10" width="15.42578125" style="5" hidden="1" customWidth="1"/>
    <col min="11" max="11" width="11.7109375" style="6" hidden="1" customWidth="1"/>
    <col min="12" max="12" width="15.85546875" style="7" hidden="1" customWidth="1"/>
    <col min="13" max="13" width="14.85546875" style="6" hidden="1" customWidth="1"/>
    <col min="14" max="15" width="31.5703125" style="6" bestFit="1" customWidth="1"/>
    <col min="16" max="16" width="19.28515625" style="6" bestFit="1" customWidth="1"/>
    <col min="17" max="17" width="20.28515625" style="5" bestFit="1" customWidth="1"/>
    <col min="18" max="18" width="10.7109375" style="5" customWidth="1"/>
    <col min="19" max="19" width="9" style="5"/>
    <col min="20" max="20" width="40.28515625" style="5" bestFit="1" customWidth="1"/>
    <col min="21" max="21" width="9.7109375" style="5" customWidth="1"/>
    <col min="22" max="23" width="9" style="5"/>
    <col min="24" max="24" width="14.85546875" style="5" bestFit="1" customWidth="1"/>
    <col min="25" max="25" width="14.85546875" style="5" customWidth="1"/>
    <col min="26" max="26" width="13.140625" style="5" bestFit="1" customWidth="1"/>
    <col min="27" max="27" width="13.140625" style="5" customWidth="1"/>
    <col min="28" max="28" width="15.140625" style="5" bestFit="1" customWidth="1"/>
    <col min="29" max="16384" width="9" style="5"/>
  </cols>
  <sheetData>
    <row r="1" spans="1:27" ht="34.5" customHeight="1" x14ac:dyDescent="0.25">
      <c r="A1" s="651" t="s">
        <v>572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</row>
    <row r="2" spans="1:27" ht="30" customHeight="1" x14ac:dyDescent="0.25">
      <c r="A2" s="38" t="s">
        <v>1</v>
      </c>
      <c r="B2" s="38" t="s">
        <v>2</v>
      </c>
      <c r="C2" s="39" t="s">
        <v>3</v>
      </c>
      <c r="D2" s="303" t="s">
        <v>4</v>
      </c>
      <c r="E2" s="38" t="s">
        <v>5</v>
      </c>
      <c r="F2" s="302" t="s">
        <v>564</v>
      </c>
      <c r="G2" s="302" t="s">
        <v>7</v>
      </c>
      <c r="H2" s="302" t="s">
        <v>19</v>
      </c>
      <c r="I2" s="39" t="s">
        <v>9</v>
      </c>
      <c r="J2" s="39" t="s">
        <v>20</v>
      </c>
      <c r="K2" s="39" t="s">
        <v>21</v>
      </c>
      <c r="L2" s="39" t="s">
        <v>22</v>
      </c>
      <c r="M2" s="39" t="s">
        <v>23</v>
      </c>
      <c r="N2" s="39" t="s">
        <v>10</v>
      </c>
      <c r="O2" s="5"/>
      <c r="P2" s="5"/>
    </row>
    <row r="3" spans="1:27" s="54" customFormat="1" ht="21.75" customHeight="1" x14ac:dyDescent="0.25">
      <c r="A3" s="141">
        <v>1</v>
      </c>
      <c r="B3" s="158">
        <v>1001</v>
      </c>
      <c r="C3" s="143" t="s">
        <v>95</v>
      </c>
      <c r="D3" s="181">
        <v>247</v>
      </c>
      <c r="E3" s="182">
        <v>0.4</v>
      </c>
      <c r="F3" s="182">
        <f t="shared" ref="F3:F34" si="0">D3*E3</f>
        <v>98.800000000000011</v>
      </c>
      <c r="G3" s="182">
        <f>97.22</f>
        <v>97.22</v>
      </c>
      <c r="H3" s="182">
        <f t="shared" ref="H3:H66" si="1">F3-G3</f>
        <v>1.5800000000000125</v>
      </c>
      <c r="I3" s="144">
        <v>2130934</v>
      </c>
      <c r="J3" s="159" t="s">
        <v>96</v>
      </c>
      <c r="K3" s="144" t="s">
        <v>31</v>
      </c>
      <c r="L3" s="144" t="s">
        <v>32</v>
      </c>
      <c r="M3" s="144">
        <v>92911133</v>
      </c>
      <c r="N3" s="299">
        <v>45963</v>
      </c>
    </row>
    <row r="4" spans="1:27" ht="21.75" customHeight="1" x14ac:dyDescent="0.25">
      <c r="A4" s="141">
        <v>2</v>
      </c>
      <c r="B4" s="158">
        <v>1007</v>
      </c>
      <c r="C4" s="143" t="s">
        <v>213</v>
      </c>
      <c r="D4" s="218">
        <v>1349</v>
      </c>
      <c r="E4" s="182">
        <v>0.4</v>
      </c>
      <c r="F4" s="182">
        <f t="shared" si="0"/>
        <v>539.6</v>
      </c>
      <c r="G4" s="182">
        <f>537.12</f>
        <v>537.12</v>
      </c>
      <c r="H4" s="182">
        <f t="shared" si="1"/>
        <v>2.4800000000000182</v>
      </c>
      <c r="I4" s="159">
        <v>1515504</v>
      </c>
      <c r="J4" s="159" t="s">
        <v>214</v>
      </c>
      <c r="K4" s="144" t="s">
        <v>71</v>
      </c>
      <c r="L4" s="144" t="s">
        <v>72</v>
      </c>
      <c r="M4" s="183">
        <v>91748840</v>
      </c>
      <c r="N4" s="299">
        <v>45665</v>
      </c>
      <c r="O4" s="5"/>
      <c r="P4" s="5"/>
    </row>
    <row r="5" spans="1:27" s="17" customFormat="1" ht="21.75" customHeight="1" x14ac:dyDescent="0.25">
      <c r="A5" s="146">
        <v>3</v>
      </c>
      <c r="B5" s="301">
        <v>1028</v>
      </c>
      <c r="C5" s="296" t="s">
        <v>215</v>
      </c>
      <c r="D5" s="295">
        <v>258.60000000000002</v>
      </c>
      <c r="E5" s="149">
        <v>0.4</v>
      </c>
      <c r="F5" s="186">
        <f t="shared" si="0"/>
        <v>103.44000000000001</v>
      </c>
      <c r="G5" s="186"/>
      <c r="H5" s="186">
        <f t="shared" si="1"/>
        <v>103.44000000000001</v>
      </c>
      <c r="I5" s="136">
        <v>802875</v>
      </c>
      <c r="J5" s="311" t="s">
        <v>216</v>
      </c>
      <c r="K5" s="136" t="s">
        <v>31</v>
      </c>
      <c r="L5" s="136" t="s">
        <v>32</v>
      </c>
      <c r="M5" s="136">
        <v>99498677</v>
      </c>
      <c r="N5" s="139"/>
      <c r="P5" s="5"/>
      <c r="S5" s="5"/>
      <c r="U5" s="5"/>
      <c r="W5" s="5"/>
      <c r="Y5" s="5"/>
      <c r="AA5" s="5"/>
    </row>
    <row r="6" spans="1:27" ht="21.75" customHeight="1" x14ac:dyDescent="0.25">
      <c r="A6" s="141">
        <v>4</v>
      </c>
      <c r="B6" s="142">
        <v>1033</v>
      </c>
      <c r="C6" s="143" t="s">
        <v>217</v>
      </c>
      <c r="D6" s="185">
        <v>560</v>
      </c>
      <c r="E6" s="182">
        <v>0.4</v>
      </c>
      <c r="F6" s="182">
        <f t="shared" si="0"/>
        <v>224</v>
      </c>
      <c r="G6" s="182">
        <f>220.3+3.7</f>
        <v>224</v>
      </c>
      <c r="H6" s="182">
        <f t="shared" si="1"/>
        <v>0</v>
      </c>
      <c r="I6" s="144">
        <v>10132435</v>
      </c>
      <c r="J6" s="159" t="s">
        <v>218</v>
      </c>
      <c r="K6" s="144" t="s">
        <v>52</v>
      </c>
      <c r="L6" s="144" t="s">
        <v>53</v>
      </c>
      <c r="M6" s="144">
        <v>92268168</v>
      </c>
      <c r="N6" s="299">
        <v>45670</v>
      </c>
      <c r="O6" s="98">
        <v>45701</v>
      </c>
      <c r="P6" s="5"/>
    </row>
    <row r="7" spans="1:27" ht="21.75" customHeight="1" x14ac:dyDescent="0.25">
      <c r="A7" s="146">
        <v>5</v>
      </c>
      <c r="B7" s="235">
        <v>1040</v>
      </c>
      <c r="C7" s="296" t="s">
        <v>11</v>
      </c>
      <c r="D7" s="295">
        <v>247</v>
      </c>
      <c r="E7" s="149">
        <v>0.4</v>
      </c>
      <c r="F7" s="186">
        <f t="shared" si="0"/>
        <v>98.800000000000011</v>
      </c>
      <c r="G7" s="186"/>
      <c r="H7" s="186">
        <f t="shared" si="1"/>
        <v>98.800000000000011</v>
      </c>
      <c r="I7" s="136">
        <v>25082374</v>
      </c>
      <c r="J7" s="311" t="s">
        <v>220</v>
      </c>
      <c r="K7" s="136" t="s">
        <v>31</v>
      </c>
      <c r="L7" s="136" t="s">
        <v>32</v>
      </c>
      <c r="M7" s="136">
        <v>99816344</v>
      </c>
      <c r="N7" s="139"/>
      <c r="O7" s="5"/>
      <c r="P7" s="5"/>
    </row>
    <row r="8" spans="1:27" ht="21.75" customHeight="1" x14ac:dyDescent="0.25">
      <c r="A8" s="146">
        <v>6</v>
      </c>
      <c r="B8" s="235">
        <v>1044</v>
      </c>
      <c r="C8" s="296" t="s">
        <v>221</v>
      </c>
      <c r="D8" s="295">
        <v>285</v>
      </c>
      <c r="E8" s="149">
        <v>0.4</v>
      </c>
      <c r="F8" s="186">
        <f t="shared" si="0"/>
        <v>114</v>
      </c>
      <c r="G8" s="186"/>
      <c r="H8" s="186">
        <f t="shared" si="1"/>
        <v>114</v>
      </c>
      <c r="I8" s="136">
        <v>81904</v>
      </c>
      <c r="J8" s="311" t="s">
        <v>222</v>
      </c>
      <c r="K8" s="136" t="s">
        <v>31</v>
      </c>
      <c r="L8" s="136" t="s">
        <v>32</v>
      </c>
      <c r="M8" s="136">
        <v>99494120</v>
      </c>
      <c r="N8" s="139"/>
      <c r="O8" s="5"/>
      <c r="P8" s="5"/>
    </row>
    <row r="9" spans="1:27" s="17" customFormat="1" ht="21.75" customHeight="1" x14ac:dyDescent="0.25">
      <c r="A9" s="146">
        <v>7</v>
      </c>
      <c r="B9" s="235">
        <v>1080</v>
      </c>
      <c r="C9" s="296" t="s">
        <v>223</v>
      </c>
      <c r="D9" s="295">
        <v>263.7</v>
      </c>
      <c r="E9" s="149">
        <v>0.4</v>
      </c>
      <c r="F9" s="186">
        <f t="shared" si="0"/>
        <v>105.48</v>
      </c>
      <c r="G9" s="186"/>
      <c r="H9" s="186">
        <f t="shared" si="1"/>
        <v>105.48</v>
      </c>
      <c r="I9" s="136">
        <v>78762</v>
      </c>
      <c r="J9" s="311" t="s">
        <v>224</v>
      </c>
      <c r="K9" s="136" t="s">
        <v>31</v>
      </c>
      <c r="L9" s="136" t="s">
        <v>32</v>
      </c>
      <c r="M9" s="136">
        <v>92440088</v>
      </c>
      <c r="N9" s="139"/>
      <c r="P9" s="5"/>
      <c r="S9" s="5"/>
      <c r="U9" s="5"/>
      <c r="W9" s="5"/>
      <c r="Y9" s="5"/>
      <c r="AA9" s="5"/>
    </row>
    <row r="10" spans="1:27" s="17" customFormat="1" ht="21.75" customHeight="1" x14ac:dyDescent="0.25">
      <c r="A10" s="141">
        <v>8</v>
      </c>
      <c r="B10" s="142">
        <v>1089</v>
      </c>
      <c r="C10" s="278" t="s">
        <v>225</v>
      </c>
      <c r="D10" s="185">
        <v>436</v>
      </c>
      <c r="E10" s="182">
        <v>0.4</v>
      </c>
      <c r="F10" s="182">
        <f t="shared" si="0"/>
        <v>174.4</v>
      </c>
      <c r="G10" s="182">
        <f>171.76</f>
        <v>171.76</v>
      </c>
      <c r="H10" s="182">
        <f t="shared" si="1"/>
        <v>2.6400000000000148</v>
      </c>
      <c r="I10" s="144">
        <v>892683</v>
      </c>
      <c r="J10" s="144" t="s">
        <v>226</v>
      </c>
      <c r="K10" s="144" t="s">
        <v>26</v>
      </c>
      <c r="L10" s="144" t="s">
        <v>27</v>
      </c>
      <c r="M10" s="144">
        <v>99506162</v>
      </c>
      <c r="N10" s="328">
        <v>45686</v>
      </c>
      <c r="P10" s="5"/>
      <c r="S10" s="5"/>
      <c r="U10" s="5"/>
      <c r="W10" s="5"/>
      <c r="Y10" s="5"/>
      <c r="AA10" s="5"/>
    </row>
    <row r="11" spans="1:27" s="17" customFormat="1" ht="21.75" customHeight="1" x14ac:dyDescent="0.25">
      <c r="A11" s="141">
        <v>9</v>
      </c>
      <c r="B11" s="142">
        <v>1096</v>
      </c>
      <c r="C11" s="143" t="s">
        <v>227</v>
      </c>
      <c r="D11" s="185">
        <v>299.8</v>
      </c>
      <c r="E11" s="182">
        <v>0.4</v>
      </c>
      <c r="F11" s="182">
        <f t="shared" si="0"/>
        <v>119.92000000000002</v>
      </c>
      <c r="G11" s="182">
        <f>117.37</f>
        <v>117.37</v>
      </c>
      <c r="H11" s="182">
        <f t="shared" si="1"/>
        <v>2.5500000000000114</v>
      </c>
      <c r="I11" s="144">
        <v>1959918</v>
      </c>
      <c r="J11" s="144" t="s">
        <v>228</v>
      </c>
      <c r="K11" s="144" t="s">
        <v>71</v>
      </c>
      <c r="L11" s="144" t="s">
        <v>72</v>
      </c>
      <c r="M11" s="144">
        <v>92699781</v>
      </c>
      <c r="N11" s="299">
        <v>45686</v>
      </c>
      <c r="P11" s="5"/>
      <c r="S11" s="5"/>
      <c r="U11" s="5"/>
      <c r="W11" s="5"/>
      <c r="Y11" s="5"/>
      <c r="AA11" s="5"/>
    </row>
    <row r="12" spans="1:27" s="17" customFormat="1" ht="21.75" customHeight="1" x14ac:dyDescent="0.25">
      <c r="A12" s="146">
        <v>10</v>
      </c>
      <c r="B12" s="235">
        <v>1106</v>
      </c>
      <c r="C12" s="296" t="s">
        <v>24</v>
      </c>
      <c r="D12" s="295">
        <v>836</v>
      </c>
      <c r="E12" s="149">
        <v>0.4</v>
      </c>
      <c r="F12" s="186">
        <f t="shared" si="0"/>
        <v>334.40000000000003</v>
      </c>
      <c r="G12" s="186"/>
      <c r="H12" s="186">
        <f t="shared" si="1"/>
        <v>334.40000000000003</v>
      </c>
      <c r="I12" s="136">
        <v>5502751</v>
      </c>
      <c r="J12" s="136" t="s">
        <v>25</v>
      </c>
      <c r="K12" s="136" t="s">
        <v>26</v>
      </c>
      <c r="L12" s="136" t="s">
        <v>27</v>
      </c>
      <c r="M12" s="136">
        <v>99270001</v>
      </c>
      <c r="N12" s="139"/>
      <c r="P12" s="5"/>
      <c r="S12" s="5"/>
      <c r="U12" s="5"/>
      <c r="W12" s="5"/>
      <c r="Y12" s="5"/>
      <c r="AA12" s="5"/>
    </row>
    <row r="13" spans="1:27" ht="21.75" customHeight="1" x14ac:dyDescent="0.25">
      <c r="A13" s="141">
        <v>11</v>
      </c>
      <c r="B13" s="142">
        <v>1110</v>
      </c>
      <c r="C13" s="143" t="s">
        <v>229</v>
      </c>
      <c r="D13" s="185">
        <v>437</v>
      </c>
      <c r="E13" s="182">
        <v>0.4</v>
      </c>
      <c r="F13" s="182">
        <f t="shared" si="0"/>
        <v>174.8</v>
      </c>
      <c r="G13" s="182">
        <f>172.95</f>
        <v>172.95</v>
      </c>
      <c r="H13" s="182">
        <f t="shared" si="1"/>
        <v>1.8500000000000227</v>
      </c>
      <c r="I13" s="144">
        <v>934298</v>
      </c>
      <c r="J13" s="144" t="s">
        <v>230</v>
      </c>
      <c r="K13" s="144" t="s">
        <v>31</v>
      </c>
      <c r="L13" s="144" t="s">
        <v>32</v>
      </c>
      <c r="M13" s="144">
        <v>92811415</v>
      </c>
      <c r="N13" s="299">
        <v>45679</v>
      </c>
      <c r="O13" s="5"/>
      <c r="P13" s="5"/>
    </row>
    <row r="14" spans="1:27" ht="21.75" customHeight="1" x14ac:dyDescent="0.25">
      <c r="A14" s="146">
        <v>12</v>
      </c>
      <c r="B14" s="235">
        <v>1111</v>
      </c>
      <c r="C14" s="296" t="s">
        <v>231</v>
      </c>
      <c r="D14" s="295">
        <v>513</v>
      </c>
      <c r="E14" s="149">
        <v>0.4</v>
      </c>
      <c r="F14" s="186">
        <f t="shared" si="0"/>
        <v>205.20000000000002</v>
      </c>
      <c r="G14" s="186"/>
      <c r="H14" s="186">
        <f t="shared" si="1"/>
        <v>205.20000000000002</v>
      </c>
      <c r="I14" s="136">
        <v>15571992</v>
      </c>
      <c r="J14" s="311" t="s">
        <v>232</v>
      </c>
      <c r="K14" s="136" t="s">
        <v>52</v>
      </c>
      <c r="L14" s="136" t="s">
        <v>53</v>
      </c>
      <c r="M14" s="136">
        <v>92708951</v>
      </c>
      <c r="N14" s="139"/>
      <c r="O14" s="5"/>
      <c r="P14" s="5"/>
    </row>
    <row r="15" spans="1:27" ht="21.75" customHeight="1" x14ac:dyDescent="0.25">
      <c r="A15" s="146">
        <v>13</v>
      </c>
      <c r="B15" s="235">
        <v>1119</v>
      </c>
      <c r="C15" s="297" t="s">
        <v>233</v>
      </c>
      <c r="D15" s="295">
        <v>374.5</v>
      </c>
      <c r="E15" s="149">
        <v>0.4</v>
      </c>
      <c r="F15" s="186">
        <f t="shared" si="0"/>
        <v>149.80000000000001</v>
      </c>
      <c r="G15" s="186"/>
      <c r="H15" s="186">
        <f t="shared" si="1"/>
        <v>149.80000000000001</v>
      </c>
      <c r="I15" s="136">
        <v>24000245</v>
      </c>
      <c r="J15" s="136" t="s">
        <v>234</v>
      </c>
      <c r="K15" s="136" t="s">
        <v>31</v>
      </c>
      <c r="L15" s="136" t="s">
        <v>32</v>
      </c>
      <c r="M15" s="136">
        <v>90911369</v>
      </c>
      <c r="N15" s="324"/>
      <c r="O15" s="5"/>
      <c r="P15" s="5"/>
    </row>
    <row r="16" spans="1:27" ht="21.75" customHeight="1" x14ac:dyDescent="0.25">
      <c r="A16" s="141">
        <v>14</v>
      </c>
      <c r="B16" s="142">
        <v>1122</v>
      </c>
      <c r="C16" s="143" t="s">
        <v>98</v>
      </c>
      <c r="D16" s="185">
        <v>264.2</v>
      </c>
      <c r="E16" s="182">
        <v>0.4</v>
      </c>
      <c r="F16" s="182">
        <f t="shared" si="0"/>
        <v>105.68</v>
      </c>
      <c r="G16" s="182">
        <f>102.94</f>
        <v>102.94</v>
      </c>
      <c r="H16" s="182">
        <f t="shared" si="1"/>
        <v>2.7400000000000091</v>
      </c>
      <c r="I16" s="144">
        <v>5219876</v>
      </c>
      <c r="J16" s="136" t="s">
        <v>99</v>
      </c>
      <c r="K16" s="136" t="s">
        <v>31</v>
      </c>
      <c r="L16" s="136" t="s">
        <v>32</v>
      </c>
      <c r="M16" s="136">
        <v>99066779</v>
      </c>
      <c r="N16" s="134">
        <v>45684</v>
      </c>
      <c r="O16" s="5"/>
      <c r="P16" s="5"/>
    </row>
    <row r="17" spans="1:27" ht="21.75" customHeight="1" x14ac:dyDescent="0.25">
      <c r="A17" s="141">
        <v>15</v>
      </c>
      <c r="B17" s="142">
        <v>1135</v>
      </c>
      <c r="C17" s="143" t="s">
        <v>101</v>
      </c>
      <c r="D17" s="185">
        <v>499.5</v>
      </c>
      <c r="E17" s="182">
        <v>0.4</v>
      </c>
      <c r="F17" s="182">
        <f t="shared" si="0"/>
        <v>199.8</v>
      </c>
      <c r="G17" s="182">
        <f>199.62</f>
        <v>199.62</v>
      </c>
      <c r="H17" s="182">
        <f t="shared" si="1"/>
        <v>0.18000000000000682</v>
      </c>
      <c r="I17" s="144">
        <v>19202954</v>
      </c>
      <c r="J17" s="159" t="s">
        <v>102</v>
      </c>
      <c r="K17" s="144" t="s">
        <v>52</v>
      </c>
      <c r="L17" s="144" t="s">
        <v>53</v>
      </c>
      <c r="M17" s="144">
        <v>92771786</v>
      </c>
      <c r="N17" s="134">
        <v>45684</v>
      </c>
      <c r="O17" s="5"/>
      <c r="P17" s="5"/>
    </row>
    <row r="18" spans="1:27" ht="21.75" customHeight="1" x14ac:dyDescent="0.25">
      <c r="A18" s="141">
        <v>16</v>
      </c>
      <c r="B18" s="142">
        <v>1141</v>
      </c>
      <c r="C18" s="143" t="s">
        <v>235</v>
      </c>
      <c r="D18" s="185">
        <v>417.8</v>
      </c>
      <c r="E18" s="182">
        <v>0.4</v>
      </c>
      <c r="F18" s="182">
        <f t="shared" si="0"/>
        <v>167.12</v>
      </c>
      <c r="G18" s="182">
        <f>163.93</f>
        <v>163.93</v>
      </c>
      <c r="H18" s="182">
        <f t="shared" si="1"/>
        <v>3.1899999999999977</v>
      </c>
      <c r="I18" s="144">
        <v>11753992</v>
      </c>
      <c r="J18" s="159" t="s">
        <v>236</v>
      </c>
      <c r="K18" s="144" t="s">
        <v>31</v>
      </c>
      <c r="L18" s="144" t="s">
        <v>32</v>
      </c>
      <c r="M18" s="144">
        <v>99205960</v>
      </c>
      <c r="N18" s="299">
        <v>45679</v>
      </c>
      <c r="O18" s="5"/>
      <c r="P18" s="5"/>
    </row>
    <row r="19" spans="1:27" ht="21.75" customHeight="1" x14ac:dyDescent="0.25">
      <c r="A19" s="146">
        <v>17</v>
      </c>
      <c r="B19" s="235">
        <v>1154</v>
      </c>
      <c r="C19" s="136" t="s">
        <v>237</v>
      </c>
      <c r="D19" s="295">
        <v>755.8</v>
      </c>
      <c r="E19" s="149">
        <v>0.4</v>
      </c>
      <c r="F19" s="186">
        <f t="shared" si="0"/>
        <v>302.32</v>
      </c>
      <c r="G19" s="186"/>
      <c r="H19" s="186">
        <f t="shared" si="1"/>
        <v>302.32</v>
      </c>
      <c r="I19" s="137">
        <v>18654817</v>
      </c>
      <c r="J19" s="311" t="s">
        <v>238</v>
      </c>
      <c r="K19" s="136" t="s">
        <v>31</v>
      </c>
      <c r="L19" s="136" t="s">
        <v>32</v>
      </c>
      <c r="M19" s="136">
        <v>98887846</v>
      </c>
      <c r="N19" s="139"/>
      <c r="O19" s="5"/>
      <c r="P19" s="5"/>
    </row>
    <row r="20" spans="1:27" s="54" customFormat="1" ht="21.75" customHeight="1" x14ac:dyDescent="0.25">
      <c r="A20" s="141">
        <v>18</v>
      </c>
      <c r="B20" s="142">
        <v>1161</v>
      </c>
      <c r="C20" s="143" t="s">
        <v>239</v>
      </c>
      <c r="D20" s="185">
        <v>285</v>
      </c>
      <c r="E20" s="182">
        <v>0.4</v>
      </c>
      <c r="F20" s="182">
        <f t="shared" si="0"/>
        <v>114</v>
      </c>
      <c r="G20" s="182">
        <f>109.18</f>
        <v>109.18</v>
      </c>
      <c r="H20" s="182">
        <f t="shared" si="1"/>
        <v>4.8199999999999932</v>
      </c>
      <c r="I20" s="144">
        <v>257926</v>
      </c>
      <c r="J20" s="159" t="s">
        <v>240</v>
      </c>
      <c r="K20" s="144" t="s">
        <v>71</v>
      </c>
      <c r="L20" s="144" t="s">
        <v>72</v>
      </c>
      <c r="M20" s="144">
        <v>99589267</v>
      </c>
      <c r="N20" s="134">
        <v>45810</v>
      </c>
    </row>
    <row r="21" spans="1:27" ht="21.75" customHeight="1" x14ac:dyDescent="0.25">
      <c r="A21" s="146">
        <v>19</v>
      </c>
      <c r="B21" s="235">
        <v>1168</v>
      </c>
      <c r="C21" s="296" t="s">
        <v>241</v>
      </c>
      <c r="D21" s="295">
        <v>448.6</v>
      </c>
      <c r="E21" s="149">
        <v>0.4</v>
      </c>
      <c r="F21" s="186">
        <f t="shared" si="0"/>
        <v>179.44000000000003</v>
      </c>
      <c r="G21" s="186"/>
      <c r="H21" s="186">
        <f t="shared" si="1"/>
        <v>179.44000000000003</v>
      </c>
      <c r="I21" s="136">
        <v>15498714</v>
      </c>
      <c r="J21" s="311" t="s">
        <v>573</v>
      </c>
      <c r="K21" s="136" t="s">
        <v>31</v>
      </c>
      <c r="L21" s="136" t="s">
        <v>32</v>
      </c>
      <c r="M21" s="136">
        <v>99292524</v>
      </c>
      <c r="N21" s="139"/>
      <c r="O21" s="5"/>
      <c r="P21" s="5"/>
    </row>
    <row r="22" spans="1:27" ht="21.75" customHeight="1" x14ac:dyDescent="0.25">
      <c r="A22" s="146">
        <v>20</v>
      </c>
      <c r="B22" s="235">
        <v>1177</v>
      </c>
      <c r="C22" s="297" t="s">
        <v>243</v>
      </c>
      <c r="D22" s="295">
        <v>277.2</v>
      </c>
      <c r="E22" s="149">
        <v>0.4</v>
      </c>
      <c r="F22" s="186">
        <f t="shared" si="0"/>
        <v>110.88</v>
      </c>
      <c r="G22" s="186"/>
      <c r="H22" s="186">
        <f t="shared" si="1"/>
        <v>110.88</v>
      </c>
      <c r="I22" s="136">
        <v>219353</v>
      </c>
      <c r="J22" s="311" t="s">
        <v>244</v>
      </c>
      <c r="K22" s="136" t="s">
        <v>52</v>
      </c>
      <c r="L22" s="136" t="s">
        <v>53</v>
      </c>
      <c r="M22" s="138">
        <v>99485534</v>
      </c>
      <c r="N22" s="324"/>
      <c r="O22" s="5"/>
      <c r="P22" s="5"/>
    </row>
    <row r="23" spans="1:27" ht="21.75" customHeight="1" x14ac:dyDescent="0.25">
      <c r="A23" s="141">
        <v>21</v>
      </c>
      <c r="B23" s="142">
        <v>1178</v>
      </c>
      <c r="C23" s="143" t="s">
        <v>245</v>
      </c>
      <c r="D23" s="185">
        <v>490.9</v>
      </c>
      <c r="E23" s="182">
        <v>0.4</v>
      </c>
      <c r="F23" s="182">
        <f t="shared" si="0"/>
        <v>196.36</v>
      </c>
      <c r="G23" s="182">
        <f>F23</f>
        <v>196.36</v>
      </c>
      <c r="H23" s="182">
        <f t="shared" si="1"/>
        <v>0</v>
      </c>
      <c r="I23" s="157">
        <v>970872</v>
      </c>
      <c r="J23" s="157" t="s">
        <v>246</v>
      </c>
      <c r="K23" s="157" t="s">
        <v>26</v>
      </c>
      <c r="L23" s="157" t="s">
        <v>27</v>
      </c>
      <c r="M23" s="157">
        <v>99485535</v>
      </c>
      <c r="N23" s="299">
        <v>45685</v>
      </c>
      <c r="O23" s="5"/>
      <c r="P23" s="5"/>
    </row>
    <row r="24" spans="1:27" ht="21.75" customHeight="1" x14ac:dyDescent="0.25">
      <c r="A24" s="146">
        <v>22</v>
      </c>
      <c r="B24" s="235">
        <v>1224</v>
      </c>
      <c r="C24" s="296" t="s">
        <v>247</v>
      </c>
      <c r="D24" s="295">
        <v>527</v>
      </c>
      <c r="E24" s="149">
        <v>0.4</v>
      </c>
      <c r="F24" s="186">
        <f t="shared" si="0"/>
        <v>210.8</v>
      </c>
      <c r="G24" s="186"/>
      <c r="H24" s="186">
        <f t="shared" si="1"/>
        <v>210.8</v>
      </c>
      <c r="I24" s="136">
        <v>24911691</v>
      </c>
      <c r="J24" s="313" t="s">
        <v>248</v>
      </c>
      <c r="K24" s="136" t="s">
        <v>31</v>
      </c>
      <c r="L24" s="136" t="s">
        <v>32</v>
      </c>
      <c r="M24" s="136">
        <v>99192216</v>
      </c>
      <c r="N24" s="139"/>
      <c r="O24" s="5"/>
      <c r="P24" s="5"/>
    </row>
    <row r="25" spans="1:27" s="17" customFormat="1" ht="21.75" customHeight="1" x14ac:dyDescent="0.25">
      <c r="A25" s="146">
        <v>23</v>
      </c>
      <c r="B25" s="235">
        <v>1225</v>
      </c>
      <c r="C25" s="296" t="s">
        <v>249</v>
      </c>
      <c r="D25" s="295">
        <v>489.5</v>
      </c>
      <c r="E25" s="149">
        <v>0.4</v>
      </c>
      <c r="F25" s="186">
        <f t="shared" si="0"/>
        <v>195.8</v>
      </c>
      <c r="G25" s="186"/>
      <c r="H25" s="186">
        <f t="shared" si="1"/>
        <v>195.8</v>
      </c>
      <c r="I25" s="136">
        <v>9642357</v>
      </c>
      <c r="J25" s="317" t="s">
        <v>250</v>
      </c>
      <c r="K25" s="136" t="s">
        <v>251</v>
      </c>
      <c r="L25" s="136" t="s">
        <v>252</v>
      </c>
      <c r="M25" s="136">
        <v>99777877</v>
      </c>
      <c r="N25" s="139"/>
      <c r="P25" s="5"/>
      <c r="S25" s="5"/>
      <c r="U25" s="5"/>
      <c r="W25" s="5"/>
      <c r="Y25" s="5"/>
      <c r="AA25" s="5"/>
    </row>
    <row r="26" spans="1:27" s="17" customFormat="1" ht="21.75" customHeight="1" x14ac:dyDescent="0.25">
      <c r="A26" s="146">
        <v>24</v>
      </c>
      <c r="B26" s="235">
        <v>1235</v>
      </c>
      <c r="C26" s="300" t="s">
        <v>253</v>
      </c>
      <c r="D26" s="295">
        <v>551</v>
      </c>
      <c r="E26" s="149">
        <v>0.4</v>
      </c>
      <c r="F26" s="186">
        <f t="shared" si="0"/>
        <v>220.4</v>
      </c>
      <c r="G26" s="186"/>
      <c r="H26" s="186">
        <f t="shared" si="1"/>
        <v>220.4</v>
      </c>
      <c r="I26" s="139">
        <v>1992436</v>
      </c>
      <c r="J26" s="314" t="s">
        <v>254</v>
      </c>
      <c r="K26" s="140" t="s">
        <v>90</v>
      </c>
      <c r="L26" s="136" t="s">
        <v>32</v>
      </c>
      <c r="M26" s="140">
        <v>99484668</v>
      </c>
      <c r="N26" s="139"/>
      <c r="P26" s="5"/>
      <c r="S26" s="5"/>
      <c r="U26" s="5"/>
      <c r="W26" s="5"/>
      <c r="Y26" s="5"/>
      <c r="AA26" s="5"/>
    </row>
    <row r="27" spans="1:27" ht="21.75" customHeight="1" x14ac:dyDescent="0.25">
      <c r="A27" s="141">
        <v>25</v>
      </c>
      <c r="B27" s="142">
        <v>1241</v>
      </c>
      <c r="C27" s="143" t="s">
        <v>255</v>
      </c>
      <c r="D27" s="185">
        <v>474.7</v>
      </c>
      <c r="E27" s="182">
        <v>0.4</v>
      </c>
      <c r="F27" s="182">
        <f t="shared" si="0"/>
        <v>189.88</v>
      </c>
      <c r="G27" s="182">
        <f>188.09</f>
        <v>188.09</v>
      </c>
      <c r="H27" s="182">
        <f t="shared" si="1"/>
        <v>1.789999999999992</v>
      </c>
      <c r="I27" s="144">
        <v>5343254</v>
      </c>
      <c r="J27" s="144" t="s">
        <v>256</v>
      </c>
      <c r="K27" s="144" t="s">
        <v>31</v>
      </c>
      <c r="L27" s="144" t="s">
        <v>32</v>
      </c>
      <c r="M27" s="144">
        <v>98964664</v>
      </c>
      <c r="N27" s="134">
        <v>45684</v>
      </c>
      <c r="O27" s="5"/>
      <c r="P27" s="5"/>
    </row>
    <row r="28" spans="1:27" ht="21.75" customHeight="1" x14ac:dyDescent="0.25">
      <c r="A28" s="141">
        <v>26</v>
      </c>
      <c r="B28" s="142">
        <v>1247</v>
      </c>
      <c r="C28" s="143" t="s">
        <v>103</v>
      </c>
      <c r="D28" s="185">
        <v>456</v>
      </c>
      <c r="E28" s="182">
        <v>0.4</v>
      </c>
      <c r="F28" s="182">
        <f t="shared" si="0"/>
        <v>182.4</v>
      </c>
      <c r="G28" s="182">
        <f>181.45</f>
        <v>181.45</v>
      </c>
      <c r="H28" s="182">
        <f t="shared" si="1"/>
        <v>0.95000000000001705</v>
      </c>
      <c r="I28" s="144">
        <v>4748561</v>
      </c>
      <c r="J28" s="159" t="s">
        <v>104</v>
      </c>
      <c r="K28" s="144" t="s">
        <v>52</v>
      </c>
      <c r="L28" s="144" t="s">
        <v>53</v>
      </c>
      <c r="M28" s="144">
        <v>92345282</v>
      </c>
      <c r="N28" s="299">
        <v>45679</v>
      </c>
      <c r="O28" s="5"/>
      <c r="P28" s="5"/>
    </row>
    <row r="29" spans="1:27" ht="21.75" customHeight="1" x14ac:dyDescent="0.25">
      <c r="A29" s="146">
        <v>27</v>
      </c>
      <c r="B29" s="235">
        <v>1252</v>
      </c>
      <c r="C29" s="296" t="s">
        <v>258</v>
      </c>
      <c r="D29" s="295">
        <v>407.3</v>
      </c>
      <c r="E29" s="149">
        <v>0.4</v>
      </c>
      <c r="F29" s="186">
        <f t="shared" si="0"/>
        <v>162.92000000000002</v>
      </c>
      <c r="G29" s="186"/>
      <c r="H29" s="186">
        <f t="shared" si="1"/>
        <v>162.92000000000002</v>
      </c>
      <c r="I29" s="136">
        <v>2433959</v>
      </c>
      <c r="J29" s="311" t="s">
        <v>259</v>
      </c>
      <c r="K29" s="136" t="s">
        <v>52</v>
      </c>
      <c r="L29" s="136" t="s">
        <v>53</v>
      </c>
      <c r="M29" s="136">
        <v>93555999</v>
      </c>
      <c r="N29" s="139"/>
      <c r="O29" s="5"/>
      <c r="P29" s="5"/>
    </row>
    <row r="30" spans="1:27" ht="21.75" customHeight="1" x14ac:dyDescent="0.25">
      <c r="A30" s="141">
        <v>28</v>
      </c>
      <c r="B30" s="142">
        <v>1258</v>
      </c>
      <c r="C30" s="143" t="s">
        <v>105</v>
      </c>
      <c r="D30" s="185">
        <v>608</v>
      </c>
      <c r="E30" s="182">
        <v>0.4</v>
      </c>
      <c r="F30" s="182">
        <f t="shared" si="0"/>
        <v>243.20000000000002</v>
      </c>
      <c r="G30" s="182">
        <f>241.36</f>
        <v>241.36</v>
      </c>
      <c r="H30" s="182">
        <f t="shared" si="1"/>
        <v>1.8400000000000034</v>
      </c>
      <c r="I30" s="144">
        <v>1924174</v>
      </c>
      <c r="J30" s="144" t="s">
        <v>106</v>
      </c>
      <c r="K30" s="144" t="s">
        <v>52</v>
      </c>
      <c r="L30" s="144" t="s">
        <v>53</v>
      </c>
      <c r="M30" s="144">
        <v>99297990</v>
      </c>
      <c r="N30" s="134">
        <v>45677</v>
      </c>
      <c r="O30" s="5"/>
      <c r="P30" s="5"/>
    </row>
    <row r="31" spans="1:27" ht="21.75" customHeight="1" x14ac:dyDescent="0.25">
      <c r="A31" s="141">
        <v>29</v>
      </c>
      <c r="B31" s="142">
        <v>1260</v>
      </c>
      <c r="C31" s="143" t="s">
        <v>260</v>
      </c>
      <c r="D31" s="185">
        <v>525.6</v>
      </c>
      <c r="E31" s="182">
        <v>0.4</v>
      </c>
      <c r="F31" s="182">
        <f t="shared" si="0"/>
        <v>210.24</v>
      </c>
      <c r="G31" s="182">
        <f>207.25</f>
        <v>207.25</v>
      </c>
      <c r="H31" s="182">
        <f t="shared" si="1"/>
        <v>2.9900000000000091</v>
      </c>
      <c r="I31" s="144">
        <v>18363579</v>
      </c>
      <c r="J31" s="323" t="s">
        <v>261</v>
      </c>
      <c r="K31" s="136" t="s">
        <v>52</v>
      </c>
      <c r="L31" s="136" t="s">
        <v>53</v>
      </c>
      <c r="M31" s="136">
        <v>98217444</v>
      </c>
      <c r="N31" s="134">
        <v>45684</v>
      </c>
      <c r="O31" s="5"/>
      <c r="P31" s="5"/>
    </row>
    <row r="32" spans="1:27" ht="21.75" customHeight="1" x14ac:dyDescent="0.25">
      <c r="A32" s="141">
        <v>30</v>
      </c>
      <c r="B32" s="142">
        <v>1261</v>
      </c>
      <c r="C32" s="144" t="s">
        <v>107</v>
      </c>
      <c r="D32" s="185">
        <v>268.2</v>
      </c>
      <c r="E32" s="182">
        <v>0.4</v>
      </c>
      <c r="F32" s="182">
        <f t="shared" si="0"/>
        <v>107.28</v>
      </c>
      <c r="G32" s="182">
        <f>104.48</f>
        <v>104.48</v>
      </c>
      <c r="H32" s="182">
        <f t="shared" si="1"/>
        <v>2.7999999999999972</v>
      </c>
      <c r="I32" s="144">
        <v>14429332</v>
      </c>
      <c r="J32" s="159" t="s">
        <v>574</v>
      </c>
      <c r="K32" s="144" t="s">
        <v>31</v>
      </c>
      <c r="L32" s="144" t="s">
        <v>32</v>
      </c>
      <c r="M32" s="144">
        <v>92939445</v>
      </c>
      <c r="N32" s="299">
        <v>45679</v>
      </c>
      <c r="O32" s="5"/>
      <c r="P32" s="5"/>
    </row>
    <row r="33" spans="1:27" ht="21.75" customHeight="1" x14ac:dyDescent="0.25">
      <c r="A33" s="141">
        <v>31</v>
      </c>
      <c r="B33" s="142">
        <v>1268</v>
      </c>
      <c r="C33" s="143" t="s">
        <v>109</v>
      </c>
      <c r="D33" s="185">
        <v>380</v>
      </c>
      <c r="E33" s="182">
        <v>0.4</v>
      </c>
      <c r="F33" s="182">
        <f t="shared" si="0"/>
        <v>152</v>
      </c>
      <c r="G33" s="182">
        <f>150.6</f>
        <v>150.6</v>
      </c>
      <c r="H33" s="182">
        <f t="shared" si="1"/>
        <v>1.4000000000000057</v>
      </c>
      <c r="I33" s="144">
        <v>722058</v>
      </c>
      <c r="J33" s="159" t="s">
        <v>110</v>
      </c>
      <c r="K33" s="144" t="s">
        <v>31</v>
      </c>
      <c r="L33" s="144" t="s">
        <v>32</v>
      </c>
      <c r="M33" s="144">
        <v>92848609</v>
      </c>
      <c r="N33" s="134">
        <v>45684</v>
      </c>
      <c r="O33" s="5"/>
      <c r="P33" s="5"/>
    </row>
    <row r="34" spans="1:27" ht="21.75" customHeight="1" x14ac:dyDescent="0.25">
      <c r="A34" s="141">
        <v>32</v>
      </c>
      <c r="B34" s="142">
        <v>1282</v>
      </c>
      <c r="C34" s="143" t="s">
        <v>111</v>
      </c>
      <c r="D34" s="185">
        <v>513</v>
      </c>
      <c r="E34" s="182">
        <v>0.4</v>
      </c>
      <c r="F34" s="182">
        <f t="shared" si="0"/>
        <v>205.20000000000002</v>
      </c>
      <c r="G34" s="182">
        <f>F34</f>
        <v>205.20000000000002</v>
      </c>
      <c r="H34" s="182">
        <f t="shared" si="1"/>
        <v>0</v>
      </c>
      <c r="I34" s="144">
        <v>2997747</v>
      </c>
      <c r="J34" s="159" t="s">
        <v>112</v>
      </c>
      <c r="K34" s="144" t="s">
        <v>71</v>
      </c>
      <c r="L34" s="144" t="s">
        <v>72</v>
      </c>
      <c r="M34" s="144">
        <v>92660969</v>
      </c>
      <c r="N34" s="134">
        <v>45684</v>
      </c>
      <c r="O34" s="5" t="s">
        <v>575</v>
      </c>
      <c r="P34" s="5"/>
    </row>
    <row r="35" spans="1:27" ht="21.75" customHeight="1" x14ac:dyDescent="0.25">
      <c r="A35" s="141">
        <v>33</v>
      </c>
      <c r="B35" s="142">
        <v>1284</v>
      </c>
      <c r="C35" s="143" t="s">
        <v>115</v>
      </c>
      <c r="D35" s="185">
        <v>494</v>
      </c>
      <c r="E35" s="182">
        <v>0.4</v>
      </c>
      <c r="F35" s="182">
        <f t="shared" ref="F35:F66" si="2">D35*E35</f>
        <v>197.60000000000002</v>
      </c>
      <c r="G35" s="182">
        <f>194.07</f>
        <v>194.07</v>
      </c>
      <c r="H35" s="182">
        <f t="shared" si="1"/>
        <v>3.5300000000000296</v>
      </c>
      <c r="I35" s="144">
        <v>1177598</v>
      </c>
      <c r="J35" s="159" t="s">
        <v>116</v>
      </c>
      <c r="K35" s="144" t="s">
        <v>52</v>
      </c>
      <c r="L35" s="144" t="s">
        <v>53</v>
      </c>
      <c r="M35" s="144">
        <v>92825228</v>
      </c>
      <c r="N35" s="299">
        <v>45679</v>
      </c>
      <c r="O35" s="5"/>
      <c r="P35" s="5"/>
    </row>
    <row r="36" spans="1:27" ht="21.75" customHeight="1" x14ac:dyDescent="0.25">
      <c r="A36" s="146">
        <v>34</v>
      </c>
      <c r="B36" s="235">
        <v>1300</v>
      </c>
      <c r="C36" s="300" t="s">
        <v>263</v>
      </c>
      <c r="D36" s="295">
        <v>604.4</v>
      </c>
      <c r="E36" s="149">
        <v>0.4</v>
      </c>
      <c r="F36" s="186">
        <f t="shared" si="2"/>
        <v>241.76</v>
      </c>
      <c r="G36" s="186"/>
      <c r="H36" s="186">
        <f t="shared" si="1"/>
        <v>241.76</v>
      </c>
      <c r="I36" s="139">
        <v>19534277</v>
      </c>
      <c r="J36" s="311" t="s">
        <v>264</v>
      </c>
      <c r="K36" s="136" t="s">
        <v>31</v>
      </c>
      <c r="L36" s="136" t="s">
        <v>32</v>
      </c>
      <c r="M36" s="136">
        <v>99710505</v>
      </c>
      <c r="N36" s="139"/>
      <c r="O36" s="5"/>
      <c r="P36" s="5"/>
    </row>
    <row r="37" spans="1:27" ht="21.75" customHeight="1" x14ac:dyDescent="0.25">
      <c r="A37" s="141">
        <v>35</v>
      </c>
      <c r="B37" s="142">
        <v>1306</v>
      </c>
      <c r="C37" s="156" t="s">
        <v>265</v>
      </c>
      <c r="D37" s="185">
        <v>269.39999999999998</v>
      </c>
      <c r="E37" s="182">
        <v>0.4</v>
      </c>
      <c r="F37" s="182">
        <f t="shared" si="2"/>
        <v>107.75999999999999</v>
      </c>
      <c r="G37" s="182">
        <f>104.34</f>
        <v>104.34</v>
      </c>
      <c r="H37" s="182">
        <f t="shared" si="1"/>
        <v>3.4199999999999875</v>
      </c>
      <c r="I37" s="157">
        <v>2006904</v>
      </c>
      <c r="J37" s="214" t="s">
        <v>266</v>
      </c>
      <c r="K37" s="157" t="s">
        <v>31</v>
      </c>
      <c r="L37" s="144" t="s">
        <v>32</v>
      </c>
      <c r="M37" s="157">
        <v>96137717</v>
      </c>
      <c r="N37" s="134">
        <v>45684</v>
      </c>
      <c r="O37" s="54"/>
      <c r="P37" s="5"/>
    </row>
    <row r="38" spans="1:27" ht="21.75" customHeight="1" x14ac:dyDescent="0.25">
      <c r="A38" s="146">
        <v>36</v>
      </c>
      <c r="B38" s="235">
        <v>1315</v>
      </c>
      <c r="C38" s="296" t="s">
        <v>267</v>
      </c>
      <c r="D38" s="295">
        <v>212.4</v>
      </c>
      <c r="E38" s="149">
        <v>0.4</v>
      </c>
      <c r="F38" s="186">
        <f t="shared" si="2"/>
        <v>84.960000000000008</v>
      </c>
      <c r="G38" s="186"/>
      <c r="H38" s="186">
        <f t="shared" si="1"/>
        <v>84.960000000000008</v>
      </c>
      <c r="I38" s="136">
        <v>19528845</v>
      </c>
      <c r="J38" s="311" t="s">
        <v>268</v>
      </c>
      <c r="K38" s="136" t="s">
        <v>31</v>
      </c>
      <c r="L38" s="136" t="s">
        <v>32</v>
      </c>
      <c r="M38" s="136">
        <v>92432606</v>
      </c>
      <c r="N38" s="139"/>
      <c r="O38" s="5"/>
      <c r="P38" s="5"/>
    </row>
    <row r="39" spans="1:27" ht="21.75" customHeight="1" x14ac:dyDescent="0.25">
      <c r="A39" s="141">
        <v>37</v>
      </c>
      <c r="B39" s="142">
        <v>1328</v>
      </c>
      <c r="C39" s="143" t="s">
        <v>117</v>
      </c>
      <c r="D39" s="185">
        <v>332.1</v>
      </c>
      <c r="E39" s="182">
        <v>0.4</v>
      </c>
      <c r="F39" s="182">
        <f t="shared" si="2"/>
        <v>132.84</v>
      </c>
      <c r="G39" s="182">
        <f>129.57</f>
        <v>129.57</v>
      </c>
      <c r="H39" s="182">
        <f t="shared" si="1"/>
        <v>3.2700000000000102</v>
      </c>
      <c r="I39" s="144">
        <v>782833</v>
      </c>
      <c r="J39" s="159" t="s">
        <v>118</v>
      </c>
      <c r="K39" s="144" t="s">
        <v>52</v>
      </c>
      <c r="L39" s="144" t="s">
        <v>53</v>
      </c>
      <c r="M39" s="144">
        <v>92475895</v>
      </c>
      <c r="N39" s="299">
        <v>45686</v>
      </c>
      <c r="O39" s="5"/>
      <c r="P39" s="5"/>
    </row>
    <row r="40" spans="1:27" ht="21.75" customHeight="1" x14ac:dyDescent="0.25">
      <c r="A40" s="146">
        <v>38</v>
      </c>
      <c r="B40" s="235">
        <v>1330</v>
      </c>
      <c r="C40" s="300" t="s">
        <v>119</v>
      </c>
      <c r="D40" s="295">
        <v>520.70000000000005</v>
      </c>
      <c r="E40" s="149">
        <v>0.4</v>
      </c>
      <c r="F40" s="186">
        <f t="shared" si="2"/>
        <v>208.28000000000003</v>
      </c>
      <c r="G40" s="186"/>
      <c r="H40" s="186">
        <f t="shared" si="1"/>
        <v>208.28000000000003</v>
      </c>
      <c r="I40" s="136">
        <v>12194826</v>
      </c>
      <c r="J40" s="311" t="s">
        <v>120</v>
      </c>
      <c r="K40" s="136" t="s">
        <v>121</v>
      </c>
      <c r="L40" s="136" t="s">
        <v>122</v>
      </c>
      <c r="M40" s="136">
        <v>91299100</v>
      </c>
      <c r="N40" s="321"/>
      <c r="O40" s="5"/>
      <c r="P40" s="5"/>
    </row>
    <row r="41" spans="1:27" s="17" customFormat="1" ht="21.75" customHeight="1" x14ac:dyDescent="0.25">
      <c r="A41" s="141">
        <v>39</v>
      </c>
      <c r="B41" s="142">
        <v>1331</v>
      </c>
      <c r="C41" s="143" t="s">
        <v>269</v>
      </c>
      <c r="D41" s="185">
        <v>285</v>
      </c>
      <c r="E41" s="182">
        <v>0.4</v>
      </c>
      <c r="F41" s="182">
        <f t="shared" si="2"/>
        <v>114</v>
      </c>
      <c r="G41" s="182">
        <f>111.7</f>
        <v>111.7</v>
      </c>
      <c r="H41" s="182">
        <f t="shared" si="1"/>
        <v>2.2999999999999972</v>
      </c>
      <c r="I41" s="144">
        <v>2107763</v>
      </c>
      <c r="J41" s="311" t="s">
        <v>270</v>
      </c>
      <c r="K41" s="136" t="s">
        <v>71</v>
      </c>
      <c r="L41" s="136" t="s">
        <v>72</v>
      </c>
      <c r="M41" s="136">
        <v>93536009</v>
      </c>
      <c r="N41" s="306">
        <v>45679</v>
      </c>
      <c r="P41" s="5"/>
      <c r="S41" s="5"/>
      <c r="U41" s="5"/>
      <c r="W41" s="5"/>
      <c r="Y41" s="5"/>
      <c r="AA41" s="5"/>
    </row>
    <row r="42" spans="1:27" ht="21.75" customHeight="1" x14ac:dyDescent="0.25">
      <c r="A42" s="146">
        <v>40</v>
      </c>
      <c r="B42" s="235">
        <v>1333</v>
      </c>
      <c r="C42" s="296" t="s">
        <v>29</v>
      </c>
      <c r="D42" s="295">
        <v>462.2</v>
      </c>
      <c r="E42" s="149">
        <v>0.4</v>
      </c>
      <c r="F42" s="186">
        <f t="shared" si="2"/>
        <v>184.88</v>
      </c>
      <c r="G42" s="186"/>
      <c r="H42" s="186">
        <f t="shared" si="1"/>
        <v>184.88</v>
      </c>
      <c r="I42" s="136">
        <v>1736679</v>
      </c>
      <c r="J42" s="311" t="s">
        <v>30</v>
      </c>
      <c r="K42" s="136" t="s">
        <v>31</v>
      </c>
      <c r="L42" s="136" t="s">
        <v>32</v>
      </c>
      <c r="M42" s="136">
        <v>99482212</v>
      </c>
      <c r="N42" s="139"/>
      <c r="O42" s="5"/>
      <c r="P42" s="5"/>
    </row>
    <row r="43" spans="1:27" ht="21.75" customHeight="1" x14ac:dyDescent="0.25">
      <c r="A43" s="141">
        <v>41</v>
      </c>
      <c r="B43" s="142">
        <v>1382</v>
      </c>
      <c r="C43" s="143" t="s">
        <v>34</v>
      </c>
      <c r="D43" s="185">
        <v>528.20000000000005</v>
      </c>
      <c r="E43" s="182">
        <v>0.4</v>
      </c>
      <c r="F43" s="182">
        <f t="shared" si="2"/>
        <v>211.28000000000003</v>
      </c>
      <c r="G43" s="182">
        <f>206.65</f>
        <v>206.65</v>
      </c>
      <c r="H43" s="182">
        <f t="shared" si="1"/>
        <v>4.6300000000000239</v>
      </c>
      <c r="I43" s="144">
        <v>886492</v>
      </c>
      <c r="J43" s="159" t="s">
        <v>35</v>
      </c>
      <c r="K43" s="144" t="s">
        <v>31</v>
      </c>
      <c r="L43" s="144" t="s">
        <v>32</v>
      </c>
      <c r="M43" s="144">
        <v>99494166</v>
      </c>
      <c r="N43" s="299">
        <v>45686</v>
      </c>
      <c r="O43" s="5"/>
      <c r="P43" s="5"/>
    </row>
    <row r="44" spans="1:27" ht="21.75" customHeight="1" x14ac:dyDescent="0.25">
      <c r="A44" s="141">
        <v>42</v>
      </c>
      <c r="B44" s="142">
        <v>1384</v>
      </c>
      <c r="C44" s="143" t="s">
        <v>37</v>
      </c>
      <c r="D44" s="185">
        <v>211.9</v>
      </c>
      <c r="E44" s="182">
        <v>0.4</v>
      </c>
      <c r="F44" s="182">
        <f t="shared" si="2"/>
        <v>84.76</v>
      </c>
      <c r="G44" s="182">
        <f>81.52</f>
        <v>81.52</v>
      </c>
      <c r="H44" s="182">
        <f t="shared" si="1"/>
        <v>3.2400000000000091</v>
      </c>
      <c r="I44" s="144">
        <v>4426701</v>
      </c>
      <c r="J44" s="159" t="s">
        <v>38</v>
      </c>
      <c r="K44" s="144" t="s">
        <v>31</v>
      </c>
      <c r="L44" s="144" t="s">
        <v>32</v>
      </c>
      <c r="M44" s="144">
        <v>92634991</v>
      </c>
      <c r="N44" s="299">
        <v>45684</v>
      </c>
      <c r="O44" s="5"/>
      <c r="P44" s="5"/>
    </row>
    <row r="45" spans="1:27" ht="21.75" customHeight="1" x14ac:dyDescent="0.25">
      <c r="A45" s="141">
        <v>43</v>
      </c>
      <c r="B45" s="142">
        <v>1386</v>
      </c>
      <c r="C45" s="143" t="s">
        <v>39</v>
      </c>
      <c r="D45" s="185">
        <v>573.20000000000005</v>
      </c>
      <c r="E45" s="182">
        <v>0.4</v>
      </c>
      <c r="F45" s="182">
        <f t="shared" si="2"/>
        <v>229.28000000000003</v>
      </c>
      <c r="G45" s="182">
        <f>227.36</f>
        <v>227.36</v>
      </c>
      <c r="H45" s="182">
        <f t="shared" si="1"/>
        <v>1.9200000000000159</v>
      </c>
      <c r="I45" s="144">
        <v>711799</v>
      </c>
      <c r="J45" s="159" t="s">
        <v>40</v>
      </c>
      <c r="K45" s="144" t="s">
        <v>31</v>
      </c>
      <c r="L45" s="144" t="s">
        <v>32</v>
      </c>
      <c r="M45" s="144">
        <v>92394924</v>
      </c>
      <c r="N45" s="299">
        <v>45677</v>
      </c>
      <c r="O45" s="5"/>
      <c r="P45" s="5"/>
    </row>
    <row r="46" spans="1:27" ht="21.75" customHeight="1" x14ac:dyDescent="0.25">
      <c r="A46" s="146">
        <v>44</v>
      </c>
      <c r="B46" s="235">
        <v>1387</v>
      </c>
      <c r="C46" s="296" t="s">
        <v>271</v>
      </c>
      <c r="D46" s="295">
        <v>505.8</v>
      </c>
      <c r="E46" s="149">
        <v>0.4</v>
      </c>
      <c r="F46" s="186">
        <f t="shared" si="2"/>
        <v>202.32000000000002</v>
      </c>
      <c r="G46" s="186"/>
      <c r="H46" s="186">
        <f t="shared" si="1"/>
        <v>202.32000000000002</v>
      </c>
      <c r="I46" s="136">
        <v>6759716</v>
      </c>
      <c r="J46" s="311" t="s">
        <v>272</v>
      </c>
      <c r="K46" s="136" t="s">
        <v>71</v>
      </c>
      <c r="L46" s="136" t="s">
        <v>72</v>
      </c>
      <c r="M46" s="136">
        <v>91907675</v>
      </c>
      <c r="N46" s="139"/>
      <c r="O46" s="5"/>
      <c r="P46" s="5"/>
    </row>
    <row r="47" spans="1:27" ht="21.75" customHeight="1" x14ac:dyDescent="0.25">
      <c r="A47" s="146">
        <v>45</v>
      </c>
      <c r="B47" s="235">
        <v>1388</v>
      </c>
      <c r="C47" s="296" t="s">
        <v>273</v>
      </c>
      <c r="D47" s="295">
        <v>304</v>
      </c>
      <c r="E47" s="149">
        <v>0.4</v>
      </c>
      <c r="F47" s="186">
        <f t="shared" si="2"/>
        <v>121.60000000000001</v>
      </c>
      <c r="G47" s="186"/>
      <c r="H47" s="186">
        <f t="shared" si="1"/>
        <v>121.60000000000001</v>
      </c>
      <c r="I47" s="136">
        <v>18610874</v>
      </c>
      <c r="J47" s="311" t="s">
        <v>274</v>
      </c>
      <c r="K47" s="136" t="s">
        <v>52</v>
      </c>
      <c r="L47" s="136" t="s">
        <v>53</v>
      </c>
      <c r="M47" s="136">
        <v>93955577</v>
      </c>
      <c r="N47" s="139"/>
      <c r="O47" s="5"/>
      <c r="P47" s="5"/>
    </row>
    <row r="48" spans="1:27" ht="21.75" customHeight="1" x14ac:dyDescent="0.25">
      <c r="A48" s="141">
        <v>46</v>
      </c>
      <c r="B48" s="142">
        <v>1389</v>
      </c>
      <c r="C48" s="143" t="s">
        <v>275</v>
      </c>
      <c r="D48" s="185">
        <v>760</v>
      </c>
      <c r="E48" s="182">
        <v>0.4</v>
      </c>
      <c r="F48" s="182">
        <f t="shared" si="2"/>
        <v>304</v>
      </c>
      <c r="G48" s="182">
        <f>303.6</f>
        <v>303.60000000000002</v>
      </c>
      <c r="H48" s="182">
        <f t="shared" si="1"/>
        <v>0.39999999999997726</v>
      </c>
      <c r="I48" s="144">
        <v>1036354</v>
      </c>
      <c r="J48" s="159" t="s">
        <v>276</v>
      </c>
      <c r="K48" s="144" t="s">
        <v>52</v>
      </c>
      <c r="L48" s="144" t="s">
        <v>53</v>
      </c>
      <c r="M48" s="144">
        <v>92413881</v>
      </c>
      <c r="N48" s="299">
        <v>45686</v>
      </c>
      <c r="O48" s="5"/>
      <c r="P48" s="5"/>
    </row>
    <row r="49" spans="1:27" ht="21.75" customHeight="1" x14ac:dyDescent="0.25">
      <c r="A49" s="141">
        <v>47</v>
      </c>
      <c r="B49" s="142">
        <v>1394</v>
      </c>
      <c r="C49" s="143" t="s">
        <v>277</v>
      </c>
      <c r="D49" s="185">
        <v>262.7</v>
      </c>
      <c r="E49" s="182">
        <v>0.4</v>
      </c>
      <c r="F49" s="182">
        <f t="shared" si="2"/>
        <v>105.08</v>
      </c>
      <c r="G49" s="182">
        <f>104.27</f>
        <v>104.27</v>
      </c>
      <c r="H49" s="182">
        <f t="shared" si="1"/>
        <v>0.81000000000000227</v>
      </c>
      <c r="I49" s="144">
        <v>25656187</v>
      </c>
      <c r="J49" s="144" t="s">
        <v>278</v>
      </c>
      <c r="K49" s="144" t="s">
        <v>31</v>
      </c>
      <c r="L49" s="159" t="s">
        <v>32</v>
      </c>
      <c r="M49" s="144">
        <v>98987848</v>
      </c>
      <c r="N49" s="299">
        <v>45684</v>
      </c>
      <c r="O49" s="5"/>
      <c r="P49" s="5"/>
    </row>
    <row r="50" spans="1:27" ht="21.75" customHeight="1" x14ac:dyDescent="0.25">
      <c r="A50" s="141">
        <v>48</v>
      </c>
      <c r="B50" s="142">
        <v>1396</v>
      </c>
      <c r="C50" s="143" t="s">
        <v>123</v>
      </c>
      <c r="D50" s="185">
        <v>332</v>
      </c>
      <c r="E50" s="182">
        <v>0.4</v>
      </c>
      <c r="F50" s="182">
        <f t="shared" si="2"/>
        <v>132.80000000000001</v>
      </c>
      <c r="G50" s="182">
        <f>131.97</f>
        <v>131.97</v>
      </c>
      <c r="H50" s="182">
        <f t="shared" si="1"/>
        <v>0.83000000000001251</v>
      </c>
      <c r="I50" s="144">
        <v>905845</v>
      </c>
      <c r="J50" s="159" t="s">
        <v>124</v>
      </c>
      <c r="K50" s="144" t="s">
        <v>31</v>
      </c>
      <c r="L50" s="144" t="s">
        <v>32</v>
      </c>
      <c r="M50" s="144">
        <v>99696204</v>
      </c>
      <c r="N50" s="306">
        <v>45679</v>
      </c>
      <c r="O50" s="5"/>
      <c r="P50" s="5"/>
    </row>
    <row r="51" spans="1:27" ht="21.75" customHeight="1" x14ac:dyDescent="0.25">
      <c r="A51" s="141">
        <v>49</v>
      </c>
      <c r="B51" s="142">
        <v>1397</v>
      </c>
      <c r="C51" s="143" t="s">
        <v>125</v>
      </c>
      <c r="D51" s="185">
        <v>273.7</v>
      </c>
      <c r="E51" s="182">
        <v>0.4</v>
      </c>
      <c r="F51" s="182">
        <f t="shared" si="2"/>
        <v>109.48</v>
      </c>
      <c r="G51" s="182">
        <f>107.3</f>
        <v>107.3</v>
      </c>
      <c r="H51" s="182">
        <f t="shared" si="1"/>
        <v>2.1800000000000068</v>
      </c>
      <c r="I51" s="144">
        <v>1292885</v>
      </c>
      <c r="J51" s="159" t="s">
        <v>126</v>
      </c>
      <c r="K51" s="144" t="s">
        <v>127</v>
      </c>
      <c r="L51" s="144" t="s">
        <v>128</v>
      </c>
      <c r="M51" s="144">
        <v>92307552</v>
      </c>
      <c r="N51" s="299">
        <v>45686</v>
      </c>
      <c r="O51" s="5"/>
      <c r="P51" s="5"/>
    </row>
    <row r="52" spans="1:27" ht="21.75" customHeight="1" x14ac:dyDescent="0.25">
      <c r="A52" s="141">
        <v>50</v>
      </c>
      <c r="B52" s="142">
        <v>1398</v>
      </c>
      <c r="C52" s="143" t="s">
        <v>279</v>
      </c>
      <c r="D52" s="185">
        <v>204.5</v>
      </c>
      <c r="E52" s="182">
        <v>0.4</v>
      </c>
      <c r="F52" s="182">
        <f t="shared" si="2"/>
        <v>81.800000000000011</v>
      </c>
      <c r="G52" s="182">
        <f>80.98</f>
        <v>80.98</v>
      </c>
      <c r="H52" s="182">
        <f t="shared" si="1"/>
        <v>0.82000000000000739</v>
      </c>
      <c r="I52" s="144">
        <v>1161437</v>
      </c>
      <c r="J52" s="144" t="s">
        <v>280</v>
      </c>
      <c r="K52" s="144" t="s">
        <v>121</v>
      </c>
      <c r="L52" s="144" t="s">
        <v>122</v>
      </c>
      <c r="M52" s="144">
        <v>91135580</v>
      </c>
      <c r="N52" s="299">
        <v>45684</v>
      </c>
      <c r="O52" s="5"/>
      <c r="P52" s="5"/>
    </row>
    <row r="53" spans="1:27" s="17" customFormat="1" ht="21.75" customHeight="1" x14ac:dyDescent="0.25">
      <c r="A53" s="154">
        <v>51</v>
      </c>
      <c r="B53" s="230">
        <v>1400</v>
      </c>
      <c r="C53" s="152" t="s">
        <v>281</v>
      </c>
      <c r="D53" s="231">
        <v>515</v>
      </c>
      <c r="E53" s="232">
        <v>0.4</v>
      </c>
      <c r="F53" s="232">
        <f t="shared" si="2"/>
        <v>206</v>
      </c>
      <c r="G53" s="232">
        <f>F53</f>
        <v>206</v>
      </c>
      <c r="H53" s="232">
        <f t="shared" si="1"/>
        <v>0</v>
      </c>
      <c r="I53" s="153">
        <v>7223707</v>
      </c>
      <c r="J53" s="233" t="s">
        <v>282</v>
      </c>
      <c r="K53" s="153" t="s">
        <v>26</v>
      </c>
      <c r="L53" s="153" t="s">
        <v>27</v>
      </c>
      <c r="M53" s="153">
        <v>92616136</v>
      </c>
      <c r="N53" s="331">
        <v>45691</v>
      </c>
      <c r="P53" s="5"/>
      <c r="S53" s="5"/>
      <c r="U53" s="5"/>
      <c r="W53" s="5"/>
      <c r="Y53" s="5"/>
      <c r="AA53" s="5"/>
    </row>
    <row r="54" spans="1:27" s="54" customFormat="1" ht="21.75" customHeight="1" x14ac:dyDescent="0.25">
      <c r="A54" s="141">
        <v>52</v>
      </c>
      <c r="B54" s="142">
        <v>1403</v>
      </c>
      <c r="C54" s="143" t="s">
        <v>283</v>
      </c>
      <c r="D54" s="185">
        <v>427.6</v>
      </c>
      <c r="E54" s="182">
        <v>0.4</v>
      </c>
      <c r="F54" s="182">
        <f t="shared" si="2"/>
        <v>171.04000000000002</v>
      </c>
      <c r="G54" s="182">
        <f>169.11</f>
        <v>169.11</v>
      </c>
      <c r="H54" s="182">
        <f t="shared" si="1"/>
        <v>1.9300000000000068</v>
      </c>
      <c r="I54" s="144">
        <v>499044</v>
      </c>
      <c r="J54" s="144" t="s">
        <v>284</v>
      </c>
      <c r="K54" s="144" t="s">
        <v>31</v>
      </c>
      <c r="L54" s="144" t="s">
        <v>32</v>
      </c>
      <c r="M54" s="144">
        <v>92226988</v>
      </c>
      <c r="N54" s="299">
        <v>45963</v>
      </c>
    </row>
    <row r="55" spans="1:27" ht="21.75" customHeight="1" x14ac:dyDescent="0.25">
      <c r="A55" s="141">
        <v>53</v>
      </c>
      <c r="B55" s="215">
        <v>1406</v>
      </c>
      <c r="C55" s="143" t="s">
        <v>285</v>
      </c>
      <c r="D55" s="185">
        <v>368.7</v>
      </c>
      <c r="E55" s="182">
        <v>0.4</v>
      </c>
      <c r="F55" s="182">
        <f t="shared" si="2"/>
        <v>147.47999999999999</v>
      </c>
      <c r="G55" s="182">
        <f>147.3</f>
        <v>147.30000000000001</v>
      </c>
      <c r="H55" s="182">
        <f t="shared" si="1"/>
        <v>0.1799999999999784</v>
      </c>
      <c r="I55" s="144">
        <v>880849</v>
      </c>
      <c r="J55" s="159" t="s">
        <v>286</v>
      </c>
      <c r="K55" s="144" t="s">
        <v>71</v>
      </c>
      <c r="L55" s="144" t="s">
        <v>72</v>
      </c>
      <c r="M55" s="144">
        <v>99365157</v>
      </c>
      <c r="N55" s="299">
        <v>45691</v>
      </c>
      <c r="O55" s="5"/>
      <c r="P55" s="5"/>
    </row>
    <row r="56" spans="1:27" ht="21.75" customHeight="1" x14ac:dyDescent="0.25">
      <c r="A56" s="146">
        <v>54</v>
      </c>
      <c r="B56" s="148">
        <v>1408</v>
      </c>
      <c r="C56" s="136" t="s">
        <v>287</v>
      </c>
      <c r="D56" s="295">
        <v>1102</v>
      </c>
      <c r="E56" s="149">
        <v>0.4</v>
      </c>
      <c r="F56" s="186">
        <f t="shared" si="2"/>
        <v>440.8</v>
      </c>
      <c r="G56" s="186"/>
      <c r="H56" s="186">
        <f t="shared" si="1"/>
        <v>440.8</v>
      </c>
      <c r="I56" s="136">
        <v>997465</v>
      </c>
      <c r="J56" s="311" t="s">
        <v>288</v>
      </c>
      <c r="K56" s="136" t="s">
        <v>31</v>
      </c>
      <c r="L56" s="136" t="s">
        <v>32</v>
      </c>
      <c r="M56" s="136">
        <v>99490975</v>
      </c>
      <c r="N56" s="139"/>
      <c r="O56" s="5"/>
      <c r="P56" s="5"/>
    </row>
    <row r="57" spans="1:27" s="54" customFormat="1" ht="21.75" customHeight="1" x14ac:dyDescent="0.25">
      <c r="A57" s="141">
        <v>55</v>
      </c>
      <c r="B57" s="215">
        <v>1409</v>
      </c>
      <c r="C57" s="143" t="s">
        <v>289</v>
      </c>
      <c r="D57" s="218">
        <v>423.1</v>
      </c>
      <c r="E57" s="182">
        <v>0.4</v>
      </c>
      <c r="F57" s="182">
        <f t="shared" si="2"/>
        <v>169.24</v>
      </c>
      <c r="G57" s="182">
        <f>166.43</f>
        <v>166.43</v>
      </c>
      <c r="H57" s="182">
        <f t="shared" si="1"/>
        <v>2.8100000000000023</v>
      </c>
      <c r="I57" s="144">
        <v>7279409</v>
      </c>
      <c r="J57" s="159" t="s">
        <v>290</v>
      </c>
      <c r="K57" s="144" t="s">
        <v>31</v>
      </c>
      <c r="L57" s="144" t="s">
        <v>32</v>
      </c>
      <c r="M57" s="144">
        <v>99626634</v>
      </c>
      <c r="N57" s="299">
        <v>45809</v>
      </c>
    </row>
    <row r="58" spans="1:27" ht="21.75" customHeight="1" x14ac:dyDescent="0.25">
      <c r="A58" s="141">
        <v>56</v>
      </c>
      <c r="B58" s="215">
        <v>1410</v>
      </c>
      <c r="C58" s="143" t="s">
        <v>292</v>
      </c>
      <c r="D58" s="181">
        <v>469.4</v>
      </c>
      <c r="E58" s="182">
        <v>0.4</v>
      </c>
      <c r="F58" s="182">
        <f t="shared" si="2"/>
        <v>187.76</v>
      </c>
      <c r="G58" s="182">
        <f>185.11</f>
        <v>185.11</v>
      </c>
      <c r="H58" s="182">
        <f t="shared" si="1"/>
        <v>2.6499999999999773</v>
      </c>
      <c r="I58" s="144">
        <v>757372</v>
      </c>
      <c r="J58" s="159" t="s">
        <v>293</v>
      </c>
      <c r="K58" s="144" t="s">
        <v>31</v>
      </c>
      <c r="L58" s="144" t="s">
        <v>32</v>
      </c>
      <c r="M58" s="144">
        <v>92018800</v>
      </c>
      <c r="N58" s="299">
        <v>45686</v>
      </c>
      <c r="O58" s="5"/>
      <c r="P58" s="5"/>
    </row>
    <row r="59" spans="1:27" ht="21.75" customHeight="1" x14ac:dyDescent="0.25">
      <c r="A59" s="141">
        <v>57</v>
      </c>
      <c r="B59" s="215">
        <v>1411</v>
      </c>
      <c r="C59" s="143" t="s">
        <v>294</v>
      </c>
      <c r="D59" s="185">
        <v>494.4</v>
      </c>
      <c r="E59" s="182">
        <v>0.4</v>
      </c>
      <c r="F59" s="182">
        <f t="shared" si="2"/>
        <v>197.76</v>
      </c>
      <c r="G59" s="182">
        <f>194.65</f>
        <v>194.65</v>
      </c>
      <c r="H59" s="182">
        <f t="shared" si="1"/>
        <v>3.1099999999999852</v>
      </c>
      <c r="I59" s="144">
        <v>1650389</v>
      </c>
      <c r="J59" s="159" t="s">
        <v>295</v>
      </c>
      <c r="K59" s="144" t="s">
        <v>31</v>
      </c>
      <c r="L59" s="144" t="s">
        <v>32</v>
      </c>
      <c r="M59" s="144">
        <v>92294150</v>
      </c>
      <c r="N59" s="299">
        <v>45677</v>
      </c>
      <c r="O59" s="5"/>
      <c r="P59" s="5"/>
    </row>
    <row r="60" spans="1:27" ht="21.75" customHeight="1" x14ac:dyDescent="0.25">
      <c r="A60" s="146">
        <v>58</v>
      </c>
      <c r="B60" s="235">
        <v>1412</v>
      </c>
      <c r="C60" s="296" t="s">
        <v>296</v>
      </c>
      <c r="D60" s="295">
        <v>569.4</v>
      </c>
      <c r="E60" s="149">
        <v>0.4</v>
      </c>
      <c r="F60" s="186">
        <f t="shared" si="2"/>
        <v>227.76</v>
      </c>
      <c r="G60" s="186"/>
      <c r="H60" s="186">
        <f t="shared" si="1"/>
        <v>227.76</v>
      </c>
      <c r="I60" s="136">
        <v>312227</v>
      </c>
      <c r="J60" s="136" t="s">
        <v>297</v>
      </c>
      <c r="K60" s="136" t="s">
        <v>31</v>
      </c>
      <c r="L60" s="136" t="s">
        <v>32</v>
      </c>
      <c r="M60" s="136">
        <v>95414124</v>
      </c>
      <c r="N60" s="139"/>
      <c r="O60" s="5"/>
      <c r="P60" s="5"/>
    </row>
    <row r="61" spans="1:27" ht="21.75" customHeight="1" x14ac:dyDescent="0.25">
      <c r="A61" s="141">
        <v>59</v>
      </c>
      <c r="B61" s="142">
        <v>1413</v>
      </c>
      <c r="C61" s="144" t="s">
        <v>298</v>
      </c>
      <c r="D61" s="185">
        <v>285</v>
      </c>
      <c r="E61" s="182">
        <v>0.4</v>
      </c>
      <c r="F61" s="182">
        <f t="shared" si="2"/>
        <v>114</v>
      </c>
      <c r="G61" s="182">
        <f>111.25</f>
        <v>111.25</v>
      </c>
      <c r="H61" s="182">
        <f t="shared" si="1"/>
        <v>2.75</v>
      </c>
      <c r="I61" s="144">
        <v>539906</v>
      </c>
      <c r="J61" s="159" t="s">
        <v>299</v>
      </c>
      <c r="K61" s="144" t="s">
        <v>52</v>
      </c>
      <c r="L61" s="144" t="s">
        <v>53</v>
      </c>
      <c r="M61" s="144"/>
      <c r="N61" s="299">
        <v>45686</v>
      </c>
      <c r="O61" s="5"/>
      <c r="P61" s="5"/>
    </row>
    <row r="62" spans="1:27" s="17" customFormat="1" ht="21.75" customHeight="1" x14ac:dyDescent="0.25">
      <c r="A62" s="141">
        <v>60</v>
      </c>
      <c r="B62" s="142">
        <v>1414</v>
      </c>
      <c r="C62" s="143" t="s">
        <v>300</v>
      </c>
      <c r="D62" s="185">
        <v>819.3</v>
      </c>
      <c r="E62" s="182">
        <v>0.4</v>
      </c>
      <c r="F62" s="182">
        <f t="shared" si="2"/>
        <v>327.72</v>
      </c>
      <c r="G62" s="182">
        <f>325.185</f>
        <v>325.185</v>
      </c>
      <c r="H62" s="182">
        <f t="shared" si="1"/>
        <v>2.535000000000025</v>
      </c>
      <c r="I62" s="144">
        <v>9178238</v>
      </c>
      <c r="J62" s="159" t="s">
        <v>301</v>
      </c>
      <c r="K62" s="144" t="s">
        <v>52</v>
      </c>
      <c r="L62" s="144" t="s">
        <v>53</v>
      </c>
      <c r="M62" s="144">
        <v>91966140</v>
      </c>
      <c r="N62" s="299">
        <v>45684</v>
      </c>
      <c r="P62" s="5"/>
      <c r="S62" s="5"/>
      <c r="U62" s="5"/>
      <c r="W62" s="5"/>
      <c r="Y62" s="5"/>
      <c r="AA62" s="5"/>
    </row>
    <row r="63" spans="1:27" ht="21.75" customHeight="1" x14ac:dyDescent="0.25">
      <c r="A63" s="141">
        <v>61</v>
      </c>
      <c r="B63" s="142">
        <v>1415</v>
      </c>
      <c r="C63" s="143" t="s">
        <v>302</v>
      </c>
      <c r="D63" s="185">
        <v>249.2</v>
      </c>
      <c r="E63" s="182">
        <v>0.4</v>
      </c>
      <c r="F63" s="182">
        <f t="shared" si="2"/>
        <v>99.68</v>
      </c>
      <c r="G63" s="182">
        <f>96.62</f>
        <v>96.62</v>
      </c>
      <c r="H63" s="182">
        <f t="shared" si="1"/>
        <v>3.0600000000000023</v>
      </c>
      <c r="I63" s="144">
        <v>818787</v>
      </c>
      <c r="J63" s="203" t="s">
        <v>576</v>
      </c>
      <c r="K63" s="144" t="s">
        <v>31</v>
      </c>
      <c r="L63" s="144" t="s">
        <v>32</v>
      </c>
      <c r="M63" s="144">
        <v>99806280</v>
      </c>
      <c r="N63" s="299">
        <v>45672</v>
      </c>
      <c r="O63" s="322"/>
      <c r="P63" s="5"/>
    </row>
    <row r="64" spans="1:27" ht="21.75" customHeight="1" x14ac:dyDescent="0.25">
      <c r="A64" s="141">
        <v>62</v>
      </c>
      <c r="B64" s="142">
        <v>1417</v>
      </c>
      <c r="C64" s="143" t="s">
        <v>42</v>
      </c>
      <c r="D64" s="185">
        <v>416.9</v>
      </c>
      <c r="E64" s="182">
        <v>0.4</v>
      </c>
      <c r="F64" s="182">
        <f t="shared" si="2"/>
        <v>166.76</v>
      </c>
      <c r="G64" s="182">
        <f>166.4</f>
        <v>166.4</v>
      </c>
      <c r="H64" s="182">
        <f t="shared" si="1"/>
        <v>0.35999999999998522</v>
      </c>
      <c r="I64" s="144">
        <v>1252579</v>
      </c>
      <c r="J64" s="159" t="s">
        <v>43</v>
      </c>
      <c r="K64" s="144" t="s">
        <v>31</v>
      </c>
      <c r="L64" s="144" t="s">
        <v>32</v>
      </c>
      <c r="M64" s="144">
        <v>98520912</v>
      </c>
      <c r="N64" s="299">
        <v>45686</v>
      </c>
      <c r="O64" s="5"/>
      <c r="P64" s="5"/>
    </row>
    <row r="65" spans="1:16" ht="21.75" customHeight="1" x14ac:dyDescent="0.25">
      <c r="A65" s="141">
        <v>63</v>
      </c>
      <c r="B65" s="142">
        <v>1418</v>
      </c>
      <c r="C65" s="143" t="s">
        <v>304</v>
      </c>
      <c r="D65" s="185">
        <v>324.60000000000002</v>
      </c>
      <c r="E65" s="182">
        <v>0.4</v>
      </c>
      <c r="F65" s="182">
        <f t="shared" si="2"/>
        <v>129.84</v>
      </c>
      <c r="G65" s="182">
        <f>129.45+0.39</f>
        <v>129.83999999999997</v>
      </c>
      <c r="H65" s="182">
        <f t="shared" si="1"/>
        <v>0</v>
      </c>
      <c r="I65" s="144">
        <v>9954378</v>
      </c>
      <c r="J65" s="311" t="s">
        <v>577</v>
      </c>
      <c r="K65" s="136" t="s">
        <v>31</v>
      </c>
      <c r="L65" s="136" t="s">
        <v>32</v>
      </c>
      <c r="M65" s="136">
        <v>99282423</v>
      </c>
      <c r="N65" s="134">
        <v>45670</v>
      </c>
      <c r="O65" s="98">
        <v>45810</v>
      </c>
      <c r="P65" s="5"/>
    </row>
    <row r="66" spans="1:16" ht="21.75" customHeight="1" x14ac:dyDescent="0.25">
      <c r="A66" s="141">
        <v>64</v>
      </c>
      <c r="B66" s="142">
        <v>1419</v>
      </c>
      <c r="C66" s="143" t="s">
        <v>308</v>
      </c>
      <c r="D66" s="185">
        <v>699</v>
      </c>
      <c r="E66" s="182">
        <v>0.4</v>
      </c>
      <c r="F66" s="182">
        <f t="shared" si="2"/>
        <v>279.60000000000002</v>
      </c>
      <c r="G66" s="182">
        <f>110.15+111.55+53.35</f>
        <v>275.05</v>
      </c>
      <c r="H66" s="182">
        <f t="shared" si="1"/>
        <v>4.5500000000000114</v>
      </c>
      <c r="I66" s="144">
        <v>386821</v>
      </c>
      <c r="J66" s="159" t="s">
        <v>309</v>
      </c>
      <c r="K66" s="144" t="s">
        <v>31</v>
      </c>
      <c r="L66" s="144" t="s">
        <v>32</v>
      </c>
      <c r="M66" s="144">
        <v>99181419</v>
      </c>
      <c r="N66" s="299">
        <v>45684</v>
      </c>
      <c r="O66" s="98">
        <v>45963</v>
      </c>
      <c r="P66" s="5" t="s">
        <v>600</v>
      </c>
    </row>
    <row r="67" spans="1:16" ht="21.75" customHeight="1" x14ac:dyDescent="0.25">
      <c r="A67" s="146">
        <v>65</v>
      </c>
      <c r="B67" s="235">
        <v>1420</v>
      </c>
      <c r="C67" s="296" t="s">
        <v>310</v>
      </c>
      <c r="D67" s="295">
        <v>482.8</v>
      </c>
      <c r="E67" s="149">
        <v>0.4</v>
      </c>
      <c r="F67" s="186">
        <f t="shared" ref="F67:F98" si="3">D67*E67</f>
        <v>193.12</v>
      </c>
      <c r="G67" s="186"/>
      <c r="H67" s="186">
        <f t="shared" ref="H67:H130" si="4">F67-G67</f>
        <v>193.12</v>
      </c>
      <c r="I67" s="136">
        <v>5460297</v>
      </c>
      <c r="J67" s="311" t="s">
        <v>311</v>
      </c>
      <c r="K67" s="136" t="s">
        <v>31</v>
      </c>
      <c r="L67" s="136" t="s">
        <v>32</v>
      </c>
      <c r="M67" s="136">
        <v>95898899</v>
      </c>
      <c r="N67" s="139"/>
      <c r="O67" s="5"/>
      <c r="P67" s="5"/>
    </row>
    <row r="68" spans="1:16" ht="21.75" customHeight="1" x14ac:dyDescent="0.25">
      <c r="A68" s="146">
        <v>66</v>
      </c>
      <c r="B68" s="235">
        <v>1421</v>
      </c>
      <c r="C68" s="296" t="s">
        <v>129</v>
      </c>
      <c r="D68" s="295">
        <v>551</v>
      </c>
      <c r="E68" s="149">
        <v>0.4</v>
      </c>
      <c r="F68" s="186">
        <f t="shared" si="3"/>
        <v>220.4</v>
      </c>
      <c r="G68" s="186"/>
      <c r="H68" s="186">
        <f t="shared" si="4"/>
        <v>220.4</v>
      </c>
      <c r="I68" s="136">
        <v>15314262</v>
      </c>
      <c r="J68" s="311" t="s">
        <v>130</v>
      </c>
      <c r="K68" s="136" t="s">
        <v>31</v>
      </c>
      <c r="L68" s="136" t="s">
        <v>32</v>
      </c>
      <c r="M68" s="136">
        <v>90333361</v>
      </c>
      <c r="N68" s="139"/>
      <c r="O68" s="5"/>
      <c r="P68" s="5"/>
    </row>
    <row r="69" spans="1:16" ht="21.75" customHeight="1" x14ac:dyDescent="0.25">
      <c r="A69" s="146">
        <v>67</v>
      </c>
      <c r="B69" s="235">
        <v>1423</v>
      </c>
      <c r="C69" s="296" t="s">
        <v>131</v>
      </c>
      <c r="D69" s="295">
        <v>497.7</v>
      </c>
      <c r="E69" s="149">
        <v>0.4</v>
      </c>
      <c r="F69" s="186">
        <f t="shared" si="3"/>
        <v>199.08</v>
      </c>
      <c r="G69" s="186"/>
      <c r="H69" s="186">
        <f t="shared" si="4"/>
        <v>199.08</v>
      </c>
      <c r="I69" s="136">
        <v>5044397</v>
      </c>
      <c r="J69" s="311" t="s">
        <v>132</v>
      </c>
      <c r="K69" s="136" t="s">
        <v>31</v>
      </c>
      <c r="L69" s="136" t="s">
        <v>32</v>
      </c>
      <c r="M69" s="136">
        <v>99580550</v>
      </c>
      <c r="N69" s="139"/>
      <c r="O69" s="5"/>
      <c r="P69" s="5"/>
    </row>
    <row r="70" spans="1:16" ht="21.75" customHeight="1" x14ac:dyDescent="0.25">
      <c r="A70" s="146">
        <v>68</v>
      </c>
      <c r="B70" s="235">
        <v>1425</v>
      </c>
      <c r="C70" s="296" t="s">
        <v>312</v>
      </c>
      <c r="D70" s="295">
        <v>485</v>
      </c>
      <c r="E70" s="149">
        <v>0.4</v>
      </c>
      <c r="F70" s="186">
        <f t="shared" si="3"/>
        <v>194</v>
      </c>
      <c r="G70" s="186"/>
      <c r="H70" s="186">
        <f t="shared" si="4"/>
        <v>194</v>
      </c>
      <c r="I70" s="136">
        <v>5614623</v>
      </c>
      <c r="J70" s="311" t="s">
        <v>313</v>
      </c>
      <c r="K70" s="136" t="s">
        <v>31</v>
      </c>
      <c r="L70" s="136" t="s">
        <v>32</v>
      </c>
      <c r="M70" s="136">
        <v>99583112</v>
      </c>
      <c r="N70" s="139"/>
      <c r="O70" s="5"/>
      <c r="P70" s="5"/>
    </row>
    <row r="71" spans="1:16" ht="21.75" customHeight="1" x14ac:dyDescent="0.25">
      <c r="A71" s="141">
        <v>69</v>
      </c>
      <c r="B71" s="215">
        <v>1426</v>
      </c>
      <c r="C71" s="143" t="s">
        <v>314</v>
      </c>
      <c r="D71" s="185">
        <v>503.8</v>
      </c>
      <c r="E71" s="182">
        <v>0.4</v>
      </c>
      <c r="F71" s="182">
        <f t="shared" si="3"/>
        <v>201.52</v>
      </c>
      <c r="G71" s="182">
        <f>200.8</f>
        <v>200.8</v>
      </c>
      <c r="H71" s="182">
        <f t="shared" si="4"/>
        <v>0.71999999999999886</v>
      </c>
      <c r="I71" s="144">
        <v>2160707</v>
      </c>
      <c r="J71" s="159" t="s">
        <v>315</v>
      </c>
      <c r="K71" s="144" t="s">
        <v>71</v>
      </c>
      <c r="L71" s="144" t="s">
        <v>72</v>
      </c>
      <c r="M71" s="144">
        <v>92280327</v>
      </c>
      <c r="N71" s="299">
        <v>45686</v>
      </c>
      <c r="O71" s="5"/>
      <c r="P71" s="5"/>
    </row>
    <row r="72" spans="1:16" ht="21.75" customHeight="1" x14ac:dyDescent="0.25">
      <c r="A72" s="141">
        <v>70</v>
      </c>
      <c r="B72" s="142">
        <v>1427</v>
      </c>
      <c r="C72" s="143" t="s">
        <v>134</v>
      </c>
      <c r="D72" s="185">
        <v>227.9</v>
      </c>
      <c r="E72" s="182">
        <v>0.4</v>
      </c>
      <c r="F72" s="182">
        <f t="shared" si="3"/>
        <v>91.160000000000011</v>
      </c>
      <c r="G72" s="182">
        <f>90.53</f>
        <v>90.53</v>
      </c>
      <c r="H72" s="182">
        <f t="shared" si="4"/>
        <v>0.63000000000000966</v>
      </c>
      <c r="I72" s="144">
        <v>24171637</v>
      </c>
      <c r="J72" s="159" t="s">
        <v>135</v>
      </c>
      <c r="K72" s="144" t="s">
        <v>31</v>
      </c>
      <c r="L72" s="144" t="s">
        <v>32</v>
      </c>
      <c r="M72" s="144">
        <v>97030409</v>
      </c>
      <c r="N72" s="299">
        <v>45684</v>
      </c>
      <c r="O72" s="5"/>
      <c r="P72" s="5"/>
    </row>
    <row r="73" spans="1:16" ht="21.75" customHeight="1" x14ac:dyDescent="0.25">
      <c r="A73" s="141">
        <v>71</v>
      </c>
      <c r="B73" s="142">
        <v>1428</v>
      </c>
      <c r="C73" s="143" t="s">
        <v>316</v>
      </c>
      <c r="D73" s="185">
        <v>258.10000000000002</v>
      </c>
      <c r="E73" s="182">
        <v>0.4</v>
      </c>
      <c r="F73" s="182">
        <f t="shared" si="3"/>
        <v>103.24000000000001</v>
      </c>
      <c r="G73" s="182">
        <f>100.39</f>
        <v>100.39</v>
      </c>
      <c r="H73" s="182">
        <f t="shared" si="4"/>
        <v>2.8500000000000085</v>
      </c>
      <c r="I73" s="144">
        <v>921364</v>
      </c>
      <c r="J73" s="220" t="s">
        <v>317</v>
      </c>
      <c r="K73" s="144" t="s">
        <v>90</v>
      </c>
      <c r="L73" s="144" t="s">
        <v>32</v>
      </c>
      <c r="M73" s="144">
        <v>92599597</v>
      </c>
      <c r="N73" s="299">
        <v>45679</v>
      </c>
      <c r="O73" s="5"/>
      <c r="P73" s="5"/>
    </row>
    <row r="74" spans="1:16" ht="21.75" customHeight="1" x14ac:dyDescent="0.25">
      <c r="A74" s="141">
        <v>72</v>
      </c>
      <c r="B74" s="142">
        <v>1430</v>
      </c>
      <c r="C74" s="143" t="s">
        <v>136</v>
      </c>
      <c r="D74" s="185">
        <v>266</v>
      </c>
      <c r="E74" s="182">
        <v>0.4</v>
      </c>
      <c r="F74" s="182">
        <f t="shared" si="3"/>
        <v>106.4</v>
      </c>
      <c r="G74" s="182">
        <f>103.84</f>
        <v>103.84</v>
      </c>
      <c r="H74" s="182">
        <f t="shared" si="4"/>
        <v>2.5600000000000023</v>
      </c>
      <c r="I74" s="144">
        <v>564698</v>
      </c>
      <c r="J74" s="159" t="s">
        <v>137</v>
      </c>
      <c r="K74" s="144" t="s">
        <v>31</v>
      </c>
      <c r="L74" s="144" t="s">
        <v>32</v>
      </c>
      <c r="M74" s="144">
        <v>99189793</v>
      </c>
      <c r="N74" s="299">
        <v>45684</v>
      </c>
      <c r="O74" s="5"/>
      <c r="P74" s="5"/>
    </row>
    <row r="75" spans="1:16" ht="21.75" customHeight="1" x14ac:dyDescent="0.25">
      <c r="A75" s="146">
        <v>73</v>
      </c>
      <c r="B75" s="235">
        <v>1432</v>
      </c>
      <c r="C75" s="296" t="s">
        <v>318</v>
      </c>
      <c r="D75" s="295">
        <v>627</v>
      </c>
      <c r="E75" s="149">
        <v>0.4</v>
      </c>
      <c r="F75" s="186">
        <f t="shared" si="3"/>
        <v>250.8</v>
      </c>
      <c r="G75" s="186"/>
      <c r="H75" s="186">
        <f t="shared" si="4"/>
        <v>250.8</v>
      </c>
      <c r="I75" s="136">
        <v>5004855</v>
      </c>
      <c r="J75" s="311" t="s">
        <v>319</v>
      </c>
      <c r="K75" s="136" t="s">
        <v>52</v>
      </c>
      <c r="L75" s="136" t="s">
        <v>53</v>
      </c>
      <c r="M75" s="136">
        <v>99899962</v>
      </c>
      <c r="N75" s="139"/>
      <c r="O75" s="5"/>
      <c r="P75" s="5"/>
    </row>
    <row r="76" spans="1:16" ht="21.75" customHeight="1" x14ac:dyDescent="0.25">
      <c r="A76" s="146">
        <v>74</v>
      </c>
      <c r="B76" s="235">
        <v>1433</v>
      </c>
      <c r="C76" s="296" t="s">
        <v>320</v>
      </c>
      <c r="D76" s="295">
        <v>627</v>
      </c>
      <c r="E76" s="149">
        <v>0.4</v>
      </c>
      <c r="F76" s="186">
        <f t="shared" si="3"/>
        <v>250.8</v>
      </c>
      <c r="G76" s="186"/>
      <c r="H76" s="186">
        <f t="shared" si="4"/>
        <v>250.8</v>
      </c>
      <c r="I76" s="136">
        <v>285841</v>
      </c>
      <c r="J76" s="311" t="s">
        <v>321</v>
      </c>
      <c r="K76" s="136" t="s">
        <v>31</v>
      </c>
      <c r="L76" s="136" t="s">
        <v>32</v>
      </c>
      <c r="M76" s="136">
        <v>92958552</v>
      </c>
      <c r="N76" s="139"/>
      <c r="O76" s="5"/>
      <c r="P76" s="5"/>
    </row>
    <row r="77" spans="1:16" ht="21.75" customHeight="1" x14ac:dyDescent="0.25">
      <c r="A77" s="146">
        <v>75</v>
      </c>
      <c r="B77" s="148">
        <v>1434</v>
      </c>
      <c r="C77" s="296" t="s">
        <v>138</v>
      </c>
      <c r="D77" s="295">
        <v>297.7</v>
      </c>
      <c r="E77" s="149">
        <v>0.4</v>
      </c>
      <c r="F77" s="186">
        <f t="shared" si="3"/>
        <v>119.08</v>
      </c>
      <c r="G77" s="186"/>
      <c r="H77" s="186">
        <f t="shared" si="4"/>
        <v>119.08</v>
      </c>
      <c r="I77" s="136">
        <v>19197503</v>
      </c>
      <c r="J77" s="311" t="s">
        <v>139</v>
      </c>
      <c r="K77" s="136" t="s">
        <v>31</v>
      </c>
      <c r="L77" s="136" t="s">
        <v>32</v>
      </c>
      <c r="M77" s="136">
        <v>92466605</v>
      </c>
      <c r="N77" s="139"/>
      <c r="O77" s="5"/>
      <c r="P77" s="5"/>
    </row>
    <row r="78" spans="1:16" ht="21.75" customHeight="1" x14ac:dyDescent="0.25">
      <c r="A78" s="141">
        <v>76</v>
      </c>
      <c r="B78" s="215">
        <v>1435</v>
      </c>
      <c r="C78" s="143" t="s">
        <v>45</v>
      </c>
      <c r="D78" s="185">
        <v>831.5</v>
      </c>
      <c r="E78" s="182">
        <v>0.4</v>
      </c>
      <c r="F78" s="182">
        <f t="shared" si="3"/>
        <v>332.6</v>
      </c>
      <c r="G78" s="182">
        <f>328.62</f>
        <v>328.62</v>
      </c>
      <c r="H78" s="182">
        <f t="shared" si="4"/>
        <v>3.9800000000000182</v>
      </c>
      <c r="I78" s="144">
        <v>1305522</v>
      </c>
      <c r="J78" s="159" t="s">
        <v>46</v>
      </c>
      <c r="K78" s="144" t="s">
        <v>31</v>
      </c>
      <c r="L78" s="144" t="s">
        <v>32</v>
      </c>
      <c r="M78" s="144">
        <v>93246263</v>
      </c>
      <c r="N78" s="299">
        <v>45679</v>
      </c>
      <c r="O78" s="5"/>
      <c r="P78" s="5"/>
    </row>
    <row r="79" spans="1:16" ht="21.75" customHeight="1" x14ac:dyDescent="0.25">
      <c r="A79" s="141">
        <v>77</v>
      </c>
      <c r="B79" s="215">
        <v>1437</v>
      </c>
      <c r="C79" s="143" t="s">
        <v>143</v>
      </c>
      <c r="D79" s="185">
        <v>522</v>
      </c>
      <c r="E79" s="182">
        <v>0.4</v>
      </c>
      <c r="F79" s="182">
        <f t="shared" si="3"/>
        <v>208.8</v>
      </c>
      <c r="G79" s="182">
        <f>2.94+203.7</f>
        <v>206.64</v>
      </c>
      <c r="H79" s="182">
        <f t="shared" si="4"/>
        <v>2.160000000000025</v>
      </c>
      <c r="I79" s="144">
        <v>9685144</v>
      </c>
      <c r="J79" s="159" t="s">
        <v>144</v>
      </c>
      <c r="K79" s="144" t="s">
        <v>127</v>
      </c>
      <c r="L79" s="144" t="s">
        <v>128</v>
      </c>
      <c r="M79" s="144">
        <v>96907302</v>
      </c>
      <c r="N79" s="304" t="s">
        <v>566</v>
      </c>
      <c r="O79" s="98">
        <v>45684</v>
      </c>
      <c r="P79" s="5"/>
    </row>
    <row r="80" spans="1:16" ht="21.75" customHeight="1" x14ac:dyDescent="0.25">
      <c r="A80" s="141">
        <v>78</v>
      </c>
      <c r="B80" s="142">
        <v>1438</v>
      </c>
      <c r="C80" s="143" t="s">
        <v>145</v>
      </c>
      <c r="D80" s="185">
        <v>836</v>
      </c>
      <c r="E80" s="182">
        <v>0.4</v>
      </c>
      <c r="F80" s="182">
        <f t="shared" si="3"/>
        <v>334.40000000000003</v>
      </c>
      <c r="G80" s="182">
        <f>331.4</f>
        <v>331.4</v>
      </c>
      <c r="H80" s="182">
        <f t="shared" si="4"/>
        <v>3.0000000000000568</v>
      </c>
      <c r="I80" s="144">
        <v>656621</v>
      </c>
      <c r="J80" s="159" t="s">
        <v>146</v>
      </c>
      <c r="K80" s="144" t="s">
        <v>26</v>
      </c>
      <c r="L80" s="144" t="s">
        <v>27</v>
      </c>
      <c r="M80" s="144">
        <v>92509804</v>
      </c>
      <c r="N80" s="299">
        <v>45691</v>
      </c>
      <c r="O80" s="5"/>
      <c r="P80" s="5"/>
    </row>
    <row r="81" spans="1:27" ht="23.25" customHeight="1" x14ac:dyDescent="0.25">
      <c r="A81" s="141">
        <v>79</v>
      </c>
      <c r="B81" s="142">
        <v>1439</v>
      </c>
      <c r="C81" s="143" t="s">
        <v>323</v>
      </c>
      <c r="D81" s="185">
        <v>405.6</v>
      </c>
      <c r="E81" s="182">
        <v>0.4</v>
      </c>
      <c r="F81" s="182">
        <f t="shared" si="3"/>
        <v>162.24</v>
      </c>
      <c r="G81" s="182">
        <f>158.55</f>
        <v>158.55000000000001</v>
      </c>
      <c r="H81" s="182">
        <f t="shared" si="4"/>
        <v>3.6899999999999977</v>
      </c>
      <c r="I81" s="144">
        <v>18880548</v>
      </c>
      <c r="J81" s="159" t="s">
        <v>324</v>
      </c>
      <c r="K81" s="144" t="s">
        <v>31</v>
      </c>
      <c r="L81" s="144" t="s">
        <v>32</v>
      </c>
      <c r="M81" s="144">
        <v>98901515</v>
      </c>
      <c r="N81" s="134">
        <v>45679</v>
      </c>
      <c r="O81" s="5"/>
      <c r="P81" s="5"/>
    </row>
    <row r="82" spans="1:27" s="17" customFormat="1" ht="21.75" customHeight="1" x14ac:dyDescent="0.25">
      <c r="A82" s="141">
        <v>80</v>
      </c>
      <c r="B82" s="142">
        <v>1441</v>
      </c>
      <c r="C82" s="143" t="s">
        <v>325</v>
      </c>
      <c r="D82" s="185">
        <v>449.9</v>
      </c>
      <c r="E82" s="182">
        <v>0.4</v>
      </c>
      <c r="F82" s="218">
        <f t="shared" si="3"/>
        <v>179.96</v>
      </c>
      <c r="G82" s="185">
        <f>177.79</f>
        <v>177.79</v>
      </c>
      <c r="H82" s="185">
        <f t="shared" si="4"/>
        <v>2.1700000000000159</v>
      </c>
      <c r="I82" s="144">
        <v>7285624</v>
      </c>
      <c r="J82" s="159" t="s">
        <v>326</v>
      </c>
      <c r="K82" s="144" t="s">
        <v>121</v>
      </c>
      <c r="L82" s="144"/>
      <c r="M82" s="144">
        <v>93587666</v>
      </c>
      <c r="N82" s="299">
        <v>45686</v>
      </c>
    </row>
    <row r="83" spans="1:27" ht="21.75" customHeight="1" x14ac:dyDescent="0.25">
      <c r="A83" s="146">
        <v>81</v>
      </c>
      <c r="B83" s="235">
        <v>1444</v>
      </c>
      <c r="C83" s="296" t="s">
        <v>327</v>
      </c>
      <c r="D83" s="295">
        <v>646</v>
      </c>
      <c r="E83" s="149">
        <v>0.4</v>
      </c>
      <c r="F83" s="186">
        <f t="shared" si="3"/>
        <v>258.40000000000003</v>
      </c>
      <c r="G83" s="186"/>
      <c r="H83" s="186">
        <f t="shared" si="4"/>
        <v>258.40000000000003</v>
      </c>
      <c r="I83" s="136">
        <v>13487202</v>
      </c>
      <c r="J83" s="311" t="s">
        <v>328</v>
      </c>
      <c r="K83" s="136" t="s">
        <v>31</v>
      </c>
      <c r="L83" s="136" t="s">
        <v>32</v>
      </c>
      <c r="M83" s="136">
        <v>92244429</v>
      </c>
      <c r="N83" s="139"/>
      <c r="O83" s="5"/>
      <c r="P83" s="5"/>
    </row>
    <row r="84" spans="1:27" ht="21.75" customHeight="1" x14ac:dyDescent="0.25">
      <c r="A84" s="146">
        <v>82</v>
      </c>
      <c r="B84" s="298">
        <v>1448</v>
      </c>
      <c r="C84" s="296" t="s">
        <v>147</v>
      </c>
      <c r="D84" s="295">
        <v>373</v>
      </c>
      <c r="E84" s="149">
        <v>0.4</v>
      </c>
      <c r="F84" s="186">
        <f t="shared" si="3"/>
        <v>149.20000000000002</v>
      </c>
      <c r="G84" s="186"/>
      <c r="H84" s="186">
        <f t="shared" si="4"/>
        <v>149.20000000000002</v>
      </c>
      <c r="I84" s="138">
        <v>26433121</v>
      </c>
      <c r="J84" s="138" t="s">
        <v>148</v>
      </c>
      <c r="K84" s="138" t="s">
        <v>31</v>
      </c>
      <c r="L84" s="136" t="s">
        <v>32</v>
      </c>
      <c r="M84" s="138">
        <v>93229244</v>
      </c>
      <c r="N84" s="321"/>
      <c r="O84" s="5"/>
      <c r="P84" s="5"/>
    </row>
    <row r="85" spans="1:27" ht="21.75" customHeight="1" x14ac:dyDescent="0.25">
      <c r="A85" s="141">
        <v>83</v>
      </c>
      <c r="B85" s="142">
        <v>1451</v>
      </c>
      <c r="C85" s="143" t="s">
        <v>329</v>
      </c>
      <c r="D85" s="185">
        <v>284.5</v>
      </c>
      <c r="E85" s="182">
        <v>0.4</v>
      </c>
      <c r="F85" s="182">
        <f t="shared" si="3"/>
        <v>113.80000000000001</v>
      </c>
      <c r="G85" s="182">
        <f>112.89</f>
        <v>112.89</v>
      </c>
      <c r="H85" s="182">
        <f t="shared" si="4"/>
        <v>0.9100000000000108</v>
      </c>
      <c r="I85" s="144">
        <v>20337612</v>
      </c>
      <c r="J85" s="159" t="s">
        <v>330</v>
      </c>
      <c r="K85" s="144" t="s">
        <v>31</v>
      </c>
      <c r="L85" s="144" t="s">
        <v>32</v>
      </c>
      <c r="M85" s="144">
        <v>98829667</v>
      </c>
      <c r="N85" s="299">
        <v>45684</v>
      </c>
      <c r="O85" s="5"/>
      <c r="P85" s="5"/>
    </row>
    <row r="86" spans="1:27" ht="21.75" customHeight="1" x14ac:dyDescent="0.25">
      <c r="A86" s="141">
        <v>84</v>
      </c>
      <c r="B86" s="142">
        <v>1453</v>
      </c>
      <c r="C86" s="143" t="s">
        <v>331</v>
      </c>
      <c r="D86" s="185">
        <v>285</v>
      </c>
      <c r="E86" s="182">
        <v>0.4</v>
      </c>
      <c r="F86" s="182">
        <f t="shared" si="3"/>
        <v>114</v>
      </c>
      <c r="G86" s="182">
        <f>112.01</f>
        <v>112.01</v>
      </c>
      <c r="H86" s="182">
        <f t="shared" si="4"/>
        <v>1.9899999999999949</v>
      </c>
      <c r="I86" s="144">
        <v>5460259</v>
      </c>
      <c r="J86" s="159" t="s">
        <v>332</v>
      </c>
      <c r="K86" s="144" t="s">
        <v>155</v>
      </c>
      <c r="L86" s="144" t="s">
        <v>156</v>
      </c>
      <c r="M86" s="144">
        <v>90199947</v>
      </c>
      <c r="N86" s="299">
        <v>45679</v>
      </c>
      <c r="O86" s="5"/>
      <c r="P86" s="5"/>
    </row>
    <row r="87" spans="1:27" ht="21.75" customHeight="1" x14ac:dyDescent="0.25">
      <c r="A87" s="141">
        <v>85</v>
      </c>
      <c r="B87" s="142">
        <v>1455</v>
      </c>
      <c r="C87" s="143" t="s">
        <v>333</v>
      </c>
      <c r="D87" s="185">
        <v>563</v>
      </c>
      <c r="E87" s="182">
        <v>0.4</v>
      </c>
      <c r="F87" s="182">
        <f t="shared" si="3"/>
        <v>225.20000000000002</v>
      </c>
      <c r="G87" s="182">
        <f>132.36+90.95</f>
        <v>223.31</v>
      </c>
      <c r="H87" s="182">
        <f t="shared" si="4"/>
        <v>1.8900000000000148</v>
      </c>
      <c r="I87" s="144">
        <v>9954383</v>
      </c>
      <c r="J87" s="159" t="s">
        <v>334</v>
      </c>
      <c r="K87" s="144" t="s">
        <v>31</v>
      </c>
      <c r="L87" s="144" t="s">
        <v>32</v>
      </c>
      <c r="M87" s="144">
        <v>93270751</v>
      </c>
      <c r="N87" s="299">
        <v>45677</v>
      </c>
      <c r="O87" s="98">
        <v>45684</v>
      </c>
      <c r="P87" s="5"/>
    </row>
    <row r="88" spans="1:27" ht="21.75" customHeight="1" x14ac:dyDescent="0.25">
      <c r="A88" s="141">
        <v>86</v>
      </c>
      <c r="B88" s="142">
        <v>1462</v>
      </c>
      <c r="C88" s="143" t="s">
        <v>48</v>
      </c>
      <c r="D88" s="185">
        <v>270</v>
      </c>
      <c r="E88" s="182">
        <v>0.4</v>
      </c>
      <c r="F88" s="182">
        <f t="shared" si="3"/>
        <v>108</v>
      </c>
      <c r="G88" s="182">
        <f>104.55</f>
        <v>104.55</v>
      </c>
      <c r="H88" s="182">
        <f t="shared" si="4"/>
        <v>3.4500000000000028</v>
      </c>
      <c r="I88" s="144">
        <v>9664038</v>
      </c>
      <c r="J88" s="144" t="s">
        <v>49</v>
      </c>
      <c r="K88" s="144" t="s">
        <v>31</v>
      </c>
      <c r="L88" s="144" t="s">
        <v>32</v>
      </c>
      <c r="M88" s="144">
        <v>92989674</v>
      </c>
      <c r="N88" s="299">
        <v>45686</v>
      </c>
      <c r="O88" s="5"/>
      <c r="P88" s="5"/>
    </row>
    <row r="89" spans="1:27" ht="21.75" customHeight="1" x14ac:dyDescent="0.25">
      <c r="A89" s="141">
        <v>87</v>
      </c>
      <c r="B89" s="142">
        <v>1463</v>
      </c>
      <c r="C89" s="143" t="s">
        <v>50</v>
      </c>
      <c r="D89" s="185">
        <v>456</v>
      </c>
      <c r="E89" s="182">
        <v>0.4</v>
      </c>
      <c r="F89" s="182">
        <f t="shared" si="3"/>
        <v>182.4</v>
      </c>
      <c r="G89" s="182">
        <f>178.4</f>
        <v>178.4</v>
      </c>
      <c r="H89" s="182">
        <f t="shared" si="4"/>
        <v>4</v>
      </c>
      <c r="I89" s="144">
        <v>3798072</v>
      </c>
      <c r="J89" s="159" t="s">
        <v>51</v>
      </c>
      <c r="K89" s="144" t="s">
        <v>52</v>
      </c>
      <c r="L89" s="144" t="s">
        <v>53</v>
      </c>
      <c r="M89" s="144">
        <v>99480608</v>
      </c>
      <c r="N89" s="299">
        <v>45691</v>
      </c>
      <c r="O89" s="5"/>
      <c r="P89" s="5"/>
    </row>
    <row r="90" spans="1:27" ht="21.75" customHeight="1" x14ac:dyDescent="0.25">
      <c r="A90" s="146">
        <v>88</v>
      </c>
      <c r="B90" s="235">
        <v>1464</v>
      </c>
      <c r="C90" s="296" t="s">
        <v>335</v>
      </c>
      <c r="D90" s="295">
        <v>532</v>
      </c>
      <c r="E90" s="149">
        <v>0.4</v>
      </c>
      <c r="F90" s="186">
        <f t="shared" si="3"/>
        <v>212.8</v>
      </c>
      <c r="G90" s="186"/>
      <c r="H90" s="186">
        <f t="shared" si="4"/>
        <v>212.8</v>
      </c>
      <c r="I90" s="136">
        <v>6352996</v>
      </c>
      <c r="J90" s="311" t="s">
        <v>336</v>
      </c>
      <c r="K90" s="136" t="s">
        <v>52</v>
      </c>
      <c r="L90" s="136" t="s">
        <v>53</v>
      </c>
      <c r="M90" s="136">
        <v>92463267</v>
      </c>
      <c r="N90" s="139"/>
      <c r="O90" s="5"/>
      <c r="P90" s="5"/>
    </row>
    <row r="91" spans="1:27" ht="21.75" customHeight="1" x14ac:dyDescent="0.25">
      <c r="A91" s="146">
        <v>89</v>
      </c>
      <c r="B91" s="235">
        <v>1467</v>
      </c>
      <c r="C91" s="136" t="s">
        <v>337</v>
      </c>
      <c r="D91" s="295">
        <v>414.3</v>
      </c>
      <c r="E91" s="149">
        <v>0.4</v>
      </c>
      <c r="F91" s="186">
        <f t="shared" si="3"/>
        <v>165.72000000000003</v>
      </c>
      <c r="G91" s="186"/>
      <c r="H91" s="186">
        <f t="shared" si="4"/>
        <v>165.72000000000003</v>
      </c>
      <c r="I91" s="136">
        <v>4279933</v>
      </c>
      <c r="J91" s="311" t="s">
        <v>338</v>
      </c>
      <c r="K91" s="136" t="s">
        <v>52</v>
      </c>
      <c r="L91" s="136" t="s">
        <v>53</v>
      </c>
      <c r="M91" s="136">
        <v>98510166</v>
      </c>
      <c r="N91" s="139"/>
      <c r="O91" s="5"/>
      <c r="P91" s="5"/>
    </row>
    <row r="92" spans="1:27" s="54" customFormat="1" ht="21.75" customHeight="1" x14ac:dyDescent="0.25">
      <c r="A92" s="141">
        <v>90</v>
      </c>
      <c r="B92" s="142">
        <v>1468</v>
      </c>
      <c r="C92" s="278" t="s">
        <v>149</v>
      </c>
      <c r="D92" s="185">
        <v>566.4</v>
      </c>
      <c r="E92" s="182">
        <v>0.4</v>
      </c>
      <c r="F92" s="182">
        <f t="shared" si="3"/>
        <v>226.56</v>
      </c>
      <c r="G92" s="182">
        <f>223.58</f>
        <v>223.58</v>
      </c>
      <c r="H92" s="182">
        <f t="shared" si="4"/>
        <v>2.9799999999999898</v>
      </c>
      <c r="I92" s="144">
        <v>6996485</v>
      </c>
      <c r="J92" s="159" t="s">
        <v>150</v>
      </c>
      <c r="K92" s="144" t="s">
        <v>31</v>
      </c>
      <c r="L92" s="144" t="s">
        <v>32</v>
      </c>
      <c r="M92" s="144">
        <v>92947741</v>
      </c>
      <c r="N92" s="318">
        <v>45810</v>
      </c>
    </row>
    <row r="93" spans="1:27" s="106" customFormat="1" ht="21.75" customHeight="1" x14ac:dyDescent="0.25">
      <c r="A93" s="146">
        <v>91</v>
      </c>
      <c r="B93" s="235">
        <v>1472</v>
      </c>
      <c r="C93" s="296" t="s">
        <v>554</v>
      </c>
      <c r="D93" s="295">
        <v>467.6</v>
      </c>
      <c r="E93" s="149">
        <v>0.4</v>
      </c>
      <c r="F93" s="186">
        <f t="shared" si="3"/>
        <v>187.04000000000002</v>
      </c>
      <c r="G93" s="186"/>
      <c r="H93" s="186">
        <f t="shared" si="4"/>
        <v>187.04000000000002</v>
      </c>
      <c r="I93" s="136">
        <v>12987814</v>
      </c>
      <c r="J93" s="311" t="s">
        <v>578</v>
      </c>
      <c r="K93" s="136" t="s">
        <v>26</v>
      </c>
      <c r="L93" s="136" t="s">
        <v>27</v>
      </c>
      <c r="M93" s="136">
        <v>99365173</v>
      </c>
      <c r="N93" s="320"/>
      <c r="P93" s="5"/>
      <c r="S93" s="5"/>
      <c r="U93" s="5"/>
      <c r="W93" s="5"/>
      <c r="Y93" s="5"/>
      <c r="AA93" s="5"/>
    </row>
    <row r="94" spans="1:27" ht="21.75" customHeight="1" x14ac:dyDescent="0.25">
      <c r="A94" s="146">
        <v>92</v>
      </c>
      <c r="B94" s="235">
        <v>1473</v>
      </c>
      <c r="C94" s="296" t="s">
        <v>341</v>
      </c>
      <c r="D94" s="295">
        <v>407.1</v>
      </c>
      <c r="E94" s="149">
        <v>0.4</v>
      </c>
      <c r="F94" s="186">
        <f t="shared" si="3"/>
        <v>162.84000000000003</v>
      </c>
      <c r="G94" s="186"/>
      <c r="H94" s="186">
        <f t="shared" si="4"/>
        <v>162.84000000000003</v>
      </c>
      <c r="I94" s="136">
        <v>18722784</v>
      </c>
      <c r="J94" s="136" t="s">
        <v>342</v>
      </c>
      <c r="K94" s="136" t="s">
        <v>52</v>
      </c>
      <c r="L94" s="136" t="s">
        <v>53</v>
      </c>
      <c r="M94" s="136">
        <v>98900644</v>
      </c>
      <c r="N94" s="140"/>
      <c r="O94" s="5"/>
      <c r="P94" s="5"/>
    </row>
    <row r="95" spans="1:27" ht="21.75" customHeight="1" x14ac:dyDescent="0.25">
      <c r="A95" s="146">
        <v>93</v>
      </c>
      <c r="B95" s="235">
        <v>1475</v>
      </c>
      <c r="C95" s="297" t="s">
        <v>151</v>
      </c>
      <c r="D95" s="295">
        <v>285.8</v>
      </c>
      <c r="E95" s="149">
        <v>0.4</v>
      </c>
      <c r="F95" s="186">
        <f t="shared" si="3"/>
        <v>114.32000000000001</v>
      </c>
      <c r="G95" s="186"/>
      <c r="H95" s="186">
        <f t="shared" si="4"/>
        <v>114.32000000000001</v>
      </c>
      <c r="I95" s="136">
        <v>4584011</v>
      </c>
      <c r="J95" s="311" t="s">
        <v>152</v>
      </c>
      <c r="K95" s="136" t="s">
        <v>31</v>
      </c>
      <c r="L95" s="136" t="s">
        <v>32</v>
      </c>
      <c r="M95" s="136">
        <v>98822862</v>
      </c>
      <c r="N95" s="140"/>
      <c r="O95" s="5"/>
      <c r="P95" s="5"/>
    </row>
    <row r="96" spans="1:27" ht="21.75" customHeight="1" x14ac:dyDescent="0.25">
      <c r="A96" s="141">
        <v>94</v>
      </c>
      <c r="B96" s="142">
        <v>1476</v>
      </c>
      <c r="C96" s="144" t="s">
        <v>343</v>
      </c>
      <c r="D96" s="185">
        <v>271.39999999999998</v>
      </c>
      <c r="E96" s="182">
        <v>0.4</v>
      </c>
      <c r="F96" s="182">
        <f t="shared" si="3"/>
        <v>108.56</v>
      </c>
      <c r="G96" s="182">
        <f>106.22</f>
        <v>106.22</v>
      </c>
      <c r="H96" s="182">
        <f t="shared" si="4"/>
        <v>2.3400000000000034</v>
      </c>
      <c r="I96" s="144">
        <v>5486858</v>
      </c>
      <c r="J96" s="159" t="s">
        <v>344</v>
      </c>
      <c r="K96" s="144" t="s">
        <v>26</v>
      </c>
      <c r="L96" s="144" t="s">
        <v>27</v>
      </c>
      <c r="M96" s="144">
        <v>99019634</v>
      </c>
      <c r="N96" s="318">
        <v>45684</v>
      </c>
      <c r="O96" s="5"/>
      <c r="P96" s="5"/>
    </row>
    <row r="97" spans="1:27" ht="21.75" customHeight="1" x14ac:dyDescent="0.25">
      <c r="A97" s="146">
        <v>95</v>
      </c>
      <c r="B97" s="235">
        <v>1477</v>
      </c>
      <c r="C97" s="296" t="s">
        <v>345</v>
      </c>
      <c r="D97" s="295">
        <v>281.89999999999998</v>
      </c>
      <c r="E97" s="149">
        <v>0.4</v>
      </c>
      <c r="F97" s="186">
        <f t="shared" si="3"/>
        <v>112.75999999999999</v>
      </c>
      <c r="G97" s="186"/>
      <c r="H97" s="186">
        <f t="shared" si="4"/>
        <v>112.75999999999999</v>
      </c>
      <c r="I97" s="136">
        <v>18656494</v>
      </c>
      <c r="J97" s="136" t="s">
        <v>346</v>
      </c>
      <c r="K97" s="136" t="s">
        <v>31</v>
      </c>
      <c r="L97" s="136" t="s">
        <v>32</v>
      </c>
      <c r="M97" s="136">
        <v>92610234</v>
      </c>
      <c r="N97" s="140"/>
      <c r="O97" s="5"/>
      <c r="P97" s="5"/>
    </row>
    <row r="98" spans="1:27" ht="21.75" customHeight="1" x14ac:dyDescent="0.25">
      <c r="A98" s="146">
        <v>96</v>
      </c>
      <c r="B98" s="235">
        <v>1480</v>
      </c>
      <c r="C98" s="296" t="s">
        <v>347</v>
      </c>
      <c r="D98" s="295">
        <v>282.60000000000002</v>
      </c>
      <c r="E98" s="149">
        <v>0.4</v>
      </c>
      <c r="F98" s="186">
        <f t="shared" si="3"/>
        <v>113.04000000000002</v>
      </c>
      <c r="G98" s="186"/>
      <c r="H98" s="186">
        <f t="shared" si="4"/>
        <v>113.04000000000002</v>
      </c>
      <c r="I98" s="136">
        <v>19820777</v>
      </c>
      <c r="J98" s="136" t="s">
        <v>348</v>
      </c>
      <c r="K98" s="136" t="s">
        <v>31</v>
      </c>
      <c r="L98" s="136" t="s">
        <v>32</v>
      </c>
      <c r="M98" s="136">
        <v>92525031</v>
      </c>
      <c r="N98" s="140"/>
      <c r="O98" s="5"/>
      <c r="P98" s="5"/>
    </row>
    <row r="99" spans="1:27" s="17" customFormat="1" ht="21.75" customHeight="1" x14ac:dyDescent="0.25">
      <c r="A99" s="146">
        <v>97</v>
      </c>
      <c r="B99" s="235">
        <v>1482</v>
      </c>
      <c r="C99" s="296" t="s">
        <v>349</v>
      </c>
      <c r="D99" s="295">
        <v>503</v>
      </c>
      <c r="E99" s="149">
        <v>0.4</v>
      </c>
      <c r="F99" s="186">
        <f t="shared" ref="F99:F120" si="5">D99*E99</f>
        <v>201.20000000000002</v>
      </c>
      <c r="G99" s="186"/>
      <c r="H99" s="186">
        <f t="shared" si="4"/>
        <v>201.20000000000002</v>
      </c>
      <c r="I99" s="136">
        <v>4024306</v>
      </c>
      <c r="J99" s="311" t="s">
        <v>350</v>
      </c>
      <c r="K99" s="136" t="s">
        <v>52</v>
      </c>
      <c r="L99" s="136" t="s">
        <v>53</v>
      </c>
      <c r="M99" s="136">
        <v>94453330</v>
      </c>
      <c r="N99" s="140"/>
      <c r="P99" s="5"/>
      <c r="S99" s="5"/>
      <c r="U99" s="5"/>
      <c r="W99" s="5"/>
      <c r="Y99" s="5"/>
      <c r="AA99" s="5"/>
    </row>
    <row r="100" spans="1:27" s="17" customFormat="1" ht="26.25" customHeight="1" x14ac:dyDescent="0.25">
      <c r="A100" s="141">
        <v>98</v>
      </c>
      <c r="B100" s="142">
        <v>1485</v>
      </c>
      <c r="C100" s="143" t="s">
        <v>352</v>
      </c>
      <c r="D100" s="185">
        <v>323</v>
      </c>
      <c r="E100" s="182">
        <v>0.4</v>
      </c>
      <c r="F100" s="182">
        <f t="shared" si="5"/>
        <v>129.20000000000002</v>
      </c>
      <c r="G100" s="182">
        <f>128.05</f>
        <v>128.05000000000001</v>
      </c>
      <c r="H100" s="182">
        <f t="shared" si="4"/>
        <v>1.1500000000000057</v>
      </c>
      <c r="I100" s="144">
        <v>18585573</v>
      </c>
      <c r="J100" s="159" t="s">
        <v>353</v>
      </c>
      <c r="K100" s="144" t="s">
        <v>31</v>
      </c>
      <c r="L100" s="144" t="s">
        <v>32</v>
      </c>
      <c r="M100" s="144">
        <v>92695802</v>
      </c>
      <c r="N100" s="299">
        <v>45679</v>
      </c>
      <c r="P100" s="5"/>
      <c r="S100" s="5"/>
      <c r="U100" s="5"/>
      <c r="W100" s="5"/>
      <c r="Y100" s="5"/>
      <c r="AA100" s="5"/>
    </row>
    <row r="101" spans="1:27" s="17" customFormat="1" ht="26.25" customHeight="1" x14ac:dyDescent="0.25">
      <c r="A101" s="146">
        <v>99</v>
      </c>
      <c r="B101" s="235">
        <v>1487</v>
      </c>
      <c r="C101" s="140" t="s">
        <v>354</v>
      </c>
      <c r="D101" s="295">
        <v>173</v>
      </c>
      <c r="E101" s="149">
        <v>0.4</v>
      </c>
      <c r="F101" s="186">
        <f t="shared" si="5"/>
        <v>69.2</v>
      </c>
      <c r="G101" s="186"/>
      <c r="H101" s="186">
        <f t="shared" si="4"/>
        <v>69.2</v>
      </c>
      <c r="I101" s="139">
        <v>19315674</v>
      </c>
      <c r="J101" s="314" t="s">
        <v>355</v>
      </c>
      <c r="K101" s="136" t="s">
        <v>31</v>
      </c>
      <c r="L101" s="136" t="s">
        <v>32</v>
      </c>
      <c r="M101" s="136">
        <v>93972300</v>
      </c>
      <c r="N101" s="139"/>
      <c r="P101" s="5"/>
      <c r="S101" s="5"/>
      <c r="U101" s="5"/>
      <c r="W101" s="5"/>
      <c r="Y101" s="5"/>
      <c r="AA101" s="5"/>
    </row>
    <row r="102" spans="1:27" s="17" customFormat="1" ht="21.75" customHeight="1" x14ac:dyDescent="0.25">
      <c r="A102" s="141">
        <v>100</v>
      </c>
      <c r="B102" s="142">
        <v>1700</v>
      </c>
      <c r="C102" s="143" t="s">
        <v>356</v>
      </c>
      <c r="D102" s="185">
        <v>551</v>
      </c>
      <c r="E102" s="182">
        <v>0.4</v>
      </c>
      <c r="F102" s="182">
        <f t="shared" si="5"/>
        <v>220.4</v>
      </c>
      <c r="G102" s="182">
        <f>F102</f>
        <v>220.4</v>
      </c>
      <c r="H102" s="182">
        <f t="shared" si="4"/>
        <v>0</v>
      </c>
      <c r="I102" s="144">
        <v>6332437</v>
      </c>
      <c r="J102" s="159" t="s">
        <v>357</v>
      </c>
      <c r="K102" s="144" t="s">
        <v>31</v>
      </c>
      <c r="L102" s="144" t="s">
        <v>32</v>
      </c>
      <c r="M102" s="144">
        <v>99284449</v>
      </c>
      <c r="N102" s="318">
        <v>45684</v>
      </c>
      <c r="O102" s="17" t="s">
        <v>579</v>
      </c>
      <c r="P102" s="5"/>
      <c r="S102" s="5"/>
      <c r="U102" s="5"/>
      <c r="W102" s="5"/>
      <c r="Y102" s="5"/>
      <c r="AA102" s="5"/>
    </row>
    <row r="103" spans="1:27" s="17" customFormat="1" ht="21.75" customHeight="1" x14ac:dyDescent="0.25">
      <c r="A103" s="146">
        <v>101</v>
      </c>
      <c r="B103" s="235">
        <v>1702</v>
      </c>
      <c r="C103" s="296" t="s">
        <v>359</v>
      </c>
      <c r="D103" s="295">
        <v>409.7</v>
      </c>
      <c r="E103" s="149">
        <v>0.4</v>
      </c>
      <c r="F103" s="186">
        <f t="shared" si="5"/>
        <v>163.88</v>
      </c>
      <c r="G103" s="186"/>
      <c r="H103" s="186">
        <f t="shared" si="4"/>
        <v>163.88</v>
      </c>
      <c r="I103" s="136">
        <v>1572875</v>
      </c>
      <c r="J103" s="313" t="s">
        <v>360</v>
      </c>
      <c r="K103" s="136" t="s">
        <v>52</v>
      </c>
      <c r="L103" s="136" t="s">
        <v>53</v>
      </c>
      <c r="M103" s="136">
        <v>99899341</v>
      </c>
      <c r="N103" s="140"/>
      <c r="P103" s="5"/>
      <c r="S103" s="5"/>
      <c r="U103" s="5"/>
      <c r="W103" s="5"/>
      <c r="Y103" s="5"/>
      <c r="AA103" s="5"/>
    </row>
    <row r="104" spans="1:27" s="17" customFormat="1" ht="21.75" customHeight="1" x14ac:dyDescent="0.25">
      <c r="A104" s="146">
        <v>102</v>
      </c>
      <c r="B104" s="235">
        <v>1704</v>
      </c>
      <c r="C104" s="296" t="s">
        <v>361</v>
      </c>
      <c r="D104" s="295">
        <v>390</v>
      </c>
      <c r="E104" s="149">
        <v>0.4</v>
      </c>
      <c r="F104" s="186">
        <f t="shared" si="5"/>
        <v>156</v>
      </c>
      <c r="G104" s="186"/>
      <c r="H104" s="186">
        <f t="shared" si="4"/>
        <v>156</v>
      </c>
      <c r="I104" s="136">
        <v>19235157</v>
      </c>
      <c r="J104" s="311" t="s">
        <v>362</v>
      </c>
      <c r="K104" s="136" t="s">
        <v>31</v>
      </c>
      <c r="L104" s="136" t="s">
        <v>32</v>
      </c>
      <c r="M104" s="136"/>
      <c r="N104" s="140"/>
      <c r="P104" s="5"/>
      <c r="S104" s="5"/>
      <c r="U104" s="5"/>
      <c r="W104" s="5"/>
      <c r="Y104" s="5"/>
      <c r="AA104" s="5"/>
    </row>
    <row r="105" spans="1:27" s="17" customFormat="1" ht="21.75" customHeight="1" x14ac:dyDescent="0.25">
      <c r="A105" s="141">
        <v>103</v>
      </c>
      <c r="B105" s="142">
        <v>1706</v>
      </c>
      <c r="C105" s="143" t="s">
        <v>153</v>
      </c>
      <c r="D105" s="185">
        <v>261.7</v>
      </c>
      <c r="E105" s="182">
        <v>0.4</v>
      </c>
      <c r="F105" s="182">
        <f t="shared" si="5"/>
        <v>104.68</v>
      </c>
      <c r="G105" s="182">
        <f>103.78</f>
        <v>103.78</v>
      </c>
      <c r="H105" s="182">
        <f t="shared" si="4"/>
        <v>0.90000000000000568</v>
      </c>
      <c r="I105" s="144">
        <v>2520947</v>
      </c>
      <c r="J105" s="201" t="s">
        <v>154</v>
      </c>
      <c r="K105" s="144" t="s">
        <v>155</v>
      </c>
      <c r="L105" s="201" t="s">
        <v>156</v>
      </c>
      <c r="M105" s="144">
        <v>92246641</v>
      </c>
      <c r="N105" s="318">
        <v>45686</v>
      </c>
      <c r="P105" s="5"/>
      <c r="S105" s="5"/>
      <c r="U105" s="5"/>
      <c r="W105" s="5"/>
      <c r="Y105" s="5"/>
      <c r="AA105" s="5"/>
    </row>
    <row r="106" spans="1:27" s="17" customFormat="1" ht="21.75" customHeight="1" x14ac:dyDescent="0.25">
      <c r="A106" s="141">
        <v>104</v>
      </c>
      <c r="B106" s="142">
        <v>1708</v>
      </c>
      <c r="C106" s="143" t="s">
        <v>363</v>
      </c>
      <c r="D106" s="185">
        <v>857</v>
      </c>
      <c r="E106" s="182">
        <v>0.4</v>
      </c>
      <c r="F106" s="182">
        <f t="shared" si="5"/>
        <v>342.8</v>
      </c>
      <c r="G106" s="182">
        <f>342.58</f>
        <v>342.58</v>
      </c>
      <c r="H106" s="182">
        <f t="shared" si="4"/>
        <v>0.22000000000002728</v>
      </c>
      <c r="I106" s="144">
        <v>1331691</v>
      </c>
      <c r="J106" s="159" t="s">
        <v>364</v>
      </c>
      <c r="K106" s="144" t="s">
        <v>31</v>
      </c>
      <c r="L106" s="144" t="s">
        <v>32</v>
      </c>
      <c r="M106" s="144"/>
      <c r="N106" s="318">
        <v>45684</v>
      </c>
      <c r="P106" s="5"/>
      <c r="S106" s="5"/>
      <c r="U106" s="5"/>
      <c r="W106" s="5"/>
      <c r="Y106" s="5"/>
      <c r="AA106" s="5"/>
    </row>
    <row r="107" spans="1:27" s="17" customFormat="1" ht="21.75" customHeight="1" x14ac:dyDescent="0.25">
      <c r="A107" s="146">
        <v>105</v>
      </c>
      <c r="B107" s="235">
        <v>1709</v>
      </c>
      <c r="C107" s="296" t="s">
        <v>365</v>
      </c>
      <c r="D107" s="295">
        <v>284</v>
      </c>
      <c r="E107" s="149">
        <v>0.4</v>
      </c>
      <c r="F107" s="186">
        <f t="shared" si="5"/>
        <v>113.60000000000001</v>
      </c>
      <c r="G107" s="186"/>
      <c r="H107" s="186">
        <f t="shared" si="4"/>
        <v>113.60000000000001</v>
      </c>
      <c r="I107" s="136">
        <v>2406629</v>
      </c>
      <c r="J107" s="311" t="s">
        <v>580</v>
      </c>
      <c r="K107" s="136" t="s">
        <v>121</v>
      </c>
      <c r="L107" s="136" t="s">
        <v>122</v>
      </c>
      <c r="M107" s="136">
        <v>92771786</v>
      </c>
      <c r="N107" s="140"/>
      <c r="P107" s="5"/>
      <c r="S107" s="5"/>
      <c r="U107" s="5"/>
      <c r="W107" s="5"/>
      <c r="Y107" s="5"/>
      <c r="AA107" s="5"/>
    </row>
    <row r="108" spans="1:27" s="17" customFormat="1" ht="21.75" customHeight="1" x14ac:dyDescent="0.25">
      <c r="A108" s="146">
        <v>106</v>
      </c>
      <c r="B108" s="235">
        <v>1711</v>
      </c>
      <c r="C108" s="296" t="s">
        <v>55</v>
      </c>
      <c r="D108" s="295">
        <v>443.6</v>
      </c>
      <c r="E108" s="149">
        <v>0.4</v>
      </c>
      <c r="F108" s="186">
        <f t="shared" si="5"/>
        <v>177.44000000000003</v>
      </c>
      <c r="G108" s="186"/>
      <c r="H108" s="186">
        <f t="shared" si="4"/>
        <v>177.44000000000003</v>
      </c>
      <c r="I108" s="136">
        <v>638353</v>
      </c>
      <c r="J108" s="313" t="s">
        <v>56</v>
      </c>
      <c r="K108" s="136" t="s">
        <v>31</v>
      </c>
      <c r="L108" s="136" t="s">
        <v>32</v>
      </c>
      <c r="M108" s="136">
        <v>99292727</v>
      </c>
      <c r="N108" s="140"/>
      <c r="P108" s="5"/>
      <c r="S108" s="5"/>
      <c r="U108" s="5"/>
      <c r="W108" s="5"/>
      <c r="Y108" s="5"/>
      <c r="AA108" s="5"/>
    </row>
    <row r="109" spans="1:27" s="17" customFormat="1" ht="21.75" customHeight="1" x14ac:dyDescent="0.25">
      <c r="A109" s="146">
        <v>107</v>
      </c>
      <c r="B109" s="235">
        <v>1712</v>
      </c>
      <c r="C109" s="296" t="s">
        <v>57</v>
      </c>
      <c r="D109" s="295">
        <v>283.8</v>
      </c>
      <c r="E109" s="149">
        <v>0.4</v>
      </c>
      <c r="F109" s="186">
        <f t="shared" si="5"/>
        <v>113.52000000000001</v>
      </c>
      <c r="G109" s="186"/>
      <c r="H109" s="186">
        <f t="shared" si="4"/>
        <v>113.52000000000001</v>
      </c>
      <c r="I109" s="136">
        <v>788958</v>
      </c>
      <c r="J109" s="313" t="s">
        <v>58</v>
      </c>
      <c r="K109" s="136" t="s">
        <v>31</v>
      </c>
      <c r="L109" s="136" t="s">
        <v>32</v>
      </c>
      <c r="M109" s="136"/>
      <c r="N109" s="140"/>
      <c r="P109" s="5"/>
      <c r="S109" s="5"/>
      <c r="U109" s="5"/>
      <c r="W109" s="5"/>
      <c r="Y109" s="5"/>
      <c r="AA109" s="5"/>
    </row>
    <row r="110" spans="1:27" s="17" customFormat="1" ht="21.75" customHeight="1" x14ac:dyDescent="0.25">
      <c r="A110" s="141">
        <v>108</v>
      </c>
      <c r="B110" s="142">
        <v>1713</v>
      </c>
      <c r="C110" s="143" t="s">
        <v>157</v>
      </c>
      <c r="D110" s="185">
        <v>304</v>
      </c>
      <c r="E110" s="182">
        <v>0.4</v>
      </c>
      <c r="F110" s="182">
        <f t="shared" si="5"/>
        <v>121.60000000000001</v>
      </c>
      <c r="G110" s="182">
        <f>120.4</f>
        <v>120.4</v>
      </c>
      <c r="H110" s="182">
        <f t="shared" si="4"/>
        <v>1.2000000000000028</v>
      </c>
      <c r="I110" s="144">
        <v>19890467</v>
      </c>
      <c r="J110" s="197" t="s">
        <v>158</v>
      </c>
      <c r="K110" s="144" t="s">
        <v>52</v>
      </c>
      <c r="L110" s="144" t="s">
        <v>53</v>
      </c>
      <c r="M110" s="144"/>
      <c r="N110" s="318">
        <v>45679</v>
      </c>
      <c r="P110" s="5"/>
      <c r="S110" s="5"/>
      <c r="U110" s="5"/>
      <c r="W110" s="5"/>
      <c r="Y110" s="5"/>
      <c r="AA110" s="5"/>
    </row>
    <row r="111" spans="1:27" s="17" customFormat="1" ht="21.75" customHeight="1" x14ac:dyDescent="0.25">
      <c r="A111" s="141">
        <v>109</v>
      </c>
      <c r="B111" s="142">
        <v>1714</v>
      </c>
      <c r="C111" s="143" t="s">
        <v>59</v>
      </c>
      <c r="D111" s="185">
        <v>284.60000000000002</v>
      </c>
      <c r="E111" s="182">
        <v>0.4</v>
      </c>
      <c r="F111" s="182">
        <f t="shared" si="5"/>
        <v>113.84000000000002</v>
      </c>
      <c r="G111" s="182">
        <f>112.43</f>
        <v>112.43</v>
      </c>
      <c r="H111" s="182">
        <f t="shared" si="4"/>
        <v>1.4100000000000108</v>
      </c>
      <c r="I111" s="144">
        <v>6285703</v>
      </c>
      <c r="J111" s="197" t="s">
        <v>60</v>
      </c>
      <c r="K111" s="144" t="s">
        <v>31</v>
      </c>
      <c r="L111" s="144" t="s">
        <v>32</v>
      </c>
      <c r="M111" s="144"/>
      <c r="N111" s="318">
        <v>45677</v>
      </c>
      <c r="P111" s="5"/>
      <c r="S111" s="5"/>
      <c r="U111" s="5"/>
      <c r="W111" s="5"/>
      <c r="Y111" s="5"/>
      <c r="AA111" s="5"/>
    </row>
    <row r="112" spans="1:27" s="17" customFormat="1" ht="21.75" customHeight="1" x14ac:dyDescent="0.25">
      <c r="A112" s="141">
        <v>110</v>
      </c>
      <c r="B112" s="142">
        <v>1715</v>
      </c>
      <c r="C112" s="143" t="s">
        <v>62</v>
      </c>
      <c r="D112" s="185">
        <v>195.2</v>
      </c>
      <c r="E112" s="182">
        <v>0.4</v>
      </c>
      <c r="F112" s="182">
        <f t="shared" si="5"/>
        <v>78.08</v>
      </c>
      <c r="G112" s="182">
        <f>0.31+77</f>
        <v>77.31</v>
      </c>
      <c r="H112" s="182">
        <f t="shared" si="4"/>
        <v>0.76999999999999602</v>
      </c>
      <c r="I112" s="144">
        <v>6511663</v>
      </c>
      <c r="J112" s="197" t="s">
        <v>63</v>
      </c>
      <c r="K112" s="144" t="s">
        <v>31</v>
      </c>
      <c r="L112" s="144" t="s">
        <v>32</v>
      </c>
      <c r="M112" s="144"/>
      <c r="N112" s="318">
        <v>45691</v>
      </c>
      <c r="P112" s="5"/>
      <c r="S112" s="5"/>
      <c r="U112" s="5"/>
      <c r="W112" s="5"/>
      <c r="Y112" s="5"/>
      <c r="AA112" s="5"/>
    </row>
    <row r="113" spans="1:27" s="54" customFormat="1" ht="21.75" customHeight="1" x14ac:dyDescent="0.25">
      <c r="A113" s="141">
        <v>111</v>
      </c>
      <c r="B113" s="142">
        <v>1716</v>
      </c>
      <c r="C113" s="143" t="s">
        <v>368</v>
      </c>
      <c r="D113" s="185">
        <v>607</v>
      </c>
      <c r="E113" s="182">
        <v>0.4</v>
      </c>
      <c r="F113" s="182">
        <f t="shared" si="5"/>
        <v>242.8</v>
      </c>
      <c r="G113" s="182">
        <f>240.07</f>
        <v>240.07</v>
      </c>
      <c r="H113" s="182">
        <f t="shared" si="4"/>
        <v>2.7300000000000182</v>
      </c>
      <c r="I113" s="144">
        <v>24147445</v>
      </c>
      <c r="J113" s="201" t="s">
        <v>369</v>
      </c>
      <c r="K113" s="144" t="s">
        <v>31</v>
      </c>
      <c r="L113" s="144" t="s">
        <v>32</v>
      </c>
      <c r="M113" s="144">
        <v>92772114</v>
      </c>
      <c r="N113" s="318">
        <v>45810</v>
      </c>
    </row>
    <row r="114" spans="1:27" s="17" customFormat="1" ht="21.75" customHeight="1" x14ac:dyDescent="0.25">
      <c r="A114" s="146">
        <v>112</v>
      </c>
      <c r="B114" s="235">
        <v>1717</v>
      </c>
      <c r="C114" s="296" t="s">
        <v>370</v>
      </c>
      <c r="D114" s="295">
        <v>304</v>
      </c>
      <c r="E114" s="149">
        <v>0.4</v>
      </c>
      <c r="F114" s="186">
        <f t="shared" si="5"/>
        <v>121.60000000000001</v>
      </c>
      <c r="G114" s="186"/>
      <c r="H114" s="186">
        <f t="shared" si="4"/>
        <v>121.60000000000001</v>
      </c>
      <c r="I114" s="136">
        <v>3248965</v>
      </c>
      <c r="J114" s="313" t="s">
        <v>371</v>
      </c>
      <c r="K114" s="136" t="s">
        <v>31</v>
      </c>
      <c r="L114" s="136" t="s">
        <v>32</v>
      </c>
      <c r="M114" s="136">
        <v>92476390</v>
      </c>
      <c r="N114" s="140"/>
      <c r="P114" s="5"/>
      <c r="S114" s="5"/>
      <c r="U114" s="5"/>
      <c r="W114" s="5"/>
      <c r="Y114" s="5"/>
      <c r="AA114" s="5"/>
    </row>
    <row r="115" spans="1:27" s="17" customFormat="1" ht="21.75" customHeight="1" x14ac:dyDescent="0.25">
      <c r="A115" s="141">
        <v>113</v>
      </c>
      <c r="B115" s="142">
        <v>1718</v>
      </c>
      <c r="C115" s="143" t="s">
        <v>159</v>
      </c>
      <c r="D115" s="185">
        <v>283.2</v>
      </c>
      <c r="E115" s="182">
        <v>0.4</v>
      </c>
      <c r="F115" s="182">
        <f t="shared" si="5"/>
        <v>113.28</v>
      </c>
      <c r="G115" s="182">
        <f>112.77</f>
        <v>112.77</v>
      </c>
      <c r="H115" s="182">
        <f t="shared" si="4"/>
        <v>0.51000000000000512</v>
      </c>
      <c r="I115" s="144">
        <v>18656137</v>
      </c>
      <c r="J115" s="246" t="s">
        <v>160</v>
      </c>
      <c r="K115" s="144" t="s">
        <v>155</v>
      </c>
      <c r="L115" s="144" t="s">
        <v>156</v>
      </c>
      <c r="M115" s="144"/>
      <c r="N115" s="318">
        <v>45684</v>
      </c>
      <c r="P115" s="5"/>
      <c r="S115" s="5"/>
      <c r="U115" s="5"/>
      <c r="W115" s="5"/>
      <c r="Y115" s="5"/>
      <c r="AA115" s="5"/>
    </row>
    <row r="116" spans="1:27" s="17" customFormat="1" ht="21.75" customHeight="1" x14ac:dyDescent="0.25">
      <c r="A116" s="146">
        <v>114</v>
      </c>
      <c r="B116" s="235">
        <v>1720</v>
      </c>
      <c r="C116" s="296" t="s">
        <v>372</v>
      </c>
      <c r="D116" s="295">
        <v>285</v>
      </c>
      <c r="E116" s="149">
        <v>0.4</v>
      </c>
      <c r="F116" s="186">
        <f t="shared" si="5"/>
        <v>114</v>
      </c>
      <c r="G116" s="186"/>
      <c r="H116" s="186">
        <f t="shared" si="4"/>
        <v>114</v>
      </c>
      <c r="I116" s="136">
        <v>6812881</v>
      </c>
      <c r="J116" s="313" t="s">
        <v>373</v>
      </c>
      <c r="K116" s="136" t="s">
        <v>52</v>
      </c>
      <c r="L116" s="136" t="s">
        <v>53</v>
      </c>
      <c r="M116" s="136"/>
      <c r="N116" s="140"/>
      <c r="P116" s="5"/>
      <c r="S116" s="5"/>
      <c r="U116" s="5"/>
      <c r="W116" s="5"/>
      <c r="Y116" s="5"/>
      <c r="AA116" s="5"/>
    </row>
    <row r="117" spans="1:27" s="17" customFormat="1" ht="21.75" customHeight="1" x14ac:dyDescent="0.25">
      <c r="A117" s="141">
        <v>115</v>
      </c>
      <c r="B117" s="142">
        <v>1722</v>
      </c>
      <c r="C117" s="143" t="s">
        <v>374</v>
      </c>
      <c r="D117" s="185">
        <v>360</v>
      </c>
      <c r="E117" s="182">
        <v>0.4</v>
      </c>
      <c r="F117" s="182">
        <f t="shared" si="5"/>
        <v>144</v>
      </c>
      <c r="G117" s="182">
        <f>141.87</f>
        <v>141.87</v>
      </c>
      <c r="H117" s="182">
        <f t="shared" si="4"/>
        <v>2.1299999999999955</v>
      </c>
      <c r="I117" s="144">
        <v>12979647</v>
      </c>
      <c r="J117" s="197" t="s">
        <v>375</v>
      </c>
      <c r="K117" s="144" t="s">
        <v>376</v>
      </c>
      <c r="L117" s="144" t="s">
        <v>307</v>
      </c>
      <c r="M117" s="144">
        <v>98899002</v>
      </c>
      <c r="N117" s="318">
        <v>45686</v>
      </c>
      <c r="P117" s="5"/>
      <c r="S117" s="5"/>
      <c r="U117" s="5"/>
      <c r="W117" s="5"/>
      <c r="Y117" s="5"/>
      <c r="AA117" s="5"/>
    </row>
    <row r="118" spans="1:27" s="17" customFormat="1" ht="21.75" customHeight="1" x14ac:dyDescent="0.25">
      <c r="A118" s="146">
        <v>116</v>
      </c>
      <c r="B118" s="235">
        <v>1723</v>
      </c>
      <c r="C118" s="296" t="s">
        <v>65</v>
      </c>
      <c r="D118" s="295">
        <v>323</v>
      </c>
      <c r="E118" s="149">
        <v>0.4</v>
      </c>
      <c r="F118" s="186">
        <f t="shared" si="5"/>
        <v>129.20000000000002</v>
      </c>
      <c r="G118" s="186"/>
      <c r="H118" s="186">
        <f t="shared" si="4"/>
        <v>129.20000000000002</v>
      </c>
      <c r="I118" s="136">
        <v>6631224</v>
      </c>
      <c r="J118" s="311" t="s">
        <v>66</v>
      </c>
      <c r="K118" s="136" t="s">
        <v>31</v>
      </c>
      <c r="L118" s="136" t="s">
        <v>32</v>
      </c>
      <c r="M118" s="136">
        <v>92666839</v>
      </c>
      <c r="N118" s="140"/>
      <c r="P118" s="5"/>
      <c r="S118" s="5"/>
      <c r="U118" s="5"/>
      <c r="W118" s="5"/>
      <c r="Y118" s="5"/>
      <c r="AA118" s="5"/>
    </row>
    <row r="119" spans="1:27" s="17" customFormat="1" ht="21.75" customHeight="1" x14ac:dyDescent="0.25">
      <c r="A119" s="141">
        <v>117</v>
      </c>
      <c r="B119" s="142">
        <v>1724</v>
      </c>
      <c r="C119" s="143" t="s">
        <v>67</v>
      </c>
      <c r="D119" s="185">
        <v>285</v>
      </c>
      <c r="E119" s="182">
        <v>0.4</v>
      </c>
      <c r="F119" s="182">
        <f t="shared" si="5"/>
        <v>114</v>
      </c>
      <c r="G119" s="182">
        <f>113.85</f>
        <v>113.85</v>
      </c>
      <c r="H119" s="182">
        <f t="shared" si="4"/>
        <v>0.15000000000000568</v>
      </c>
      <c r="I119" s="144">
        <v>10795143</v>
      </c>
      <c r="J119" s="201" t="s">
        <v>68</v>
      </c>
      <c r="K119" s="144" t="s">
        <v>26</v>
      </c>
      <c r="L119" s="144" t="s">
        <v>27</v>
      </c>
      <c r="M119" s="144">
        <v>99494166</v>
      </c>
      <c r="N119" s="318">
        <v>45686</v>
      </c>
      <c r="P119" s="5"/>
      <c r="S119" s="5"/>
      <c r="U119" s="5"/>
      <c r="W119" s="5"/>
      <c r="Y119" s="5"/>
      <c r="AA119" s="5"/>
    </row>
    <row r="120" spans="1:27" s="17" customFormat="1" ht="21.75" customHeight="1" x14ac:dyDescent="0.25">
      <c r="A120" s="146">
        <v>118</v>
      </c>
      <c r="B120" s="235">
        <v>1725</v>
      </c>
      <c r="C120" s="296" t="s">
        <v>377</v>
      </c>
      <c r="D120" s="295">
        <v>582.9</v>
      </c>
      <c r="E120" s="149">
        <v>0.4</v>
      </c>
      <c r="F120" s="186">
        <f t="shared" si="5"/>
        <v>233.16</v>
      </c>
      <c r="G120" s="186"/>
      <c r="H120" s="186">
        <f t="shared" si="4"/>
        <v>233.16</v>
      </c>
      <c r="I120" s="136">
        <v>2223414</v>
      </c>
      <c r="J120" s="313" t="s">
        <v>378</v>
      </c>
      <c r="K120" s="136" t="s">
        <v>52</v>
      </c>
      <c r="L120" s="136" t="s">
        <v>53</v>
      </c>
      <c r="M120" s="136"/>
      <c r="N120" s="140"/>
      <c r="P120" s="5"/>
      <c r="S120" s="5"/>
      <c r="U120" s="5"/>
      <c r="W120" s="5"/>
      <c r="Y120" s="5"/>
      <c r="AA120" s="5"/>
    </row>
    <row r="121" spans="1:27" s="17" customFormat="1" ht="21.75" customHeight="1" x14ac:dyDescent="0.25">
      <c r="A121" s="141">
        <v>119</v>
      </c>
      <c r="B121" s="142">
        <v>1726</v>
      </c>
      <c r="C121" s="143" t="s">
        <v>379</v>
      </c>
      <c r="D121" s="329">
        <v>398.7</v>
      </c>
      <c r="E121" s="182">
        <v>0.4</v>
      </c>
      <c r="F121" s="182">
        <v>159.47999999999999</v>
      </c>
      <c r="G121" s="182">
        <f>155.94</f>
        <v>155.94</v>
      </c>
      <c r="H121" s="182">
        <f t="shared" si="4"/>
        <v>3.539999999999992</v>
      </c>
      <c r="I121" s="144">
        <v>5440535</v>
      </c>
      <c r="J121" s="197" t="s">
        <v>380</v>
      </c>
      <c r="K121" s="144" t="s">
        <v>31</v>
      </c>
      <c r="L121" s="144" t="s">
        <v>32</v>
      </c>
      <c r="M121" s="144">
        <v>92023947</v>
      </c>
      <c r="N121" s="318">
        <v>45691</v>
      </c>
      <c r="P121" s="5"/>
      <c r="S121" s="5"/>
      <c r="U121" s="5"/>
      <c r="W121" s="5"/>
      <c r="Y121" s="5"/>
      <c r="AA121" s="5"/>
    </row>
    <row r="122" spans="1:27" s="17" customFormat="1" ht="21.75" customHeight="1" x14ac:dyDescent="0.25">
      <c r="A122" s="146">
        <v>120</v>
      </c>
      <c r="B122" s="235">
        <v>1728</v>
      </c>
      <c r="C122" s="296" t="s">
        <v>13</v>
      </c>
      <c r="D122" s="295">
        <v>298.39999999999998</v>
      </c>
      <c r="E122" s="149">
        <v>0.4</v>
      </c>
      <c r="F122" s="186">
        <f t="shared" ref="F122:F153" si="6">D122*E122</f>
        <v>119.36</v>
      </c>
      <c r="G122" s="186"/>
      <c r="H122" s="186">
        <f t="shared" si="4"/>
        <v>119.36</v>
      </c>
      <c r="I122" s="136">
        <v>8977778</v>
      </c>
      <c r="J122" s="311" t="s">
        <v>381</v>
      </c>
      <c r="K122" s="136" t="s">
        <v>31</v>
      </c>
      <c r="L122" s="136" t="s">
        <v>32</v>
      </c>
      <c r="M122" s="136"/>
      <c r="N122" s="140"/>
      <c r="P122" s="5"/>
      <c r="S122" s="5"/>
      <c r="U122" s="5"/>
      <c r="W122" s="5"/>
      <c r="Y122" s="5"/>
      <c r="AA122" s="5"/>
    </row>
    <row r="123" spans="1:27" s="17" customFormat="1" ht="21.75" customHeight="1" x14ac:dyDescent="0.25">
      <c r="A123" s="141">
        <v>121</v>
      </c>
      <c r="B123" s="142">
        <v>1729</v>
      </c>
      <c r="C123" s="143" t="s">
        <v>382</v>
      </c>
      <c r="D123" s="185">
        <v>262.7</v>
      </c>
      <c r="E123" s="182">
        <v>0.4</v>
      </c>
      <c r="F123" s="182">
        <f t="shared" si="6"/>
        <v>105.08</v>
      </c>
      <c r="G123" s="182">
        <f>101.96</f>
        <v>101.96</v>
      </c>
      <c r="H123" s="182">
        <f t="shared" si="4"/>
        <v>3.1200000000000045</v>
      </c>
      <c r="I123" s="144">
        <v>22975081</v>
      </c>
      <c r="J123" s="159" t="s">
        <v>383</v>
      </c>
      <c r="K123" s="144" t="s">
        <v>31</v>
      </c>
      <c r="L123" s="144" t="s">
        <v>32</v>
      </c>
      <c r="M123" s="144"/>
      <c r="N123" s="318">
        <v>45684</v>
      </c>
      <c r="P123" s="5"/>
      <c r="S123" s="5"/>
      <c r="U123" s="5"/>
      <c r="W123" s="5"/>
      <c r="Y123" s="5"/>
      <c r="AA123" s="5"/>
    </row>
    <row r="124" spans="1:27" s="17" customFormat="1" ht="21.75" customHeight="1" x14ac:dyDescent="0.25">
      <c r="A124" s="141">
        <v>122</v>
      </c>
      <c r="B124" s="142">
        <v>1730</v>
      </c>
      <c r="C124" s="143" t="s">
        <v>162</v>
      </c>
      <c r="D124" s="185">
        <v>315.2</v>
      </c>
      <c r="E124" s="182">
        <v>0.4</v>
      </c>
      <c r="F124" s="182">
        <f t="shared" si="6"/>
        <v>126.08</v>
      </c>
      <c r="G124" s="182">
        <f>109.91</f>
        <v>109.91</v>
      </c>
      <c r="H124" s="182">
        <f t="shared" si="4"/>
        <v>16.170000000000002</v>
      </c>
      <c r="I124" s="144">
        <v>18458405</v>
      </c>
      <c r="J124" s="197" t="s">
        <v>163</v>
      </c>
      <c r="K124" s="144" t="s">
        <v>31</v>
      </c>
      <c r="L124" s="144" t="s">
        <v>32</v>
      </c>
      <c r="M124" s="144">
        <v>98566660</v>
      </c>
      <c r="N124" s="318">
        <v>45686</v>
      </c>
      <c r="P124" s="5"/>
      <c r="S124" s="5"/>
      <c r="U124" s="5"/>
      <c r="W124" s="5"/>
      <c r="Y124" s="5"/>
      <c r="AA124" s="5"/>
    </row>
    <row r="125" spans="1:27" s="17" customFormat="1" ht="21.75" customHeight="1" x14ac:dyDescent="0.25">
      <c r="A125" s="141">
        <v>123</v>
      </c>
      <c r="B125" s="142">
        <v>1731</v>
      </c>
      <c r="C125" s="143" t="s">
        <v>384</v>
      </c>
      <c r="D125" s="185">
        <v>251</v>
      </c>
      <c r="E125" s="182">
        <v>0.4</v>
      </c>
      <c r="F125" s="182">
        <f t="shared" si="6"/>
        <v>100.4</v>
      </c>
      <c r="G125" s="182">
        <f>98.4</f>
        <v>98.4</v>
      </c>
      <c r="H125" s="182">
        <f t="shared" si="4"/>
        <v>2</v>
      </c>
      <c r="I125" s="144">
        <v>604651</v>
      </c>
      <c r="J125" s="197" t="s">
        <v>385</v>
      </c>
      <c r="K125" s="144" t="s">
        <v>31</v>
      </c>
      <c r="L125" s="144" t="s">
        <v>32</v>
      </c>
      <c r="M125" s="144">
        <v>92587799</v>
      </c>
      <c r="N125" s="318">
        <v>45691</v>
      </c>
      <c r="P125" s="5"/>
      <c r="S125" s="5"/>
      <c r="U125" s="5"/>
      <c r="W125" s="5"/>
      <c r="Y125" s="5"/>
      <c r="AA125" s="5"/>
    </row>
    <row r="126" spans="1:27" s="17" customFormat="1" ht="21.75" customHeight="1" x14ac:dyDescent="0.25">
      <c r="A126" s="146">
        <v>124</v>
      </c>
      <c r="B126" s="235">
        <v>1733</v>
      </c>
      <c r="C126" s="296" t="s">
        <v>386</v>
      </c>
      <c r="D126" s="295">
        <v>296.2</v>
      </c>
      <c r="E126" s="149">
        <v>0.4</v>
      </c>
      <c r="F126" s="186">
        <f t="shared" si="6"/>
        <v>118.48</v>
      </c>
      <c r="G126" s="186"/>
      <c r="H126" s="186">
        <f t="shared" si="4"/>
        <v>118.48</v>
      </c>
      <c r="I126" s="136">
        <v>24598302</v>
      </c>
      <c r="J126" s="319" t="s">
        <v>387</v>
      </c>
      <c r="K126" s="136" t="s">
        <v>52</v>
      </c>
      <c r="L126" s="136" t="s">
        <v>53</v>
      </c>
      <c r="M126" s="136"/>
      <c r="N126" s="140"/>
      <c r="P126" s="5"/>
      <c r="S126" s="5"/>
      <c r="U126" s="5"/>
      <c r="W126" s="5"/>
      <c r="Y126" s="5"/>
      <c r="AA126" s="5"/>
    </row>
    <row r="127" spans="1:27" s="17" customFormat="1" ht="21.75" customHeight="1" x14ac:dyDescent="0.25">
      <c r="A127" s="146">
        <v>125</v>
      </c>
      <c r="B127" s="235">
        <v>1734</v>
      </c>
      <c r="C127" s="296" t="s">
        <v>388</v>
      </c>
      <c r="D127" s="295">
        <v>304</v>
      </c>
      <c r="E127" s="149">
        <v>0.4</v>
      </c>
      <c r="F127" s="186">
        <f t="shared" si="6"/>
        <v>121.60000000000001</v>
      </c>
      <c r="G127" s="186"/>
      <c r="H127" s="186">
        <f t="shared" si="4"/>
        <v>121.60000000000001</v>
      </c>
      <c r="I127" s="136">
        <v>1105552</v>
      </c>
      <c r="J127" s="311" t="s">
        <v>389</v>
      </c>
      <c r="K127" s="136" t="s">
        <v>52</v>
      </c>
      <c r="L127" s="136" t="s">
        <v>53</v>
      </c>
      <c r="M127" s="136">
        <v>99484517</v>
      </c>
      <c r="N127" s="140"/>
      <c r="P127" s="5"/>
      <c r="S127" s="5"/>
      <c r="U127" s="5"/>
      <c r="W127" s="5"/>
      <c r="Y127" s="5"/>
      <c r="AA127" s="5"/>
    </row>
    <row r="128" spans="1:27" s="17" customFormat="1" ht="21.75" customHeight="1" x14ac:dyDescent="0.25">
      <c r="A128" s="141">
        <v>126</v>
      </c>
      <c r="B128" s="142">
        <v>1736</v>
      </c>
      <c r="C128" s="143" t="s">
        <v>164</v>
      </c>
      <c r="D128" s="185">
        <v>249.6</v>
      </c>
      <c r="E128" s="182">
        <v>0.4</v>
      </c>
      <c r="F128" s="182">
        <f t="shared" si="6"/>
        <v>99.84</v>
      </c>
      <c r="G128" s="182">
        <f>98.57</f>
        <v>98.57</v>
      </c>
      <c r="H128" s="182">
        <f t="shared" si="4"/>
        <v>1.2700000000000102</v>
      </c>
      <c r="I128" s="144">
        <v>960639</v>
      </c>
      <c r="J128" s="197" t="s">
        <v>165</v>
      </c>
      <c r="K128" s="144" t="s">
        <v>31</v>
      </c>
      <c r="L128" s="144" t="s">
        <v>32</v>
      </c>
      <c r="M128" s="144"/>
      <c r="N128" s="318">
        <v>45684</v>
      </c>
      <c r="P128" s="5"/>
      <c r="S128" s="5"/>
      <c r="U128" s="5"/>
      <c r="W128" s="5"/>
      <c r="Y128" s="5"/>
      <c r="AA128" s="5"/>
    </row>
    <row r="129" spans="1:27" s="17" customFormat="1" ht="21.75" customHeight="1" x14ac:dyDescent="0.25">
      <c r="A129" s="141">
        <v>127</v>
      </c>
      <c r="B129" s="142">
        <v>1737</v>
      </c>
      <c r="C129" s="144" t="s">
        <v>390</v>
      </c>
      <c r="D129" s="185">
        <v>265.89999999999998</v>
      </c>
      <c r="E129" s="182">
        <v>0.4</v>
      </c>
      <c r="F129" s="182">
        <f t="shared" si="6"/>
        <v>106.36</v>
      </c>
      <c r="G129" s="182">
        <f>104.55</f>
        <v>104.55</v>
      </c>
      <c r="H129" s="182">
        <f t="shared" si="4"/>
        <v>1.8100000000000023</v>
      </c>
      <c r="I129" s="144">
        <v>5566367</v>
      </c>
      <c r="J129" s="197" t="s">
        <v>391</v>
      </c>
      <c r="K129" s="144" t="s">
        <v>31</v>
      </c>
      <c r="L129" s="144" t="s">
        <v>32</v>
      </c>
      <c r="M129" s="144">
        <v>98517790</v>
      </c>
      <c r="N129" s="318">
        <v>45686</v>
      </c>
      <c r="P129" s="5"/>
      <c r="S129" s="5"/>
      <c r="U129" s="5"/>
      <c r="W129" s="5"/>
      <c r="Y129" s="5"/>
      <c r="AA129" s="5"/>
    </row>
    <row r="130" spans="1:27" s="17" customFormat="1" ht="21.75" customHeight="1" x14ac:dyDescent="0.25">
      <c r="A130" s="146">
        <v>128</v>
      </c>
      <c r="B130" s="235">
        <v>1738</v>
      </c>
      <c r="C130" s="296" t="s">
        <v>166</v>
      </c>
      <c r="D130" s="295">
        <v>262.10000000000002</v>
      </c>
      <c r="E130" s="149">
        <v>0.4</v>
      </c>
      <c r="F130" s="186">
        <f t="shared" si="6"/>
        <v>104.84000000000002</v>
      </c>
      <c r="G130" s="186"/>
      <c r="H130" s="186">
        <f t="shared" si="4"/>
        <v>104.84000000000002</v>
      </c>
      <c r="I130" s="136">
        <v>23187863</v>
      </c>
      <c r="J130" s="313" t="s">
        <v>581</v>
      </c>
      <c r="K130" s="136" t="s">
        <v>52</v>
      </c>
      <c r="L130" s="136" t="s">
        <v>53</v>
      </c>
      <c r="M130" s="136">
        <v>99464736</v>
      </c>
      <c r="N130" s="312"/>
      <c r="P130" s="5"/>
      <c r="S130" s="5"/>
      <c r="U130" s="5"/>
      <c r="W130" s="5"/>
      <c r="Y130" s="5"/>
      <c r="AA130" s="5"/>
    </row>
    <row r="131" spans="1:27" s="17" customFormat="1" ht="21.75" customHeight="1" x14ac:dyDescent="0.25">
      <c r="A131" s="146">
        <v>129</v>
      </c>
      <c r="B131" s="235">
        <v>1740</v>
      </c>
      <c r="C131" s="296" t="s">
        <v>392</v>
      </c>
      <c r="D131" s="295">
        <v>396</v>
      </c>
      <c r="E131" s="149">
        <v>0.4</v>
      </c>
      <c r="F131" s="186">
        <f t="shared" si="6"/>
        <v>158.4</v>
      </c>
      <c r="G131" s="186"/>
      <c r="H131" s="186">
        <f t="shared" ref="H131:H194" si="7">F131-G131</f>
        <v>158.4</v>
      </c>
      <c r="I131" s="136">
        <v>750305</v>
      </c>
      <c r="J131" s="313" t="s">
        <v>393</v>
      </c>
      <c r="K131" s="136" t="s">
        <v>31</v>
      </c>
      <c r="L131" s="136" t="s">
        <v>32</v>
      </c>
      <c r="M131" s="136"/>
      <c r="N131" s="312"/>
      <c r="P131" s="5"/>
      <c r="S131" s="5"/>
      <c r="U131" s="5"/>
      <c r="W131" s="5"/>
      <c r="Y131" s="5"/>
      <c r="AA131" s="5"/>
    </row>
    <row r="132" spans="1:27" s="17" customFormat="1" ht="21.75" customHeight="1" x14ac:dyDescent="0.25">
      <c r="A132" s="146">
        <v>130</v>
      </c>
      <c r="B132" s="235">
        <v>1741</v>
      </c>
      <c r="C132" s="296" t="s">
        <v>394</v>
      </c>
      <c r="D132" s="295">
        <v>960</v>
      </c>
      <c r="E132" s="149">
        <v>0.4</v>
      </c>
      <c r="F132" s="186">
        <f t="shared" si="6"/>
        <v>384</v>
      </c>
      <c r="G132" s="186"/>
      <c r="H132" s="186">
        <f t="shared" si="7"/>
        <v>384</v>
      </c>
      <c r="I132" s="136">
        <v>3439836</v>
      </c>
      <c r="J132" s="313" t="s">
        <v>395</v>
      </c>
      <c r="K132" s="136" t="s">
        <v>31</v>
      </c>
      <c r="L132" s="136" t="s">
        <v>32</v>
      </c>
      <c r="M132" s="136">
        <v>99070188</v>
      </c>
      <c r="N132" s="140"/>
      <c r="P132" s="5"/>
      <c r="S132" s="5"/>
      <c r="U132" s="5"/>
      <c r="W132" s="5"/>
      <c r="Y132" s="5"/>
      <c r="AA132" s="5"/>
    </row>
    <row r="133" spans="1:27" s="17" customFormat="1" ht="21.75" customHeight="1" x14ac:dyDescent="0.25">
      <c r="A133" s="146">
        <v>131</v>
      </c>
      <c r="B133" s="235">
        <v>1742</v>
      </c>
      <c r="C133" s="296" t="s">
        <v>396</v>
      </c>
      <c r="D133" s="295">
        <v>323</v>
      </c>
      <c r="E133" s="149">
        <v>0.4</v>
      </c>
      <c r="F133" s="186">
        <f t="shared" si="6"/>
        <v>129.20000000000002</v>
      </c>
      <c r="G133" s="186"/>
      <c r="H133" s="186">
        <f t="shared" si="7"/>
        <v>129.20000000000002</v>
      </c>
      <c r="I133" s="136">
        <v>7534942</v>
      </c>
      <c r="J133" s="313" t="s">
        <v>397</v>
      </c>
      <c r="K133" s="136" t="s">
        <v>31</v>
      </c>
      <c r="L133" s="136" t="s">
        <v>32</v>
      </c>
      <c r="M133" s="136"/>
      <c r="N133" s="140"/>
      <c r="P133" s="5"/>
      <c r="S133" s="5"/>
      <c r="U133" s="5"/>
      <c r="W133" s="5"/>
      <c r="Y133" s="5"/>
      <c r="AA133" s="5"/>
    </row>
    <row r="134" spans="1:27" s="17" customFormat="1" ht="21.75" customHeight="1" x14ac:dyDescent="0.25">
      <c r="A134" s="141">
        <v>132</v>
      </c>
      <c r="B134" s="142">
        <v>1743</v>
      </c>
      <c r="C134" s="143" t="s">
        <v>398</v>
      </c>
      <c r="D134" s="185">
        <v>560.20000000000005</v>
      </c>
      <c r="E134" s="182">
        <v>0.4</v>
      </c>
      <c r="F134" s="182">
        <f t="shared" si="6"/>
        <v>224.08000000000004</v>
      </c>
      <c r="G134" s="182">
        <f>220.3+3.78</f>
        <v>224.08</v>
      </c>
      <c r="H134" s="182">
        <f t="shared" si="7"/>
        <v>0</v>
      </c>
      <c r="I134" s="144">
        <v>14028717</v>
      </c>
      <c r="J134" s="159" t="s">
        <v>399</v>
      </c>
      <c r="K134" s="144" t="s">
        <v>155</v>
      </c>
      <c r="L134" s="144" t="s">
        <v>156</v>
      </c>
      <c r="M134" s="144">
        <v>98500770</v>
      </c>
      <c r="N134" s="318">
        <v>45670</v>
      </c>
      <c r="O134" s="118">
        <v>45701</v>
      </c>
      <c r="P134" s="5"/>
      <c r="S134" s="5"/>
      <c r="U134" s="5"/>
      <c r="W134" s="5"/>
      <c r="Y134" s="5"/>
      <c r="AA134" s="5"/>
    </row>
    <row r="135" spans="1:27" s="17" customFormat="1" ht="21.75" customHeight="1" x14ac:dyDescent="0.25">
      <c r="A135" s="141">
        <v>133</v>
      </c>
      <c r="B135" s="142">
        <v>1744</v>
      </c>
      <c r="C135" s="143" t="s">
        <v>400</v>
      </c>
      <c r="D135" s="185">
        <v>281.10000000000002</v>
      </c>
      <c r="E135" s="182">
        <v>0.4</v>
      </c>
      <c r="F135" s="182">
        <f t="shared" si="6"/>
        <v>112.44000000000001</v>
      </c>
      <c r="G135" s="182">
        <f>109.44</f>
        <v>109.44</v>
      </c>
      <c r="H135" s="182">
        <f t="shared" si="7"/>
        <v>3.0000000000000142</v>
      </c>
      <c r="I135" s="144">
        <v>6653046</v>
      </c>
      <c r="J135" s="201" t="s">
        <v>401</v>
      </c>
      <c r="K135" s="144" t="s">
        <v>52</v>
      </c>
      <c r="L135" s="144" t="s">
        <v>53</v>
      </c>
      <c r="M135" s="144">
        <v>98183585</v>
      </c>
      <c r="N135" s="318">
        <v>45686</v>
      </c>
      <c r="P135" s="5"/>
      <c r="S135" s="5"/>
      <c r="U135" s="5"/>
      <c r="W135" s="5"/>
      <c r="Y135" s="5"/>
      <c r="AA135" s="5"/>
    </row>
    <row r="136" spans="1:27" s="17" customFormat="1" ht="21.75" customHeight="1" x14ac:dyDescent="0.25">
      <c r="A136" s="146">
        <v>134</v>
      </c>
      <c r="B136" s="235">
        <v>1745</v>
      </c>
      <c r="C136" s="296" t="s">
        <v>402</v>
      </c>
      <c r="D136" s="295">
        <v>281.8</v>
      </c>
      <c r="E136" s="149">
        <v>0.4</v>
      </c>
      <c r="F136" s="186">
        <f t="shared" si="6"/>
        <v>112.72000000000001</v>
      </c>
      <c r="G136" s="186"/>
      <c r="H136" s="186">
        <f t="shared" si="7"/>
        <v>112.72000000000001</v>
      </c>
      <c r="I136" s="136">
        <v>781826</v>
      </c>
      <c r="J136" s="311" t="s">
        <v>403</v>
      </c>
      <c r="K136" s="136" t="s">
        <v>52</v>
      </c>
      <c r="L136" s="136" t="s">
        <v>53</v>
      </c>
      <c r="M136" s="136"/>
      <c r="N136" s="140"/>
      <c r="P136" s="5"/>
      <c r="S136" s="5"/>
      <c r="U136" s="5"/>
      <c r="W136" s="5"/>
      <c r="Y136" s="5"/>
      <c r="AA136" s="5"/>
    </row>
    <row r="137" spans="1:27" s="17" customFormat="1" ht="21.75" customHeight="1" x14ac:dyDescent="0.25">
      <c r="A137" s="141">
        <v>135</v>
      </c>
      <c r="B137" s="142">
        <v>1748</v>
      </c>
      <c r="C137" s="143" t="s">
        <v>169</v>
      </c>
      <c r="D137" s="185">
        <v>265</v>
      </c>
      <c r="E137" s="182">
        <v>0.4</v>
      </c>
      <c r="F137" s="182">
        <f t="shared" si="6"/>
        <v>106</v>
      </c>
      <c r="G137" s="182">
        <f>105.23</f>
        <v>105.23</v>
      </c>
      <c r="H137" s="182">
        <f t="shared" si="7"/>
        <v>0.76999999999999602</v>
      </c>
      <c r="I137" s="144">
        <v>1354182</v>
      </c>
      <c r="J137" s="197" t="s">
        <v>170</v>
      </c>
      <c r="K137" s="144" t="s">
        <v>31</v>
      </c>
      <c r="L137" s="144" t="s">
        <v>32</v>
      </c>
      <c r="M137" s="144">
        <v>98953022</v>
      </c>
      <c r="N137" s="318" t="s">
        <v>596</v>
      </c>
      <c r="P137" s="5"/>
      <c r="S137" s="5"/>
      <c r="U137" s="5"/>
      <c r="W137" s="5"/>
      <c r="Y137" s="5"/>
      <c r="AA137" s="5"/>
    </row>
    <row r="138" spans="1:27" s="17" customFormat="1" ht="21.75" customHeight="1" x14ac:dyDescent="0.25">
      <c r="A138" s="146">
        <v>136</v>
      </c>
      <c r="B138" s="235">
        <v>1749</v>
      </c>
      <c r="C138" s="296" t="s">
        <v>404</v>
      </c>
      <c r="D138" s="295">
        <v>206.5</v>
      </c>
      <c r="E138" s="149">
        <v>0.4</v>
      </c>
      <c r="F138" s="186">
        <f t="shared" si="6"/>
        <v>82.600000000000009</v>
      </c>
      <c r="G138" s="186"/>
      <c r="H138" s="186">
        <f t="shared" si="7"/>
        <v>82.600000000000009</v>
      </c>
      <c r="I138" s="136">
        <v>1304923</v>
      </c>
      <c r="J138" s="311" t="s">
        <v>405</v>
      </c>
      <c r="K138" s="136" t="s">
        <v>52</v>
      </c>
      <c r="L138" s="136" t="s">
        <v>53</v>
      </c>
      <c r="M138" s="136">
        <v>97384393</v>
      </c>
      <c r="N138" s="140"/>
      <c r="P138" s="5"/>
      <c r="S138" s="5"/>
      <c r="U138" s="5"/>
      <c r="W138" s="5"/>
      <c r="Y138" s="5"/>
      <c r="AA138" s="5"/>
    </row>
    <row r="139" spans="1:27" s="17" customFormat="1" ht="21.75" customHeight="1" x14ac:dyDescent="0.25">
      <c r="A139" s="141">
        <v>137</v>
      </c>
      <c r="B139" s="142">
        <v>1750</v>
      </c>
      <c r="C139" s="143" t="s">
        <v>406</v>
      </c>
      <c r="D139" s="185">
        <v>298.10000000000002</v>
      </c>
      <c r="E139" s="182">
        <v>0.4</v>
      </c>
      <c r="F139" s="182">
        <f t="shared" si="6"/>
        <v>119.24000000000001</v>
      </c>
      <c r="G139" s="182">
        <f>114.543</f>
        <v>114.54300000000001</v>
      </c>
      <c r="H139" s="182">
        <f t="shared" si="7"/>
        <v>4.6970000000000027</v>
      </c>
      <c r="I139" s="144">
        <v>18638806</v>
      </c>
      <c r="J139" s="159" t="s">
        <v>407</v>
      </c>
      <c r="K139" s="144" t="s">
        <v>71</v>
      </c>
      <c r="L139" s="144" t="s">
        <v>72</v>
      </c>
      <c r="M139" s="144">
        <v>98595777</v>
      </c>
      <c r="N139" s="318">
        <v>45684</v>
      </c>
      <c r="P139" s="5"/>
      <c r="S139" s="5"/>
      <c r="U139" s="5"/>
      <c r="W139" s="5"/>
      <c r="Y139" s="5"/>
      <c r="AA139" s="5"/>
    </row>
    <row r="140" spans="1:27" s="17" customFormat="1" ht="21.75" customHeight="1" x14ac:dyDescent="0.25">
      <c r="A140" s="146">
        <v>138</v>
      </c>
      <c r="B140" s="235">
        <v>1752</v>
      </c>
      <c r="C140" s="296" t="s">
        <v>171</v>
      </c>
      <c r="D140" s="295">
        <v>292.2</v>
      </c>
      <c r="E140" s="149">
        <v>0.4</v>
      </c>
      <c r="F140" s="186">
        <f t="shared" si="6"/>
        <v>116.88</v>
      </c>
      <c r="G140" s="186"/>
      <c r="H140" s="186">
        <f t="shared" si="7"/>
        <v>116.88</v>
      </c>
      <c r="I140" s="136">
        <v>2808921</v>
      </c>
      <c r="J140" s="311" t="s">
        <v>139</v>
      </c>
      <c r="K140" s="136" t="s">
        <v>31</v>
      </c>
      <c r="L140" s="136" t="s">
        <v>32</v>
      </c>
      <c r="M140" s="136">
        <v>92740803</v>
      </c>
      <c r="N140" s="140"/>
      <c r="P140" s="5"/>
      <c r="S140" s="5"/>
      <c r="U140" s="5"/>
      <c r="W140" s="5"/>
      <c r="Y140" s="5"/>
      <c r="AA140" s="5"/>
    </row>
    <row r="141" spans="1:27" s="54" customFormat="1" ht="21.75" customHeight="1" x14ac:dyDescent="0.25">
      <c r="A141" s="141">
        <v>139</v>
      </c>
      <c r="B141" s="142">
        <v>1753</v>
      </c>
      <c r="C141" s="143" t="s">
        <v>408</v>
      </c>
      <c r="D141" s="185">
        <v>269.10000000000002</v>
      </c>
      <c r="E141" s="182">
        <v>0.4</v>
      </c>
      <c r="F141" s="182">
        <f t="shared" si="6"/>
        <v>107.64000000000001</v>
      </c>
      <c r="G141" s="182">
        <f>106.7</f>
        <v>106.7</v>
      </c>
      <c r="H141" s="182">
        <f t="shared" si="7"/>
        <v>0.94000000000001194</v>
      </c>
      <c r="I141" s="144">
        <v>6496182</v>
      </c>
      <c r="J141" s="243" t="s">
        <v>409</v>
      </c>
      <c r="K141" s="144" t="s">
        <v>251</v>
      </c>
      <c r="L141" s="144" t="s">
        <v>252</v>
      </c>
      <c r="M141" s="144">
        <v>98595777</v>
      </c>
      <c r="N141" s="201" t="s">
        <v>600</v>
      </c>
    </row>
    <row r="142" spans="1:27" s="17" customFormat="1" ht="21.75" customHeight="1" x14ac:dyDescent="0.25">
      <c r="A142" s="146">
        <v>140</v>
      </c>
      <c r="B142" s="235">
        <v>1754</v>
      </c>
      <c r="C142" s="296" t="s">
        <v>410</v>
      </c>
      <c r="D142" s="295">
        <v>1094.8</v>
      </c>
      <c r="E142" s="149">
        <v>0.4</v>
      </c>
      <c r="F142" s="186">
        <f t="shared" si="6"/>
        <v>437.92</v>
      </c>
      <c r="G142" s="186"/>
      <c r="H142" s="186">
        <f t="shared" si="7"/>
        <v>437.92</v>
      </c>
      <c r="I142" s="136">
        <v>1523934</v>
      </c>
      <c r="J142" s="311" t="s">
        <v>411</v>
      </c>
      <c r="K142" s="136" t="s">
        <v>71</v>
      </c>
      <c r="L142" s="136" t="s">
        <v>72</v>
      </c>
      <c r="M142" s="136"/>
      <c r="N142" s="140"/>
      <c r="P142" s="5"/>
      <c r="S142" s="5"/>
      <c r="U142" s="5"/>
      <c r="W142" s="5"/>
      <c r="Y142" s="5"/>
      <c r="AA142" s="5"/>
    </row>
    <row r="143" spans="1:27" s="17" customFormat="1" ht="21.75" customHeight="1" x14ac:dyDescent="0.25">
      <c r="A143" s="141">
        <v>141</v>
      </c>
      <c r="B143" s="142">
        <v>1755</v>
      </c>
      <c r="C143" s="143" t="s">
        <v>69</v>
      </c>
      <c r="D143" s="185">
        <v>525</v>
      </c>
      <c r="E143" s="182">
        <v>0.4</v>
      </c>
      <c r="F143" s="182">
        <f t="shared" si="6"/>
        <v>210</v>
      </c>
      <c r="G143" s="182">
        <f>208.39</f>
        <v>208.39</v>
      </c>
      <c r="H143" s="182">
        <f t="shared" si="7"/>
        <v>1.6100000000000136</v>
      </c>
      <c r="I143" s="144">
        <v>10592143</v>
      </c>
      <c r="J143" s="159" t="s">
        <v>70</v>
      </c>
      <c r="K143" s="144" t="s">
        <v>71</v>
      </c>
      <c r="L143" s="144" t="s">
        <v>72</v>
      </c>
      <c r="M143" s="144"/>
      <c r="N143" s="318">
        <v>45684</v>
      </c>
      <c r="P143" s="5"/>
      <c r="S143" s="5"/>
      <c r="U143" s="5"/>
      <c r="W143" s="5"/>
      <c r="Y143" s="5"/>
      <c r="AA143" s="5"/>
    </row>
    <row r="144" spans="1:27" s="17" customFormat="1" ht="21.75" customHeight="1" x14ac:dyDescent="0.25">
      <c r="A144" s="146">
        <v>142</v>
      </c>
      <c r="B144" s="235">
        <v>1756</v>
      </c>
      <c r="C144" s="296" t="s">
        <v>412</v>
      </c>
      <c r="D144" s="295">
        <v>219.9</v>
      </c>
      <c r="E144" s="149">
        <v>0.4</v>
      </c>
      <c r="F144" s="186">
        <f t="shared" si="6"/>
        <v>87.960000000000008</v>
      </c>
      <c r="G144" s="186"/>
      <c r="H144" s="186">
        <f t="shared" si="7"/>
        <v>87.960000000000008</v>
      </c>
      <c r="I144" s="136">
        <v>381412</v>
      </c>
      <c r="J144" s="311" t="s">
        <v>413</v>
      </c>
      <c r="K144" s="136" t="s">
        <v>31</v>
      </c>
      <c r="L144" s="136" t="s">
        <v>32</v>
      </c>
      <c r="M144" s="136">
        <v>99293035</v>
      </c>
      <c r="N144" s="140"/>
      <c r="P144" s="5"/>
      <c r="S144" s="5"/>
      <c r="U144" s="5"/>
      <c r="W144" s="5"/>
      <c r="Y144" s="5"/>
      <c r="AA144" s="5"/>
    </row>
    <row r="145" spans="1:27" s="17" customFormat="1" ht="21.75" customHeight="1" x14ac:dyDescent="0.25">
      <c r="A145" s="141">
        <v>143</v>
      </c>
      <c r="B145" s="142">
        <v>1758</v>
      </c>
      <c r="C145" s="143" t="s">
        <v>74</v>
      </c>
      <c r="D145" s="185">
        <v>507.5</v>
      </c>
      <c r="E145" s="182">
        <v>0.4</v>
      </c>
      <c r="F145" s="182">
        <f t="shared" si="6"/>
        <v>203</v>
      </c>
      <c r="G145" s="182">
        <f>198.85</f>
        <v>198.85</v>
      </c>
      <c r="H145" s="182">
        <f t="shared" si="7"/>
        <v>4.1500000000000057</v>
      </c>
      <c r="I145" s="144">
        <v>2443662</v>
      </c>
      <c r="J145" s="159" t="s">
        <v>75</v>
      </c>
      <c r="K145" s="144" t="s">
        <v>31</v>
      </c>
      <c r="L145" s="144" t="s">
        <v>32</v>
      </c>
      <c r="M145" s="144">
        <v>99608818</v>
      </c>
      <c r="N145" s="318">
        <v>45691</v>
      </c>
      <c r="P145" s="5"/>
      <c r="S145" s="5"/>
      <c r="U145" s="5"/>
      <c r="W145" s="5"/>
      <c r="Y145" s="5"/>
      <c r="AA145" s="5"/>
    </row>
    <row r="146" spans="1:27" s="17" customFormat="1" ht="21.75" customHeight="1" x14ac:dyDescent="0.25">
      <c r="A146" s="146">
        <v>144</v>
      </c>
      <c r="B146" s="235">
        <v>1759</v>
      </c>
      <c r="C146" s="296" t="s">
        <v>415</v>
      </c>
      <c r="D146" s="295">
        <v>216.4</v>
      </c>
      <c r="E146" s="149">
        <v>0.4</v>
      </c>
      <c r="F146" s="186">
        <f t="shared" si="6"/>
        <v>86.56</v>
      </c>
      <c r="G146" s="186"/>
      <c r="H146" s="186">
        <f t="shared" si="7"/>
        <v>86.56</v>
      </c>
      <c r="I146" s="136">
        <v>5029866</v>
      </c>
      <c r="J146" s="311" t="s">
        <v>416</v>
      </c>
      <c r="K146" s="136" t="s">
        <v>31</v>
      </c>
      <c r="L146" s="136" t="s">
        <v>32</v>
      </c>
      <c r="M146" s="136"/>
      <c r="N146" s="140"/>
      <c r="P146" s="5"/>
      <c r="S146" s="5"/>
      <c r="U146" s="5"/>
      <c r="W146" s="5"/>
      <c r="Y146" s="5"/>
      <c r="AA146" s="5"/>
    </row>
    <row r="147" spans="1:27" s="17" customFormat="1" ht="21.75" customHeight="1" x14ac:dyDescent="0.25">
      <c r="A147" s="141">
        <v>145</v>
      </c>
      <c r="B147" s="142">
        <v>1760</v>
      </c>
      <c r="C147" s="143" t="s">
        <v>418</v>
      </c>
      <c r="D147" s="185">
        <v>278.60000000000002</v>
      </c>
      <c r="E147" s="182">
        <v>0.4</v>
      </c>
      <c r="F147" s="182">
        <f t="shared" si="6"/>
        <v>111.44000000000001</v>
      </c>
      <c r="G147" s="182">
        <f>109.12</f>
        <v>109.12</v>
      </c>
      <c r="H147" s="182">
        <f t="shared" si="7"/>
        <v>2.3200000000000074</v>
      </c>
      <c r="I147" s="144">
        <v>3847339</v>
      </c>
      <c r="J147" s="159" t="s">
        <v>419</v>
      </c>
      <c r="K147" s="144" t="s">
        <v>31</v>
      </c>
      <c r="L147" s="144" t="s">
        <v>32</v>
      </c>
      <c r="M147" s="144"/>
      <c r="N147" s="318">
        <v>45810</v>
      </c>
      <c r="P147" s="5"/>
      <c r="S147" s="5"/>
      <c r="U147" s="5"/>
      <c r="W147" s="5"/>
      <c r="Y147" s="5"/>
      <c r="AA147" s="5"/>
    </row>
    <row r="148" spans="1:27" s="17" customFormat="1" ht="21.75" customHeight="1" x14ac:dyDescent="0.25">
      <c r="A148" s="146">
        <v>146</v>
      </c>
      <c r="B148" s="235">
        <v>1763</v>
      </c>
      <c r="C148" s="296" t="s">
        <v>420</v>
      </c>
      <c r="D148" s="295">
        <v>258.60000000000002</v>
      </c>
      <c r="E148" s="149">
        <v>0.4</v>
      </c>
      <c r="F148" s="186">
        <f t="shared" si="6"/>
        <v>103.44000000000001</v>
      </c>
      <c r="G148" s="186"/>
      <c r="H148" s="186">
        <f t="shared" si="7"/>
        <v>103.44000000000001</v>
      </c>
      <c r="I148" s="136">
        <v>5384098</v>
      </c>
      <c r="J148" s="311" t="s">
        <v>421</v>
      </c>
      <c r="K148" s="136" t="s">
        <v>31</v>
      </c>
      <c r="L148" s="136" t="s">
        <v>32</v>
      </c>
      <c r="M148" s="136">
        <v>99199287</v>
      </c>
      <c r="N148" s="140"/>
      <c r="P148" s="5"/>
      <c r="S148" s="5"/>
      <c r="U148" s="5"/>
      <c r="W148" s="5"/>
      <c r="Y148" s="5"/>
      <c r="AA148" s="5"/>
    </row>
    <row r="149" spans="1:27" s="17" customFormat="1" ht="21.75" customHeight="1" x14ac:dyDescent="0.25">
      <c r="A149" s="146">
        <v>147</v>
      </c>
      <c r="B149" s="235">
        <v>1764</v>
      </c>
      <c r="C149" s="296" t="s">
        <v>422</v>
      </c>
      <c r="D149" s="295">
        <v>380</v>
      </c>
      <c r="E149" s="149">
        <v>0.4</v>
      </c>
      <c r="F149" s="186">
        <f t="shared" si="6"/>
        <v>152</v>
      </c>
      <c r="G149" s="186"/>
      <c r="H149" s="186">
        <f t="shared" si="7"/>
        <v>152</v>
      </c>
      <c r="I149" s="136">
        <v>6923798</v>
      </c>
      <c r="J149" s="313">
        <v>1023524004017</v>
      </c>
      <c r="K149" s="136" t="s">
        <v>26</v>
      </c>
      <c r="L149" s="136" t="s">
        <v>27</v>
      </c>
      <c r="M149" s="136">
        <v>93955557</v>
      </c>
      <c r="N149" s="140"/>
      <c r="P149" s="5"/>
      <c r="S149" s="5"/>
      <c r="U149" s="5"/>
      <c r="W149" s="5"/>
      <c r="Y149" s="5"/>
      <c r="AA149" s="5"/>
    </row>
    <row r="150" spans="1:27" s="17" customFormat="1" ht="21.75" customHeight="1" x14ac:dyDescent="0.25">
      <c r="A150" s="141">
        <v>148</v>
      </c>
      <c r="B150" s="142">
        <v>1766</v>
      </c>
      <c r="C150" s="143" t="s">
        <v>423</v>
      </c>
      <c r="D150" s="185">
        <v>513</v>
      </c>
      <c r="E150" s="182">
        <v>0.4</v>
      </c>
      <c r="F150" s="182">
        <f t="shared" si="6"/>
        <v>205.20000000000002</v>
      </c>
      <c r="G150" s="182">
        <f>202</f>
        <v>202</v>
      </c>
      <c r="H150" s="182">
        <f t="shared" si="7"/>
        <v>3.2000000000000171</v>
      </c>
      <c r="I150" s="144">
        <v>19548574</v>
      </c>
      <c r="J150" s="159" t="s">
        <v>424</v>
      </c>
      <c r="K150" s="144" t="s">
        <v>31</v>
      </c>
      <c r="L150" s="144" t="s">
        <v>32</v>
      </c>
      <c r="M150" s="144">
        <v>92924743</v>
      </c>
      <c r="N150" s="318">
        <v>45691</v>
      </c>
      <c r="P150" s="5"/>
      <c r="S150" s="5"/>
      <c r="U150" s="5"/>
      <c r="W150" s="5"/>
      <c r="Y150" s="5"/>
      <c r="AA150" s="5"/>
    </row>
    <row r="151" spans="1:27" s="17" customFormat="1" ht="21.75" customHeight="1" x14ac:dyDescent="0.25">
      <c r="A151" s="146">
        <v>149</v>
      </c>
      <c r="B151" s="235">
        <v>1768</v>
      </c>
      <c r="C151" s="296" t="s">
        <v>172</v>
      </c>
      <c r="D151" s="295">
        <v>278.10000000000002</v>
      </c>
      <c r="E151" s="149">
        <v>0.4</v>
      </c>
      <c r="F151" s="186">
        <f t="shared" si="6"/>
        <v>111.24000000000001</v>
      </c>
      <c r="G151" s="186"/>
      <c r="H151" s="186">
        <f t="shared" si="7"/>
        <v>111.24000000000001</v>
      </c>
      <c r="I151" s="136">
        <v>13899464</v>
      </c>
      <c r="J151" s="140" t="s">
        <v>173</v>
      </c>
      <c r="K151" s="136" t="s">
        <v>31</v>
      </c>
      <c r="L151" s="136" t="s">
        <v>32</v>
      </c>
      <c r="M151" s="136">
        <v>99166449</v>
      </c>
      <c r="N151" s="140"/>
      <c r="P151" s="5"/>
      <c r="S151" s="5"/>
      <c r="U151" s="5"/>
      <c r="W151" s="5"/>
      <c r="Y151" s="5"/>
      <c r="AA151" s="5"/>
    </row>
    <row r="152" spans="1:27" s="17" customFormat="1" ht="21.75" customHeight="1" x14ac:dyDescent="0.25">
      <c r="A152" s="146">
        <v>150</v>
      </c>
      <c r="B152" s="235">
        <v>1769</v>
      </c>
      <c r="C152" s="296" t="s">
        <v>425</v>
      </c>
      <c r="D152" s="295">
        <v>275.8</v>
      </c>
      <c r="E152" s="149">
        <v>0.4</v>
      </c>
      <c r="F152" s="186">
        <f t="shared" si="6"/>
        <v>110.32000000000001</v>
      </c>
      <c r="G152" s="186"/>
      <c r="H152" s="186">
        <f t="shared" si="7"/>
        <v>110.32000000000001</v>
      </c>
      <c r="I152" s="136">
        <v>19322478</v>
      </c>
      <c r="J152" s="311" t="s">
        <v>426</v>
      </c>
      <c r="K152" s="136" t="s">
        <v>31</v>
      </c>
      <c r="L152" s="136" t="s">
        <v>32</v>
      </c>
      <c r="M152" s="136">
        <v>99180404</v>
      </c>
      <c r="N152" s="140"/>
      <c r="P152" s="5"/>
      <c r="S152" s="5"/>
      <c r="U152" s="5"/>
      <c r="W152" s="5"/>
      <c r="Y152" s="5"/>
      <c r="AA152" s="5"/>
    </row>
    <row r="153" spans="1:27" s="17" customFormat="1" ht="21.75" customHeight="1" x14ac:dyDescent="0.25">
      <c r="A153" s="141">
        <v>151</v>
      </c>
      <c r="B153" s="142">
        <v>1770</v>
      </c>
      <c r="C153" s="143" t="s">
        <v>427</v>
      </c>
      <c r="D153" s="185">
        <v>207.2</v>
      </c>
      <c r="E153" s="182">
        <v>0.4</v>
      </c>
      <c r="F153" s="182">
        <f t="shared" si="6"/>
        <v>82.88</v>
      </c>
      <c r="G153" s="182">
        <f>81.21</f>
        <v>81.209999999999994</v>
      </c>
      <c r="H153" s="182">
        <f t="shared" si="7"/>
        <v>1.6700000000000017</v>
      </c>
      <c r="I153" s="144">
        <v>24534799</v>
      </c>
      <c r="J153" s="159" t="s">
        <v>428</v>
      </c>
      <c r="K153" s="144" t="s">
        <v>26</v>
      </c>
      <c r="L153" s="144" t="s">
        <v>27</v>
      </c>
      <c r="M153" s="144"/>
      <c r="N153" s="318">
        <v>45686</v>
      </c>
      <c r="P153" s="5"/>
      <c r="S153" s="5"/>
      <c r="U153" s="5"/>
      <c r="W153" s="5"/>
      <c r="Y153" s="5"/>
      <c r="AA153" s="5"/>
    </row>
    <row r="154" spans="1:27" s="17" customFormat="1" ht="21.75" customHeight="1" x14ac:dyDescent="0.25">
      <c r="A154" s="146">
        <v>152</v>
      </c>
      <c r="B154" s="235">
        <v>1771</v>
      </c>
      <c r="C154" s="296" t="s">
        <v>174</v>
      </c>
      <c r="D154" s="295">
        <v>251.9</v>
      </c>
      <c r="E154" s="149">
        <v>0.4</v>
      </c>
      <c r="F154" s="186">
        <f t="shared" ref="F154:F185" si="8">D154*E154</f>
        <v>100.76</v>
      </c>
      <c r="G154" s="186"/>
      <c r="H154" s="186">
        <f t="shared" si="7"/>
        <v>100.76</v>
      </c>
      <c r="I154" s="136">
        <v>5044401</v>
      </c>
      <c r="J154" s="311" t="s">
        <v>132</v>
      </c>
      <c r="K154" s="136" t="s">
        <v>31</v>
      </c>
      <c r="L154" s="136" t="s">
        <v>32</v>
      </c>
      <c r="M154" s="136">
        <v>93556616</v>
      </c>
      <c r="N154" s="140"/>
      <c r="P154" s="5"/>
      <c r="S154" s="5"/>
      <c r="U154" s="5"/>
      <c r="W154" s="5"/>
      <c r="Y154" s="5"/>
      <c r="AA154" s="5"/>
    </row>
    <row r="155" spans="1:27" s="106" customFormat="1" ht="21.75" customHeight="1" x14ac:dyDescent="0.25">
      <c r="A155" s="146">
        <v>153</v>
      </c>
      <c r="B155" s="235">
        <v>1772</v>
      </c>
      <c r="C155" s="296" t="s">
        <v>429</v>
      </c>
      <c r="D155" s="295">
        <v>588.70000000000005</v>
      </c>
      <c r="E155" s="149">
        <v>0.4</v>
      </c>
      <c r="F155" s="186">
        <f t="shared" si="8"/>
        <v>235.48000000000002</v>
      </c>
      <c r="G155" s="186"/>
      <c r="H155" s="186">
        <f t="shared" si="7"/>
        <v>235.48000000000002</v>
      </c>
      <c r="I155" s="136">
        <v>5217694</v>
      </c>
      <c r="J155" s="311" t="s">
        <v>430</v>
      </c>
      <c r="K155" s="136" t="s">
        <v>52</v>
      </c>
      <c r="L155" s="136" t="s">
        <v>53</v>
      </c>
      <c r="M155" s="136"/>
      <c r="N155" s="140"/>
      <c r="P155" s="5"/>
      <c r="S155" s="5"/>
      <c r="U155" s="5"/>
      <c r="W155" s="5"/>
      <c r="Y155" s="5"/>
      <c r="AA155" s="5"/>
    </row>
    <row r="156" spans="1:27" s="17" customFormat="1" ht="21.75" customHeight="1" x14ac:dyDescent="0.25">
      <c r="A156" s="146">
        <v>154</v>
      </c>
      <c r="B156" s="235">
        <v>1773</v>
      </c>
      <c r="C156" s="296" t="s">
        <v>432</v>
      </c>
      <c r="D156" s="295">
        <v>219.3</v>
      </c>
      <c r="E156" s="149">
        <v>0.4</v>
      </c>
      <c r="F156" s="186">
        <f t="shared" si="8"/>
        <v>87.720000000000013</v>
      </c>
      <c r="G156" s="186"/>
      <c r="H156" s="186">
        <f t="shared" si="7"/>
        <v>87.720000000000013</v>
      </c>
      <c r="I156" s="136">
        <v>20562603</v>
      </c>
      <c r="J156" s="311" t="s">
        <v>433</v>
      </c>
      <c r="K156" s="136" t="s">
        <v>52</v>
      </c>
      <c r="L156" s="136" t="s">
        <v>53</v>
      </c>
      <c r="M156" s="136">
        <v>92755626</v>
      </c>
      <c r="N156" s="140"/>
      <c r="P156" s="5"/>
      <c r="S156" s="5"/>
      <c r="U156" s="5"/>
      <c r="W156" s="5"/>
      <c r="Y156" s="5"/>
      <c r="AA156" s="5"/>
    </row>
    <row r="157" spans="1:27" s="17" customFormat="1" ht="21.75" customHeight="1" x14ac:dyDescent="0.25">
      <c r="A157" s="146">
        <v>155</v>
      </c>
      <c r="B157" s="235">
        <v>1774</v>
      </c>
      <c r="C157" s="296" t="s">
        <v>175</v>
      </c>
      <c r="D157" s="295">
        <v>89.7</v>
      </c>
      <c r="E157" s="149">
        <v>0.4</v>
      </c>
      <c r="F157" s="186">
        <f t="shared" si="8"/>
        <v>35.880000000000003</v>
      </c>
      <c r="G157" s="186"/>
      <c r="H157" s="186">
        <f t="shared" si="7"/>
        <v>35.880000000000003</v>
      </c>
      <c r="I157" s="136">
        <v>20865047</v>
      </c>
      <c r="J157" s="311" t="s">
        <v>176</v>
      </c>
      <c r="K157" s="136" t="s">
        <v>31</v>
      </c>
      <c r="L157" s="136" t="s">
        <v>32</v>
      </c>
      <c r="M157" s="136">
        <v>98825083</v>
      </c>
      <c r="N157" s="312"/>
      <c r="P157" s="5"/>
      <c r="S157" s="5"/>
      <c r="U157" s="5"/>
      <c r="W157" s="5"/>
      <c r="Y157" s="5"/>
      <c r="AA157" s="5"/>
    </row>
    <row r="158" spans="1:27" s="17" customFormat="1" ht="21.75" customHeight="1" x14ac:dyDescent="0.25">
      <c r="A158" s="141">
        <v>156</v>
      </c>
      <c r="B158" s="142">
        <v>1775</v>
      </c>
      <c r="C158" s="143" t="s">
        <v>434</v>
      </c>
      <c r="D158" s="185">
        <v>454.4</v>
      </c>
      <c r="E158" s="182">
        <v>0.4</v>
      </c>
      <c r="F158" s="182">
        <f t="shared" si="8"/>
        <v>181.76</v>
      </c>
      <c r="G158" s="182">
        <f>181.03</f>
        <v>181.03</v>
      </c>
      <c r="H158" s="182">
        <f t="shared" si="7"/>
        <v>0.72999999999998977</v>
      </c>
      <c r="I158" s="144">
        <v>18659223</v>
      </c>
      <c r="J158" s="246" t="s">
        <v>435</v>
      </c>
      <c r="K158" s="144" t="s">
        <v>31</v>
      </c>
      <c r="L158" s="144" t="s">
        <v>32</v>
      </c>
      <c r="M158" s="144">
        <v>93980028</v>
      </c>
      <c r="N158" s="318">
        <v>45679</v>
      </c>
      <c r="P158" s="5"/>
      <c r="S158" s="5"/>
      <c r="U158" s="5"/>
      <c r="W158" s="5"/>
      <c r="Y158" s="5"/>
      <c r="AA158" s="5"/>
    </row>
    <row r="159" spans="1:27" s="17" customFormat="1" ht="21.75" customHeight="1" x14ac:dyDescent="0.25">
      <c r="A159" s="146">
        <v>157</v>
      </c>
      <c r="B159" s="235">
        <v>1776</v>
      </c>
      <c r="C159" s="296" t="s">
        <v>436</v>
      </c>
      <c r="D159" s="295">
        <v>285</v>
      </c>
      <c r="E159" s="149">
        <v>0.4</v>
      </c>
      <c r="F159" s="186">
        <f t="shared" si="8"/>
        <v>114</v>
      </c>
      <c r="G159" s="186"/>
      <c r="H159" s="186">
        <f t="shared" si="7"/>
        <v>114</v>
      </c>
      <c r="I159" s="136">
        <v>30837376</v>
      </c>
      <c r="J159" s="316" t="s">
        <v>437</v>
      </c>
      <c r="K159" s="136" t="s">
        <v>31</v>
      </c>
      <c r="L159" s="136" t="s">
        <v>32</v>
      </c>
      <c r="M159" s="136">
        <v>92445594</v>
      </c>
      <c r="N159" s="140"/>
      <c r="P159" s="5"/>
      <c r="S159" s="5"/>
      <c r="U159" s="5"/>
      <c r="W159" s="5"/>
      <c r="Y159" s="5"/>
      <c r="AA159" s="5"/>
    </row>
    <row r="160" spans="1:27" s="17" customFormat="1" ht="21.75" customHeight="1" x14ac:dyDescent="0.25">
      <c r="A160" s="146">
        <v>158</v>
      </c>
      <c r="B160" s="235">
        <v>1777</v>
      </c>
      <c r="C160" s="296" t="s">
        <v>438</v>
      </c>
      <c r="D160" s="295">
        <v>530</v>
      </c>
      <c r="E160" s="149">
        <v>0.4</v>
      </c>
      <c r="F160" s="186">
        <f t="shared" si="8"/>
        <v>212</v>
      </c>
      <c r="G160" s="186"/>
      <c r="H160" s="186">
        <f t="shared" si="7"/>
        <v>212</v>
      </c>
      <c r="I160" s="136">
        <v>15107764</v>
      </c>
      <c r="J160" s="316" t="s">
        <v>439</v>
      </c>
      <c r="K160" s="136" t="s">
        <v>121</v>
      </c>
      <c r="L160" s="136" t="s">
        <v>122</v>
      </c>
      <c r="M160" s="136"/>
      <c r="N160" s="312"/>
      <c r="P160" s="5"/>
      <c r="S160" s="5"/>
      <c r="U160" s="5"/>
      <c r="W160" s="5"/>
      <c r="Y160" s="5"/>
      <c r="AA160" s="5"/>
    </row>
    <row r="161" spans="1:27" s="17" customFormat="1" ht="21.75" customHeight="1" x14ac:dyDescent="0.25">
      <c r="A161" s="146">
        <v>159</v>
      </c>
      <c r="B161" s="235">
        <v>1778</v>
      </c>
      <c r="C161" s="296" t="s">
        <v>440</v>
      </c>
      <c r="D161" s="295">
        <v>285</v>
      </c>
      <c r="E161" s="149">
        <v>0.4</v>
      </c>
      <c r="F161" s="186">
        <f t="shared" si="8"/>
        <v>114</v>
      </c>
      <c r="G161" s="186"/>
      <c r="H161" s="186">
        <f t="shared" si="7"/>
        <v>114</v>
      </c>
      <c r="I161" s="136">
        <v>24984002</v>
      </c>
      <c r="J161" s="311" t="s">
        <v>441</v>
      </c>
      <c r="K161" s="136" t="s">
        <v>31</v>
      </c>
      <c r="L161" s="136" t="s">
        <v>32</v>
      </c>
      <c r="M161" s="136">
        <v>99033018</v>
      </c>
      <c r="N161" s="140"/>
      <c r="P161" s="5"/>
      <c r="S161" s="5"/>
      <c r="U161" s="5"/>
      <c r="W161" s="5"/>
      <c r="Y161" s="5"/>
      <c r="AA161" s="5"/>
    </row>
    <row r="162" spans="1:27" s="17" customFormat="1" ht="21.75" customHeight="1" x14ac:dyDescent="0.25">
      <c r="A162" s="146">
        <v>160</v>
      </c>
      <c r="B162" s="235">
        <v>1780</v>
      </c>
      <c r="C162" s="296" t="s">
        <v>442</v>
      </c>
      <c r="D162" s="295">
        <v>663.4</v>
      </c>
      <c r="E162" s="149">
        <v>0.4</v>
      </c>
      <c r="F162" s="186">
        <f t="shared" si="8"/>
        <v>265.36</v>
      </c>
      <c r="G162" s="186"/>
      <c r="H162" s="186">
        <f t="shared" si="7"/>
        <v>265.36</v>
      </c>
      <c r="I162" s="136">
        <v>6228066</v>
      </c>
      <c r="J162" s="311" t="s">
        <v>443</v>
      </c>
      <c r="K162" s="136" t="s">
        <v>31</v>
      </c>
      <c r="L162" s="136" t="s">
        <v>32</v>
      </c>
      <c r="M162" s="136">
        <v>91709355</v>
      </c>
      <c r="N162" s="140"/>
      <c r="P162" s="5"/>
      <c r="S162" s="5"/>
      <c r="U162" s="5"/>
      <c r="W162" s="5"/>
      <c r="Y162" s="5"/>
      <c r="AA162" s="5"/>
    </row>
    <row r="163" spans="1:27" s="17" customFormat="1" ht="21.75" customHeight="1" x14ac:dyDescent="0.25">
      <c r="A163" s="146">
        <v>161</v>
      </c>
      <c r="B163" s="235">
        <v>1781</v>
      </c>
      <c r="C163" s="296" t="s">
        <v>444</v>
      </c>
      <c r="D163" s="295">
        <v>265</v>
      </c>
      <c r="E163" s="149">
        <v>0.4</v>
      </c>
      <c r="F163" s="186">
        <f t="shared" si="8"/>
        <v>106</v>
      </c>
      <c r="G163" s="186"/>
      <c r="H163" s="186">
        <f t="shared" si="7"/>
        <v>106</v>
      </c>
      <c r="I163" s="136">
        <v>7287174</v>
      </c>
      <c r="J163" s="311" t="s">
        <v>445</v>
      </c>
      <c r="K163" s="136" t="s">
        <v>52</v>
      </c>
      <c r="L163" s="136" t="s">
        <v>53</v>
      </c>
      <c r="M163" s="136">
        <v>99673747</v>
      </c>
      <c r="N163" s="140"/>
      <c r="P163" s="5"/>
      <c r="S163" s="5"/>
      <c r="U163" s="5"/>
      <c r="W163" s="5"/>
      <c r="Y163" s="5"/>
      <c r="AA163" s="5"/>
    </row>
    <row r="164" spans="1:27" s="17" customFormat="1" ht="21.75" customHeight="1" x14ac:dyDescent="0.25">
      <c r="A164" s="141">
        <v>162</v>
      </c>
      <c r="B164" s="142">
        <v>1782</v>
      </c>
      <c r="C164" s="143" t="s">
        <v>446</v>
      </c>
      <c r="D164" s="185">
        <v>89.2</v>
      </c>
      <c r="E164" s="182">
        <v>0.4</v>
      </c>
      <c r="F164" s="182">
        <f t="shared" si="8"/>
        <v>35.68</v>
      </c>
      <c r="G164" s="182">
        <f>31.23</f>
        <v>31.23</v>
      </c>
      <c r="H164" s="182">
        <f t="shared" si="7"/>
        <v>4.4499999999999993</v>
      </c>
      <c r="I164" s="144">
        <v>19818711</v>
      </c>
      <c r="J164" s="159" t="s">
        <v>447</v>
      </c>
      <c r="K164" s="144" t="s">
        <v>31</v>
      </c>
      <c r="L164" s="144" t="s">
        <v>32</v>
      </c>
      <c r="M164" s="144">
        <v>92204006</v>
      </c>
      <c r="N164" s="318">
        <v>45684</v>
      </c>
      <c r="P164" s="5"/>
      <c r="S164" s="5"/>
      <c r="U164" s="5"/>
      <c r="W164" s="5"/>
      <c r="Y164" s="5"/>
      <c r="AA164" s="5"/>
    </row>
    <row r="165" spans="1:27" s="17" customFormat="1" ht="21.75" customHeight="1" x14ac:dyDescent="0.25">
      <c r="A165" s="141">
        <v>163</v>
      </c>
      <c r="B165" s="142">
        <v>1783</v>
      </c>
      <c r="C165" s="143" t="s">
        <v>177</v>
      </c>
      <c r="D165" s="185">
        <v>244.6</v>
      </c>
      <c r="E165" s="182">
        <v>0.4</v>
      </c>
      <c r="F165" s="182">
        <f t="shared" si="8"/>
        <v>97.84</v>
      </c>
      <c r="G165" s="182">
        <f>97.31</f>
        <v>97.31</v>
      </c>
      <c r="H165" s="182">
        <f t="shared" si="7"/>
        <v>0.53000000000000114</v>
      </c>
      <c r="I165" s="144">
        <v>1500187</v>
      </c>
      <c r="J165" s="159" t="s">
        <v>178</v>
      </c>
      <c r="K165" s="144" t="s">
        <v>31</v>
      </c>
      <c r="L165" s="144" t="s">
        <v>32</v>
      </c>
      <c r="M165" s="144">
        <v>91159122</v>
      </c>
      <c r="N165" s="318">
        <v>45691</v>
      </c>
      <c r="P165" s="5"/>
      <c r="S165" s="5"/>
      <c r="U165" s="5"/>
      <c r="W165" s="5"/>
      <c r="Y165" s="5"/>
      <c r="AA165" s="5"/>
    </row>
    <row r="166" spans="1:27" s="17" customFormat="1" ht="21.75" customHeight="1" x14ac:dyDescent="0.25">
      <c r="A166" s="146">
        <v>164</v>
      </c>
      <c r="B166" s="235">
        <v>1784</v>
      </c>
      <c r="C166" s="296" t="s">
        <v>448</v>
      </c>
      <c r="D166" s="295">
        <v>360</v>
      </c>
      <c r="E166" s="149">
        <v>0.4</v>
      </c>
      <c r="F166" s="186">
        <f t="shared" si="8"/>
        <v>144</v>
      </c>
      <c r="G166" s="186"/>
      <c r="H166" s="186">
        <f t="shared" si="7"/>
        <v>144</v>
      </c>
      <c r="I166" s="136">
        <v>19534652</v>
      </c>
      <c r="J166" s="313" t="s">
        <v>449</v>
      </c>
      <c r="K166" s="136" t="s">
        <v>52</v>
      </c>
      <c r="L166" s="136" t="s">
        <v>53</v>
      </c>
      <c r="M166" s="136">
        <v>99296177</v>
      </c>
      <c r="N166" s="140"/>
      <c r="P166" s="5"/>
      <c r="S166" s="5"/>
      <c r="U166" s="5"/>
      <c r="W166" s="5"/>
      <c r="Y166" s="5"/>
      <c r="AA166" s="5"/>
    </row>
    <row r="167" spans="1:27" s="17" customFormat="1" ht="21.75" customHeight="1" x14ac:dyDescent="0.25">
      <c r="A167" s="146">
        <v>165</v>
      </c>
      <c r="B167" s="235">
        <v>1785</v>
      </c>
      <c r="C167" s="296" t="s">
        <v>179</v>
      </c>
      <c r="D167" s="295">
        <v>278.5</v>
      </c>
      <c r="E167" s="149">
        <v>0.4</v>
      </c>
      <c r="F167" s="186">
        <f t="shared" si="8"/>
        <v>111.4</v>
      </c>
      <c r="G167" s="186"/>
      <c r="H167" s="186">
        <f t="shared" si="7"/>
        <v>111.4</v>
      </c>
      <c r="I167" s="136">
        <v>7374743</v>
      </c>
      <c r="J167" s="311" t="s">
        <v>180</v>
      </c>
      <c r="K167" s="136" t="s">
        <v>31</v>
      </c>
      <c r="L167" s="136" t="s">
        <v>32</v>
      </c>
      <c r="M167" s="136">
        <v>93875087</v>
      </c>
      <c r="N167" s="140"/>
      <c r="P167" s="5"/>
      <c r="S167" s="5"/>
      <c r="U167" s="5"/>
      <c r="W167" s="5"/>
      <c r="Y167" s="5"/>
      <c r="AA167" s="5"/>
    </row>
    <row r="168" spans="1:27" s="17" customFormat="1" ht="21.75" customHeight="1" x14ac:dyDescent="0.25">
      <c r="A168" s="146">
        <v>166</v>
      </c>
      <c r="B168" s="235">
        <v>1786</v>
      </c>
      <c r="C168" s="296" t="s">
        <v>181</v>
      </c>
      <c r="D168" s="295">
        <v>232.5</v>
      </c>
      <c r="E168" s="149">
        <v>0.4</v>
      </c>
      <c r="F168" s="186">
        <f t="shared" si="8"/>
        <v>93</v>
      </c>
      <c r="G168" s="186"/>
      <c r="H168" s="186">
        <f t="shared" si="7"/>
        <v>93</v>
      </c>
      <c r="I168" s="136">
        <v>5614637</v>
      </c>
      <c r="J168" s="311" t="s">
        <v>182</v>
      </c>
      <c r="K168" s="136" t="s">
        <v>31</v>
      </c>
      <c r="L168" s="136" t="s">
        <v>32</v>
      </c>
      <c r="M168" s="136">
        <v>92924645</v>
      </c>
      <c r="N168" s="312"/>
      <c r="P168" s="5"/>
      <c r="S168" s="5"/>
      <c r="U168" s="5"/>
      <c r="W168" s="5"/>
      <c r="Y168" s="5"/>
      <c r="AA168" s="5"/>
    </row>
    <row r="169" spans="1:27" s="17" customFormat="1" ht="21.75" customHeight="1" x14ac:dyDescent="0.25">
      <c r="A169" s="146">
        <v>167</v>
      </c>
      <c r="B169" s="235">
        <v>1787</v>
      </c>
      <c r="C169" s="296" t="s">
        <v>77</v>
      </c>
      <c r="D169" s="295">
        <v>285</v>
      </c>
      <c r="E169" s="149">
        <v>0.4</v>
      </c>
      <c r="F169" s="186">
        <f t="shared" si="8"/>
        <v>114</v>
      </c>
      <c r="G169" s="186"/>
      <c r="H169" s="186">
        <f t="shared" si="7"/>
        <v>114</v>
      </c>
      <c r="I169" s="136">
        <v>22980157</v>
      </c>
      <c r="J169" s="311" t="s">
        <v>78</v>
      </c>
      <c r="K169" s="136" t="s">
        <v>31</v>
      </c>
      <c r="L169" s="136" t="s">
        <v>32</v>
      </c>
      <c r="M169" s="136">
        <v>91490491</v>
      </c>
      <c r="N169" s="140"/>
      <c r="P169" s="5"/>
      <c r="S169" s="5"/>
      <c r="U169" s="5"/>
      <c r="W169" s="5"/>
      <c r="Y169" s="5"/>
      <c r="AA169" s="5"/>
    </row>
    <row r="170" spans="1:27" s="17" customFormat="1" ht="21.75" customHeight="1" x14ac:dyDescent="0.25">
      <c r="A170" s="146">
        <v>168</v>
      </c>
      <c r="B170" s="235">
        <v>1788</v>
      </c>
      <c r="C170" s="296" t="s">
        <v>450</v>
      </c>
      <c r="D170" s="295">
        <v>285</v>
      </c>
      <c r="E170" s="149">
        <v>0.4</v>
      </c>
      <c r="F170" s="186">
        <f t="shared" si="8"/>
        <v>114</v>
      </c>
      <c r="G170" s="186"/>
      <c r="H170" s="186">
        <f t="shared" si="7"/>
        <v>114</v>
      </c>
      <c r="I170" s="136">
        <v>25632707</v>
      </c>
      <c r="J170" s="311" t="s">
        <v>451</v>
      </c>
      <c r="K170" s="136" t="s">
        <v>31</v>
      </c>
      <c r="L170" s="136" t="s">
        <v>32</v>
      </c>
      <c r="M170" s="136"/>
      <c r="N170" s="140"/>
      <c r="P170" s="5"/>
      <c r="S170" s="5"/>
      <c r="U170" s="5"/>
      <c r="W170" s="5"/>
      <c r="Y170" s="5"/>
      <c r="AA170" s="5"/>
    </row>
    <row r="171" spans="1:27" s="17" customFormat="1" ht="21.75" customHeight="1" x14ac:dyDescent="0.25">
      <c r="A171" s="146">
        <v>169</v>
      </c>
      <c r="B171" s="235">
        <v>1789</v>
      </c>
      <c r="C171" s="296" t="s">
        <v>452</v>
      </c>
      <c r="D171" s="295">
        <v>304</v>
      </c>
      <c r="E171" s="149">
        <v>0.4</v>
      </c>
      <c r="F171" s="186">
        <f t="shared" si="8"/>
        <v>121.60000000000001</v>
      </c>
      <c r="G171" s="186"/>
      <c r="H171" s="186">
        <f t="shared" si="7"/>
        <v>121.60000000000001</v>
      </c>
      <c r="I171" s="136">
        <v>6687053</v>
      </c>
      <c r="J171" s="311" t="s">
        <v>453</v>
      </c>
      <c r="K171" s="136" t="s">
        <v>31</v>
      </c>
      <c r="L171" s="136" t="s">
        <v>32</v>
      </c>
      <c r="M171" s="136"/>
      <c r="N171" s="140"/>
      <c r="P171" s="5"/>
      <c r="S171" s="5"/>
      <c r="U171" s="5"/>
      <c r="W171" s="5"/>
      <c r="Y171" s="5"/>
      <c r="AA171" s="5"/>
    </row>
    <row r="172" spans="1:27" s="17" customFormat="1" ht="21.75" customHeight="1" x14ac:dyDescent="0.25">
      <c r="A172" s="146">
        <v>170</v>
      </c>
      <c r="B172" s="235">
        <v>1790</v>
      </c>
      <c r="C172" s="296" t="s">
        <v>454</v>
      </c>
      <c r="D172" s="295">
        <v>197.5</v>
      </c>
      <c r="E172" s="149">
        <v>0.4</v>
      </c>
      <c r="F172" s="186">
        <f t="shared" si="8"/>
        <v>79</v>
      </c>
      <c r="G172" s="186"/>
      <c r="H172" s="186">
        <f t="shared" si="7"/>
        <v>79</v>
      </c>
      <c r="I172" s="136">
        <v>22971771</v>
      </c>
      <c r="J172" s="311" t="s">
        <v>455</v>
      </c>
      <c r="K172" s="136" t="s">
        <v>31</v>
      </c>
      <c r="L172" s="136" t="s">
        <v>32</v>
      </c>
      <c r="M172" s="136">
        <v>90976223</v>
      </c>
      <c r="N172" s="140"/>
      <c r="P172" s="5"/>
      <c r="S172" s="5"/>
      <c r="U172" s="5"/>
      <c r="W172" s="5"/>
      <c r="Y172" s="5"/>
      <c r="AA172" s="5"/>
    </row>
    <row r="173" spans="1:27" s="17" customFormat="1" ht="21.75" customHeight="1" x14ac:dyDescent="0.25">
      <c r="A173" s="146">
        <v>171</v>
      </c>
      <c r="B173" s="235">
        <v>1791</v>
      </c>
      <c r="C173" s="296" t="s">
        <v>80</v>
      </c>
      <c r="D173" s="295">
        <v>285</v>
      </c>
      <c r="E173" s="149">
        <v>0.4</v>
      </c>
      <c r="F173" s="186">
        <f t="shared" si="8"/>
        <v>114</v>
      </c>
      <c r="G173" s="186"/>
      <c r="H173" s="186">
        <f t="shared" si="7"/>
        <v>114</v>
      </c>
      <c r="I173" s="136">
        <v>5335073</v>
      </c>
      <c r="J173" s="311" t="s">
        <v>81</v>
      </c>
      <c r="K173" s="136" t="s">
        <v>31</v>
      </c>
      <c r="L173" s="136" t="s">
        <v>32</v>
      </c>
      <c r="M173" s="136">
        <v>99806280</v>
      </c>
      <c r="N173" s="140"/>
      <c r="P173" s="5"/>
      <c r="S173" s="5"/>
      <c r="U173" s="5"/>
      <c r="W173" s="5"/>
      <c r="Y173" s="5"/>
      <c r="AA173" s="5"/>
    </row>
    <row r="174" spans="1:27" s="17" customFormat="1" ht="21.75" customHeight="1" x14ac:dyDescent="0.25">
      <c r="A174" s="141">
        <v>172</v>
      </c>
      <c r="B174" s="142">
        <v>1793</v>
      </c>
      <c r="C174" s="143" t="s">
        <v>456</v>
      </c>
      <c r="D174" s="185">
        <v>734.5</v>
      </c>
      <c r="E174" s="182">
        <v>0.4</v>
      </c>
      <c r="F174" s="182">
        <f t="shared" si="8"/>
        <v>293.8</v>
      </c>
      <c r="G174" s="182">
        <f>291.01</f>
        <v>291.01</v>
      </c>
      <c r="H174" s="182">
        <f t="shared" si="7"/>
        <v>2.7900000000000205</v>
      </c>
      <c r="I174" s="144">
        <v>1629686</v>
      </c>
      <c r="J174" s="159" t="s">
        <v>457</v>
      </c>
      <c r="K174" s="144" t="s">
        <v>31</v>
      </c>
      <c r="L174" s="144" t="s">
        <v>32</v>
      </c>
      <c r="M174" s="144"/>
      <c r="N174" s="318">
        <v>45810</v>
      </c>
      <c r="P174" s="5"/>
      <c r="S174" s="5"/>
      <c r="U174" s="5"/>
      <c r="W174" s="5"/>
      <c r="Y174" s="5"/>
      <c r="AA174" s="5"/>
    </row>
    <row r="175" spans="1:27" s="17" customFormat="1" ht="21.75" customHeight="1" x14ac:dyDescent="0.25">
      <c r="A175" s="141">
        <v>173</v>
      </c>
      <c r="B175" s="142">
        <v>1794</v>
      </c>
      <c r="C175" s="143" t="s">
        <v>82</v>
      </c>
      <c r="D175" s="185">
        <v>303.7</v>
      </c>
      <c r="E175" s="182">
        <v>0.4</v>
      </c>
      <c r="F175" s="182">
        <f t="shared" si="8"/>
        <v>121.48</v>
      </c>
      <c r="G175" s="182">
        <f>117.6</f>
        <v>117.6</v>
      </c>
      <c r="H175" s="182">
        <f t="shared" si="7"/>
        <v>3.8800000000000097</v>
      </c>
      <c r="I175" s="144">
        <v>6122928</v>
      </c>
      <c r="J175" s="159" t="s">
        <v>83</v>
      </c>
      <c r="K175" s="144" t="s">
        <v>31</v>
      </c>
      <c r="L175" s="144" t="s">
        <v>32</v>
      </c>
      <c r="M175" s="144"/>
      <c r="N175" s="318">
        <v>45691</v>
      </c>
      <c r="P175" s="5"/>
      <c r="S175" s="5"/>
      <c r="U175" s="5"/>
      <c r="W175" s="5"/>
      <c r="Y175" s="5"/>
      <c r="AA175" s="5"/>
    </row>
    <row r="176" spans="1:27" s="17" customFormat="1" ht="21.75" customHeight="1" x14ac:dyDescent="0.25">
      <c r="A176" s="141">
        <v>174</v>
      </c>
      <c r="B176" s="142">
        <v>1795</v>
      </c>
      <c r="C176" s="143" t="s">
        <v>458</v>
      </c>
      <c r="D176" s="185">
        <v>460.6</v>
      </c>
      <c r="E176" s="182">
        <v>0.4</v>
      </c>
      <c r="F176" s="182">
        <f t="shared" si="8"/>
        <v>184.24</v>
      </c>
      <c r="G176" s="182">
        <f>180.96</f>
        <v>180.96</v>
      </c>
      <c r="H176" s="182">
        <f t="shared" si="7"/>
        <v>3.2800000000000011</v>
      </c>
      <c r="I176" s="144">
        <v>6496299</v>
      </c>
      <c r="J176" s="159" t="s">
        <v>459</v>
      </c>
      <c r="K176" s="144" t="s">
        <v>121</v>
      </c>
      <c r="L176" s="144" t="s">
        <v>122</v>
      </c>
      <c r="M176" s="144"/>
      <c r="N176" s="318">
        <v>45684</v>
      </c>
      <c r="P176" s="5"/>
      <c r="S176" s="5"/>
      <c r="U176" s="5"/>
      <c r="W176" s="5"/>
      <c r="Y176" s="5"/>
      <c r="AA176" s="5"/>
    </row>
    <row r="177" spans="1:27" s="17" customFormat="1" ht="21.75" customHeight="1" x14ac:dyDescent="0.25">
      <c r="A177" s="141">
        <v>175</v>
      </c>
      <c r="B177" s="142">
        <v>1796</v>
      </c>
      <c r="C177" s="143" t="s">
        <v>460</v>
      </c>
      <c r="D177" s="185">
        <v>293.7</v>
      </c>
      <c r="E177" s="182">
        <v>0.4</v>
      </c>
      <c r="F177" s="182">
        <f t="shared" si="8"/>
        <v>117.48</v>
      </c>
      <c r="G177" s="182">
        <f>117.38</f>
        <v>117.38</v>
      </c>
      <c r="H177" s="182">
        <f t="shared" si="7"/>
        <v>0.10000000000000853</v>
      </c>
      <c r="I177" s="144">
        <v>7140382</v>
      </c>
      <c r="J177" s="214" t="s">
        <v>461</v>
      </c>
      <c r="K177" s="144" t="s">
        <v>31</v>
      </c>
      <c r="L177" s="144" t="s">
        <v>32</v>
      </c>
      <c r="M177" s="144"/>
      <c r="N177" s="318">
        <v>45677</v>
      </c>
      <c r="P177" s="5"/>
      <c r="S177" s="5"/>
      <c r="U177" s="5"/>
      <c r="W177" s="5"/>
      <c r="Y177" s="5"/>
      <c r="AA177" s="5"/>
    </row>
    <row r="178" spans="1:27" s="17" customFormat="1" ht="21.75" customHeight="1" x14ac:dyDescent="0.25">
      <c r="A178" s="146">
        <v>176</v>
      </c>
      <c r="B178" s="235">
        <v>1797</v>
      </c>
      <c r="C178" s="296" t="s">
        <v>463</v>
      </c>
      <c r="D178" s="295">
        <v>285</v>
      </c>
      <c r="E178" s="149">
        <v>0.4</v>
      </c>
      <c r="F178" s="186">
        <f t="shared" si="8"/>
        <v>114</v>
      </c>
      <c r="G178" s="186"/>
      <c r="H178" s="186">
        <f t="shared" si="7"/>
        <v>114</v>
      </c>
      <c r="I178" s="136">
        <v>3677869</v>
      </c>
      <c r="J178" s="311" t="s">
        <v>464</v>
      </c>
      <c r="K178" s="136" t="s">
        <v>31</v>
      </c>
      <c r="L178" s="136" t="s">
        <v>32</v>
      </c>
      <c r="M178" s="136">
        <v>72522066</v>
      </c>
      <c r="N178" s="140"/>
      <c r="P178" s="5"/>
      <c r="S178" s="5"/>
      <c r="U178" s="5"/>
      <c r="W178" s="5"/>
      <c r="Y178" s="5"/>
      <c r="AA178" s="5"/>
    </row>
    <row r="179" spans="1:27" s="17" customFormat="1" ht="21.75" customHeight="1" x14ac:dyDescent="0.25">
      <c r="A179" s="146">
        <v>177</v>
      </c>
      <c r="B179" s="235">
        <v>1798</v>
      </c>
      <c r="C179" s="296" t="s">
        <v>84</v>
      </c>
      <c r="D179" s="295">
        <v>272</v>
      </c>
      <c r="E179" s="149">
        <v>0.4</v>
      </c>
      <c r="F179" s="186">
        <f t="shared" si="8"/>
        <v>108.80000000000001</v>
      </c>
      <c r="G179" s="186"/>
      <c r="H179" s="186">
        <f t="shared" si="7"/>
        <v>108.80000000000001</v>
      </c>
      <c r="I179" s="136">
        <v>5314229</v>
      </c>
      <c r="J179" s="314" t="s">
        <v>85</v>
      </c>
      <c r="K179" s="136" t="s">
        <v>52</v>
      </c>
      <c r="L179" s="136" t="s">
        <v>53</v>
      </c>
      <c r="M179" s="136"/>
      <c r="N179" s="140"/>
      <c r="P179" s="5"/>
      <c r="S179" s="5"/>
      <c r="U179" s="5"/>
      <c r="W179" s="5"/>
      <c r="Y179" s="5"/>
      <c r="AA179" s="5"/>
    </row>
    <row r="180" spans="1:27" s="17" customFormat="1" ht="21.75" customHeight="1" x14ac:dyDescent="0.25">
      <c r="A180" s="141">
        <v>178</v>
      </c>
      <c r="B180" s="142">
        <v>1799</v>
      </c>
      <c r="C180" s="143" t="s">
        <v>183</v>
      </c>
      <c r="D180" s="185">
        <v>263.2</v>
      </c>
      <c r="E180" s="182">
        <v>0.4</v>
      </c>
      <c r="F180" s="182">
        <f t="shared" si="8"/>
        <v>105.28</v>
      </c>
      <c r="G180" s="182">
        <f>104.56</f>
        <v>104.56</v>
      </c>
      <c r="H180" s="182">
        <f t="shared" si="7"/>
        <v>0.71999999999999886</v>
      </c>
      <c r="I180" s="144">
        <v>5219843</v>
      </c>
      <c r="J180" s="159" t="s">
        <v>184</v>
      </c>
      <c r="K180" s="144" t="s">
        <v>31</v>
      </c>
      <c r="L180" s="144" t="s">
        <v>32</v>
      </c>
      <c r="M180" s="144"/>
      <c r="N180" s="318">
        <v>45684</v>
      </c>
      <c r="P180" s="5"/>
      <c r="S180" s="5"/>
      <c r="U180" s="5"/>
      <c r="W180" s="5"/>
      <c r="Y180" s="5"/>
      <c r="AA180" s="5"/>
    </row>
    <row r="181" spans="1:27" s="17" customFormat="1" ht="21.75" customHeight="1" x14ac:dyDescent="0.25">
      <c r="A181" s="146">
        <v>179</v>
      </c>
      <c r="B181" s="235">
        <v>1800</v>
      </c>
      <c r="C181" s="296" t="s">
        <v>185</v>
      </c>
      <c r="D181" s="295">
        <v>281.60000000000002</v>
      </c>
      <c r="E181" s="149">
        <v>0.4</v>
      </c>
      <c r="F181" s="186">
        <f t="shared" si="8"/>
        <v>112.64000000000001</v>
      </c>
      <c r="G181" s="186"/>
      <c r="H181" s="186">
        <f t="shared" si="7"/>
        <v>112.64000000000001</v>
      </c>
      <c r="I181" s="136">
        <v>7293505</v>
      </c>
      <c r="J181" s="315" t="s">
        <v>186</v>
      </c>
      <c r="K181" s="136" t="s">
        <v>31</v>
      </c>
      <c r="L181" s="136" t="s">
        <v>32</v>
      </c>
      <c r="M181" s="136">
        <v>99189910</v>
      </c>
      <c r="N181" s="312"/>
      <c r="P181" s="5"/>
      <c r="S181" s="5"/>
      <c r="U181" s="5"/>
      <c r="W181" s="5"/>
      <c r="Y181" s="5"/>
      <c r="AA181" s="5"/>
    </row>
    <row r="182" spans="1:27" s="17" customFormat="1" ht="21.75" customHeight="1" x14ac:dyDescent="0.25">
      <c r="A182" s="154">
        <v>180</v>
      </c>
      <c r="B182" s="230">
        <v>1801</v>
      </c>
      <c r="C182" s="152" t="s">
        <v>187</v>
      </c>
      <c r="D182" s="231">
        <v>300.7</v>
      </c>
      <c r="E182" s="232">
        <v>0.4</v>
      </c>
      <c r="F182" s="232">
        <f t="shared" si="8"/>
        <v>120.28</v>
      </c>
      <c r="G182" s="232">
        <f>F182</f>
        <v>120.28</v>
      </c>
      <c r="H182" s="232">
        <f t="shared" si="7"/>
        <v>0</v>
      </c>
      <c r="I182" s="153">
        <v>655141</v>
      </c>
      <c r="J182" s="233" t="s">
        <v>188</v>
      </c>
      <c r="K182" s="153" t="s">
        <v>155</v>
      </c>
      <c r="L182" s="153" t="s">
        <v>156</v>
      </c>
      <c r="M182" s="153"/>
      <c r="N182" s="327" t="s">
        <v>582</v>
      </c>
      <c r="P182" s="5"/>
      <c r="S182" s="5"/>
      <c r="U182" s="5"/>
      <c r="W182" s="5"/>
      <c r="Y182" s="5"/>
      <c r="AA182" s="5"/>
    </row>
    <row r="183" spans="1:27" s="17" customFormat="1" ht="21.75" customHeight="1" x14ac:dyDescent="0.25">
      <c r="A183" s="141">
        <v>181</v>
      </c>
      <c r="B183" s="142">
        <v>1802</v>
      </c>
      <c r="C183" s="143" t="s">
        <v>465</v>
      </c>
      <c r="D183" s="185">
        <v>265.3</v>
      </c>
      <c r="E183" s="182">
        <v>0.4</v>
      </c>
      <c r="F183" s="182">
        <f t="shared" si="8"/>
        <v>106.12</v>
      </c>
      <c r="G183" s="182">
        <f>102.56</f>
        <v>102.56</v>
      </c>
      <c r="H183" s="182">
        <f t="shared" si="7"/>
        <v>3.5600000000000023</v>
      </c>
      <c r="I183" s="144">
        <v>14760225</v>
      </c>
      <c r="J183" s="214" t="s">
        <v>466</v>
      </c>
      <c r="K183" s="144" t="s">
        <v>31</v>
      </c>
      <c r="L183" s="144" t="s">
        <v>32</v>
      </c>
      <c r="M183" s="144"/>
      <c r="N183" s="318">
        <v>45679</v>
      </c>
      <c r="P183" s="5"/>
      <c r="S183" s="5"/>
      <c r="U183" s="5"/>
      <c r="W183" s="5"/>
      <c r="Y183" s="5"/>
      <c r="AA183" s="5"/>
    </row>
    <row r="184" spans="1:27" s="17" customFormat="1" ht="21.75" customHeight="1" x14ac:dyDescent="0.25">
      <c r="A184" s="146">
        <v>182</v>
      </c>
      <c r="B184" s="235">
        <v>1803</v>
      </c>
      <c r="C184" s="296" t="s">
        <v>467</v>
      </c>
      <c r="D184" s="295">
        <v>483.7</v>
      </c>
      <c r="E184" s="149">
        <v>0.4</v>
      </c>
      <c r="F184" s="186">
        <f t="shared" si="8"/>
        <v>193.48000000000002</v>
      </c>
      <c r="G184" s="186"/>
      <c r="H184" s="186">
        <f t="shared" si="7"/>
        <v>193.48000000000002</v>
      </c>
      <c r="I184" s="136">
        <v>5502798</v>
      </c>
      <c r="J184" s="314" t="s">
        <v>468</v>
      </c>
      <c r="K184" s="136" t="s">
        <v>52</v>
      </c>
      <c r="L184" s="136" t="s">
        <v>53</v>
      </c>
      <c r="M184" s="136"/>
      <c r="N184" s="312"/>
      <c r="P184" s="5"/>
      <c r="S184" s="5"/>
      <c r="U184" s="5"/>
      <c r="W184" s="5"/>
      <c r="Y184" s="5"/>
      <c r="AA184" s="5"/>
    </row>
    <row r="185" spans="1:27" s="17" customFormat="1" ht="21.75" customHeight="1" x14ac:dyDescent="0.25">
      <c r="A185" s="146">
        <v>183</v>
      </c>
      <c r="B185" s="235">
        <v>1804</v>
      </c>
      <c r="C185" s="296" t="s">
        <v>469</v>
      </c>
      <c r="D185" s="295">
        <v>221.6</v>
      </c>
      <c r="E185" s="149">
        <v>0.4</v>
      </c>
      <c r="F185" s="186">
        <f t="shared" si="8"/>
        <v>88.64</v>
      </c>
      <c r="G185" s="186"/>
      <c r="H185" s="186">
        <f t="shared" si="7"/>
        <v>88.64</v>
      </c>
      <c r="I185" s="136">
        <v>19623766</v>
      </c>
      <c r="J185" s="314" t="s">
        <v>470</v>
      </c>
      <c r="K185" s="136" t="s">
        <v>52</v>
      </c>
      <c r="L185" s="136" t="s">
        <v>53</v>
      </c>
      <c r="M185" s="136"/>
      <c r="N185" s="140"/>
      <c r="P185" s="5"/>
      <c r="S185" s="5"/>
      <c r="U185" s="5"/>
      <c r="W185" s="5"/>
      <c r="Y185" s="5"/>
      <c r="AA185" s="5"/>
    </row>
    <row r="186" spans="1:27" s="17" customFormat="1" ht="21.75" customHeight="1" x14ac:dyDescent="0.25">
      <c r="A186" s="146">
        <v>184</v>
      </c>
      <c r="B186" s="235">
        <v>1805</v>
      </c>
      <c r="C186" s="296" t="s">
        <v>471</v>
      </c>
      <c r="D186" s="295">
        <v>417.4</v>
      </c>
      <c r="E186" s="149">
        <v>0.4</v>
      </c>
      <c r="F186" s="186">
        <f t="shared" ref="F186:F217" si="9">D186*E186</f>
        <v>166.96</v>
      </c>
      <c r="G186" s="186"/>
      <c r="H186" s="186">
        <f t="shared" si="7"/>
        <v>166.96</v>
      </c>
      <c r="I186" s="136">
        <v>1648586</v>
      </c>
      <c r="J186" s="314" t="s">
        <v>472</v>
      </c>
      <c r="K186" s="136" t="s">
        <v>31</v>
      </c>
      <c r="L186" s="136" t="s">
        <v>32</v>
      </c>
      <c r="M186" s="136">
        <v>96030388</v>
      </c>
      <c r="N186" s="140"/>
      <c r="P186" s="5"/>
      <c r="S186" s="5"/>
      <c r="U186" s="5"/>
      <c r="W186" s="5"/>
      <c r="Y186" s="5"/>
      <c r="AA186" s="5"/>
    </row>
    <row r="187" spans="1:27" s="54" customFormat="1" ht="21.75" customHeight="1" x14ac:dyDescent="0.25">
      <c r="A187" s="141">
        <v>185</v>
      </c>
      <c r="B187" s="142">
        <v>1808</v>
      </c>
      <c r="C187" s="143" t="s">
        <v>86</v>
      </c>
      <c r="D187" s="185">
        <v>267.7</v>
      </c>
      <c r="E187" s="182">
        <v>0.4</v>
      </c>
      <c r="F187" s="182">
        <f t="shared" si="9"/>
        <v>107.08</v>
      </c>
      <c r="G187" s="182">
        <f>104.17</f>
        <v>104.17</v>
      </c>
      <c r="H187" s="182">
        <f t="shared" si="7"/>
        <v>2.9099999999999966</v>
      </c>
      <c r="I187" s="144">
        <v>611136</v>
      </c>
      <c r="J187" s="197" t="s">
        <v>87</v>
      </c>
      <c r="K187" s="144" t="s">
        <v>26</v>
      </c>
      <c r="L187" s="144" t="s">
        <v>27</v>
      </c>
      <c r="M187" s="144"/>
      <c r="N187" s="318">
        <v>45963</v>
      </c>
    </row>
    <row r="188" spans="1:27" s="17" customFormat="1" ht="21.75" customHeight="1" x14ac:dyDescent="0.25">
      <c r="A188" s="146">
        <v>186</v>
      </c>
      <c r="B188" s="235">
        <v>1809</v>
      </c>
      <c r="C188" s="296" t="s">
        <v>474</v>
      </c>
      <c r="D188" s="295">
        <v>282.3</v>
      </c>
      <c r="E188" s="149">
        <v>0.4</v>
      </c>
      <c r="F188" s="186">
        <f t="shared" si="9"/>
        <v>112.92000000000002</v>
      </c>
      <c r="G188" s="186"/>
      <c r="H188" s="186">
        <f t="shared" si="7"/>
        <v>112.92000000000002</v>
      </c>
      <c r="I188" s="136">
        <v>14957086</v>
      </c>
      <c r="J188" s="314" t="s">
        <v>475</v>
      </c>
      <c r="K188" s="136" t="s">
        <v>31</v>
      </c>
      <c r="L188" s="136" t="s">
        <v>32</v>
      </c>
      <c r="M188" s="136"/>
      <c r="N188" s="140"/>
      <c r="P188" s="5"/>
      <c r="S188" s="5"/>
      <c r="U188" s="5"/>
      <c r="W188" s="5"/>
      <c r="Y188" s="5"/>
      <c r="AA188" s="5"/>
    </row>
    <row r="189" spans="1:27" s="17" customFormat="1" ht="21.75" customHeight="1" x14ac:dyDescent="0.25">
      <c r="A189" s="141">
        <v>187</v>
      </c>
      <c r="B189" s="142">
        <v>1811</v>
      </c>
      <c r="C189" s="143" t="s">
        <v>476</v>
      </c>
      <c r="D189" s="185">
        <v>371.2</v>
      </c>
      <c r="E189" s="182">
        <v>0.4</v>
      </c>
      <c r="F189" s="182">
        <f t="shared" si="9"/>
        <v>148.47999999999999</v>
      </c>
      <c r="G189" s="182">
        <f>147.18</f>
        <v>147.18</v>
      </c>
      <c r="H189" s="182">
        <f t="shared" si="7"/>
        <v>1.2999999999999829</v>
      </c>
      <c r="I189" s="144">
        <v>6384618</v>
      </c>
      <c r="J189" s="214" t="s">
        <v>477</v>
      </c>
      <c r="K189" s="144" t="s">
        <v>31</v>
      </c>
      <c r="L189" s="144" t="s">
        <v>32</v>
      </c>
      <c r="M189" s="144"/>
      <c r="N189" s="318">
        <v>45677</v>
      </c>
      <c r="P189" s="5"/>
      <c r="S189" s="5"/>
      <c r="U189" s="5"/>
      <c r="W189" s="5"/>
      <c r="Y189" s="5"/>
      <c r="AA189" s="5"/>
    </row>
    <row r="190" spans="1:27" s="17" customFormat="1" ht="21.75" customHeight="1" x14ac:dyDescent="0.25">
      <c r="A190" s="141">
        <v>188</v>
      </c>
      <c r="B190" s="142">
        <v>1812</v>
      </c>
      <c r="C190" s="143" t="s">
        <v>478</v>
      </c>
      <c r="D190" s="185">
        <v>285</v>
      </c>
      <c r="E190" s="182">
        <v>0.4</v>
      </c>
      <c r="F190" s="182">
        <f t="shared" si="9"/>
        <v>114</v>
      </c>
      <c r="G190" s="182">
        <f>110.98</f>
        <v>110.98</v>
      </c>
      <c r="H190" s="182">
        <f t="shared" si="7"/>
        <v>3.019999999999996</v>
      </c>
      <c r="I190" s="144">
        <v>4748659</v>
      </c>
      <c r="J190" s="214" t="s">
        <v>479</v>
      </c>
      <c r="K190" s="144" t="s">
        <v>52</v>
      </c>
      <c r="L190" s="144" t="s">
        <v>53</v>
      </c>
      <c r="M190" s="144">
        <v>98170004</v>
      </c>
      <c r="N190" s="318">
        <v>45679</v>
      </c>
      <c r="P190" s="5"/>
      <c r="S190" s="5"/>
      <c r="U190" s="5"/>
      <c r="W190" s="5"/>
      <c r="Y190" s="5"/>
      <c r="AA190" s="5"/>
    </row>
    <row r="191" spans="1:27" s="17" customFormat="1" ht="21.75" customHeight="1" x14ac:dyDescent="0.25">
      <c r="A191" s="146">
        <v>189</v>
      </c>
      <c r="B191" s="235">
        <v>1813</v>
      </c>
      <c r="C191" s="296" t="s">
        <v>481</v>
      </c>
      <c r="D191" s="295">
        <v>253.1</v>
      </c>
      <c r="E191" s="149">
        <v>0.4</v>
      </c>
      <c r="F191" s="186">
        <f t="shared" si="9"/>
        <v>101.24000000000001</v>
      </c>
      <c r="G191" s="186"/>
      <c r="H191" s="186">
        <f t="shared" si="7"/>
        <v>101.24000000000001</v>
      </c>
      <c r="I191" s="136">
        <v>2942396</v>
      </c>
      <c r="J191" s="315" t="s">
        <v>482</v>
      </c>
      <c r="K191" s="136" t="s">
        <v>52</v>
      </c>
      <c r="L191" s="136" t="s">
        <v>53</v>
      </c>
      <c r="M191" s="136"/>
      <c r="N191" s="140"/>
      <c r="P191" s="5"/>
      <c r="S191" s="5"/>
      <c r="U191" s="5"/>
      <c r="W191" s="5"/>
      <c r="Y191" s="5"/>
      <c r="AA191" s="5"/>
    </row>
    <row r="192" spans="1:27" s="54" customFormat="1" ht="21.75" customHeight="1" x14ac:dyDescent="0.25">
      <c r="A192" s="141">
        <v>190</v>
      </c>
      <c r="B192" s="142">
        <v>1816</v>
      </c>
      <c r="C192" s="143" t="s">
        <v>191</v>
      </c>
      <c r="D192" s="185">
        <v>303</v>
      </c>
      <c r="E192" s="182">
        <v>0.4</v>
      </c>
      <c r="F192" s="182">
        <f t="shared" si="9"/>
        <v>121.2</v>
      </c>
      <c r="G192" s="182">
        <f>120.9</f>
        <v>120.9</v>
      </c>
      <c r="H192" s="182">
        <f t="shared" si="7"/>
        <v>0.29999999999999716</v>
      </c>
      <c r="I192" s="144">
        <v>15694259</v>
      </c>
      <c r="J192" s="214" t="s">
        <v>192</v>
      </c>
      <c r="K192" s="144" t="s">
        <v>31</v>
      </c>
      <c r="L192" s="144" t="s">
        <v>32</v>
      </c>
      <c r="M192" s="144"/>
      <c r="N192" s="318">
        <v>45691</v>
      </c>
      <c r="P192" s="5"/>
      <c r="S192" s="5"/>
      <c r="U192" s="5"/>
      <c r="W192" s="5"/>
      <c r="Y192" s="5"/>
      <c r="AA192" s="5"/>
    </row>
    <row r="193" spans="1:27" s="17" customFormat="1" ht="21.75" customHeight="1" x14ac:dyDescent="0.25">
      <c r="A193" s="146">
        <v>191</v>
      </c>
      <c r="B193" s="235">
        <v>1817</v>
      </c>
      <c r="C193" s="296" t="s">
        <v>483</v>
      </c>
      <c r="D193" s="295">
        <v>832</v>
      </c>
      <c r="E193" s="149">
        <v>0.4</v>
      </c>
      <c r="F193" s="186">
        <f t="shared" si="9"/>
        <v>332.8</v>
      </c>
      <c r="G193" s="186"/>
      <c r="H193" s="186">
        <f t="shared" si="7"/>
        <v>332.8</v>
      </c>
      <c r="I193" s="136">
        <v>6492948</v>
      </c>
      <c r="J193" s="315" t="s">
        <v>484</v>
      </c>
      <c r="K193" s="136" t="s">
        <v>31</v>
      </c>
      <c r="L193" s="136" t="s">
        <v>32</v>
      </c>
      <c r="M193" s="136"/>
      <c r="N193" s="140"/>
      <c r="P193" s="5"/>
      <c r="S193" s="5"/>
      <c r="U193" s="5"/>
      <c r="W193" s="5"/>
      <c r="Y193" s="5"/>
      <c r="AA193" s="5"/>
    </row>
    <row r="194" spans="1:27" s="17" customFormat="1" ht="21.75" customHeight="1" x14ac:dyDescent="0.25">
      <c r="A194" s="141">
        <v>192</v>
      </c>
      <c r="B194" s="142">
        <v>1818</v>
      </c>
      <c r="C194" s="143" t="s">
        <v>485</v>
      </c>
      <c r="D194" s="185">
        <v>261.60000000000002</v>
      </c>
      <c r="E194" s="182">
        <v>0.4</v>
      </c>
      <c r="F194" s="182">
        <f t="shared" si="9"/>
        <v>104.64000000000001</v>
      </c>
      <c r="G194" s="182">
        <f>100.38</f>
        <v>100.38</v>
      </c>
      <c r="H194" s="182">
        <f t="shared" si="7"/>
        <v>4.2600000000000193</v>
      </c>
      <c r="I194" s="144">
        <v>15677827</v>
      </c>
      <c r="J194" s="315" t="s">
        <v>486</v>
      </c>
      <c r="K194" s="136" t="s">
        <v>31</v>
      </c>
      <c r="L194" s="136" t="s">
        <v>32</v>
      </c>
      <c r="M194" s="136"/>
      <c r="N194" s="134">
        <v>45684</v>
      </c>
      <c r="P194" s="5"/>
      <c r="S194" s="5"/>
      <c r="U194" s="5"/>
      <c r="W194" s="5"/>
      <c r="Y194" s="5"/>
      <c r="AA194" s="5"/>
    </row>
    <row r="195" spans="1:27" s="17" customFormat="1" ht="21.75" customHeight="1" x14ac:dyDescent="0.25">
      <c r="A195" s="141">
        <v>193</v>
      </c>
      <c r="B195" s="142">
        <v>1819</v>
      </c>
      <c r="C195" s="143" t="s">
        <v>487</v>
      </c>
      <c r="D195" s="185">
        <v>304</v>
      </c>
      <c r="E195" s="182">
        <v>0.4</v>
      </c>
      <c r="F195" s="182">
        <f t="shared" si="9"/>
        <v>121.60000000000001</v>
      </c>
      <c r="G195" s="182">
        <f>116.7</f>
        <v>116.7</v>
      </c>
      <c r="H195" s="182">
        <f t="shared" ref="H195:H223" si="10">F195-G195</f>
        <v>4.9000000000000057</v>
      </c>
      <c r="I195" s="144">
        <v>851375</v>
      </c>
      <c r="J195" s="214" t="s">
        <v>488</v>
      </c>
      <c r="K195" s="144" t="s">
        <v>52</v>
      </c>
      <c r="L195" s="144" t="s">
        <v>53</v>
      </c>
      <c r="M195" s="144">
        <v>92819432</v>
      </c>
      <c r="N195" s="318">
        <v>45691</v>
      </c>
      <c r="P195" s="5"/>
      <c r="S195" s="5"/>
      <c r="U195" s="5"/>
      <c r="W195" s="5"/>
      <c r="Y195" s="5"/>
      <c r="AA195" s="5"/>
    </row>
    <row r="196" spans="1:27" s="17" customFormat="1" ht="21.75" customHeight="1" x14ac:dyDescent="0.25">
      <c r="A196" s="146">
        <v>194</v>
      </c>
      <c r="B196" s="235">
        <v>1820</v>
      </c>
      <c r="C196" s="296" t="s">
        <v>489</v>
      </c>
      <c r="D196" s="295">
        <v>267.7</v>
      </c>
      <c r="E196" s="149">
        <v>0.4</v>
      </c>
      <c r="F196" s="186">
        <f t="shared" si="9"/>
        <v>107.08</v>
      </c>
      <c r="G196" s="186"/>
      <c r="H196" s="186">
        <f t="shared" si="10"/>
        <v>107.08</v>
      </c>
      <c r="I196" s="136">
        <v>7124544</v>
      </c>
      <c r="J196" s="311" t="s">
        <v>583</v>
      </c>
      <c r="K196" s="136" t="s">
        <v>52</v>
      </c>
      <c r="L196" s="136" t="s">
        <v>53</v>
      </c>
      <c r="M196" s="136"/>
      <c r="N196" s="140"/>
      <c r="P196" s="5"/>
      <c r="S196" s="5"/>
      <c r="U196" s="5"/>
      <c r="W196" s="5"/>
      <c r="Y196" s="5"/>
      <c r="AA196" s="5"/>
    </row>
    <row r="197" spans="1:27" s="17" customFormat="1" ht="21.75" customHeight="1" x14ac:dyDescent="0.25">
      <c r="A197" s="146">
        <v>195</v>
      </c>
      <c r="B197" s="235">
        <v>1821</v>
      </c>
      <c r="C197" s="136" t="s">
        <v>491</v>
      </c>
      <c r="D197" s="295">
        <v>499</v>
      </c>
      <c r="E197" s="149">
        <v>0.4</v>
      </c>
      <c r="F197" s="186">
        <f t="shared" si="9"/>
        <v>199.60000000000002</v>
      </c>
      <c r="G197" s="186"/>
      <c r="H197" s="186">
        <f t="shared" si="10"/>
        <v>199.60000000000002</v>
      </c>
      <c r="I197" s="136">
        <v>2454202</v>
      </c>
      <c r="J197" s="311" t="s">
        <v>492</v>
      </c>
      <c r="K197" s="136" t="s">
        <v>155</v>
      </c>
      <c r="L197" s="136" t="s">
        <v>156</v>
      </c>
      <c r="M197" s="136"/>
      <c r="N197" s="140"/>
      <c r="P197" s="5"/>
      <c r="S197" s="5"/>
      <c r="U197" s="5"/>
      <c r="W197" s="5"/>
      <c r="Y197" s="5"/>
      <c r="AA197" s="5"/>
    </row>
    <row r="198" spans="1:27" s="17" customFormat="1" ht="21.75" customHeight="1" x14ac:dyDescent="0.25">
      <c r="A198" s="146">
        <v>196</v>
      </c>
      <c r="B198" s="235">
        <v>1822</v>
      </c>
      <c r="C198" s="136" t="s">
        <v>193</v>
      </c>
      <c r="D198" s="295">
        <v>278.2</v>
      </c>
      <c r="E198" s="149">
        <v>0.4</v>
      </c>
      <c r="F198" s="186">
        <f t="shared" si="9"/>
        <v>111.28</v>
      </c>
      <c r="G198" s="186"/>
      <c r="H198" s="186">
        <f t="shared" si="10"/>
        <v>111.28</v>
      </c>
      <c r="I198" s="136">
        <v>22005737</v>
      </c>
      <c r="J198" s="311" t="s">
        <v>152</v>
      </c>
      <c r="K198" s="136" t="s">
        <v>31</v>
      </c>
      <c r="L198" s="136" t="s">
        <v>32</v>
      </c>
      <c r="M198" s="136"/>
      <c r="N198" s="140"/>
      <c r="P198" s="5"/>
      <c r="S198" s="5"/>
      <c r="U198" s="5"/>
      <c r="W198" s="5"/>
      <c r="Y198" s="5"/>
      <c r="AA198" s="5"/>
    </row>
    <row r="199" spans="1:27" s="17" customFormat="1" ht="21.75" customHeight="1" x14ac:dyDescent="0.25">
      <c r="A199" s="146">
        <v>197</v>
      </c>
      <c r="B199" s="235">
        <v>1823</v>
      </c>
      <c r="C199" s="136" t="s">
        <v>493</v>
      </c>
      <c r="D199" s="295">
        <v>280</v>
      </c>
      <c r="E199" s="149">
        <v>0.4</v>
      </c>
      <c r="F199" s="186">
        <f t="shared" si="9"/>
        <v>112</v>
      </c>
      <c r="G199" s="186"/>
      <c r="H199" s="186">
        <f t="shared" si="10"/>
        <v>112</v>
      </c>
      <c r="I199" s="136">
        <v>25722393</v>
      </c>
      <c r="J199" s="311" t="s">
        <v>494</v>
      </c>
      <c r="K199" s="136" t="s">
        <v>31</v>
      </c>
      <c r="L199" s="136" t="s">
        <v>32</v>
      </c>
      <c r="M199" s="136"/>
      <c r="N199" s="140"/>
      <c r="P199" s="5"/>
      <c r="S199" s="5"/>
      <c r="U199" s="5"/>
      <c r="W199" s="5"/>
      <c r="Y199" s="5"/>
      <c r="AA199" s="5"/>
    </row>
    <row r="200" spans="1:27" s="17" customFormat="1" ht="21.75" customHeight="1" x14ac:dyDescent="0.25">
      <c r="A200" s="141">
        <v>198</v>
      </c>
      <c r="B200" s="142">
        <v>1824</v>
      </c>
      <c r="C200" s="144" t="s">
        <v>195</v>
      </c>
      <c r="D200" s="185">
        <v>220.9</v>
      </c>
      <c r="E200" s="182">
        <v>0.4</v>
      </c>
      <c r="F200" s="182">
        <f t="shared" si="9"/>
        <v>88.360000000000014</v>
      </c>
      <c r="G200" s="182">
        <f>87.72</f>
        <v>87.72</v>
      </c>
      <c r="H200" s="182">
        <f t="shared" si="10"/>
        <v>0.64000000000001478</v>
      </c>
      <c r="I200" s="144">
        <v>766709</v>
      </c>
      <c r="J200" s="159" t="s">
        <v>196</v>
      </c>
      <c r="K200" s="144" t="s">
        <v>71</v>
      </c>
      <c r="L200" s="144" t="s">
        <v>72</v>
      </c>
      <c r="M200" s="144"/>
      <c r="N200" s="134">
        <v>45684</v>
      </c>
      <c r="P200" s="5"/>
      <c r="S200" s="5"/>
      <c r="U200" s="5"/>
      <c r="W200" s="5"/>
      <c r="Y200" s="5"/>
      <c r="AA200" s="5"/>
    </row>
    <row r="201" spans="1:27" s="17" customFormat="1" ht="21.75" customHeight="1" x14ac:dyDescent="0.25">
      <c r="A201" s="141">
        <v>199</v>
      </c>
      <c r="B201" s="142">
        <v>1825</v>
      </c>
      <c r="C201" s="144" t="s">
        <v>495</v>
      </c>
      <c r="D201" s="185">
        <v>283</v>
      </c>
      <c r="E201" s="182">
        <v>0.4</v>
      </c>
      <c r="F201" s="182">
        <f t="shared" si="9"/>
        <v>113.2</v>
      </c>
      <c r="G201" s="182">
        <f>108.77</f>
        <v>108.77</v>
      </c>
      <c r="H201" s="182">
        <f t="shared" si="10"/>
        <v>4.4300000000000068</v>
      </c>
      <c r="I201" s="144">
        <v>7293524</v>
      </c>
      <c r="J201" s="214" t="s">
        <v>496</v>
      </c>
      <c r="K201" s="144" t="s">
        <v>31</v>
      </c>
      <c r="L201" s="144" t="s">
        <v>32</v>
      </c>
      <c r="M201" s="144"/>
      <c r="N201" s="318">
        <v>45686</v>
      </c>
      <c r="P201" s="5"/>
      <c r="S201" s="5"/>
      <c r="U201" s="5"/>
      <c r="W201" s="5"/>
      <c r="Y201" s="5"/>
      <c r="AA201" s="5"/>
    </row>
    <row r="202" spans="1:27" s="54" customFormat="1" ht="21.75" customHeight="1" x14ac:dyDescent="0.25">
      <c r="A202" s="141">
        <v>200</v>
      </c>
      <c r="B202" s="142">
        <v>1826</v>
      </c>
      <c r="C202" s="326" t="s">
        <v>88</v>
      </c>
      <c r="D202" s="185">
        <v>270</v>
      </c>
      <c r="E202" s="182">
        <v>0.4</v>
      </c>
      <c r="F202" s="182">
        <f t="shared" si="9"/>
        <v>108</v>
      </c>
      <c r="G202" s="182">
        <f>103.86</f>
        <v>103.86</v>
      </c>
      <c r="H202" s="182">
        <f t="shared" si="10"/>
        <v>4.1400000000000006</v>
      </c>
      <c r="I202" s="183">
        <v>381215</v>
      </c>
      <c r="J202" s="423" t="s">
        <v>89</v>
      </c>
      <c r="K202" s="183" t="s">
        <v>90</v>
      </c>
      <c r="L202" s="424" t="s">
        <v>32</v>
      </c>
      <c r="M202" s="425">
        <v>95110746</v>
      </c>
      <c r="N202" s="318">
        <v>45963</v>
      </c>
    </row>
    <row r="203" spans="1:27" s="17" customFormat="1" ht="21.75" customHeight="1" x14ac:dyDescent="0.25">
      <c r="A203" s="141">
        <v>201</v>
      </c>
      <c r="B203" s="142">
        <v>1827</v>
      </c>
      <c r="C203" s="144" t="s">
        <v>497</v>
      </c>
      <c r="D203" s="185">
        <v>282.8</v>
      </c>
      <c r="E203" s="182">
        <v>0.4</v>
      </c>
      <c r="F203" s="182">
        <f t="shared" si="9"/>
        <v>113.12</v>
      </c>
      <c r="G203" s="182">
        <f>83.6+29.1</f>
        <v>112.69999999999999</v>
      </c>
      <c r="H203" s="182">
        <f t="shared" si="10"/>
        <v>0.42000000000001592</v>
      </c>
      <c r="I203" s="144">
        <v>24218909</v>
      </c>
      <c r="J203" s="159" t="s">
        <v>584</v>
      </c>
      <c r="K203" s="143" t="s">
        <v>90</v>
      </c>
      <c r="L203" s="159" t="s">
        <v>32</v>
      </c>
      <c r="M203" s="144"/>
      <c r="N203" s="318">
        <v>45691</v>
      </c>
      <c r="O203" s="17" t="s">
        <v>600</v>
      </c>
      <c r="P203" s="5"/>
      <c r="S203" s="5"/>
      <c r="U203" s="5"/>
      <c r="W203" s="5"/>
      <c r="Y203" s="5"/>
      <c r="AA203" s="5"/>
    </row>
    <row r="204" spans="1:27" s="17" customFormat="1" ht="21.75" customHeight="1" x14ac:dyDescent="0.25">
      <c r="A204" s="146">
        <v>202</v>
      </c>
      <c r="B204" s="235">
        <v>1830</v>
      </c>
      <c r="C204" s="136" t="s">
        <v>499</v>
      </c>
      <c r="D204" s="295">
        <v>511</v>
      </c>
      <c r="E204" s="149">
        <v>0.4</v>
      </c>
      <c r="F204" s="186">
        <f t="shared" si="9"/>
        <v>204.4</v>
      </c>
      <c r="G204" s="186"/>
      <c r="H204" s="186">
        <f t="shared" si="10"/>
        <v>204.4</v>
      </c>
      <c r="I204" s="136">
        <v>22697535</v>
      </c>
      <c r="J204" s="311" t="s">
        <v>500</v>
      </c>
      <c r="K204" s="296" t="s">
        <v>90</v>
      </c>
      <c r="L204" s="311" t="s">
        <v>32</v>
      </c>
      <c r="M204" s="136"/>
      <c r="N204" s="140"/>
      <c r="P204" s="5"/>
      <c r="S204" s="5"/>
      <c r="U204" s="5"/>
      <c r="W204" s="5"/>
      <c r="Y204" s="5"/>
      <c r="AA204" s="5"/>
    </row>
    <row r="205" spans="1:27" s="17" customFormat="1" ht="21.75" customHeight="1" x14ac:dyDescent="0.25">
      <c r="A205" s="141">
        <v>203</v>
      </c>
      <c r="B205" s="142">
        <v>3074</v>
      </c>
      <c r="C205" s="143" t="s">
        <v>501</v>
      </c>
      <c r="D205" s="185">
        <v>210.2</v>
      </c>
      <c r="E205" s="182">
        <v>0.4</v>
      </c>
      <c r="F205" s="182">
        <f t="shared" si="9"/>
        <v>84.08</v>
      </c>
      <c r="G205" s="182">
        <f>83.9</f>
        <v>83.9</v>
      </c>
      <c r="H205" s="182">
        <f t="shared" si="10"/>
        <v>0.17999999999999261</v>
      </c>
      <c r="I205" s="215">
        <v>6327112</v>
      </c>
      <c r="J205" s="159" t="s">
        <v>502</v>
      </c>
      <c r="K205" s="143" t="s">
        <v>90</v>
      </c>
      <c r="L205" s="159" t="s">
        <v>32</v>
      </c>
      <c r="M205" s="215">
        <v>92544491</v>
      </c>
      <c r="N205" s="318">
        <v>45691</v>
      </c>
      <c r="P205" s="5"/>
      <c r="S205" s="5"/>
      <c r="U205" s="5"/>
      <c r="W205" s="5"/>
      <c r="Y205" s="5"/>
      <c r="AA205" s="5"/>
    </row>
    <row r="206" spans="1:27" s="17" customFormat="1" ht="21.75" customHeight="1" x14ac:dyDescent="0.25">
      <c r="A206" s="146">
        <v>204</v>
      </c>
      <c r="B206" s="235">
        <v>3075</v>
      </c>
      <c r="C206" s="136" t="s">
        <v>503</v>
      </c>
      <c r="D206" s="295">
        <v>452</v>
      </c>
      <c r="E206" s="149">
        <v>0.4</v>
      </c>
      <c r="F206" s="186">
        <f t="shared" si="9"/>
        <v>180.8</v>
      </c>
      <c r="G206" s="186"/>
      <c r="H206" s="186">
        <f t="shared" si="10"/>
        <v>180.8</v>
      </c>
      <c r="I206" s="148">
        <v>6207551</v>
      </c>
      <c r="J206" s="315" t="s">
        <v>504</v>
      </c>
      <c r="K206" s="136" t="s">
        <v>31</v>
      </c>
      <c r="L206" s="136" t="s">
        <v>32</v>
      </c>
      <c r="M206" s="296">
        <v>92011889</v>
      </c>
      <c r="N206" s="140"/>
      <c r="P206" s="5"/>
      <c r="S206" s="5"/>
      <c r="U206" s="5"/>
      <c r="W206" s="5"/>
      <c r="Y206" s="5"/>
      <c r="AA206" s="5"/>
    </row>
    <row r="207" spans="1:27" ht="21.75" customHeight="1" x14ac:dyDescent="0.25">
      <c r="A207" s="141">
        <v>205</v>
      </c>
      <c r="B207" s="142">
        <v>3250</v>
      </c>
      <c r="C207" s="144" t="s">
        <v>198</v>
      </c>
      <c r="D207" s="185">
        <v>549.9</v>
      </c>
      <c r="E207" s="182">
        <v>0.4</v>
      </c>
      <c r="F207" s="182">
        <f t="shared" si="9"/>
        <v>219.96</v>
      </c>
      <c r="G207" s="182">
        <f>218.87</f>
        <v>218.87</v>
      </c>
      <c r="H207" s="182">
        <f t="shared" si="10"/>
        <v>1.0900000000000034</v>
      </c>
      <c r="I207" s="155">
        <v>1357047</v>
      </c>
      <c r="J207" s="197" t="s">
        <v>199</v>
      </c>
      <c r="K207" s="144" t="s">
        <v>26</v>
      </c>
      <c r="L207" s="144" t="s">
        <v>27</v>
      </c>
      <c r="M207" s="144">
        <v>91177550</v>
      </c>
      <c r="N207" s="318">
        <v>45679</v>
      </c>
      <c r="O207" s="5"/>
      <c r="P207" s="5"/>
    </row>
    <row r="208" spans="1:27" s="17" customFormat="1" ht="21.75" customHeight="1" x14ac:dyDescent="0.25">
      <c r="A208" s="146">
        <v>206</v>
      </c>
      <c r="B208" s="235">
        <v>3317</v>
      </c>
      <c r="C208" s="136" t="s">
        <v>505</v>
      </c>
      <c r="D208" s="295">
        <v>380</v>
      </c>
      <c r="E208" s="149">
        <v>0.4</v>
      </c>
      <c r="F208" s="186">
        <f t="shared" si="9"/>
        <v>152</v>
      </c>
      <c r="G208" s="186"/>
      <c r="H208" s="186">
        <f t="shared" si="10"/>
        <v>152</v>
      </c>
      <c r="I208" s="139">
        <v>2366794</v>
      </c>
      <c r="J208" s="314" t="s">
        <v>506</v>
      </c>
      <c r="K208" s="136" t="s">
        <v>52</v>
      </c>
      <c r="L208" s="136" t="s">
        <v>53</v>
      </c>
      <c r="M208" s="136">
        <v>95138883</v>
      </c>
      <c r="N208" s="140"/>
      <c r="P208" s="5"/>
      <c r="S208" s="5"/>
      <c r="U208" s="5"/>
      <c r="W208" s="5"/>
      <c r="Y208" s="5"/>
      <c r="AA208" s="5"/>
    </row>
    <row r="209" spans="1:27" s="17" customFormat="1" ht="21.75" customHeight="1" x14ac:dyDescent="0.25">
      <c r="A209" s="141">
        <v>207</v>
      </c>
      <c r="B209" s="142">
        <v>3323</v>
      </c>
      <c r="C209" s="144" t="s">
        <v>507</v>
      </c>
      <c r="D209" s="185">
        <v>506</v>
      </c>
      <c r="E209" s="182">
        <v>0.4</v>
      </c>
      <c r="F209" s="182">
        <f t="shared" si="9"/>
        <v>202.4</v>
      </c>
      <c r="G209" s="182">
        <f>198.85</f>
        <v>198.85</v>
      </c>
      <c r="H209" s="182">
        <f t="shared" si="10"/>
        <v>3.5500000000000114</v>
      </c>
      <c r="I209" s="155">
        <v>683613</v>
      </c>
      <c r="J209" s="197" t="s">
        <v>508</v>
      </c>
      <c r="K209" s="144" t="s">
        <v>31</v>
      </c>
      <c r="L209" s="144" t="s">
        <v>32</v>
      </c>
      <c r="M209" s="144">
        <v>92280327</v>
      </c>
      <c r="N209" s="318">
        <v>45686</v>
      </c>
      <c r="P209" s="5"/>
      <c r="S209" s="5"/>
      <c r="U209" s="5"/>
      <c r="W209" s="5"/>
      <c r="Y209" s="5"/>
      <c r="AA209" s="5"/>
    </row>
    <row r="210" spans="1:27" s="54" customFormat="1" ht="21.75" customHeight="1" x14ac:dyDescent="0.25">
      <c r="A210" s="141">
        <v>208</v>
      </c>
      <c r="B210" s="142">
        <v>3327</v>
      </c>
      <c r="C210" s="144" t="s">
        <v>509</v>
      </c>
      <c r="D210" s="185">
        <v>483</v>
      </c>
      <c r="E210" s="182">
        <v>0.4</v>
      </c>
      <c r="F210" s="182">
        <f t="shared" si="9"/>
        <v>193.20000000000002</v>
      </c>
      <c r="G210" s="182">
        <f>192.01</f>
        <v>192.01</v>
      </c>
      <c r="H210" s="182">
        <f t="shared" si="10"/>
        <v>1.1900000000000261</v>
      </c>
      <c r="I210" s="144">
        <v>4919647</v>
      </c>
      <c r="J210" s="159" t="s">
        <v>510</v>
      </c>
      <c r="K210" s="144" t="s">
        <v>52</v>
      </c>
      <c r="L210" s="144" t="s">
        <v>53</v>
      </c>
      <c r="M210" s="144">
        <v>99895505</v>
      </c>
      <c r="N210" s="426" t="s">
        <v>600</v>
      </c>
    </row>
    <row r="211" spans="1:27" s="17" customFormat="1" ht="21.75" customHeight="1" x14ac:dyDescent="0.25">
      <c r="A211" s="146">
        <v>209</v>
      </c>
      <c r="B211" s="235">
        <v>3345</v>
      </c>
      <c r="C211" s="136" t="s">
        <v>511</v>
      </c>
      <c r="D211" s="295">
        <v>285</v>
      </c>
      <c r="E211" s="149">
        <v>0.4</v>
      </c>
      <c r="F211" s="186">
        <f t="shared" si="9"/>
        <v>114</v>
      </c>
      <c r="G211" s="186"/>
      <c r="H211" s="186">
        <f t="shared" si="10"/>
        <v>114</v>
      </c>
      <c r="I211" s="136">
        <v>6572395</v>
      </c>
      <c r="J211" s="311" t="s">
        <v>512</v>
      </c>
      <c r="K211" s="136" t="s">
        <v>31</v>
      </c>
      <c r="L211" s="136" t="s">
        <v>32</v>
      </c>
      <c r="M211" s="136">
        <v>99294765</v>
      </c>
      <c r="N211" s="139"/>
      <c r="P211" s="5"/>
      <c r="S211" s="5"/>
      <c r="U211" s="5"/>
      <c r="W211" s="5"/>
      <c r="Y211" s="5"/>
      <c r="AA211" s="5"/>
    </row>
    <row r="212" spans="1:27" s="17" customFormat="1" ht="21.75" customHeight="1" x14ac:dyDescent="0.25">
      <c r="A212" s="141">
        <v>210</v>
      </c>
      <c r="B212" s="142">
        <v>3701</v>
      </c>
      <c r="C212" s="143" t="s">
        <v>513</v>
      </c>
      <c r="D212" s="185">
        <v>284.5</v>
      </c>
      <c r="E212" s="182">
        <v>0.4</v>
      </c>
      <c r="F212" s="182">
        <f t="shared" si="9"/>
        <v>113.80000000000001</v>
      </c>
      <c r="G212" s="182">
        <f>112.6</f>
        <v>112.6</v>
      </c>
      <c r="H212" s="182">
        <f t="shared" si="10"/>
        <v>1.2000000000000171</v>
      </c>
      <c r="I212" s="144">
        <v>5146416</v>
      </c>
      <c r="J212" s="159" t="s">
        <v>514</v>
      </c>
      <c r="K212" s="144" t="s">
        <v>31</v>
      </c>
      <c r="L212" s="144" t="s">
        <v>32</v>
      </c>
      <c r="M212" s="144">
        <v>99898838</v>
      </c>
      <c r="N212" s="318">
        <v>45679</v>
      </c>
      <c r="O212" s="54"/>
      <c r="P212" s="5"/>
      <c r="S212" s="5"/>
      <c r="U212" s="5"/>
      <c r="W212" s="5"/>
      <c r="Y212" s="5"/>
      <c r="AA212" s="5"/>
    </row>
    <row r="213" spans="1:27" s="17" customFormat="1" ht="21.75" customHeight="1" x14ac:dyDescent="0.25">
      <c r="A213" s="141">
        <v>211</v>
      </c>
      <c r="B213" s="142">
        <v>3710</v>
      </c>
      <c r="C213" s="143" t="s">
        <v>515</v>
      </c>
      <c r="D213" s="185">
        <v>206.2</v>
      </c>
      <c r="E213" s="182">
        <v>0.4</v>
      </c>
      <c r="F213" s="182">
        <f t="shared" si="9"/>
        <v>82.48</v>
      </c>
      <c r="G213" s="182">
        <f>78.9</f>
        <v>78.900000000000006</v>
      </c>
      <c r="H213" s="182">
        <f t="shared" si="10"/>
        <v>3.5799999999999983</v>
      </c>
      <c r="I213" s="144">
        <v>22749678</v>
      </c>
      <c r="J213" s="257" t="s">
        <v>516</v>
      </c>
      <c r="K213" s="144" t="s">
        <v>31</v>
      </c>
      <c r="L213" s="144" t="s">
        <v>32</v>
      </c>
      <c r="M213" s="144"/>
      <c r="N213" s="318">
        <v>45691</v>
      </c>
      <c r="P213" s="5"/>
      <c r="S213" s="5"/>
      <c r="U213" s="5"/>
      <c r="W213" s="5"/>
      <c r="Y213" s="5"/>
      <c r="AA213" s="5"/>
    </row>
    <row r="214" spans="1:27" s="54" customFormat="1" ht="21.75" customHeight="1" x14ac:dyDescent="0.25">
      <c r="A214" s="141">
        <v>212</v>
      </c>
      <c r="B214" s="142">
        <v>3715</v>
      </c>
      <c r="C214" s="143" t="s">
        <v>517</v>
      </c>
      <c r="D214" s="185">
        <v>213.1</v>
      </c>
      <c r="E214" s="182">
        <v>0.4</v>
      </c>
      <c r="F214" s="182">
        <f t="shared" si="9"/>
        <v>85.240000000000009</v>
      </c>
      <c r="G214" s="182">
        <f>81.13</f>
        <v>81.13</v>
      </c>
      <c r="H214" s="182">
        <f t="shared" si="10"/>
        <v>4.1100000000000136</v>
      </c>
      <c r="I214" s="144">
        <v>6327183</v>
      </c>
      <c r="J214" s="159" t="s">
        <v>518</v>
      </c>
      <c r="K214" s="144" t="s">
        <v>31</v>
      </c>
      <c r="L214" s="144" t="s">
        <v>32</v>
      </c>
      <c r="M214" s="144"/>
      <c r="N214" s="75">
        <v>45810</v>
      </c>
    </row>
    <row r="215" spans="1:27" s="17" customFormat="1" ht="21.75" customHeight="1" x14ac:dyDescent="0.25">
      <c r="A215" s="146">
        <v>213</v>
      </c>
      <c r="B215" s="235">
        <v>3721</v>
      </c>
      <c r="C215" s="296" t="s">
        <v>519</v>
      </c>
      <c r="D215" s="295">
        <v>197.4</v>
      </c>
      <c r="E215" s="149">
        <v>0.4</v>
      </c>
      <c r="F215" s="186">
        <f t="shared" si="9"/>
        <v>78.960000000000008</v>
      </c>
      <c r="G215" s="186"/>
      <c r="H215" s="186">
        <f t="shared" si="10"/>
        <v>78.960000000000008</v>
      </c>
      <c r="I215" s="136">
        <v>5332235</v>
      </c>
      <c r="J215" s="146" t="s">
        <v>520</v>
      </c>
      <c r="K215" s="296" t="s">
        <v>90</v>
      </c>
      <c r="L215" s="146" t="s">
        <v>32</v>
      </c>
      <c r="M215" s="136"/>
      <c r="N215" s="140"/>
      <c r="P215" s="5"/>
      <c r="S215" s="5"/>
      <c r="U215" s="5"/>
      <c r="W215" s="5"/>
      <c r="Y215" s="5"/>
      <c r="AA215" s="5"/>
    </row>
    <row r="216" spans="1:27" s="17" customFormat="1" ht="21.75" customHeight="1" x14ac:dyDescent="0.25">
      <c r="A216" s="146">
        <v>214</v>
      </c>
      <c r="B216" s="235">
        <v>3738</v>
      </c>
      <c r="C216" s="136" t="s">
        <v>521</v>
      </c>
      <c r="D216" s="295">
        <v>304</v>
      </c>
      <c r="E216" s="149">
        <v>0.4</v>
      </c>
      <c r="F216" s="186">
        <f t="shared" si="9"/>
        <v>121.60000000000001</v>
      </c>
      <c r="G216" s="186"/>
      <c r="H216" s="186">
        <f t="shared" si="10"/>
        <v>121.60000000000001</v>
      </c>
      <c r="I216" s="136">
        <v>730741</v>
      </c>
      <c r="J216" s="311" t="s">
        <v>522</v>
      </c>
      <c r="K216" s="136" t="s">
        <v>31</v>
      </c>
      <c r="L216" s="136" t="s">
        <v>32</v>
      </c>
      <c r="M216" s="136">
        <v>99710505</v>
      </c>
      <c r="N216" s="140"/>
      <c r="P216" s="5"/>
      <c r="S216" s="5"/>
      <c r="U216" s="5"/>
      <c r="W216" s="5"/>
      <c r="Y216" s="5"/>
      <c r="AA216" s="5"/>
    </row>
    <row r="217" spans="1:27" s="17" customFormat="1" ht="21.75" customHeight="1" x14ac:dyDescent="0.25">
      <c r="A217" s="146">
        <v>215</v>
      </c>
      <c r="B217" s="235">
        <v>3763</v>
      </c>
      <c r="C217" s="136" t="s">
        <v>92</v>
      </c>
      <c r="D217" s="295">
        <v>263.5</v>
      </c>
      <c r="E217" s="149">
        <v>0.4</v>
      </c>
      <c r="F217" s="186">
        <f t="shared" si="9"/>
        <v>105.4</v>
      </c>
      <c r="G217" s="186"/>
      <c r="H217" s="186">
        <f t="shared" si="10"/>
        <v>105.4</v>
      </c>
      <c r="I217" s="136">
        <v>19189247</v>
      </c>
      <c r="J217" s="311" t="s">
        <v>93</v>
      </c>
      <c r="K217" s="136" t="s">
        <v>31</v>
      </c>
      <c r="L217" s="136" t="s">
        <v>32</v>
      </c>
      <c r="M217" s="136">
        <v>99846685</v>
      </c>
      <c r="N217" s="140"/>
      <c r="P217" s="5"/>
      <c r="S217" s="5"/>
      <c r="U217" s="5"/>
      <c r="W217" s="5"/>
      <c r="Y217" s="5"/>
      <c r="AA217" s="5"/>
    </row>
    <row r="218" spans="1:27" s="17" customFormat="1" ht="21.75" customHeight="1" x14ac:dyDescent="0.25">
      <c r="A218" s="141">
        <v>216</v>
      </c>
      <c r="B218" s="142">
        <v>3788</v>
      </c>
      <c r="C218" s="144" t="s">
        <v>523</v>
      </c>
      <c r="D218" s="185">
        <v>284.7</v>
      </c>
      <c r="E218" s="182">
        <v>0.4</v>
      </c>
      <c r="F218" s="182">
        <f t="shared" ref="F218:F223" si="11">D218*E218</f>
        <v>113.88</v>
      </c>
      <c r="G218" s="182">
        <f>110.52</f>
        <v>110.52</v>
      </c>
      <c r="H218" s="182">
        <f t="shared" si="10"/>
        <v>3.3599999999999994</v>
      </c>
      <c r="I218" s="144">
        <v>5146627</v>
      </c>
      <c r="J218" s="159" t="s">
        <v>524</v>
      </c>
      <c r="K218" s="144" t="s">
        <v>31</v>
      </c>
      <c r="L218" s="144" t="s">
        <v>32</v>
      </c>
      <c r="M218" s="144"/>
      <c r="N218" s="318">
        <v>45679</v>
      </c>
      <c r="P218" s="5"/>
      <c r="S218" s="5"/>
      <c r="U218" s="5"/>
      <c r="W218" s="5"/>
      <c r="Y218" s="5"/>
      <c r="AA218" s="5"/>
    </row>
    <row r="219" spans="1:27" s="17" customFormat="1" ht="21.75" customHeight="1" x14ac:dyDescent="0.25">
      <c r="A219" s="146">
        <v>217</v>
      </c>
      <c r="B219" s="235">
        <v>3806</v>
      </c>
      <c r="C219" s="136" t="s">
        <v>525</v>
      </c>
      <c r="D219" s="295">
        <v>234.6</v>
      </c>
      <c r="E219" s="149">
        <v>0.4</v>
      </c>
      <c r="F219" s="186">
        <f t="shared" si="11"/>
        <v>93.84</v>
      </c>
      <c r="G219" s="186"/>
      <c r="H219" s="186">
        <f t="shared" si="10"/>
        <v>93.84</v>
      </c>
      <c r="I219" s="136">
        <v>14457167</v>
      </c>
      <c r="J219" s="313">
        <v>3158759994700</v>
      </c>
      <c r="K219" s="136" t="s">
        <v>71</v>
      </c>
      <c r="L219" s="136" t="s">
        <v>72</v>
      </c>
      <c r="M219" s="136">
        <v>91794400</v>
      </c>
      <c r="N219" s="140"/>
      <c r="P219" s="5"/>
      <c r="S219" s="5"/>
      <c r="U219" s="5"/>
      <c r="W219" s="5"/>
      <c r="Y219" s="5"/>
      <c r="AA219" s="5"/>
    </row>
    <row r="220" spans="1:27" s="17" customFormat="1" ht="21.75" customHeight="1" x14ac:dyDescent="0.25">
      <c r="A220" s="141">
        <v>218</v>
      </c>
      <c r="B220" s="142">
        <v>3825</v>
      </c>
      <c r="C220" s="144" t="s">
        <v>526</v>
      </c>
      <c r="D220" s="185">
        <v>154.30000000000001</v>
      </c>
      <c r="E220" s="182">
        <v>0.4</v>
      </c>
      <c r="F220" s="182">
        <f t="shared" si="11"/>
        <v>61.720000000000006</v>
      </c>
      <c r="G220" s="182">
        <f>59.8</f>
        <v>59.8</v>
      </c>
      <c r="H220" s="182">
        <f t="shared" si="10"/>
        <v>1.9200000000000088</v>
      </c>
      <c r="I220" s="144">
        <v>6327337</v>
      </c>
      <c r="J220" s="257" t="s">
        <v>527</v>
      </c>
      <c r="K220" s="144" t="s">
        <v>31</v>
      </c>
      <c r="L220" s="144" t="s">
        <v>32</v>
      </c>
      <c r="M220" s="144"/>
      <c r="N220" s="318">
        <v>45691</v>
      </c>
      <c r="P220" s="5"/>
      <c r="S220" s="5"/>
      <c r="U220" s="5"/>
      <c r="W220" s="5"/>
      <c r="Y220" s="5"/>
      <c r="AA220" s="5"/>
    </row>
    <row r="221" spans="1:27" s="17" customFormat="1" ht="21.75" customHeight="1" x14ac:dyDescent="0.25">
      <c r="A221" s="146">
        <v>219</v>
      </c>
      <c r="B221" s="235">
        <v>3826</v>
      </c>
      <c r="C221" s="136" t="s">
        <v>200</v>
      </c>
      <c r="D221" s="295">
        <v>285</v>
      </c>
      <c r="E221" s="149">
        <v>0.4</v>
      </c>
      <c r="F221" s="186">
        <f t="shared" si="11"/>
        <v>114</v>
      </c>
      <c r="G221" s="186"/>
      <c r="H221" s="186">
        <f t="shared" si="10"/>
        <v>114</v>
      </c>
      <c r="I221" s="136">
        <v>4919671</v>
      </c>
      <c r="J221" s="311" t="s">
        <v>201</v>
      </c>
      <c r="K221" s="136" t="s">
        <v>31</v>
      </c>
      <c r="L221" s="136" t="s">
        <v>32</v>
      </c>
      <c r="M221" s="136">
        <v>92516644</v>
      </c>
      <c r="N221" s="312"/>
      <c r="P221" s="5"/>
      <c r="S221" s="5"/>
      <c r="U221" s="5"/>
      <c r="W221" s="5"/>
      <c r="Y221" s="5"/>
      <c r="AA221" s="5"/>
    </row>
    <row r="222" spans="1:27" s="17" customFormat="1" ht="21.75" customHeight="1" x14ac:dyDescent="0.25">
      <c r="A222" s="141">
        <v>220</v>
      </c>
      <c r="B222" s="142">
        <v>3881</v>
      </c>
      <c r="C222" s="201" t="s">
        <v>529</v>
      </c>
      <c r="D222" s="185">
        <v>264.7</v>
      </c>
      <c r="E222" s="182">
        <v>0.4</v>
      </c>
      <c r="F222" s="182">
        <f t="shared" si="11"/>
        <v>105.88</v>
      </c>
      <c r="G222" s="182">
        <f>103.99</f>
        <v>103.99</v>
      </c>
      <c r="H222" s="182">
        <f t="shared" si="10"/>
        <v>1.8900000000000006</v>
      </c>
      <c r="I222" s="144">
        <v>5335138</v>
      </c>
      <c r="J222" s="159" t="s">
        <v>530</v>
      </c>
      <c r="K222" s="144" t="s">
        <v>31</v>
      </c>
      <c r="L222" s="144" t="s">
        <v>32</v>
      </c>
      <c r="M222" s="144">
        <v>92936035</v>
      </c>
      <c r="N222" s="318">
        <v>45686</v>
      </c>
      <c r="P222" s="5"/>
      <c r="S222" s="5"/>
      <c r="U222" s="5"/>
      <c r="W222" s="5"/>
      <c r="Y222" s="5"/>
      <c r="AA222" s="5"/>
    </row>
    <row r="223" spans="1:27" s="17" customFormat="1" ht="21.75" customHeight="1" x14ac:dyDescent="0.25">
      <c r="A223" s="146">
        <v>221</v>
      </c>
      <c r="B223" s="235">
        <v>3883</v>
      </c>
      <c r="C223" s="136" t="s">
        <v>531</v>
      </c>
      <c r="D223" s="295">
        <v>257.2</v>
      </c>
      <c r="E223" s="149">
        <v>0.4</v>
      </c>
      <c r="F223" s="186">
        <f t="shared" si="11"/>
        <v>102.88</v>
      </c>
      <c r="G223" s="186"/>
      <c r="H223" s="186">
        <f t="shared" si="10"/>
        <v>102.88</v>
      </c>
      <c r="I223" s="136">
        <v>18636502</v>
      </c>
      <c r="J223" s="311" t="s">
        <v>532</v>
      </c>
      <c r="K223" s="136" t="s">
        <v>90</v>
      </c>
      <c r="L223" s="136" t="s">
        <v>32</v>
      </c>
      <c r="M223" s="136" t="s">
        <v>32</v>
      </c>
      <c r="N223" s="140"/>
      <c r="P223" s="5"/>
      <c r="S223" s="5"/>
      <c r="U223" s="5"/>
      <c r="W223" s="5"/>
      <c r="Y223" s="5"/>
      <c r="AA223" s="5"/>
    </row>
    <row r="224" spans="1:27" ht="13.5" x14ac:dyDescent="0.25">
      <c r="A224" s="146"/>
      <c r="B224" s="146"/>
      <c r="C224" s="140"/>
      <c r="D224" s="294">
        <f>SUM(D3:D223)</f>
        <v>86031.199999999968</v>
      </c>
      <c r="E224" s="149"/>
      <c r="F224" s="186">
        <f>SUM(F3:F223)</f>
        <v>34412.479999999989</v>
      </c>
      <c r="G224" s="186">
        <f>SUM(G3:G223)</f>
        <v>17626.927999999993</v>
      </c>
      <c r="H224" s="186">
        <f>SUM(H3:H223)</f>
        <v>16785.551999999996</v>
      </c>
      <c r="I224" s="140"/>
      <c r="J224" s="310"/>
      <c r="K224" s="140"/>
      <c r="L224" s="140"/>
      <c r="M224" s="140"/>
      <c r="N224" s="140"/>
      <c r="O224" s="5"/>
      <c r="P224" s="5"/>
    </row>
    <row r="225" spans="1:26" x14ac:dyDescent="0.25">
      <c r="B225" s="6"/>
      <c r="C225" s="290"/>
      <c r="D225" s="5"/>
      <c r="E225" s="64"/>
      <c r="F225" s="7"/>
      <c r="G225" s="7"/>
      <c r="H225" s="7"/>
      <c r="I225" s="7"/>
      <c r="J225" s="7"/>
      <c r="L225" s="6"/>
      <c r="O225" s="5"/>
    </row>
    <row r="226" spans="1:26" x14ac:dyDescent="0.25">
      <c r="B226" s="6"/>
      <c r="C226" s="290"/>
      <c r="D226" s="5"/>
      <c r="E226" s="10"/>
      <c r="F226" s="6"/>
      <c r="G226" s="6"/>
      <c r="H226" s="6"/>
      <c r="I226" s="107"/>
      <c r="J226" s="6"/>
      <c r="K226" s="7"/>
      <c r="L226" s="6"/>
      <c r="O226" s="5"/>
    </row>
    <row r="227" spans="1:26" x14ac:dyDescent="0.25">
      <c r="M227" s="9"/>
      <c r="N227" s="9"/>
    </row>
    <row r="229" spans="1:26" x14ac:dyDescent="0.25">
      <c r="J229" s="78"/>
    </row>
    <row r="230" spans="1:26" ht="21" x14ac:dyDescent="0.35">
      <c r="A230" s="65"/>
      <c r="B230" s="66"/>
      <c r="C230" s="65"/>
      <c r="D230" s="293"/>
      <c r="E230" s="65"/>
      <c r="F230" s="4"/>
      <c r="G230" s="4"/>
      <c r="H230" s="4"/>
      <c r="I230" s="4"/>
      <c r="J230" s="4"/>
      <c r="K230" s="309"/>
      <c r="L230" s="68"/>
    </row>
    <row r="231" spans="1:26" ht="15.75" x14ac:dyDescent="0.25">
      <c r="A231" s="4"/>
      <c r="B231" s="4"/>
      <c r="C231" s="4"/>
      <c r="D231" s="292"/>
      <c r="E231" s="4"/>
      <c r="F231" s="4"/>
      <c r="G231" s="4"/>
      <c r="H231" s="4"/>
      <c r="I231" s="4"/>
      <c r="J231" s="4"/>
      <c r="K231" s="4"/>
      <c r="L231" s="68"/>
    </row>
    <row r="232" spans="1:26" ht="15.75" x14ac:dyDescent="0.25">
      <c r="A232" s="70"/>
      <c r="B232" s="70"/>
      <c r="C232" s="70"/>
      <c r="D232" s="291"/>
      <c r="E232" s="70"/>
      <c r="F232" s="70"/>
      <c r="G232" s="70"/>
      <c r="H232" s="70"/>
      <c r="I232" s="70"/>
      <c r="J232" s="308"/>
      <c r="K232" s="70"/>
      <c r="L232" s="72"/>
    </row>
    <row r="233" spans="1:26" ht="15.75" x14ac:dyDescent="0.25">
      <c r="A233" s="70"/>
      <c r="B233" s="70"/>
      <c r="C233" s="70"/>
      <c r="D233" s="291"/>
      <c r="E233" s="70"/>
      <c r="F233" s="70"/>
      <c r="G233" s="70"/>
      <c r="H233" s="70"/>
      <c r="I233" s="70"/>
      <c r="J233" s="70"/>
      <c r="K233" s="70"/>
      <c r="L233" s="72"/>
      <c r="Z233" s="5" t="s">
        <v>208</v>
      </c>
    </row>
    <row r="234" spans="1:26" ht="15.75" x14ac:dyDescent="0.25">
      <c r="A234" s="70"/>
      <c r="B234" s="70"/>
      <c r="C234" s="70"/>
      <c r="D234" s="291"/>
      <c r="E234" s="70"/>
      <c r="F234" s="70"/>
      <c r="G234" s="70"/>
      <c r="H234" s="70"/>
      <c r="I234" s="70"/>
      <c r="J234" s="70"/>
      <c r="K234" s="70"/>
      <c r="L234" s="72"/>
    </row>
  </sheetData>
  <mergeCells count="1">
    <mergeCell ref="A1:P1"/>
  </mergeCells>
  <conditionalFormatting sqref="B7">
    <cfRule type="duplicateValues" dxfId="76" priority="9"/>
  </conditionalFormatting>
  <conditionalFormatting sqref="B18:B19">
    <cfRule type="duplicateValues" dxfId="75" priority="11"/>
  </conditionalFormatting>
  <conditionalFormatting sqref="B33">
    <cfRule type="duplicateValues" dxfId="74" priority="1"/>
  </conditionalFormatting>
  <conditionalFormatting sqref="B34">
    <cfRule type="duplicateValues" dxfId="73" priority="8"/>
  </conditionalFormatting>
  <conditionalFormatting sqref="B39:B41">
    <cfRule type="duplicateValues" dxfId="72" priority="7"/>
  </conditionalFormatting>
  <conditionalFormatting sqref="B48">
    <cfRule type="duplicateValues" dxfId="71" priority="6"/>
  </conditionalFormatting>
  <conditionalFormatting sqref="B59:B61">
    <cfRule type="duplicateValues" dxfId="70" priority="5"/>
  </conditionalFormatting>
  <conditionalFormatting sqref="B63">
    <cfRule type="duplicateValues" dxfId="69" priority="4"/>
  </conditionalFormatting>
  <conditionalFormatting sqref="B78">
    <cfRule type="duplicateValues" dxfId="68" priority="3"/>
  </conditionalFormatting>
  <conditionalFormatting sqref="B79">
    <cfRule type="duplicateValues" dxfId="67" priority="2"/>
  </conditionalFormatting>
  <conditionalFormatting sqref="B206">
    <cfRule type="duplicateValues" dxfId="66" priority="10"/>
  </conditionalFormatting>
  <pageMargins left="0.7" right="0.7" top="0.75" bottom="0.75" header="0.3" footer="0.3"/>
  <pageSetup scale="4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55C8-A774-4C3B-AB7F-1C7626C3E2EF}">
  <dimension ref="A1:X234"/>
  <sheetViews>
    <sheetView view="pageBreakPreview" zoomScale="95" zoomScaleNormal="97" zoomScaleSheetLayoutView="95" workbookViewId="0">
      <selection activeCell="O13" sqref="O13"/>
    </sheetView>
  </sheetViews>
  <sheetFormatPr defaultColWidth="9" defaultRowHeight="12" x14ac:dyDescent="0.25"/>
  <cols>
    <col min="1" max="1" width="7.28515625" style="5" customWidth="1"/>
    <col min="2" max="2" width="13" style="5" customWidth="1"/>
    <col min="3" max="3" width="40.28515625" style="6" customWidth="1"/>
    <col min="4" max="4" width="13.42578125" style="290" customWidth="1"/>
    <col min="5" max="5" width="12" style="5" customWidth="1"/>
    <col min="6" max="8" width="21.28515625" style="5" customWidth="1"/>
    <col min="9" max="9" width="13.28515625" style="5" customWidth="1"/>
    <col min="10" max="10" width="15.42578125" style="5" hidden="1" customWidth="1"/>
    <col min="11" max="11" width="11.7109375" style="6" hidden="1" customWidth="1"/>
    <col min="12" max="12" width="15.85546875" style="7" hidden="1" customWidth="1"/>
    <col min="13" max="13" width="14.85546875" style="6" hidden="1" customWidth="1"/>
    <col min="14" max="14" width="17.42578125" style="6" customWidth="1"/>
    <col min="15" max="15" width="20.42578125" style="18" bestFit="1" customWidth="1"/>
    <col min="16" max="16" width="15.140625" style="17" bestFit="1" customWidth="1"/>
    <col min="17" max="24" width="9" style="17"/>
    <col min="25" max="16384" width="9" style="5"/>
  </cols>
  <sheetData>
    <row r="1" spans="1:15" ht="34.5" customHeight="1" x14ac:dyDescent="0.25">
      <c r="A1" s="651" t="s">
        <v>601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</row>
    <row r="2" spans="1:15" ht="30" customHeight="1" x14ac:dyDescent="0.25">
      <c r="A2" s="38" t="s">
        <v>1</v>
      </c>
      <c r="B2" s="38" t="s">
        <v>2</v>
      </c>
      <c r="C2" s="39" t="s">
        <v>3</v>
      </c>
      <c r="D2" s="303" t="s">
        <v>4</v>
      </c>
      <c r="E2" s="38" t="s">
        <v>5</v>
      </c>
      <c r="F2" s="302" t="s">
        <v>564</v>
      </c>
      <c r="G2" s="302" t="s">
        <v>7</v>
      </c>
      <c r="H2" s="302" t="s">
        <v>19</v>
      </c>
      <c r="I2" s="39" t="s">
        <v>9</v>
      </c>
      <c r="J2" s="39" t="s">
        <v>20</v>
      </c>
      <c r="K2" s="39" t="s">
        <v>21</v>
      </c>
      <c r="L2" s="39" t="s">
        <v>22</v>
      </c>
      <c r="M2" s="39" t="s">
        <v>23</v>
      </c>
      <c r="N2" s="39" t="s">
        <v>10</v>
      </c>
      <c r="O2" s="17"/>
    </row>
    <row r="3" spans="1:15" ht="21.75" customHeight="1" x14ac:dyDescent="0.25">
      <c r="A3" s="146">
        <v>1</v>
      </c>
      <c r="B3" s="301">
        <v>1001</v>
      </c>
      <c r="C3" s="296" t="s">
        <v>95</v>
      </c>
      <c r="D3" s="540">
        <v>273</v>
      </c>
      <c r="E3" s="149">
        <v>0.4</v>
      </c>
      <c r="F3" s="186">
        <f>D3*E3</f>
        <v>109.2</v>
      </c>
      <c r="G3" s="186"/>
      <c r="H3" s="186">
        <f>F3-G3</f>
        <v>109.2</v>
      </c>
      <c r="I3" s="136">
        <v>2130934</v>
      </c>
      <c r="J3" s="311" t="s">
        <v>96</v>
      </c>
      <c r="K3" s="136" t="s">
        <v>31</v>
      </c>
      <c r="L3" s="136" t="s">
        <v>32</v>
      </c>
      <c r="M3" s="136">
        <v>92911133</v>
      </c>
      <c r="N3" s="321"/>
      <c r="O3" s="17"/>
    </row>
    <row r="4" spans="1:15" ht="21.75" customHeight="1" x14ac:dyDescent="0.25">
      <c r="A4" s="141">
        <v>2</v>
      </c>
      <c r="B4" s="158">
        <v>1007</v>
      </c>
      <c r="C4" s="143" t="s">
        <v>213</v>
      </c>
      <c r="D4" s="218">
        <v>1632.4</v>
      </c>
      <c r="E4" s="182">
        <v>0.4</v>
      </c>
      <c r="F4" s="182">
        <f t="shared" ref="F4:F67" si="0">D4*E4</f>
        <v>652.96</v>
      </c>
      <c r="G4" s="182">
        <f>652.27</f>
        <v>652.27</v>
      </c>
      <c r="H4" s="182">
        <f t="shared" ref="H4:H67" si="1">F4-G4</f>
        <v>0.69000000000005457</v>
      </c>
      <c r="I4" s="159">
        <v>1515504</v>
      </c>
      <c r="J4" s="159" t="s">
        <v>214</v>
      </c>
      <c r="K4" s="144" t="s">
        <v>71</v>
      </c>
      <c r="L4" s="144" t="s">
        <v>72</v>
      </c>
      <c r="M4" s="183">
        <v>91748840</v>
      </c>
      <c r="N4" s="155" t="s">
        <v>604</v>
      </c>
      <c r="O4" s="17"/>
    </row>
    <row r="5" spans="1:15" s="17" customFormat="1" ht="21.75" customHeight="1" x14ac:dyDescent="0.25">
      <c r="A5" s="146">
        <v>3</v>
      </c>
      <c r="B5" s="301">
        <v>1028</v>
      </c>
      <c r="C5" s="296" t="s">
        <v>215</v>
      </c>
      <c r="D5" s="295">
        <v>315.39999999999998</v>
      </c>
      <c r="E5" s="149">
        <v>0.4</v>
      </c>
      <c r="F5" s="186">
        <f t="shared" si="0"/>
        <v>126.16</v>
      </c>
      <c r="G5" s="186"/>
      <c r="H5" s="186">
        <f t="shared" si="1"/>
        <v>126.16</v>
      </c>
      <c r="I5" s="136">
        <v>802875</v>
      </c>
      <c r="J5" s="311" t="s">
        <v>216</v>
      </c>
      <c r="K5" s="136" t="s">
        <v>31</v>
      </c>
      <c r="L5" s="136" t="s">
        <v>32</v>
      </c>
      <c r="M5" s="136">
        <v>99498677</v>
      </c>
      <c r="N5" s="139"/>
    </row>
    <row r="6" spans="1:15" s="54" customFormat="1" ht="21.75" customHeight="1" x14ac:dyDescent="0.25">
      <c r="A6" s="141">
        <v>4</v>
      </c>
      <c r="B6" s="142">
        <v>1033</v>
      </c>
      <c r="C6" s="143" t="s">
        <v>217</v>
      </c>
      <c r="D6" s="185">
        <v>637</v>
      </c>
      <c r="E6" s="182">
        <v>0.4</v>
      </c>
      <c r="F6" s="182">
        <f t="shared" si="0"/>
        <v>254.8</v>
      </c>
      <c r="G6" s="182">
        <f>253.1</f>
        <v>253.1</v>
      </c>
      <c r="H6" s="182">
        <f t="shared" si="1"/>
        <v>1.7000000000000171</v>
      </c>
      <c r="I6" s="144">
        <v>10132435</v>
      </c>
      <c r="J6" s="159" t="s">
        <v>218</v>
      </c>
      <c r="K6" s="144" t="s">
        <v>52</v>
      </c>
      <c r="L6" s="144" t="s">
        <v>53</v>
      </c>
      <c r="M6" s="144">
        <v>92268168</v>
      </c>
      <c r="N6" s="155" t="s">
        <v>600</v>
      </c>
      <c r="O6" s="116"/>
    </row>
    <row r="7" spans="1:15" ht="21.75" customHeight="1" x14ac:dyDescent="0.25">
      <c r="A7" s="146">
        <v>5</v>
      </c>
      <c r="B7" s="235">
        <v>1040</v>
      </c>
      <c r="C7" s="296" t="s">
        <v>11</v>
      </c>
      <c r="D7" s="295">
        <v>298.8</v>
      </c>
      <c r="E7" s="149">
        <v>0.4</v>
      </c>
      <c r="F7" s="186">
        <f t="shared" si="0"/>
        <v>119.52000000000001</v>
      </c>
      <c r="G7" s="186"/>
      <c r="H7" s="186">
        <f t="shared" si="1"/>
        <v>119.52000000000001</v>
      </c>
      <c r="I7" s="136">
        <v>25082374</v>
      </c>
      <c r="J7" s="311" t="s">
        <v>220</v>
      </c>
      <c r="K7" s="136" t="s">
        <v>31</v>
      </c>
      <c r="L7" s="136" t="s">
        <v>32</v>
      </c>
      <c r="M7" s="136">
        <v>99816344</v>
      </c>
      <c r="N7" s="139"/>
      <c r="O7" s="17"/>
    </row>
    <row r="8" spans="1:15" ht="21.75" customHeight="1" x14ac:dyDescent="0.25">
      <c r="A8" s="146">
        <v>6</v>
      </c>
      <c r="B8" s="235">
        <v>1044</v>
      </c>
      <c r="C8" s="296" t="s">
        <v>221</v>
      </c>
      <c r="D8" s="295">
        <v>345</v>
      </c>
      <c r="E8" s="149">
        <v>0.4</v>
      </c>
      <c r="F8" s="186">
        <f t="shared" si="0"/>
        <v>138</v>
      </c>
      <c r="G8" s="186"/>
      <c r="H8" s="186">
        <f t="shared" si="1"/>
        <v>138</v>
      </c>
      <c r="I8" s="136">
        <v>81904</v>
      </c>
      <c r="J8" s="311" t="s">
        <v>222</v>
      </c>
      <c r="K8" s="136" t="s">
        <v>31</v>
      </c>
      <c r="L8" s="136" t="s">
        <v>32</v>
      </c>
      <c r="M8" s="136">
        <v>99494120</v>
      </c>
      <c r="N8" s="139"/>
      <c r="O8" s="17"/>
    </row>
    <row r="9" spans="1:15" s="17" customFormat="1" ht="21.75" customHeight="1" x14ac:dyDescent="0.25">
      <c r="A9" s="146">
        <v>7</v>
      </c>
      <c r="B9" s="235">
        <v>1080</v>
      </c>
      <c r="C9" s="296" t="s">
        <v>223</v>
      </c>
      <c r="D9" s="295">
        <v>315.39999999999998</v>
      </c>
      <c r="E9" s="149">
        <v>0.4</v>
      </c>
      <c r="F9" s="186">
        <f t="shared" si="0"/>
        <v>126.16</v>
      </c>
      <c r="G9" s="186"/>
      <c r="H9" s="186">
        <f t="shared" si="1"/>
        <v>126.16</v>
      </c>
      <c r="I9" s="136">
        <v>78762</v>
      </c>
      <c r="J9" s="311" t="s">
        <v>224</v>
      </c>
      <c r="K9" s="136" t="s">
        <v>31</v>
      </c>
      <c r="L9" s="136" t="s">
        <v>32</v>
      </c>
      <c r="M9" s="136">
        <v>92440088</v>
      </c>
      <c r="N9" s="139"/>
    </row>
    <row r="10" spans="1:15" s="17" customFormat="1" ht="21.75" customHeight="1" x14ac:dyDescent="0.25">
      <c r="A10" s="146">
        <v>8</v>
      </c>
      <c r="B10" s="235">
        <v>1089</v>
      </c>
      <c r="C10" s="297" t="s">
        <v>225</v>
      </c>
      <c r="D10" s="295">
        <v>548.70000000000005</v>
      </c>
      <c r="E10" s="149">
        <v>0.4</v>
      </c>
      <c r="F10" s="186">
        <f t="shared" si="0"/>
        <v>219.48000000000002</v>
      </c>
      <c r="G10" s="186"/>
      <c r="H10" s="186">
        <f t="shared" si="1"/>
        <v>219.48000000000002</v>
      </c>
      <c r="I10" s="136">
        <v>892683</v>
      </c>
      <c r="J10" s="136" t="s">
        <v>226</v>
      </c>
      <c r="K10" s="136" t="s">
        <v>26</v>
      </c>
      <c r="L10" s="136" t="s">
        <v>27</v>
      </c>
      <c r="M10" s="136">
        <v>99506162</v>
      </c>
      <c r="N10" s="324"/>
    </row>
    <row r="11" spans="1:15" s="17" customFormat="1" ht="21.75" customHeight="1" x14ac:dyDescent="0.25">
      <c r="A11" s="146">
        <v>9</v>
      </c>
      <c r="B11" s="235">
        <v>1096</v>
      </c>
      <c r="C11" s="296" t="s">
        <v>227</v>
      </c>
      <c r="D11" s="295">
        <v>341.3</v>
      </c>
      <c r="E11" s="149">
        <v>0.4</v>
      </c>
      <c r="F11" s="186">
        <f t="shared" si="0"/>
        <v>136.52000000000001</v>
      </c>
      <c r="G11" s="186"/>
      <c r="H11" s="186">
        <f t="shared" si="1"/>
        <v>136.52000000000001</v>
      </c>
      <c r="I11" s="136">
        <v>1959918</v>
      </c>
      <c r="J11" s="136" t="s">
        <v>228</v>
      </c>
      <c r="K11" s="136" t="s">
        <v>71</v>
      </c>
      <c r="L11" s="136" t="s">
        <v>72</v>
      </c>
      <c r="M11" s="136">
        <v>92699781</v>
      </c>
      <c r="N11" s="139"/>
    </row>
    <row r="12" spans="1:15" s="17" customFormat="1" ht="21.75" customHeight="1" x14ac:dyDescent="0.25">
      <c r="A12" s="146">
        <v>10</v>
      </c>
      <c r="B12" s="235">
        <v>1106</v>
      </c>
      <c r="C12" s="296" t="s">
        <v>24</v>
      </c>
      <c r="D12" s="295">
        <v>1012</v>
      </c>
      <c r="E12" s="149">
        <v>0.4</v>
      </c>
      <c r="F12" s="186">
        <f t="shared" si="0"/>
        <v>404.8</v>
      </c>
      <c r="G12" s="186"/>
      <c r="H12" s="186">
        <f t="shared" si="1"/>
        <v>404.8</v>
      </c>
      <c r="I12" s="136">
        <v>5502751</v>
      </c>
      <c r="J12" s="136" t="s">
        <v>25</v>
      </c>
      <c r="K12" s="136" t="s">
        <v>26</v>
      </c>
      <c r="L12" s="136" t="s">
        <v>27</v>
      </c>
      <c r="M12" s="136">
        <v>99270001</v>
      </c>
      <c r="N12" s="139"/>
    </row>
    <row r="13" spans="1:15" s="54" customFormat="1" ht="21.75" customHeight="1" x14ac:dyDescent="0.25">
      <c r="A13" s="141">
        <v>11</v>
      </c>
      <c r="B13" s="142">
        <v>1110</v>
      </c>
      <c r="C13" s="143" t="s">
        <v>229</v>
      </c>
      <c r="D13" s="185">
        <v>528</v>
      </c>
      <c r="E13" s="182">
        <v>0.4</v>
      </c>
      <c r="F13" s="182">
        <f t="shared" si="0"/>
        <v>211.20000000000002</v>
      </c>
      <c r="G13" s="182">
        <f>F13</f>
        <v>211.20000000000002</v>
      </c>
      <c r="H13" s="182">
        <f t="shared" si="1"/>
        <v>0</v>
      </c>
      <c r="I13" s="144">
        <v>934298</v>
      </c>
      <c r="J13" s="144" t="s">
        <v>230</v>
      </c>
      <c r="K13" s="144" t="s">
        <v>31</v>
      </c>
      <c r="L13" s="144" t="s">
        <v>32</v>
      </c>
      <c r="M13" s="144">
        <v>92811415</v>
      </c>
      <c r="N13" s="299" t="s">
        <v>618</v>
      </c>
      <c r="O13" s="54" t="s">
        <v>621</v>
      </c>
    </row>
    <row r="14" spans="1:15" ht="21.75" customHeight="1" x14ac:dyDescent="0.25">
      <c r="A14" s="146">
        <v>12</v>
      </c>
      <c r="B14" s="235">
        <v>1111</v>
      </c>
      <c r="C14" s="296" t="s">
        <v>231</v>
      </c>
      <c r="D14" s="295">
        <v>525.79999999999995</v>
      </c>
      <c r="E14" s="149">
        <v>0.4</v>
      </c>
      <c r="F14" s="186">
        <f t="shared" si="0"/>
        <v>210.32</v>
      </c>
      <c r="G14" s="186"/>
      <c r="H14" s="186">
        <f t="shared" si="1"/>
        <v>210.32</v>
      </c>
      <c r="I14" s="136">
        <v>15571992</v>
      </c>
      <c r="J14" s="311" t="s">
        <v>232</v>
      </c>
      <c r="K14" s="136" t="s">
        <v>52</v>
      </c>
      <c r="L14" s="136" t="s">
        <v>53</v>
      </c>
      <c r="M14" s="136">
        <v>92708951</v>
      </c>
      <c r="N14" s="139"/>
      <c r="O14" s="17"/>
    </row>
    <row r="15" spans="1:15" ht="21.75" customHeight="1" x14ac:dyDescent="0.25">
      <c r="A15" s="146">
        <v>13</v>
      </c>
      <c r="B15" s="235">
        <v>1119</v>
      </c>
      <c r="C15" s="297" t="s">
        <v>233</v>
      </c>
      <c r="D15" s="295">
        <v>386.3</v>
      </c>
      <c r="E15" s="149">
        <v>0.4</v>
      </c>
      <c r="F15" s="186">
        <f t="shared" si="0"/>
        <v>154.52000000000001</v>
      </c>
      <c r="G15" s="186"/>
      <c r="H15" s="186">
        <f t="shared" si="1"/>
        <v>154.52000000000001</v>
      </c>
      <c r="I15" s="136">
        <v>24000245</v>
      </c>
      <c r="J15" s="136" t="s">
        <v>234</v>
      </c>
      <c r="K15" s="136" t="s">
        <v>31</v>
      </c>
      <c r="L15" s="136" t="s">
        <v>32</v>
      </c>
      <c r="M15" s="136">
        <v>90911369</v>
      </c>
      <c r="N15" s="324"/>
      <c r="O15" s="17"/>
    </row>
    <row r="16" spans="1:15" ht="21.75" customHeight="1" x14ac:dyDescent="0.25">
      <c r="A16" s="146">
        <v>14</v>
      </c>
      <c r="B16" s="235">
        <v>1122</v>
      </c>
      <c r="C16" s="296" t="s">
        <v>98</v>
      </c>
      <c r="D16" s="295">
        <v>311.89999999999998</v>
      </c>
      <c r="E16" s="149">
        <v>0.4</v>
      </c>
      <c r="F16" s="186">
        <f t="shared" si="0"/>
        <v>124.75999999999999</v>
      </c>
      <c r="G16" s="186"/>
      <c r="H16" s="186">
        <f t="shared" si="1"/>
        <v>124.75999999999999</v>
      </c>
      <c r="I16" s="136">
        <v>5219876</v>
      </c>
      <c r="J16" s="136" t="s">
        <v>99</v>
      </c>
      <c r="K16" s="136" t="s">
        <v>31</v>
      </c>
      <c r="L16" s="136" t="s">
        <v>32</v>
      </c>
      <c r="M16" s="136">
        <v>99066779</v>
      </c>
      <c r="N16" s="139"/>
      <c r="O16" s="17"/>
    </row>
    <row r="17" spans="1:15" s="54" customFormat="1" ht="21.75" customHeight="1" x14ac:dyDescent="0.25">
      <c r="A17" s="141">
        <v>15</v>
      </c>
      <c r="B17" s="142">
        <v>1135</v>
      </c>
      <c r="C17" s="143" t="s">
        <v>101</v>
      </c>
      <c r="D17" s="185">
        <v>597.6</v>
      </c>
      <c r="E17" s="182">
        <v>0.4</v>
      </c>
      <c r="F17" s="182">
        <f t="shared" si="0"/>
        <v>239.04000000000002</v>
      </c>
      <c r="G17" s="182">
        <f>F17</f>
        <v>239.04000000000002</v>
      </c>
      <c r="H17" s="182">
        <f t="shared" si="1"/>
        <v>0</v>
      </c>
      <c r="I17" s="144">
        <v>19202954</v>
      </c>
      <c r="J17" s="159" t="s">
        <v>102</v>
      </c>
      <c r="K17" s="144" t="s">
        <v>52</v>
      </c>
      <c r="L17" s="144" t="s">
        <v>53</v>
      </c>
      <c r="M17" s="144">
        <v>92771786</v>
      </c>
      <c r="N17" s="155" t="s">
        <v>618</v>
      </c>
      <c r="O17" s="54" t="s">
        <v>622</v>
      </c>
    </row>
    <row r="18" spans="1:15" s="54" customFormat="1" ht="21.75" customHeight="1" x14ac:dyDescent="0.25">
      <c r="A18" s="141">
        <v>16</v>
      </c>
      <c r="B18" s="142">
        <v>1141</v>
      </c>
      <c r="C18" s="143" t="s">
        <v>235</v>
      </c>
      <c r="D18" s="185">
        <v>506</v>
      </c>
      <c r="E18" s="182">
        <v>0.4</v>
      </c>
      <c r="F18" s="182">
        <f t="shared" si="0"/>
        <v>202.4</v>
      </c>
      <c r="G18" s="182">
        <f>200.11</f>
        <v>200.11</v>
      </c>
      <c r="H18" s="182">
        <f t="shared" si="1"/>
        <v>2.289999999999992</v>
      </c>
      <c r="I18" s="144">
        <v>11753992</v>
      </c>
      <c r="J18" s="159" t="s">
        <v>236</v>
      </c>
      <c r="K18" s="144" t="s">
        <v>31</v>
      </c>
      <c r="L18" s="144" t="s">
        <v>32</v>
      </c>
      <c r="M18" s="144">
        <v>99205960</v>
      </c>
      <c r="N18" s="155" t="s">
        <v>606</v>
      </c>
    </row>
    <row r="19" spans="1:15" ht="21.75" customHeight="1" x14ac:dyDescent="0.25">
      <c r="A19" s="146">
        <v>17</v>
      </c>
      <c r="B19" s="235">
        <v>1154</v>
      </c>
      <c r="C19" s="136" t="s">
        <v>237</v>
      </c>
      <c r="D19" s="295">
        <v>918.5</v>
      </c>
      <c r="E19" s="149">
        <v>0.4</v>
      </c>
      <c r="F19" s="186">
        <f t="shared" si="0"/>
        <v>367.40000000000003</v>
      </c>
      <c r="G19" s="186"/>
      <c r="H19" s="186">
        <f t="shared" si="1"/>
        <v>367.40000000000003</v>
      </c>
      <c r="I19" s="137">
        <v>18654817</v>
      </c>
      <c r="J19" s="311" t="s">
        <v>238</v>
      </c>
      <c r="K19" s="136" t="s">
        <v>31</v>
      </c>
      <c r="L19" s="136" t="s">
        <v>32</v>
      </c>
      <c r="M19" s="136">
        <v>98887846</v>
      </c>
      <c r="N19" s="139"/>
      <c r="O19" s="17"/>
    </row>
    <row r="20" spans="1:15" ht="21.75" customHeight="1" x14ac:dyDescent="0.25">
      <c r="A20" s="146">
        <v>18</v>
      </c>
      <c r="B20" s="235">
        <v>1161</v>
      </c>
      <c r="C20" s="296" t="s">
        <v>239</v>
      </c>
      <c r="D20" s="295">
        <v>345</v>
      </c>
      <c r="E20" s="149">
        <v>0.4</v>
      </c>
      <c r="F20" s="186">
        <f t="shared" si="0"/>
        <v>138</v>
      </c>
      <c r="G20" s="186"/>
      <c r="H20" s="186">
        <f t="shared" si="1"/>
        <v>138</v>
      </c>
      <c r="I20" s="136">
        <v>257926</v>
      </c>
      <c r="J20" s="311" t="s">
        <v>240</v>
      </c>
      <c r="K20" s="136" t="s">
        <v>71</v>
      </c>
      <c r="L20" s="136" t="s">
        <v>72</v>
      </c>
      <c r="M20" s="136">
        <v>99589267</v>
      </c>
      <c r="N20" s="139"/>
      <c r="O20" s="17"/>
    </row>
    <row r="21" spans="1:15" ht="21.75" customHeight="1" x14ac:dyDescent="0.25">
      <c r="A21" s="146">
        <v>19</v>
      </c>
      <c r="B21" s="235">
        <v>1168</v>
      </c>
      <c r="C21" s="296" t="s">
        <v>241</v>
      </c>
      <c r="D21" s="295">
        <v>541.5</v>
      </c>
      <c r="E21" s="149">
        <v>0.4</v>
      </c>
      <c r="F21" s="186">
        <f t="shared" si="0"/>
        <v>216.60000000000002</v>
      </c>
      <c r="G21" s="186"/>
      <c r="H21" s="186">
        <f t="shared" si="1"/>
        <v>216.60000000000002</v>
      </c>
      <c r="I21" s="136">
        <v>15498714</v>
      </c>
      <c r="J21" s="311" t="s">
        <v>573</v>
      </c>
      <c r="K21" s="136" t="s">
        <v>31</v>
      </c>
      <c r="L21" s="136" t="s">
        <v>32</v>
      </c>
      <c r="M21" s="136">
        <v>99292524</v>
      </c>
      <c r="N21" s="139"/>
      <c r="O21" s="17"/>
    </row>
    <row r="22" spans="1:15" ht="21.75" customHeight="1" x14ac:dyDescent="0.25">
      <c r="A22" s="146">
        <v>20</v>
      </c>
      <c r="B22" s="235">
        <v>1177</v>
      </c>
      <c r="C22" s="297" t="s">
        <v>243</v>
      </c>
      <c r="D22" s="295">
        <v>354.8</v>
      </c>
      <c r="E22" s="149">
        <v>0.4</v>
      </c>
      <c r="F22" s="186">
        <f t="shared" si="0"/>
        <v>141.92000000000002</v>
      </c>
      <c r="G22" s="186"/>
      <c r="H22" s="186">
        <f t="shared" si="1"/>
        <v>141.92000000000002</v>
      </c>
      <c r="I22" s="136">
        <v>219353</v>
      </c>
      <c r="J22" s="311" t="s">
        <v>244</v>
      </c>
      <c r="K22" s="136" t="s">
        <v>52</v>
      </c>
      <c r="L22" s="136" t="s">
        <v>53</v>
      </c>
      <c r="M22" s="138">
        <v>99485534</v>
      </c>
      <c r="N22" s="324"/>
      <c r="O22" s="17"/>
    </row>
    <row r="23" spans="1:15" ht="21.75" customHeight="1" x14ac:dyDescent="0.25">
      <c r="A23" s="141">
        <v>21</v>
      </c>
      <c r="B23" s="142">
        <v>1178</v>
      </c>
      <c r="C23" s="143" t="s">
        <v>245</v>
      </c>
      <c r="D23" s="185">
        <v>615.70000000000005</v>
      </c>
      <c r="E23" s="182">
        <v>0.4</v>
      </c>
      <c r="F23" s="182">
        <f t="shared" si="0"/>
        <v>246.28000000000003</v>
      </c>
      <c r="G23" s="182">
        <f>244.94</f>
        <v>244.94</v>
      </c>
      <c r="H23" s="182">
        <f t="shared" si="1"/>
        <v>1.3400000000000318</v>
      </c>
      <c r="I23" s="157">
        <v>970872</v>
      </c>
      <c r="J23" s="157" t="s">
        <v>246</v>
      </c>
      <c r="K23" s="157" t="s">
        <v>26</v>
      </c>
      <c r="L23" s="157" t="s">
        <v>27</v>
      </c>
      <c r="M23" s="157">
        <v>99485535</v>
      </c>
      <c r="N23" s="299">
        <v>45685</v>
      </c>
      <c r="O23" s="17"/>
    </row>
    <row r="24" spans="1:15" ht="21.75" customHeight="1" x14ac:dyDescent="0.25">
      <c r="A24" s="146">
        <v>22</v>
      </c>
      <c r="B24" s="235">
        <v>1224</v>
      </c>
      <c r="C24" s="296" t="s">
        <v>247</v>
      </c>
      <c r="D24" s="295">
        <v>694.4</v>
      </c>
      <c r="E24" s="149">
        <v>0.4</v>
      </c>
      <c r="F24" s="186">
        <f t="shared" si="0"/>
        <v>277.76</v>
      </c>
      <c r="G24" s="186"/>
      <c r="H24" s="186">
        <f t="shared" si="1"/>
        <v>277.76</v>
      </c>
      <c r="I24" s="136">
        <v>24911691</v>
      </c>
      <c r="J24" s="313" t="s">
        <v>248</v>
      </c>
      <c r="K24" s="136" t="s">
        <v>31</v>
      </c>
      <c r="L24" s="136" t="s">
        <v>32</v>
      </c>
      <c r="M24" s="136">
        <v>99192216</v>
      </c>
      <c r="N24" s="139"/>
      <c r="O24" s="17"/>
    </row>
    <row r="25" spans="1:15" s="17" customFormat="1" ht="21.75" customHeight="1" x14ac:dyDescent="0.25">
      <c r="A25" s="146">
        <v>23</v>
      </c>
      <c r="B25" s="235">
        <v>1225</v>
      </c>
      <c r="C25" s="296" t="s">
        <v>249</v>
      </c>
      <c r="D25" s="295">
        <v>603</v>
      </c>
      <c r="E25" s="149">
        <v>0.4</v>
      </c>
      <c r="F25" s="186">
        <f t="shared" si="0"/>
        <v>241.20000000000002</v>
      </c>
      <c r="G25" s="186"/>
      <c r="H25" s="186">
        <f t="shared" si="1"/>
        <v>241.20000000000002</v>
      </c>
      <c r="I25" s="136">
        <v>9642357</v>
      </c>
      <c r="J25" s="317" t="s">
        <v>250</v>
      </c>
      <c r="K25" s="136" t="s">
        <v>251</v>
      </c>
      <c r="L25" s="136" t="s">
        <v>252</v>
      </c>
      <c r="M25" s="136">
        <v>99777877</v>
      </c>
      <c r="N25" s="139"/>
    </row>
    <row r="26" spans="1:15" s="17" customFormat="1" ht="21.75" customHeight="1" x14ac:dyDescent="0.25">
      <c r="A26" s="146">
        <v>24</v>
      </c>
      <c r="B26" s="235">
        <v>1235</v>
      </c>
      <c r="C26" s="300" t="s">
        <v>253</v>
      </c>
      <c r="D26" s="295">
        <v>667</v>
      </c>
      <c r="E26" s="149">
        <v>0.4</v>
      </c>
      <c r="F26" s="186">
        <f t="shared" si="0"/>
        <v>266.8</v>
      </c>
      <c r="G26" s="186"/>
      <c r="H26" s="186">
        <f t="shared" si="1"/>
        <v>266.8</v>
      </c>
      <c r="I26" s="139">
        <v>1992436</v>
      </c>
      <c r="J26" s="314" t="s">
        <v>254</v>
      </c>
      <c r="K26" s="140" t="s">
        <v>90</v>
      </c>
      <c r="L26" s="136" t="s">
        <v>32</v>
      </c>
      <c r="M26" s="140">
        <v>99484668</v>
      </c>
      <c r="N26" s="139"/>
    </row>
    <row r="27" spans="1:15" ht="21.75" customHeight="1" x14ac:dyDescent="0.25">
      <c r="A27" s="146">
        <v>25</v>
      </c>
      <c r="B27" s="235">
        <v>1241</v>
      </c>
      <c r="C27" s="296" t="s">
        <v>255</v>
      </c>
      <c r="D27" s="295">
        <v>572.6</v>
      </c>
      <c r="E27" s="149">
        <v>0.4</v>
      </c>
      <c r="F27" s="186">
        <f t="shared" si="0"/>
        <v>229.04000000000002</v>
      </c>
      <c r="G27" s="186"/>
      <c r="H27" s="186">
        <f t="shared" si="1"/>
        <v>229.04000000000002</v>
      </c>
      <c r="I27" s="136">
        <v>5343254</v>
      </c>
      <c r="J27" s="136" t="s">
        <v>256</v>
      </c>
      <c r="K27" s="136" t="s">
        <v>31</v>
      </c>
      <c r="L27" s="136" t="s">
        <v>32</v>
      </c>
      <c r="M27" s="136">
        <v>98964664</v>
      </c>
      <c r="N27" s="321"/>
      <c r="O27" s="17"/>
    </row>
    <row r="28" spans="1:15" s="54" customFormat="1" ht="21.75" customHeight="1" x14ac:dyDescent="0.25">
      <c r="A28" s="141">
        <v>26</v>
      </c>
      <c r="B28" s="142">
        <v>1247</v>
      </c>
      <c r="C28" s="143" t="s">
        <v>103</v>
      </c>
      <c r="D28" s="185">
        <v>552</v>
      </c>
      <c r="E28" s="182">
        <v>0.4</v>
      </c>
      <c r="F28" s="182">
        <f t="shared" si="0"/>
        <v>220.8</v>
      </c>
      <c r="G28" s="182">
        <f>217.3</f>
        <v>217.3</v>
      </c>
      <c r="H28" s="182">
        <f t="shared" si="1"/>
        <v>3.5</v>
      </c>
      <c r="I28" s="144">
        <v>4748561</v>
      </c>
      <c r="J28" s="159" t="s">
        <v>104</v>
      </c>
      <c r="K28" s="144" t="s">
        <v>52</v>
      </c>
      <c r="L28" s="144" t="s">
        <v>53</v>
      </c>
      <c r="M28" s="144">
        <v>92345282</v>
      </c>
      <c r="N28" s="155" t="s">
        <v>618</v>
      </c>
    </row>
    <row r="29" spans="1:15" ht="21.75" customHeight="1" x14ac:dyDescent="0.25">
      <c r="A29" s="146">
        <v>27</v>
      </c>
      <c r="B29" s="235">
        <v>1252</v>
      </c>
      <c r="C29" s="296" t="s">
        <v>258</v>
      </c>
      <c r="D29" s="295">
        <v>506</v>
      </c>
      <c r="E29" s="149">
        <v>0.4</v>
      </c>
      <c r="F29" s="186">
        <f t="shared" si="0"/>
        <v>202.4</v>
      </c>
      <c r="G29" s="186"/>
      <c r="H29" s="186">
        <f t="shared" si="1"/>
        <v>202.4</v>
      </c>
      <c r="I29" s="136">
        <v>2433959</v>
      </c>
      <c r="J29" s="311" t="s">
        <v>259</v>
      </c>
      <c r="K29" s="136" t="s">
        <v>52</v>
      </c>
      <c r="L29" s="136" t="s">
        <v>53</v>
      </c>
      <c r="M29" s="136">
        <v>93555999</v>
      </c>
      <c r="N29" s="139"/>
      <c r="O29" s="17"/>
    </row>
    <row r="30" spans="1:15" s="54" customFormat="1" ht="21.75" customHeight="1" x14ac:dyDescent="0.25">
      <c r="A30" s="141">
        <v>28</v>
      </c>
      <c r="B30" s="142">
        <v>1258</v>
      </c>
      <c r="C30" s="143" t="s">
        <v>105</v>
      </c>
      <c r="D30" s="185">
        <v>736</v>
      </c>
      <c r="E30" s="182">
        <v>0.4</v>
      </c>
      <c r="F30" s="182">
        <f t="shared" si="0"/>
        <v>294.40000000000003</v>
      </c>
      <c r="G30" s="182">
        <f>294.01</f>
        <v>294.01</v>
      </c>
      <c r="H30" s="182">
        <f t="shared" si="1"/>
        <v>0.3900000000000432</v>
      </c>
      <c r="I30" s="144">
        <v>1924174</v>
      </c>
      <c r="J30" s="144" t="s">
        <v>106</v>
      </c>
      <c r="K30" s="144" t="s">
        <v>52</v>
      </c>
      <c r="L30" s="144" t="s">
        <v>53</v>
      </c>
      <c r="M30" s="144">
        <v>99297990</v>
      </c>
      <c r="N30" s="155" t="s">
        <v>618</v>
      </c>
    </row>
    <row r="31" spans="1:15" ht="21.75" customHeight="1" x14ac:dyDescent="0.25">
      <c r="A31" s="141">
        <v>29</v>
      </c>
      <c r="B31" s="142">
        <v>1260</v>
      </c>
      <c r="C31" s="143" t="s">
        <v>260</v>
      </c>
      <c r="D31" s="185">
        <v>644</v>
      </c>
      <c r="E31" s="182">
        <v>0.4</v>
      </c>
      <c r="F31" s="182">
        <f t="shared" si="0"/>
        <v>257.60000000000002</v>
      </c>
      <c r="G31" s="182">
        <f>F31</f>
        <v>257.60000000000002</v>
      </c>
      <c r="H31" s="182">
        <f t="shared" si="1"/>
        <v>0</v>
      </c>
      <c r="I31" s="144">
        <v>18363579</v>
      </c>
      <c r="J31" s="203" t="s">
        <v>261</v>
      </c>
      <c r="K31" s="144" t="s">
        <v>52</v>
      </c>
      <c r="L31" s="144" t="s">
        <v>53</v>
      </c>
      <c r="M31" s="144">
        <v>98217444</v>
      </c>
      <c r="N31" s="155" t="s">
        <v>606</v>
      </c>
      <c r="O31" s="17" t="s">
        <v>612</v>
      </c>
    </row>
    <row r="32" spans="1:15" ht="21.75" customHeight="1" x14ac:dyDescent="0.25">
      <c r="A32" s="146">
        <v>30</v>
      </c>
      <c r="B32" s="235">
        <v>1261</v>
      </c>
      <c r="C32" s="136" t="s">
        <v>107</v>
      </c>
      <c r="D32" s="295">
        <v>361.1</v>
      </c>
      <c r="E32" s="149">
        <v>0.4</v>
      </c>
      <c r="F32" s="186">
        <f t="shared" si="0"/>
        <v>144.44000000000003</v>
      </c>
      <c r="G32" s="186"/>
      <c r="H32" s="186">
        <f t="shared" si="1"/>
        <v>144.44000000000003</v>
      </c>
      <c r="I32" s="136">
        <v>14429332</v>
      </c>
      <c r="J32" s="311" t="s">
        <v>574</v>
      </c>
      <c r="K32" s="136" t="s">
        <v>31</v>
      </c>
      <c r="L32" s="136" t="s">
        <v>32</v>
      </c>
      <c r="M32" s="136">
        <v>92939445</v>
      </c>
      <c r="N32" s="321"/>
      <c r="O32" s="17"/>
    </row>
    <row r="33" spans="1:15" ht="21.75" customHeight="1" x14ac:dyDescent="0.25">
      <c r="A33" s="146">
        <v>31</v>
      </c>
      <c r="B33" s="235">
        <v>1268</v>
      </c>
      <c r="C33" s="296" t="s">
        <v>109</v>
      </c>
      <c r="D33" s="295">
        <v>451.1</v>
      </c>
      <c r="E33" s="149">
        <v>0.4</v>
      </c>
      <c r="F33" s="186">
        <f t="shared" si="0"/>
        <v>180.44000000000003</v>
      </c>
      <c r="G33" s="186"/>
      <c r="H33" s="186">
        <f t="shared" si="1"/>
        <v>180.44000000000003</v>
      </c>
      <c r="I33" s="136">
        <v>722058</v>
      </c>
      <c r="J33" s="311" t="s">
        <v>110</v>
      </c>
      <c r="K33" s="136" t="s">
        <v>31</v>
      </c>
      <c r="L33" s="136" t="s">
        <v>32</v>
      </c>
      <c r="M33" s="136">
        <v>92848609</v>
      </c>
      <c r="N33" s="321"/>
      <c r="O33" s="17"/>
    </row>
    <row r="34" spans="1:15" s="54" customFormat="1" ht="21.75" customHeight="1" x14ac:dyDescent="0.25">
      <c r="A34" s="141">
        <v>32</v>
      </c>
      <c r="B34" s="142">
        <v>1282</v>
      </c>
      <c r="C34" s="143" t="s">
        <v>111</v>
      </c>
      <c r="D34" s="185">
        <v>621</v>
      </c>
      <c r="E34" s="182">
        <v>0.4</v>
      </c>
      <c r="F34" s="182">
        <f t="shared" si="0"/>
        <v>248.4</v>
      </c>
      <c r="G34" s="182">
        <f>2.3</f>
        <v>2.2999999999999998</v>
      </c>
      <c r="H34" s="182">
        <f t="shared" si="1"/>
        <v>246.1</v>
      </c>
      <c r="I34" s="144">
        <v>2997747</v>
      </c>
      <c r="J34" s="159" t="s">
        <v>112</v>
      </c>
      <c r="K34" s="144" t="s">
        <v>71</v>
      </c>
      <c r="L34" s="144" t="s">
        <v>72</v>
      </c>
      <c r="M34" s="144">
        <v>92660969</v>
      </c>
      <c r="N34" s="155"/>
    </row>
    <row r="35" spans="1:15" s="54" customFormat="1" ht="21.75" customHeight="1" x14ac:dyDescent="0.25">
      <c r="A35" s="141">
        <v>33</v>
      </c>
      <c r="B35" s="142">
        <v>1284</v>
      </c>
      <c r="C35" s="143" t="s">
        <v>115</v>
      </c>
      <c r="D35" s="185">
        <v>598</v>
      </c>
      <c r="E35" s="182">
        <v>0.4</v>
      </c>
      <c r="F35" s="182">
        <f t="shared" si="0"/>
        <v>239.20000000000002</v>
      </c>
      <c r="G35" s="182">
        <f>238.97</f>
        <v>238.97</v>
      </c>
      <c r="H35" s="182">
        <f t="shared" si="1"/>
        <v>0.23000000000001819</v>
      </c>
      <c r="I35" s="144">
        <v>1177598</v>
      </c>
      <c r="J35" s="159" t="s">
        <v>116</v>
      </c>
      <c r="K35" s="144" t="s">
        <v>52</v>
      </c>
      <c r="L35" s="144" t="s">
        <v>53</v>
      </c>
      <c r="M35" s="144">
        <v>92825228</v>
      </c>
      <c r="N35" s="155" t="s">
        <v>606</v>
      </c>
    </row>
    <row r="36" spans="1:15" ht="21.75" customHeight="1" x14ac:dyDescent="0.25">
      <c r="A36" s="146">
        <v>34</v>
      </c>
      <c r="B36" s="235">
        <v>1300</v>
      </c>
      <c r="C36" s="300" t="s">
        <v>263</v>
      </c>
      <c r="D36" s="295">
        <v>684.2</v>
      </c>
      <c r="E36" s="149">
        <v>0.4</v>
      </c>
      <c r="F36" s="186">
        <f t="shared" si="0"/>
        <v>273.68</v>
      </c>
      <c r="G36" s="186"/>
      <c r="H36" s="186">
        <f t="shared" si="1"/>
        <v>273.68</v>
      </c>
      <c r="I36" s="139">
        <v>19534277</v>
      </c>
      <c r="J36" s="311" t="s">
        <v>264</v>
      </c>
      <c r="K36" s="136" t="s">
        <v>31</v>
      </c>
      <c r="L36" s="136" t="s">
        <v>32</v>
      </c>
      <c r="M36" s="136">
        <v>99710505</v>
      </c>
      <c r="N36" s="139"/>
      <c r="O36" s="17"/>
    </row>
    <row r="37" spans="1:15" s="54" customFormat="1" ht="21.75" customHeight="1" x14ac:dyDescent="0.25">
      <c r="A37" s="141">
        <v>35</v>
      </c>
      <c r="B37" s="142">
        <v>1306</v>
      </c>
      <c r="C37" s="156" t="s">
        <v>265</v>
      </c>
      <c r="D37" s="185">
        <v>366</v>
      </c>
      <c r="E37" s="182">
        <v>0.4</v>
      </c>
      <c r="F37" s="182">
        <f t="shared" si="0"/>
        <v>146.4</v>
      </c>
      <c r="G37" s="182">
        <f>F37</f>
        <v>146.4</v>
      </c>
      <c r="H37" s="182">
        <f t="shared" si="1"/>
        <v>0</v>
      </c>
      <c r="I37" s="157">
        <v>2006904</v>
      </c>
      <c r="J37" s="214" t="s">
        <v>266</v>
      </c>
      <c r="K37" s="157" t="s">
        <v>31</v>
      </c>
      <c r="L37" s="144" t="s">
        <v>32</v>
      </c>
      <c r="M37" s="157">
        <v>96137717</v>
      </c>
      <c r="N37" s="155" t="s">
        <v>606</v>
      </c>
      <c r="O37" s="54" t="s">
        <v>613</v>
      </c>
    </row>
    <row r="38" spans="1:15" ht="21.75" customHeight="1" x14ac:dyDescent="0.25">
      <c r="A38" s="146">
        <v>36</v>
      </c>
      <c r="B38" s="235">
        <v>1315</v>
      </c>
      <c r="C38" s="296" t="s">
        <v>267</v>
      </c>
      <c r="D38" s="295">
        <v>265.8</v>
      </c>
      <c r="E38" s="149">
        <v>0.4</v>
      </c>
      <c r="F38" s="186">
        <f t="shared" si="0"/>
        <v>106.32000000000001</v>
      </c>
      <c r="G38" s="186"/>
      <c r="H38" s="186">
        <f t="shared" si="1"/>
        <v>106.32000000000001</v>
      </c>
      <c r="I38" s="136">
        <v>19528845</v>
      </c>
      <c r="J38" s="311" t="s">
        <v>268</v>
      </c>
      <c r="K38" s="136" t="s">
        <v>31</v>
      </c>
      <c r="L38" s="136" t="s">
        <v>32</v>
      </c>
      <c r="M38" s="136">
        <v>92432606</v>
      </c>
      <c r="N38" s="139"/>
      <c r="O38" s="17"/>
    </row>
    <row r="39" spans="1:15" ht="21.75" customHeight="1" x14ac:dyDescent="0.25">
      <c r="A39" s="146">
        <v>37</v>
      </c>
      <c r="B39" s="235">
        <v>1328</v>
      </c>
      <c r="C39" s="296" t="s">
        <v>117</v>
      </c>
      <c r="D39" s="295">
        <v>410.3</v>
      </c>
      <c r="E39" s="149">
        <v>0.4</v>
      </c>
      <c r="F39" s="186">
        <f t="shared" si="0"/>
        <v>164.12</v>
      </c>
      <c r="G39" s="186"/>
      <c r="H39" s="186">
        <f t="shared" si="1"/>
        <v>164.12</v>
      </c>
      <c r="I39" s="136">
        <v>782833</v>
      </c>
      <c r="J39" s="311" t="s">
        <v>118</v>
      </c>
      <c r="K39" s="136" t="s">
        <v>52</v>
      </c>
      <c r="L39" s="136" t="s">
        <v>53</v>
      </c>
      <c r="M39" s="136">
        <v>92475895</v>
      </c>
      <c r="N39" s="321"/>
      <c r="O39" s="17"/>
    </row>
    <row r="40" spans="1:15" ht="21.75" customHeight="1" x14ac:dyDescent="0.25">
      <c r="A40" s="146">
        <v>38</v>
      </c>
      <c r="B40" s="235">
        <v>1330</v>
      </c>
      <c r="C40" s="300" t="s">
        <v>119</v>
      </c>
      <c r="D40" s="295">
        <v>640.9</v>
      </c>
      <c r="E40" s="149">
        <v>0.4</v>
      </c>
      <c r="F40" s="186">
        <f t="shared" si="0"/>
        <v>256.36</v>
      </c>
      <c r="G40" s="186"/>
      <c r="H40" s="186">
        <f t="shared" si="1"/>
        <v>256.36</v>
      </c>
      <c r="I40" s="136">
        <v>12194826</v>
      </c>
      <c r="J40" s="311" t="s">
        <v>120</v>
      </c>
      <c r="K40" s="136" t="s">
        <v>121</v>
      </c>
      <c r="L40" s="136" t="s">
        <v>122</v>
      </c>
      <c r="M40" s="136">
        <v>91299100</v>
      </c>
      <c r="N40" s="321"/>
      <c r="O40" s="17"/>
    </row>
    <row r="41" spans="1:15" s="17" customFormat="1" ht="21.75" customHeight="1" x14ac:dyDescent="0.25">
      <c r="A41" s="146">
        <v>39</v>
      </c>
      <c r="B41" s="235">
        <v>1331</v>
      </c>
      <c r="C41" s="296" t="s">
        <v>269</v>
      </c>
      <c r="D41" s="295">
        <v>345</v>
      </c>
      <c r="E41" s="149">
        <v>0.4</v>
      </c>
      <c r="F41" s="186">
        <f t="shared" si="0"/>
        <v>138</v>
      </c>
      <c r="G41" s="186"/>
      <c r="H41" s="186">
        <f t="shared" si="1"/>
        <v>138</v>
      </c>
      <c r="I41" s="136">
        <v>2107763</v>
      </c>
      <c r="J41" s="311" t="s">
        <v>270</v>
      </c>
      <c r="K41" s="136" t="s">
        <v>71</v>
      </c>
      <c r="L41" s="136" t="s">
        <v>72</v>
      </c>
      <c r="M41" s="136">
        <v>93536009</v>
      </c>
      <c r="N41" s="321"/>
    </row>
    <row r="42" spans="1:15" ht="21.75" customHeight="1" x14ac:dyDescent="0.25">
      <c r="A42" s="146">
        <v>40</v>
      </c>
      <c r="B42" s="235">
        <v>1333</v>
      </c>
      <c r="C42" s="296" t="s">
        <v>29</v>
      </c>
      <c r="D42" s="295">
        <v>572.29999999999995</v>
      </c>
      <c r="E42" s="149">
        <v>0.4</v>
      </c>
      <c r="F42" s="186">
        <f t="shared" si="0"/>
        <v>228.92</v>
      </c>
      <c r="G42" s="186"/>
      <c r="H42" s="186">
        <f t="shared" si="1"/>
        <v>228.92</v>
      </c>
      <c r="I42" s="136">
        <v>1736679</v>
      </c>
      <c r="J42" s="311" t="s">
        <v>30</v>
      </c>
      <c r="K42" s="136" t="s">
        <v>31</v>
      </c>
      <c r="L42" s="136" t="s">
        <v>32</v>
      </c>
      <c r="M42" s="136">
        <v>99482212</v>
      </c>
      <c r="N42" s="139"/>
      <c r="O42" s="17"/>
    </row>
    <row r="43" spans="1:15" ht="21.75" customHeight="1" x14ac:dyDescent="0.25">
      <c r="A43" s="146">
        <v>41</v>
      </c>
      <c r="B43" s="235">
        <v>1382</v>
      </c>
      <c r="C43" s="296" t="s">
        <v>34</v>
      </c>
      <c r="D43" s="295">
        <v>663</v>
      </c>
      <c r="E43" s="149">
        <v>0.4</v>
      </c>
      <c r="F43" s="186">
        <f t="shared" si="0"/>
        <v>265.2</v>
      </c>
      <c r="G43" s="186"/>
      <c r="H43" s="186">
        <f t="shared" si="1"/>
        <v>265.2</v>
      </c>
      <c r="I43" s="136">
        <v>886492</v>
      </c>
      <c r="J43" s="311" t="s">
        <v>35</v>
      </c>
      <c r="K43" s="136" t="s">
        <v>31</v>
      </c>
      <c r="L43" s="136" t="s">
        <v>32</v>
      </c>
      <c r="M43" s="136">
        <v>99494166</v>
      </c>
      <c r="N43" s="139"/>
      <c r="O43" s="17"/>
    </row>
    <row r="44" spans="1:15" ht="21.75" customHeight="1" x14ac:dyDescent="0.25">
      <c r="A44" s="146">
        <v>42</v>
      </c>
      <c r="B44" s="235">
        <v>1384</v>
      </c>
      <c r="C44" s="296" t="s">
        <v>37</v>
      </c>
      <c r="D44" s="295">
        <v>272.5</v>
      </c>
      <c r="E44" s="149">
        <v>0.4</v>
      </c>
      <c r="F44" s="186">
        <f t="shared" si="0"/>
        <v>109</v>
      </c>
      <c r="G44" s="186"/>
      <c r="H44" s="186">
        <f t="shared" si="1"/>
        <v>109</v>
      </c>
      <c r="I44" s="136">
        <v>4426701</v>
      </c>
      <c r="J44" s="311" t="s">
        <v>38</v>
      </c>
      <c r="K44" s="136" t="s">
        <v>31</v>
      </c>
      <c r="L44" s="136" t="s">
        <v>32</v>
      </c>
      <c r="M44" s="136">
        <v>92634991</v>
      </c>
      <c r="N44" s="139"/>
      <c r="O44" s="17"/>
    </row>
    <row r="45" spans="1:15" ht="21.75" customHeight="1" x14ac:dyDescent="0.25">
      <c r="A45" s="146">
        <v>43</v>
      </c>
      <c r="B45" s="235">
        <v>1386</v>
      </c>
      <c r="C45" s="296" t="s">
        <v>39</v>
      </c>
      <c r="D45" s="295">
        <v>736</v>
      </c>
      <c r="E45" s="149">
        <v>0.4</v>
      </c>
      <c r="F45" s="186">
        <f t="shared" si="0"/>
        <v>294.40000000000003</v>
      </c>
      <c r="G45" s="186"/>
      <c r="H45" s="186">
        <f t="shared" si="1"/>
        <v>294.40000000000003</v>
      </c>
      <c r="I45" s="136">
        <v>711799</v>
      </c>
      <c r="J45" s="311" t="s">
        <v>40</v>
      </c>
      <c r="K45" s="136" t="s">
        <v>31</v>
      </c>
      <c r="L45" s="136" t="s">
        <v>32</v>
      </c>
      <c r="M45" s="136">
        <v>92394924</v>
      </c>
      <c r="N45" s="139"/>
      <c r="O45" s="17"/>
    </row>
    <row r="46" spans="1:15" ht="21.75" customHeight="1" x14ac:dyDescent="0.25">
      <c r="A46" s="146">
        <v>44</v>
      </c>
      <c r="B46" s="235">
        <v>1387</v>
      </c>
      <c r="C46" s="296" t="s">
        <v>271</v>
      </c>
      <c r="D46" s="295">
        <v>568.1</v>
      </c>
      <c r="E46" s="149">
        <v>0.4</v>
      </c>
      <c r="F46" s="186">
        <f t="shared" si="0"/>
        <v>227.24</v>
      </c>
      <c r="G46" s="186"/>
      <c r="H46" s="186">
        <f t="shared" si="1"/>
        <v>227.24</v>
      </c>
      <c r="I46" s="136">
        <v>6759716</v>
      </c>
      <c r="J46" s="311" t="s">
        <v>272</v>
      </c>
      <c r="K46" s="136" t="s">
        <v>71</v>
      </c>
      <c r="L46" s="136" t="s">
        <v>72</v>
      </c>
      <c r="M46" s="136">
        <v>91907675</v>
      </c>
      <c r="N46" s="139"/>
      <c r="O46" s="17"/>
    </row>
    <row r="47" spans="1:15" ht="21.75" customHeight="1" x14ac:dyDescent="0.25">
      <c r="A47" s="146">
        <v>45</v>
      </c>
      <c r="B47" s="235">
        <v>1388</v>
      </c>
      <c r="C47" s="296" t="s">
        <v>273</v>
      </c>
      <c r="D47" s="295">
        <v>361.6</v>
      </c>
      <c r="E47" s="149">
        <v>0.4</v>
      </c>
      <c r="F47" s="186">
        <f t="shared" si="0"/>
        <v>144.64000000000001</v>
      </c>
      <c r="G47" s="186"/>
      <c r="H47" s="186">
        <f t="shared" si="1"/>
        <v>144.64000000000001</v>
      </c>
      <c r="I47" s="136">
        <v>18610874</v>
      </c>
      <c r="J47" s="311" t="s">
        <v>274</v>
      </c>
      <c r="K47" s="136" t="s">
        <v>52</v>
      </c>
      <c r="L47" s="136" t="s">
        <v>53</v>
      </c>
      <c r="M47" s="136">
        <v>93955577</v>
      </c>
      <c r="N47" s="139"/>
      <c r="O47" s="17"/>
    </row>
    <row r="48" spans="1:15" s="54" customFormat="1" ht="21.75" customHeight="1" x14ac:dyDescent="0.25">
      <c r="A48" s="141">
        <v>46</v>
      </c>
      <c r="B48" s="142">
        <v>1389</v>
      </c>
      <c r="C48" s="143" t="s">
        <v>275</v>
      </c>
      <c r="D48" s="185">
        <v>920</v>
      </c>
      <c r="E48" s="182">
        <v>0.4</v>
      </c>
      <c r="F48" s="182">
        <f t="shared" si="0"/>
        <v>368</v>
      </c>
      <c r="G48" s="182">
        <f>F48</f>
        <v>368</v>
      </c>
      <c r="H48" s="182">
        <f t="shared" si="1"/>
        <v>0</v>
      </c>
      <c r="I48" s="144">
        <v>1036354</v>
      </c>
      <c r="J48" s="159" t="s">
        <v>276</v>
      </c>
      <c r="K48" s="144" t="s">
        <v>52</v>
      </c>
      <c r="L48" s="144" t="s">
        <v>53</v>
      </c>
      <c r="M48" s="144">
        <v>92413881</v>
      </c>
      <c r="N48" s="155" t="s">
        <v>618</v>
      </c>
      <c r="O48" s="54" t="s">
        <v>624</v>
      </c>
    </row>
    <row r="49" spans="1:15" ht="21.75" customHeight="1" x14ac:dyDescent="0.25">
      <c r="A49" s="146">
        <v>47</v>
      </c>
      <c r="B49" s="235">
        <v>1394</v>
      </c>
      <c r="C49" s="296" t="s">
        <v>277</v>
      </c>
      <c r="D49" s="295">
        <v>276.10000000000002</v>
      </c>
      <c r="E49" s="149">
        <v>0.4</v>
      </c>
      <c r="F49" s="186">
        <f t="shared" si="0"/>
        <v>110.44000000000001</v>
      </c>
      <c r="G49" s="186"/>
      <c r="H49" s="186">
        <f t="shared" si="1"/>
        <v>110.44000000000001</v>
      </c>
      <c r="I49" s="136">
        <v>25656187</v>
      </c>
      <c r="J49" s="136" t="s">
        <v>278</v>
      </c>
      <c r="K49" s="136" t="s">
        <v>31</v>
      </c>
      <c r="L49" s="311" t="s">
        <v>32</v>
      </c>
      <c r="M49" s="136">
        <v>98987848</v>
      </c>
      <c r="N49" s="139"/>
      <c r="O49" s="17"/>
    </row>
    <row r="50" spans="1:15" s="54" customFormat="1" ht="21.75" customHeight="1" x14ac:dyDescent="0.25">
      <c r="A50" s="141">
        <v>48</v>
      </c>
      <c r="B50" s="142">
        <v>1396</v>
      </c>
      <c r="C50" s="143" t="s">
        <v>123</v>
      </c>
      <c r="D50" s="185">
        <v>408.9</v>
      </c>
      <c r="E50" s="182">
        <v>0.4</v>
      </c>
      <c r="F50" s="182">
        <f t="shared" si="0"/>
        <v>163.56</v>
      </c>
      <c r="G50" s="182">
        <f>159.22</f>
        <v>159.22</v>
      </c>
      <c r="H50" s="182">
        <f t="shared" si="1"/>
        <v>4.3400000000000034</v>
      </c>
      <c r="I50" s="144">
        <v>905845</v>
      </c>
      <c r="J50" s="159" t="s">
        <v>124</v>
      </c>
      <c r="K50" s="144" t="s">
        <v>31</v>
      </c>
      <c r="L50" s="144" t="s">
        <v>32</v>
      </c>
      <c r="M50" s="144">
        <v>99696204</v>
      </c>
      <c r="N50" s="299" t="s">
        <v>618</v>
      </c>
    </row>
    <row r="51" spans="1:15" ht="21.75" customHeight="1" x14ac:dyDescent="0.25">
      <c r="A51" s="146">
        <v>49</v>
      </c>
      <c r="B51" s="235">
        <v>1397</v>
      </c>
      <c r="C51" s="296" t="s">
        <v>125</v>
      </c>
      <c r="D51" s="295">
        <v>336.4</v>
      </c>
      <c r="E51" s="149">
        <v>0.4</v>
      </c>
      <c r="F51" s="186">
        <f t="shared" si="0"/>
        <v>134.56</v>
      </c>
      <c r="G51" s="186"/>
      <c r="H51" s="186">
        <f t="shared" si="1"/>
        <v>134.56</v>
      </c>
      <c r="I51" s="136">
        <v>1292885</v>
      </c>
      <c r="J51" s="311" t="s">
        <v>126</v>
      </c>
      <c r="K51" s="136" t="s">
        <v>127</v>
      </c>
      <c r="L51" s="136" t="s">
        <v>128</v>
      </c>
      <c r="M51" s="136">
        <v>92307552</v>
      </c>
      <c r="N51" s="139"/>
      <c r="O51" s="17"/>
    </row>
    <row r="52" spans="1:15" ht="21.75" customHeight="1" x14ac:dyDescent="0.25">
      <c r="A52" s="146">
        <v>50</v>
      </c>
      <c r="B52" s="235">
        <v>1398</v>
      </c>
      <c r="C52" s="296" t="s">
        <v>279</v>
      </c>
      <c r="D52" s="295">
        <v>247.6</v>
      </c>
      <c r="E52" s="149">
        <v>0.4</v>
      </c>
      <c r="F52" s="186">
        <f t="shared" si="0"/>
        <v>99.04</v>
      </c>
      <c r="G52" s="186"/>
      <c r="H52" s="186">
        <f t="shared" si="1"/>
        <v>99.04</v>
      </c>
      <c r="I52" s="136">
        <v>1161437</v>
      </c>
      <c r="J52" s="136" t="s">
        <v>280</v>
      </c>
      <c r="K52" s="136" t="s">
        <v>121</v>
      </c>
      <c r="L52" s="136" t="s">
        <v>122</v>
      </c>
      <c r="M52" s="136">
        <v>91135580</v>
      </c>
      <c r="N52" s="321"/>
      <c r="O52" s="17"/>
    </row>
    <row r="53" spans="1:15" s="17" customFormat="1" ht="21.75" customHeight="1" x14ac:dyDescent="0.25">
      <c r="A53" s="146">
        <v>51</v>
      </c>
      <c r="B53" s="235">
        <v>1400</v>
      </c>
      <c r="C53" s="296" t="s">
        <v>281</v>
      </c>
      <c r="D53" s="295">
        <v>418.9</v>
      </c>
      <c r="E53" s="149">
        <v>0.4</v>
      </c>
      <c r="F53" s="186">
        <f t="shared" si="0"/>
        <v>167.56</v>
      </c>
      <c r="G53" s="186"/>
      <c r="H53" s="186">
        <f t="shared" si="1"/>
        <v>167.56</v>
      </c>
      <c r="I53" s="136">
        <v>7223707</v>
      </c>
      <c r="J53" s="311" t="s">
        <v>282</v>
      </c>
      <c r="K53" s="136" t="s">
        <v>26</v>
      </c>
      <c r="L53" s="136" t="s">
        <v>27</v>
      </c>
      <c r="M53" s="136">
        <v>92616136</v>
      </c>
      <c r="N53" s="139"/>
    </row>
    <row r="54" spans="1:15" ht="21.75" customHeight="1" x14ac:dyDescent="0.25">
      <c r="A54" s="146">
        <v>52</v>
      </c>
      <c r="B54" s="235">
        <v>1403</v>
      </c>
      <c r="C54" s="296" t="s">
        <v>283</v>
      </c>
      <c r="D54" s="295">
        <v>529</v>
      </c>
      <c r="E54" s="149">
        <v>0.4</v>
      </c>
      <c r="F54" s="186">
        <f t="shared" si="0"/>
        <v>211.60000000000002</v>
      </c>
      <c r="G54" s="186"/>
      <c r="H54" s="186">
        <f t="shared" si="1"/>
        <v>211.60000000000002</v>
      </c>
      <c r="I54" s="136">
        <v>499044</v>
      </c>
      <c r="J54" s="136" t="s">
        <v>284</v>
      </c>
      <c r="K54" s="136" t="s">
        <v>31</v>
      </c>
      <c r="L54" s="136" t="s">
        <v>32</v>
      </c>
      <c r="M54" s="136">
        <v>92226988</v>
      </c>
      <c r="N54" s="139"/>
      <c r="O54" s="17"/>
    </row>
    <row r="55" spans="1:15" ht="21.75" customHeight="1" x14ac:dyDescent="0.25">
      <c r="A55" s="146">
        <v>53</v>
      </c>
      <c r="B55" s="148">
        <v>1406</v>
      </c>
      <c r="C55" s="296" t="s">
        <v>285</v>
      </c>
      <c r="D55" s="295">
        <v>444.9</v>
      </c>
      <c r="E55" s="149">
        <v>0.4</v>
      </c>
      <c r="F55" s="186">
        <f t="shared" si="0"/>
        <v>177.96</v>
      </c>
      <c r="G55" s="186"/>
      <c r="H55" s="186">
        <f t="shared" si="1"/>
        <v>177.96</v>
      </c>
      <c r="I55" s="136">
        <v>880849</v>
      </c>
      <c r="J55" s="311" t="s">
        <v>286</v>
      </c>
      <c r="K55" s="136" t="s">
        <v>71</v>
      </c>
      <c r="L55" s="136" t="s">
        <v>72</v>
      </c>
      <c r="M55" s="136">
        <v>99365157</v>
      </c>
      <c r="N55" s="321"/>
      <c r="O55" s="17"/>
    </row>
    <row r="56" spans="1:15" ht="21.75" customHeight="1" x14ac:dyDescent="0.25">
      <c r="A56" s="146">
        <v>54</v>
      </c>
      <c r="B56" s="148">
        <v>1408</v>
      </c>
      <c r="C56" s="136" t="s">
        <v>287</v>
      </c>
      <c r="D56" s="295">
        <v>1334</v>
      </c>
      <c r="E56" s="149">
        <v>0.4</v>
      </c>
      <c r="F56" s="186">
        <f t="shared" si="0"/>
        <v>533.6</v>
      </c>
      <c r="G56" s="186"/>
      <c r="H56" s="186">
        <f t="shared" si="1"/>
        <v>533.6</v>
      </c>
      <c r="I56" s="136">
        <v>997465</v>
      </c>
      <c r="J56" s="311" t="s">
        <v>288</v>
      </c>
      <c r="K56" s="136" t="s">
        <v>31</v>
      </c>
      <c r="L56" s="136" t="s">
        <v>32</v>
      </c>
      <c r="M56" s="136">
        <v>99490975</v>
      </c>
      <c r="N56" s="139"/>
      <c r="O56" s="17"/>
    </row>
    <row r="57" spans="1:15" ht="21.75" customHeight="1" x14ac:dyDescent="0.25">
      <c r="A57" s="146">
        <v>55</v>
      </c>
      <c r="B57" s="148">
        <v>1409</v>
      </c>
      <c r="C57" s="296" t="s">
        <v>289</v>
      </c>
      <c r="D57" s="541">
        <v>479.1</v>
      </c>
      <c r="E57" s="149">
        <v>0.4</v>
      </c>
      <c r="F57" s="186">
        <f t="shared" si="0"/>
        <v>191.64000000000001</v>
      </c>
      <c r="G57" s="186"/>
      <c r="H57" s="186">
        <f t="shared" si="1"/>
        <v>191.64000000000001</v>
      </c>
      <c r="I57" s="136">
        <v>7279409</v>
      </c>
      <c r="J57" s="311" t="s">
        <v>290</v>
      </c>
      <c r="K57" s="136" t="s">
        <v>31</v>
      </c>
      <c r="L57" s="136" t="s">
        <v>32</v>
      </c>
      <c r="M57" s="136">
        <v>99626634</v>
      </c>
      <c r="N57" s="139"/>
      <c r="O57" s="17"/>
    </row>
    <row r="58" spans="1:15" s="54" customFormat="1" ht="21.75" customHeight="1" x14ac:dyDescent="0.25">
      <c r="A58" s="141">
        <v>56</v>
      </c>
      <c r="B58" s="215">
        <v>1410</v>
      </c>
      <c r="C58" s="143" t="s">
        <v>292</v>
      </c>
      <c r="D58" s="181">
        <v>550</v>
      </c>
      <c r="E58" s="182">
        <v>0.4</v>
      </c>
      <c r="F58" s="182">
        <f t="shared" si="0"/>
        <v>220</v>
      </c>
      <c r="G58" s="182">
        <f>F58</f>
        <v>220</v>
      </c>
      <c r="H58" s="182">
        <f t="shared" si="1"/>
        <v>0</v>
      </c>
      <c r="I58" s="144">
        <v>757372</v>
      </c>
      <c r="J58" s="159" t="s">
        <v>293</v>
      </c>
      <c r="K58" s="144" t="s">
        <v>31</v>
      </c>
      <c r="L58" s="144" t="s">
        <v>32</v>
      </c>
      <c r="M58" s="144">
        <v>92018800</v>
      </c>
      <c r="N58" s="155" t="s">
        <v>606</v>
      </c>
      <c r="O58" s="54" t="s">
        <v>615</v>
      </c>
    </row>
    <row r="59" spans="1:15" ht="21.75" customHeight="1" x14ac:dyDescent="0.25">
      <c r="A59" s="141">
        <v>57</v>
      </c>
      <c r="B59" s="215">
        <v>1411</v>
      </c>
      <c r="C59" s="143" t="s">
        <v>294</v>
      </c>
      <c r="D59" s="185">
        <v>607.1</v>
      </c>
      <c r="E59" s="182">
        <v>0.4</v>
      </c>
      <c r="F59" s="182">
        <f t="shared" si="0"/>
        <v>242.84000000000003</v>
      </c>
      <c r="G59" s="182">
        <v>239.39</v>
      </c>
      <c r="H59" s="182">
        <f t="shared" si="1"/>
        <v>3.4500000000000455</v>
      </c>
      <c r="I59" s="144">
        <v>1650389</v>
      </c>
      <c r="J59" s="159" t="s">
        <v>295</v>
      </c>
      <c r="K59" s="144" t="s">
        <v>31</v>
      </c>
      <c r="L59" s="144" t="s">
        <v>32</v>
      </c>
      <c r="M59" s="144">
        <v>92294150</v>
      </c>
      <c r="N59" s="155" t="s">
        <v>606</v>
      </c>
      <c r="O59" s="17"/>
    </row>
    <row r="60" spans="1:15" ht="21.75" customHeight="1" x14ac:dyDescent="0.25">
      <c r="A60" s="146">
        <v>58</v>
      </c>
      <c r="B60" s="235">
        <v>1412</v>
      </c>
      <c r="C60" s="296" t="s">
        <v>296</v>
      </c>
      <c r="D60" s="295">
        <v>674.3</v>
      </c>
      <c r="E60" s="149">
        <v>0.4</v>
      </c>
      <c r="F60" s="186">
        <f t="shared" si="0"/>
        <v>269.71999999999997</v>
      </c>
      <c r="G60" s="186"/>
      <c r="H60" s="186">
        <f t="shared" si="1"/>
        <v>269.71999999999997</v>
      </c>
      <c r="I60" s="136">
        <v>312227</v>
      </c>
      <c r="J60" s="136" t="s">
        <v>297</v>
      </c>
      <c r="K60" s="136" t="s">
        <v>31</v>
      </c>
      <c r="L60" s="136" t="s">
        <v>32</v>
      </c>
      <c r="M60" s="136">
        <v>95414124</v>
      </c>
      <c r="N60" s="139"/>
      <c r="O60" s="17"/>
    </row>
    <row r="61" spans="1:15" ht="21.75" customHeight="1" x14ac:dyDescent="0.25">
      <c r="A61" s="146">
        <v>59</v>
      </c>
      <c r="B61" s="235">
        <v>1413</v>
      </c>
      <c r="C61" s="136" t="s">
        <v>298</v>
      </c>
      <c r="D61" s="295">
        <v>344.6</v>
      </c>
      <c r="E61" s="149">
        <v>0.4</v>
      </c>
      <c r="F61" s="186">
        <f t="shared" si="0"/>
        <v>137.84</v>
      </c>
      <c r="G61" s="186"/>
      <c r="H61" s="186">
        <f t="shared" si="1"/>
        <v>137.84</v>
      </c>
      <c r="I61" s="136">
        <v>539906</v>
      </c>
      <c r="J61" s="311" t="s">
        <v>299</v>
      </c>
      <c r="K61" s="136" t="s">
        <v>52</v>
      </c>
      <c r="L61" s="136" t="s">
        <v>53</v>
      </c>
      <c r="M61" s="136"/>
      <c r="N61" s="139"/>
      <c r="O61" s="17"/>
    </row>
    <row r="62" spans="1:15" s="17" customFormat="1" ht="21.75" customHeight="1" x14ac:dyDescent="0.25">
      <c r="A62" s="146">
        <v>60</v>
      </c>
      <c r="B62" s="235">
        <v>1414</v>
      </c>
      <c r="C62" s="296" t="s">
        <v>300</v>
      </c>
      <c r="D62" s="295">
        <v>963.2</v>
      </c>
      <c r="E62" s="149">
        <v>0.4</v>
      </c>
      <c r="F62" s="186">
        <f t="shared" si="0"/>
        <v>385.28000000000003</v>
      </c>
      <c r="G62" s="186"/>
      <c r="H62" s="186">
        <f t="shared" si="1"/>
        <v>385.28000000000003</v>
      </c>
      <c r="I62" s="136">
        <v>9178238</v>
      </c>
      <c r="J62" s="311" t="s">
        <v>301</v>
      </c>
      <c r="K62" s="136" t="s">
        <v>52</v>
      </c>
      <c r="L62" s="136" t="s">
        <v>53</v>
      </c>
      <c r="M62" s="136">
        <v>91966140</v>
      </c>
      <c r="N62" s="321"/>
    </row>
    <row r="63" spans="1:15" s="54" customFormat="1" ht="21.75" customHeight="1" x14ac:dyDescent="0.25">
      <c r="A63" s="141">
        <v>61</v>
      </c>
      <c r="B63" s="142">
        <v>1415</v>
      </c>
      <c r="C63" s="143" t="s">
        <v>549</v>
      </c>
      <c r="D63" s="185">
        <v>315.8</v>
      </c>
      <c r="E63" s="182">
        <v>0.4</v>
      </c>
      <c r="F63" s="182">
        <f t="shared" si="0"/>
        <v>126.32000000000001</v>
      </c>
      <c r="G63" s="182">
        <f>125.34</f>
        <v>125.34</v>
      </c>
      <c r="H63" s="182">
        <f t="shared" si="1"/>
        <v>0.98000000000000398</v>
      </c>
      <c r="I63" s="144">
        <v>5334952</v>
      </c>
      <c r="J63" s="203" t="s">
        <v>576</v>
      </c>
      <c r="K63" s="144" t="s">
        <v>31</v>
      </c>
      <c r="L63" s="144" t="s">
        <v>32</v>
      </c>
      <c r="M63" s="144">
        <v>99806280</v>
      </c>
      <c r="N63" s="155" t="s">
        <v>618</v>
      </c>
    </row>
    <row r="64" spans="1:15" ht="21.75" customHeight="1" x14ac:dyDescent="0.25">
      <c r="A64" s="146">
        <v>62</v>
      </c>
      <c r="B64" s="235">
        <v>1417</v>
      </c>
      <c r="C64" s="296" t="s">
        <v>42</v>
      </c>
      <c r="D64" s="295">
        <v>507.6</v>
      </c>
      <c r="E64" s="149">
        <v>0.4</v>
      </c>
      <c r="F64" s="186">
        <f t="shared" si="0"/>
        <v>203.04000000000002</v>
      </c>
      <c r="G64" s="186"/>
      <c r="H64" s="186">
        <f t="shared" si="1"/>
        <v>203.04000000000002</v>
      </c>
      <c r="I64" s="136">
        <v>1252579</v>
      </c>
      <c r="J64" s="311" t="s">
        <v>43</v>
      </c>
      <c r="K64" s="136" t="s">
        <v>31</v>
      </c>
      <c r="L64" s="136" t="s">
        <v>32</v>
      </c>
      <c r="M64" s="136">
        <v>98520912</v>
      </c>
      <c r="N64" s="139"/>
      <c r="O64" s="17"/>
    </row>
    <row r="65" spans="1:15" s="54" customFormat="1" ht="21.75" customHeight="1" x14ac:dyDescent="0.25">
      <c r="A65" s="141">
        <v>63</v>
      </c>
      <c r="B65" s="142">
        <v>1418</v>
      </c>
      <c r="C65" s="143" t="s">
        <v>304</v>
      </c>
      <c r="D65" s="185">
        <v>346</v>
      </c>
      <c r="E65" s="182">
        <v>0.4</v>
      </c>
      <c r="F65" s="182">
        <f t="shared" si="0"/>
        <v>138.4</v>
      </c>
      <c r="G65" s="182">
        <f>135.41</f>
        <v>135.41</v>
      </c>
      <c r="H65" s="182">
        <f t="shared" si="1"/>
        <v>2.9900000000000091</v>
      </c>
      <c r="I65" s="144">
        <v>9954378</v>
      </c>
      <c r="J65" s="159" t="s">
        <v>577</v>
      </c>
      <c r="K65" s="144" t="s">
        <v>31</v>
      </c>
      <c r="L65" s="144" t="s">
        <v>32</v>
      </c>
      <c r="M65" s="144">
        <v>99282423</v>
      </c>
      <c r="N65" s="299">
        <v>45810</v>
      </c>
    </row>
    <row r="66" spans="1:15" s="54" customFormat="1" ht="21.75" customHeight="1" x14ac:dyDescent="0.25">
      <c r="A66" s="141">
        <v>64</v>
      </c>
      <c r="B66" s="142">
        <v>1419</v>
      </c>
      <c r="C66" s="143" t="s">
        <v>308</v>
      </c>
      <c r="D66" s="185">
        <v>843</v>
      </c>
      <c r="E66" s="182">
        <v>0.4</v>
      </c>
      <c r="F66" s="182">
        <f t="shared" si="0"/>
        <v>337.20000000000005</v>
      </c>
      <c r="G66" s="182">
        <f>140.95</f>
        <v>140.94999999999999</v>
      </c>
      <c r="H66" s="182">
        <f t="shared" si="1"/>
        <v>196.25000000000006</v>
      </c>
      <c r="I66" s="144">
        <v>386821</v>
      </c>
      <c r="J66" s="159" t="s">
        <v>309</v>
      </c>
      <c r="K66" s="144" t="s">
        <v>31</v>
      </c>
      <c r="L66" s="144" t="s">
        <v>32</v>
      </c>
      <c r="M66" s="144">
        <v>99181419</v>
      </c>
      <c r="N66" s="155" t="s">
        <v>606</v>
      </c>
    </row>
    <row r="67" spans="1:15" ht="21.75" customHeight="1" x14ac:dyDescent="0.25">
      <c r="A67" s="146">
        <v>65</v>
      </c>
      <c r="B67" s="235">
        <v>1420</v>
      </c>
      <c r="C67" s="296" t="s">
        <v>310</v>
      </c>
      <c r="D67" s="295">
        <v>621</v>
      </c>
      <c r="E67" s="149">
        <v>0.4</v>
      </c>
      <c r="F67" s="186">
        <f t="shared" si="0"/>
        <v>248.4</v>
      </c>
      <c r="G67" s="186"/>
      <c r="H67" s="186">
        <f t="shared" si="1"/>
        <v>248.4</v>
      </c>
      <c r="I67" s="136">
        <v>5460297</v>
      </c>
      <c r="J67" s="311" t="s">
        <v>311</v>
      </c>
      <c r="K67" s="136" t="s">
        <v>31</v>
      </c>
      <c r="L67" s="136" t="s">
        <v>32</v>
      </c>
      <c r="M67" s="136">
        <v>95898899</v>
      </c>
      <c r="N67" s="139"/>
      <c r="O67" s="17"/>
    </row>
    <row r="68" spans="1:15" ht="21.75" customHeight="1" x14ac:dyDescent="0.25">
      <c r="A68" s="146">
        <v>66</v>
      </c>
      <c r="B68" s="235">
        <v>1421</v>
      </c>
      <c r="C68" s="296" t="s">
        <v>129</v>
      </c>
      <c r="D68" s="295">
        <v>667</v>
      </c>
      <c r="E68" s="149">
        <v>0.4</v>
      </c>
      <c r="F68" s="186">
        <f t="shared" ref="F68:F131" si="2">D68*E68</f>
        <v>266.8</v>
      </c>
      <c r="G68" s="186"/>
      <c r="H68" s="186">
        <f t="shared" ref="H68:H131" si="3">F68-G68</f>
        <v>266.8</v>
      </c>
      <c r="I68" s="136">
        <v>15314262</v>
      </c>
      <c r="J68" s="311" t="s">
        <v>130</v>
      </c>
      <c r="K68" s="136" t="s">
        <v>31</v>
      </c>
      <c r="L68" s="136" t="s">
        <v>32</v>
      </c>
      <c r="M68" s="136">
        <v>90333361</v>
      </c>
      <c r="N68" s="139"/>
      <c r="O68" s="17"/>
    </row>
    <row r="69" spans="1:15" ht="21.75" customHeight="1" x14ac:dyDescent="0.25">
      <c r="A69" s="146">
        <v>67</v>
      </c>
      <c r="B69" s="235">
        <v>1423</v>
      </c>
      <c r="C69" s="296" t="s">
        <v>131</v>
      </c>
      <c r="D69" s="295">
        <v>601.9</v>
      </c>
      <c r="E69" s="149">
        <v>0.4</v>
      </c>
      <c r="F69" s="186">
        <f t="shared" si="2"/>
        <v>240.76</v>
      </c>
      <c r="G69" s="186"/>
      <c r="H69" s="186">
        <f t="shared" si="3"/>
        <v>240.76</v>
      </c>
      <c r="I69" s="136">
        <v>5044397</v>
      </c>
      <c r="J69" s="311" t="s">
        <v>132</v>
      </c>
      <c r="K69" s="136" t="s">
        <v>31</v>
      </c>
      <c r="L69" s="136" t="s">
        <v>32</v>
      </c>
      <c r="M69" s="136">
        <v>99580550</v>
      </c>
      <c r="N69" s="139"/>
      <c r="O69" s="17"/>
    </row>
    <row r="70" spans="1:15" ht="21.75" customHeight="1" x14ac:dyDescent="0.25">
      <c r="A70" s="146">
        <v>68</v>
      </c>
      <c r="B70" s="235">
        <v>1425</v>
      </c>
      <c r="C70" s="296" t="s">
        <v>312</v>
      </c>
      <c r="D70" s="295">
        <v>589.20000000000005</v>
      </c>
      <c r="E70" s="149">
        <v>0.4</v>
      </c>
      <c r="F70" s="186">
        <f t="shared" si="2"/>
        <v>235.68000000000004</v>
      </c>
      <c r="G70" s="186"/>
      <c r="H70" s="186">
        <f t="shared" si="3"/>
        <v>235.68000000000004</v>
      </c>
      <c r="I70" s="136">
        <v>5614623</v>
      </c>
      <c r="J70" s="311" t="s">
        <v>313</v>
      </c>
      <c r="K70" s="136" t="s">
        <v>31</v>
      </c>
      <c r="L70" s="136" t="s">
        <v>32</v>
      </c>
      <c r="M70" s="136">
        <v>99583112</v>
      </c>
      <c r="N70" s="139"/>
      <c r="O70" s="17"/>
    </row>
    <row r="71" spans="1:15" ht="21.75" customHeight="1" x14ac:dyDescent="0.25">
      <c r="A71" s="146">
        <v>69</v>
      </c>
      <c r="B71" s="148">
        <v>1426</v>
      </c>
      <c r="C71" s="296" t="s">
        <v>314</v>
      </c>
      <c r="D71" s="295">
        <v>621</v>
      </c>
      <c r="E71" s="149">
        <v>0.4</v>
      </c>
      <c r="F71" s="186">
        <f t="shared" si="2"/>
        <v>248.4</v>
      </c>
      <c r="G71" s="186"/>
      <c r="H71" s="186">
        <f t="shared" si="3"/>
        <v>248.4</v>
      </c>
      <c r="I71" s="136">
        <v>2160707</v>
      </c>
      <c r="J71" s="311" t="s">
        <v>315</v>
      </c>
      <c r="K71" s="136" t="s">
        <v>71</v>
      </c>
      <c r="L71" s="136" t="s">
        <v>72</v>
      </c>
      <c r="M71" s="136">
        <v>92280327</v>
      </c>
      <c r="N71" s="139"/>
      <c r="O71" s="17"/>
    </row>
    <row r="72" spans="1:15" ht="21.75" customHeight="1" x14ac:dyDescent="0.25">
      <c r="A72" s="146">
        <v>70</v>
      </c>
      <c r="B72" s="235">
        <v>1427</v>
      </c>
      <c r="C72" s="296" t="s">
        <v>134</v>
      </c>
      <c r="D72" s="295">
        <v>288.3</v>
      </c>
      <c r="E72" s="149">
        <v>0.4</v>
      </c>
      <c r="F72" s="186">
        <f t="shared" si="2"/>
        <v>115.32000000000001</v>
      </c>
      <c r="G72" s="186"/>
      <c r="H72" s="186">
        <f t="shared" si="3"/>
        <v>115.32000000000001</v>
      </c>
      <c r="I72" s="136">
        <v>24171637</v>
      </c>
      <c r="J72" s="311" t="s">
        <v>135</v>
      </c>
      <c r="K72" s="136" t="s">
        <v>31</v>
      </c>
      <c r="L72" s="136" t="s">
        <v>32</v>
      </c>
      <c r="M72" s="136">
        <v>97030409</v>
      </c>
      <c r="N72" s="321"/>
      <c r="O72" s="17"/>
    </row>
    <row r="73" spans="1:15" ht="21.75" customHeight="1" x14ac:dyDescent="0.25">
      <c r="A73" s="141">
        <v>71</v>
      </c>
      <c r="B73" s="142">
        <v>1428</v>
      </c>
      <c r="C73" s="143" t="s">
        <v>316</v>
      </c>
      <c r="D73" s="185">
        <v>320.10000000000002</v>
      </c>
      <c r="E73" s="182">
        <v>0.4</v>
      </c>
      <c r="F73" s="182">
        <f t="shared" si="2"/>
        <v>128.04000000000002</v>
      </c>
      <c r="G73" s="182">
        <f>F73</f>
        <v>128.04000000000002</v>
      </c>
      <c r="H73" s="182">
        <f t="shared" si="3"/>
        <v>0</v>
      </c>
      <c r="I73" s="144">
        <v>921364</v>
      </c>
      <c r="J73" s="220" t="s">
        <v>317</v>
      </c>
      <c r="K73" s="144" t="s">
        <v>90</v>
      </c>
      <c r="L73" s="144" t="s">
        <v>32</v>
      </c>
      <c r="M73" s="144">
        <v>92599597</v>
      </c>
      <c r="N73" s="155" t="s">
        <v>606</v>
      </c>
      <c r="O73" s="17" t="s">
        <v>608</v>
      </c>
    </row>
    <row r="74" spans="1:15" ht="21.75" customHeight="1" x14ac:dyDescent="0.25">
      <c r="A74" s="146">
        <v>72</v>
      </c>
      <c r="B74" s="235">
        <v>1430</v>
      </c>
      <c r="C74" s="296" t="s">
        <v>136</v>
      </c>
      <c r="D74" s="295">
        <v>322</v>
      </c>
      <c r="E74" s="149">
        <v>0.4</v>
      </c>
      <c r="F74" s="186">
        <f t="shared" si="2"/>
        <v>128.80000000000001</v>
      </c>
      <c r="G74" s="186"/>
      <c r="H74" s="186">
        <f t="shared" si="3"/>
        <v>128.80000000000001</v>
      </c>
      <c r="I74" s="136">
        <v>564698</v>
      </c>
      <c r="J74" s="311" t="s">
        <v>137</v>
      </c>
      <c r="K74" s="136" t="s">
        <v>31</v>
      </c>
      <c r="L74" s="136" t="s">
        <v>32</v>
      </c>
      <c r="M74" s="136">
        <v>99189793</v>
      </c>
      <c r="N74" s="139"/>
      <c r="O74" s="17"/>
    </row>
    <row r="75" spans="1:15" ht="21.75" customHeight="1" x14ac:dyDescent="0.25">
      <c r="A75" s="146">
        <v>73</v>
      </c>
      <c r="B75" s="235">
        <v>1432</v>
      </c>
      <c r="C75" s="296" t="s">
        <v>318</v>
      </c>
      <c r="D75" s="295">
        <v>759</v>
      </c>
      <c r="E75" s="149">
        <v>0.4</v>
      </c>
      <c r="F75" s="186">
        <f t="shared" si="2"/>
        <v>303.60000000000002</v>
      </c>
      <c r="G75" s="186"/>
      <c r="H75" s="186">
        <f t="shared" si="3"/>
        <v>303.60000000000002</v>
      </c>
      <c r="I75" s="136">
        <v>5004855</v>
      </c>
      <c r="J75" s="311" t="s">
        <v>319</v>
      </c>
      <c r="K75" s="136" t="s">
        <v>52</v>
      </c>
      <c r="L75" s="136" t="s">
        <v>53</v>
      </c>
      <c r="M75" s="136">
        <v>99899962</v>
      </c>
      <c r="N75" s="139"/>
      <c r="O75" s="17"/>
    </row>
    <row r="76" spans="1:15" ht="21.75" customHeight="1" x14ac:dyDescent="0.25">
      <c r="A76" s="146">
        <v>74</v>
      </c>
      <c r="B76" s="235">
        <v>1433</v>
      </c>
      <c r="C76" s="296" t="s">
        <v>320</v>
      </c>
      <c r="D76" s="295">
        <v>759</v>
      </c>
      <c r="E76" s="149">
        <v>0.4</v>
      </c>
      <c r="F76" s="186">
        <f t="shared" si="2"/>
        <v>303.60000000000002</v>
      </c>
      <c r="G76" s="186"/>
      <c r="H76" s="186">
        <f t="shared" si="3"/>
        <v>303.60000000000002</v>
      </c>
      <c r="I76" s="136">
        <v>285841</v>
      </c>
      <c r="J76" s="311" t="s">
        <v>321</v>
      </c>
      <c r="K76" s="136" t="s">
        <v>31</v>
      </c>
      <c r="L76" s="136" t="s">
        <v>32</v>
      </c>
      <c r="M76" s="136">
        <v>92958552</v>
      </c>
      <c r="N76" s="139"/>
      <c r="O76" s="17"/>
    </row>
    <row r="77" spans="1:15" ht="21.75" customHeight="1" x14ac:dyDescent="0.25">
      <c r="A77" s="146">
        <v>75</v>
      </c>
      <c r="B77" s="148">
        <v>1434</v>
      </c>
      <c r="C77" s="296" t="s">
        <v>138</v>
      </c>
      <c r="D77" s="295">
        <v>347.9</v>
      </c>
      <c r="E77" s="149">
        <v>0.4</v>
      </c>
      <c r="F77" s="186">
        <f t="shared" si="2"/>
        <v>139.16</v>
      </c>
      <c r="G77" s="186"/>
      <c r="H77" s="186">
        <f t="shared" si="3"/>
        <v>139.16</v>
      </c>
      <c r="I77" s="136">
        <v>19197503</v>
      </c>
      <c r="J77" s="311" t="s">
        <v>139</v>
      </c>
      <c r="K77" s="136" t="s">
        <v>31</v>
      </c>
      <c r="L77" s="136" t="s">
        <v>32</v>
      </c>
      <c r="M77" s="136">
        <v>92466605</v>
      </c>
      <c r="N77" s="139"/>
      <c r="O77" s="17"/>
    </row>
    <row r="78" spans="1:15" s="54" customFormat="1" ht="21.75" customHeight="1" x14ac:dyDescent="0.25">
      <c r="A78" s="141">
        <v>76</v>
      </c>
      <c r="B78" s="215">
        <v>1435</v>
      </c>
      <c r="C78" s="143" t="s">
        <v>45</v>
      </c>
      <c r="D78" s="185">
        <v>1010</v>
      </c>
      <c r="E78" s="182">
        <v>0.4</v>
      </c>
      <c r="F78" s="182">
        <f t="shared" si="2"/>
        <v>404</v>
      </c>
      <c r="G78" s="182">
        <f>403.42</f>
        <v>403.42</v>
      </c>
      <c r="H78" s="182">
        <f t="shared" si="3"/>
        <v>0.57999999999998408</v>
      </c>
      <c r="I78" s="144">
        <v>1305522</v>
      </c>
      <c r="J78" s="159" t="s">
        <v>46</v>
      </c>
      <c r="K78" s="144" t="s">
        <v>31</v>
      </c>
      <c r="L78" s="144" t="s">
        <v>32</v>
      </c>
      <c r="M78" s="144">
        <v>93246263</v>
      </c>
      <c r="N78" s="155" t="s">
        <v>606</v>
      </c>
    </row>
    <row r="79" spans="1:15" s="54" customFormat="1" ht="21.75" customHeight="1" x14ac:dyDescent="0.25">
      <c r="A79" s="141">
        <v>77</v>
      </c>
      <c r="B79" s="215">
        <v>1437</v>
      </c>
      <c r="C79" s="143" t="s">
        <v>143</v>
      </c>
      <c r="D79" s="185">
        <v>667</v>
      </c>
      <c r="E79" s="182">
        <v>0.4</v>
      </c>
      <c r="F79" s="182">
        <f t="shared" si="2"/>
        <v>266.8</v>
      </c>
      <c r="G79" s="182">
        <f>264.59</f>
        <v>264.58999999999997</v>
      </c>
      <c r="H79" s="182">
        <f t="shared" si="3"/>
        <v>2.2100000000000364</v>
      </c>
      <c r="I79" s="144">
        <v>9685144</v>
      </c>
      <c r="J79" s="159" t="s">
        <v>144</v>
      </c>
      <c r="K79" s="144" t="s">
        <v>127</v>
      </c>
      <c r="L79" s="144" t="s">
        <v>128</v>
      </c>
      <c r="M79" s="144">
        <v>96907302</v>
      </c>
      <c r="N79" s="299" t="s">
        <v>618</v>
      </c>
    </row>
    <row r="80" spans="1:15" ht="21.75" customHeight="1" x14ac:dyDescent="0.25">
      <c r="A80" s="146">
        <v>78</v>
      </c>
      <c r="B80" s="235">
        <v>1438</v>
      </c>
      <c r="C80" s="296" t="s">
        <v>145</v>
      </c>
      <c r="D80" s="295">
        <v>1012</v>
      </c>
      <c r="E80" s="149">
        <v>0.4</v>
      </c>
      <c r="F80" s="186">
        <f t="shared" si="2"/>
        <v>404.8</v>
      </c>
      <c r="G80" s="186"/>
      <c r="H80" s="186">
        <f t="shared" si="3"/>
        <v>404.8</v>
      </c>
      <c r="I80" s="136">
        <v>656621</v>
      </c>
      <c r="J80" s="311" t="s">
        <v>146</v>
      </c>
      <c r="K80" s="136" t="s">
        <v>26</v>
      </c>
      <c r="L80" s="136" t="s">
        <v>27</v>
      </c>
      <c r="M80" s="136">
        <v>92509804</v>
      </c>
      <c r="N80" s="321"/>
      <c r="O80" s="17"/>
    </row>
    <row r="81" spans="1:24" s="54" customFormat="1" ht="21.75" customHeight="1" x14ac:dyDescent="0.25">
      <c r="A81" s="141">
        <v>79</v>
      </c>
      <c r="B81" s="142">
        <v>1439</v>
      </c>
      <c r="C81" s="143" t="s">
        <v>323</v>
      </c>
      <c r="D81" s="185">
        <v>439.2</v>
      </c>
      <c r="E81" s="182">
        <v>0.4</v>
      </c>
      <c r="F81" s="182">
        <f t="shared" si="2"/>
        <v>175.68</v>
      </c>
      <c r="G81" s="182">
        <f>F81</f>
        <v>175.68</v>
      </c>
      <c r="H81" s="182">
        <f t="shared" si="3"/>
        <v>0</v>
      </c>
      <c r="I81" s="144">
        <v>18880548</v>
      </c>
      <c r="J81" s="159" t="s">
        <v>324</v>
      </c>
      <c r="K81" s="144" t="s">
        <v>31</v>
      </c>
      <c r="L81" s="144" t="s">
        <v>32</v>
      </c>
      <c r="M81" s="144">
        <v>98901515</v>
      </c>
      <c r="N81" s="155" t="s">
        <v>606</v>
      </c>
      <c r="O81" s="54" t="s">
        <v>609</v>
      </c>
    </row>
    <row r="82" spans="1:24" ht="21.75" customHeight="1" x14ac:dyDescent="0.25">
      <c r="A82" s="146">
        <v>80</v>
      </c>
      <c r="B82" s="235">
        <v>1441</v>
      </c>
      <c r="C82" s="296" t="s">
        <v>325</v>
      </c>
      <c r="D82" s="295">
        <v>552</v>
      </c>
      <c r="E82" s="149">
        <v>0.4</v>
      </c>
      <c r="F82" s="186">
        <f t="shared" si="2"/>
        <v>220.8</v>
      </c>
      <c r="G82" s="186"/>
      <c r="H82" s="186">
        <f t="shared" si="3"/>
        <v>220.8</v>
      </c>
      <c r="I82" s="136">
        <v>7285624</v>
      </c>
      <c r="J82" s="311" t="s">
        <v>326</v>
      </c>
      <c r="K82" s="136" t="s">
        <v>121</v>
      </c>
      <c r="L82" s="136"/>
      <c r="M82" s="136">
        <v>93587666</v>
      </c>
      <c r="N82" s="139"/>
      <c r="O82" s="17"/>
    </row>
    <row r="83" spans="1:24" ht="21.75" customHeight="1" x14ac:dyDescent="0.25">
      <c r="A83" s="146">
        <v>81</v>
      </c>
      <c r="B83" s="235">
        <v>1444</v>
      </c>
      <c r="C83" s="296" t="s">
        <v>327</v>
      </c>
      <c r="D83" s="295">
        <v>781.7</v>
      </c>
      <c r="E83" s="149">
        <v>0.4</v>
      </c>
      <c r="F83" s="186">
        <f t="shared" si="2"/>
        <v>312.68000000000006</v>
      </c>
      <c r="G83" s="186"/>
      <c r="H83" s="186">
        <f t="shared" si="3"/>
        <v>312.68000000000006</v>
      </c>
      <c r="I83" s="136">
        <v>13487202</v>
      </c>
      <c r="J83" s="311" t="s">
        <v>328</v>
      </c>
      <c r="K83" s="136" t="s">
        <v>31</v>
      </c>
      <c r="L83" s="136" t="s">
        <v>32</v>
      </c>
      <c r="M83" s="136">
        <v>92244429</v>
      </c>
      <c r="N83" s="139"/>
      <c r="O83" s="17"/>
    </row>
    <row r="84" spans="1:24" ht="21.75" customHeight="1" x14ac:dyDescent="0.25">
      <c r="A84" s="146">
        <v>82</v>
      </c>
      <c r="B84" s="298">
        <v>1448</v>
      </c>
      <c r="C84" s="296" t="s">
        <v>147</v>
      </c>
      <c r="D84" s="295">
        <v>459</v>
      </c>
      <c r="E84" s="149">
        <v>0.4</v>
      </c>
      <c r="F84" s="186">
        <f t="shared" si="2"/>
        <v>183.60000000000002</v>
      </c>
      <c r="G84" s="186"/>
      <c r="H84" s="186">
        <f t="shared" si="3"/>
        <v>183.60000000000002</v>
      </c>
      <c r="I84" s="138">
        <v>26433121</v>
      </c>
      <c r="J84" s="138" t="s">
        <v>148</v>
      </c>
      <c r="K84" s="138" t="s">
        <v>31</v>
      </c>
      <c r="L84" s="136" t="s">
        <v>32</v>
      </c>
      <c r="M84" s="138">
        <v>93229244</v>
      </c>
      <c r="N84" s="321"/>
      <c r="O84" s="17"/>
    </row>
    <row r="85" spans="1:24" ht="21.75" customHeight="1" x14ac:dyDescent="0.25">
      <c r="A85" s="146">
        <v>83</v>
      </c>
      <c r="B85" s="235">
        <v>1451</v>
      </c>
      <c r="C85" s="296" t="s">
        <v>329</v>
      </c>
      <c r="D85" s="295">
        <v>361.6</v>
      </c>
      <c r="E85" s="149">
        <v>0.4</v>
      </c>
      <c r="F85" s="186">
        <f t="shared" si="2"/>
        <v>144.64000000000001</v>
      </c>
      <c r="G85" s="186"/>
      <c r="H85" s="186">
        <f t="shared" si="3"/>
        <v>144.64000000000001</v>
      </c>
      <c r="I85" s="136">
        <v>20337612</v>
      </c>
      <c r="J85" s="311" t="s">
        <v>330</v>
      </c>
      <c r="K85" s="136" t="s">
        <v>31</v>
      </c>
      <c r="L85" s="136" t="s">
        <v>32</v>
      </c>
      <c r="M85" s="136">
        <v>98829667</v>
      </c>
      <c r="N85" s="321"/>
      <c r="O85" s="17"/>
    </row>
    <row r="86" spans="1:24" s="54" customFormat="1" ht="21.75" customHeight="1" x14ac:dyDescent="0.25">
      <c r="A86" s="141">
        <v>84</v>
      </c>
      <c r="B86" s="142">
        <v>1453</v>
      </c>
      <c r="C86" s="143" t="s">
        <v>331</v>
      </c>
      <c r="D86" s="185">
        <v>343.4</v>
      </c>
      <c r="E86" s="182">
        <v>0.4</v>
      </c>
      <c r="F86" s="182">
        <f t="shared" si="2"/>
        <v>137.35999999999999</v>
      </c>
      <c r="G86" s="182">
        <f>F86</f>
        <v>137.35999999999999</v>
      </c>
      <c r="H86" s="182">
        <f t="shared" si="3"/>
        <v>0</v>
      </c>
      <c r="I86" s="144">
        <v>5460259</v>
      </c>
      <c r="J86" s="159" t="s">
        <v>332</v>
      </c>
      <c r="K86" s="144" t="s">
        <v>155</v>
      </c>
      <c r="L86" s="144" t="s">
        <v>156</v>
      </c>
      <c r="M86" s="144">
        <v>90199947</v>
      </c>
      <c r="N86" s="155" t="s">
        <v>618</v>
      </c>
      <c r="O86" s="54" t="s">
        <v>619</v>
      </c>
    </row>
    <row r="87" spans="1:24" s="54" customFormat="1" ht="21.75" customHeight="1" x14ac:dyDescent="0.25">
      <c r="A87" s="141">
        <v>85</v>
      </c>
      <c r="B87" s="142">
        <v>1455</v>
      </c>
      <c r="C87" s="143" t="s">
        <v>333</v>
      </c>
      <c r="D87" s="185">
        <v>726.5</v>
      </c>
      <c r="E87" s="182">
        <v>0.4</v>
      </c>
      <c r="F87" s="182">
        <f t="shared" si="2"/>
        <v>290.60000000000002</v>
      </c>
      <c r="G87" s="182">
        <f>F87</f>
        <v>290.60000000000002</v>
      </c>
      <c r="H87" s="182">
        <f t="shared" si="3"/>
        <v>0</v>
      </c>
      <c r="I87" s="144">
        <v>9954383</v>
      </c>
      <c r="J87" s="159" t="s">
        <v>334</v>
      </c>
      <c r="K87" s="144" t="s">
        <v>31</v>
      </c>
      <c r="L87" s="144" t="s">
        <v>32</v>
      </c>
      <c r="M87" s="144">
        <v>93270751</v>
      </c>
      <c r="N87" s="155" t="s">
        <v>606</v>
      </c>
      <c r="O87" s="54" t="s">
        <v>610</v>
      </c>
    </row>
    <row r="88" spans="1:24" ht="21.75" customHeight="1" x14ac:dyDescent="0.25">
      <c r="A88" s="146">
        <v>86</v>
      </c>
      <c r="B88" s="235">
        <v>1462</v>
      </c>
      <c r="C88" s="296" t="s">
        <v>48</v>
      </c>
      <c r="D88" s="295">
        <v>343.9</v>
      </c>
      <c r="E88" s="149">
        <v>0.4</v>
      </c>
      <c r="F88" s="186">
        <f t="shared" si="2"/>
        <v>137.56</v>
      </c>
      <c r="G88" s="186"/>
      <c r="H88" s="186">
        <f t="shared" si="3"/>
        <v>137.56</v>
      </c>
      <c r="I88" s="136">
        <v>9664038</v>
      </c>
      <c r="J88" s="136" t="s">
        <v>49</v>
      </c>
      <c r="K88" s="136" t="s">
        <v>31</v>
      </c>
      <c r="L88" s="136" t="s">
        <v>32</v>
      </c>
      <c r="M88" s="136">
        <v>92989674</v>
      </c>
      <c r="N88" s="139"/>
      <c r="O88" s="17"/>
    </row>
    <row r="89" spans="1:24" ht="21.75" customHeight="1" x14ac:dyDescent="0.25">
      <c r="A89" s="146">
        <v>87</v>
      </c>
      <c r="B89" s="235">
        <v>1463</v>
      </c>
      <c r="C89" s="296" t="s">
        <v>50</v>
      </c>
      <c r="D89" s="295">
        <v>550.1</v>
      </c>
      <c r="E89" s="149">
        <v>0.4</v>
      </c>
      <c r="F89" s="186">
        <f t="shared" si="2"/>
        <v>220.04000000000002</v>
      </c>
      <c r="G89" s="186"/>
      <c r="H89" s="186">
        <f t="shared" si="3"/>
        <v>220.04000000000002</v>
      </c>
      <c r="I89" s="136">
        <v>3798072</v>
      </c>
      <c r="J89" s="311" t="s">
        <v>51</v>
      </c>
      <c r="K89" s="136" t="s">
        <v>52</v>
      </c>
      <c r="L89" s="136" t="s">
        <v>53</v>
      </c>
      <c r="M89" s="136">
        <v>99480608</v>
      </c>
      <c r="N89" s="139"/>
      <c r="O89" s="17"/>
    </row>
    <row r="90" spans="1:24" ht="21.75" customHeight="1" x14ac:dyDescent="0.25">
      <c r="A90" s="146">
        <v>88</v>
      </c>
      <c r="B90" s="235">
        <v>1464</v>
      </c>
      <c r="C90" s="296" t="s">
        <v>335</v>
      </c>
      <c r="D90" s="295">
        <v>644</v>
      </c>
      <c r="E90" s="149">
        <v>0.4</v>
      </c>
      <c r="F90" s="186">
        <f t="shared" si="2"/>
        <v>257.60000000000002</v>
      </c>
      <c r="G90" s="186"/>
      <c r="H90" s="186">
        <f t="shared" si="3"/>
        <v>257.60000000000002</v>
      </c>
      <c r="I90" s="136">
        <v>6352996</v>
      </c>
      <c r="J90" s="311" t="s">
        <v>336</v>
      </c>
      <c r="K90" s="136" t="s">
        <v>52</v>
      </c>
      <c r="L90" s="136" t="s">
        <v>53</v>
      </c>
      <c r="M90" s="136">
        <v>92463267</v>
      </c>
      <c r="N90" s="139"/>
      <c r="O90" s="17"/>
    </row>
    <row r="91" spans="1:24" ht="21.75" customHeight="1" x14ac:dyDescent="0.25">
      <c r="A91" s="146">
        <v>89</v>
      </c>
      <c r="B91" s="235">
        <v>1467</v>
      </c>
      <c r="C91" s="136" t="s">
        <v>337</v>
      </c>
      <c r="D91" s="295">
        <v>484</v>
      </c>
      <c r="E91" s="149">
        <v>0.4</v>
      </c>
      <c r="F91" s="186">
        <f t="shared" si="2"/>
        <v>193.60000000000002</v>
      </c>
      <c r="G91" s="186"/>
      <c r="H91" s="186">
        <f t="shared" si="3"/>
        <v>193.60000000000002</v>
      </c>
      <c r="I91" s="136">
        <v>4279933</v>
      </c>
      <c r="J91" s="311" t="s">
        <v>338</v>
      </c>
      <c r="K91" s="136" t="s">
        <v>52</v>
      </c>
      <c r="L91" s="136" t="s">
        <v>53</v>
      </c>
      <c r="M91" s="136">
        <v>98510166</v>
      </c>
      <c r="N91" s="139"/>
      <c r="O91" s="17"/>
    </row>
    <row r="92" spans="1:24" ht="21.75" customHeight="1" x14ac:dyDescent="0.25">
      <c r="A92" s="146">
        <v>90</v>
      </c>
      <c r="B92" s="235">
        <v>1468</v>
      </c>
      <c r="C92" s="297" t="s">
        <v>149</v>
      </c>
      <c r="D92" s="295">
        <v>615.4</v>
      </c>
      <c r="E92" s="149">
        <v>0.4</v>
      </c>
      <c r="F92" s="186">
        <f t="shared" si="2"/>
        <v>246.16</v>
      </c>
      <c r="G92" s="186"/>
      <c r="H92" s="186">
        <f t="shared" si="3"/>
        <v>246.16</v>
      </c>
      <c r="I92" s="136">
        <v>6996485</v>
      </c>
      <c r="J92" s="311" t="s">
        <v>150</v>
      </c>
      <c r="K92" s="136" t="s">
        <v>31</v>
      </c>
      <c r="L92" s="136" t="s">
        <v>32</v>
      </c>
      <c r="M92" s="136">
        <v>92947741</v>
      </c>
      <c r="N92" s="140"/>
      <c r="O92" s="17"/>
    </row>
    <row r="93" spans="1:24" s="106" customFormat="1" ht="21.75" customHeight="1" x14ac:dyDescent="0.25">
      <c r="A93" s="146">
        <v>91</v>
      </c>
      <c r="B93" s="235">
        <v>1472</v>
      </c>
      <c r="C93" s="296" t="s">
        <v>554</v>
      </c>
      <c r="D93" s="295">
        <v>518.5</v>
      </c>
      <c r="E93" s="149">
        <v>0.4</v>
      </c>
      <c r="F93" s="186">
        <f t="shared" si="2"/>
        <v>207.4</v>
      </c>
      <c r="G93" s="186"/>
      <c r="H93" s="186">
        <f t="shared" si="3"/>
        <v>207.4</v>
      </c>
      <c r="I93" s="136">
        <v>12987814</v>
      </c>
      <c r="J93" s="311" t="s">
        <v>578</v>
      </c>
      <c r="K93" s="136" t="s">
        <v>26</v>
      </c>
      <c r="L93" s="136" t="s">
        <v>27</v>
      </c>
      <c r="M93" s="136">
        <v>99365173</v>
      </c>
      <c r="N93" s="320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21.75" customHeight="1" x14ac:dyDescent="0.25">
      <c r="A94" s="146">
        <v>92</v>
      </c>
      <c r="B94" s="235">
        <v>1473</v>
      </c>
      <c r="C94" s="296" t="s">
        <v>341</v>
      </c>
      <c r="D94" s="295">
        <v>336.3</v>
      </c>
      <c r="E94" s="149">
        <v>0.4</v>
      </c>
      <c r="F94" s="186">
        <f t="shared" si="2"/>
        <v>134.52000000000001</v>
      </c>
      <c r="G94" s="186"/>
      <c r="H94" s="186">
        <f t="shared" si="3"/>
        <v>134.52000000000001</v>
      </c>
      <c r="I94" s="136">
        <v>18722784</v>
      </c>
      <c r="J94" s="136" t="s">
        <v>342</v>
      </c>
      <c r="K94" s="136" t="s">
        <v>52</v>
      </c>
      <c r="L94" s="136" t="s">
        <v>53</v>
      </c>
      <c r="M94" s="136">
        <v>98900644</v>
      </c>
      <c r="N94" s="140"/>
      <c r="O94" s="17"/>
    </row>
    <row r="95" spans="1:24" ht="21.75" customHeight="1" x14ac:dyDescent="0.25">
      <c r="A95" s="146">
        <v>93</v>
      </c>
      <c r="B95" s="235">
        <v>1475</v>
      </c>
      <c r="C95" s="297" t="s">
        <v>151</v>
      </c>
      <c r="D95" s="295">
        <v>328.2</v>
      </c>
      <c r="E95" s="149">
        <v>0.4</v>
      </c>
      <c r="F95" s="186">
        <f t="shared" si="2"/>
        <v>131.28</v>
      </c>
      <c r="G95" s="186"/>
      <c r="H95" s="186">
        <f t="shared" si="3"/>
        <v>131.28</v>
      </c>
      <c r="I95" s="136">
        <v>4584011</v>
      </c>
      <c r="J95" s="311" t="s">
        <v>152</v>
      </c>
      <c r="K95" s="136" t="s">
        <v>31</v>
      </c>
      <c r="L95" s="136" t="s">
        <v>32</v>
      </c>
      <c r="M95" s="136">
        <v>98822862</v>
      </c>
      <c r="N95" s="140"/>
      <c r="O95" s="17"/>
    </row>
    <row r="96" spans="1:24" s="54" customFormat="1" ht="21.75" customHeight="1" x14ac:dyDescent="0.25">
      <c r="A96" s="141">
        <v>94</v>
      </c>
      <c r="B96" s="142">
        <v>1476</v>
      </c>
      <c r="C96" s="144" t="s">
        <v>343</v>
      </c>
      <c r="D96" s="185">
        <v>330.8</v>
      </c>
      <c r="E96" s="182">
        <v>0.4</v>
      </c>
      <c r="F96" s="182">
        <f t="shared" si="2"/>
        <v>132.32000000000002</v>
      </c>
      <c r="G96" s="182">
        <f>131.41</f>
        <v>131.41</v>
      </c>
      <c r="H96" s="182">
        <f t="shared" si="3"/>
        <v>0.91000000000002501</v>
      </c>
      <c r="I96" s="144">
        <v>5486858</v>
      </c>
      <c r="J96" s="159" t="s">
        <v>344</v>
      </c>
      <c r="K96" s="144" t="s">
        <v>26</v>
      </c>
      <c r="L96" s="144" t="s">
        <v>27</v>
      </c>
      <c r="M96" s="144">
        <v>99019634</v>
      </c>
      <c r="N96" s="155" t="s">
        <v>618</v>
      </c>
    </row>
    <row r="97" spans="1:15" ht="21.75" customHeight="1" x14ac:dyDescent="0.25">
      <c r="A97" s="146">
        <v>95</v>
      </c>
      <c r="B97" s="235">
        <v>1477</v>
      </c>
      <c r="C97" s="296" t="s">
        <v>345</v>
      </c>
      <c r="D97" s="295">
        <v>314.89999999999998</v>
      </c>
      <c r="E97" s="149">
        <v>0.4</v>
      </c>
      <c r="F97" s="186">
        <f t="shared" si="2"/>
        <v>125.96</v>
      </c>
      <c r="G97" s="186"/>
      <c r="H97" s="186">
        <f t="shared" si="3"/>
        <v>125.96</v>
      </c>
      <c r="I97" s="136">
        <v>18656494</v>
      </c>
      <c r="J97" s="136" t="s">
        <v>346</v>
      </c>
      <c r="K97" s="136" t="s">
        <v>31</v>
      </c>
      <c r="L97" s="136" t="s">
        <v>32</v>
      </c>
      <c r="M97" s="136">
        <v>92610234</v>
      </c>
      <c r="N97" s="140"/>
      <c r="O97" s="17"/>
    </row>
    <row r="98" spans="1:15" ht="21.75" customHeight="1" x14ac:dyDescent="0.25">
      <c r="A98" s="146">
        <v>96</v>
      </c>
      <c r="B98" s="235">
        <v>1480</v>
      </c>
      <c r="C98" s="296" t="s">
        <v>347</v>
      </c>
      <c r="D98" s="295">
        <v>343.2</v>
      </c>
      <c r="E98" s="149">
        <v>0.4</v>
      </c>
      <c r="F98" s="186">
        <f t="shared" si="2"/>
        <v>137.28</v>
      </c>
      <c r="G98" s="186"/>
      <c r="H98" s="186">
        <f t="shared" si="3"/>
        <v>137.28</v>
      </c>
      <c r="I98" s="136">
        <v>19820777</v>
      </c>
      <c r="J98" s="136" t="s">
        <v>348</v>
      </c>
      <c r="K98" s="136" t="s">
        <v>31</v>
      </c>
      <c r="L98" s="136" t="s">
        <v>32</v>
      </c>
      <c r="M98" s="136">
        <v>92525031</v>
      </c>
      <c r="N98" s="140"/>
      <c r="O98" s="17"/>
    </row>
    <row r="99" spans="1:15" s="17" customFormat="1" ht="21.75" customHeight="1" x14ac:dyDescent="0.25">
      <c r="A99" s="146">
        <v>97</v>
      </c>
      <c r="B99" s="235">
        <v>1482</v>
      </c>
      <c r="C99" s="296" t="s">
        <v>349</v>
      </c>
      <c r="D99" s="295">
        <v>366.1</v>
      </c>
      <c r="E99" s="149">
        <v>0.4</v>
      </c>
      <c r="F99" s="186">
        <f t="shared" si="2"/>
        <v>146.44000000000003</v>
      </c>
      <c r="G99" s="186"/>
      <c r="H99" s="186">
        <f t="shared" si="3"/>
        <v>146.44000000000003</v>
      </c>
      <c r="I99" s="136">
        <v>4024306</v>
      </c>
      <c r="J99" s="311" t="s">
        <v>350</v>
      </c>
      <c r="K99" s="136" t="s">
        <v>52</v>
      </c>
      <c r="L99" s="136" t="s">
        <v>53</v>
      </c>
      <c r="M99" s="136">
        <v>94453330</v>
      </c>
      <c r="N99" s="140"/>
    </row>
    <row r="100" spans="1:15" s="54" customFormat="1" ht="26.25" customHeight="1" x14ac:dyDescent="0.25">
      <c r="A100" s="141">
        <v>98</v>
      </c>
      <c r="B100" s="142">
        <v>1485</v>
      </c>
      <c r="C100" s="143" t="s">
        <v>352</v>
      </c>
      <c r="D100" s="185">
        <v>383.5</v>
      </c>
      <c r="E100" s="182">
        <v>0.4</v>
      </c>
      <c r="F100" s="182">
        <f t="shared" si="2"/>
        <v>153.4</v>
      </c>
      <c r="G100" s="182">
        <f>F100</f>
        <v>153.4</v>
      </c>
      <c r="H100" s="182">
        <f t="shared" si="3"/>
        <v>0</v>
      </c>
      <c r="I100" s="144">
        <v>18585573</v>
      </c>
      <c r="J100" s="159" t="s">
        <v>353</v>
      </c>
      <c r="K100" s="144" t="s">
        <v>31</v>
      </c>
      <c r="L100" s="144" t="s">
        <v>32</v>
      </c>
      <c r="M100" s="144">
        <v>92695802</v>
      </c>
      <c r="N100" s="155" t="s">
        <v>618</v>
      </c>
      <c r="O100" s="54" t="s">
        <v>625</v>
      </c>
    </row>
    <row r="101" spans="1:15" s="17" customFormat="1" ht="26.25" customHeight="1" x14ac:dyDescent="0.25">
      <c r="A101" s="146">
        <v>99</v>
      </c>
      <c r="B101" s="235">
        <v>1487</v>
      </c>
      <c r="C101" s="140" t="s">
        <v>354</v>
      </c>
      <c r="D101" s="295">
        <v>186.7</v>
      </c>
      <c r="E101" s="149">
        <v>0.4</v>
      </c>
      <c r="F101" s="186">
        <f t="shared" si="2"/>
        <v>74.679999999999993</v>
      </c>
      <c r="G101" s="186"/>
      <c r="H101" s="186">
        <f t="shared" si="3"/>
        <v>74.679999999999993</v>
      </c>
      <c r="I101" s="139">
        <v>19315674</v>
      </c>
      <c r="J101" s="314" t="s">
        <v>355</v>
      </c>
      <c r="K101" s="136" t="s">
        <v>31</v>
      </c>
      <c r="L101" s="136" t="s">
        <v>32</v>
      </c>
      <c r="M101" s="136">
        <v>93972300</v>
      </c>
      <c r="N101" s="139"/>
    </row>
    <row r="102" spans="1:15" s="54" customFormat="1" ht="21.75" customHeight="1" x14ac:dyDescent="0.25">
      <c r="A102" s="141">
        <v>100</v>
      </c>
      <c r="B102" s="142">
        <v>1700</v>
      </c>
      <c r="C102" s="143" t="s">
        <v>356</v>
      </c>
      <c r="D102" s="185">
        <v>667</v>
      </c>
      <c r="E102" s="182">
        <v>0.4</v>
      </c>
      <c r="F102" s="182">
        <f t="shared" si="2"/>
        <v>266.8</v>
      </c>
      <c r="G102" s="182">
        <f>266.75+0.05</f>
        <v>266.8</v>
      </c>
      <c r="H102" s="182">
        <f t="shared" si="3"/>
        <v>0</v>
      </c>
      <c r="I102" s="144">
        <v>6332437</v>
      </c>
      <c r="J102" s="159" t="s">
        <v>357</v>
      </c>
      <c r="K102" s="144" t="s">
        <v>31</v>
      </c>
      <c r="L102" s="144" t="s">
        <v>32</v>
      </c>
      <c r="M102" s="144">
        <v>99284449</v>
      </c>
      <c r="N102" s="201" t="s">
        <v>604</v>
      </c>
      <c r="O102" s="54" t="s">
        <v>605</v>
      </c>
    </row>
    <row r="103" spans="1:15" s="17" customFormat="1" ht="21.75" customHeight="1" x14ac:dyDescent="0.25">
      <c r="A103" s="146">
        <v>101</v>
      </c>
      <c r="B103" s="235">
        <v>1702</v>
      </c>
      <c r="C103" s="296" t="s">
        <v>359</v>
      </c>
      <c r="D103" s="295">
        <v>521.70000000000005</v>
      </c>
      <c r="E103" s="149">
        <v>0.4</v>
      </c>
      <c r="F103" s="186">
        <f t="shared" si="2"/>
        <v>208.68000000000004</v>
      </c>
      <c r="G103" s="186"/>
      <c r="H103" s="186">
        <f t="shared" si="3"/>
        <v>208.68000000000004</v>
      </c>
      <c r="I103" s="136">
        <v>1572875</v>
      </c>
      <c r="J103" s="313" t="s">
        <v>360</v>
      </c>
      <c r="K103" s="136" t="s">
        <v>52</v>
      </c>
      <c r="L103" s="136" t="s">
        <v>53</v>
      </c>
      <c r="M103" s="136">
        <v>99899341</v>
      </c>
      <c r="N103" s="140"/>
    </row>
    <row r="104" spans="1:15" s="17" customFormat="1" ht="21.75" customHeight="1" x14ac:dyDescent="0.25">
      <c r="A104" s="146">
        <v>102</v>
      </c>
      <c r="B104" s="235">
        <v>1704</v>
      </c>
      <c r="C104" s="296" t="s">
        <v>361</v>
      </c>
      <c r="D104" s="295">
        <v>462.2</v>
      </c>
      <c r="E104" s="149">
        <v>0.4</v>
      </c>
      <c r="F104" s="186">
        <f t="shared" si="2"/>
        <v>184.88</v>
      </c>
      <c r="G104" s="186"/>
      <c r="H104" s="186">
        <f t="shared" si="3"/>
        <v>184.88</v>
      </c>
      <c r="I104" s="136">
        <v>19235157</v>
      </c>
      <c r="J104" s="311" t="s">
        <v>362</v>
      </c>
      <c r="K104" s="136" t="s">
        <v>31</v>
      </c>
      <c r="L104" s="136" t="s">
        <v>32</v>
      </c>
      <c r="M104" s="136"/>
      <c r="N104" s="140"/>
    </row>
    <row r="105" spans="1:15" s="17" customFormat="1" ht="21.75" customHeight="1" x14ac:dyDescent="0.25">
      <c r="A105" s="146">
        <v>103</v>
      </c>
      <c r="B105" s="235">
        <v>1706</v>
      </c>
      <c r="C105" s="296" t="s">
        <v>153</v>
      </c>
      <c r="D105" s="295">
        <v>302.60000000000002</v>
      </c>
      <c r="E105" s="149">
        <v>0.4</v>
      </c>
      <c r="F105" s="186">
        <f t="shared" si="2"/>
        <v>121.04000000000002</v>
      </c>
      <c r="G105" s="186"/>
      <c r="H105" s="186">
        <f t="shared" si="3"/>
        <v>121.04000000000002</v>
      </c>
      <c r="I105" s="136">
        <v>2520947</v>
      </c>
      <c r="J105" s="140" t="s">
        <v>154</v>
      </c>
      <c r="K105" s="136" t="s">
        <v>155</v>
      </c>
      <c r="L105" s="140" t="s">
        <v>156</v>
      </c>
      <c r="M105" s="136">
        <v>92246641</v>
      </c>
      <c r="N105" s="140"/>
    </row>
    <row r="106" spans="1:15" s="54" customFormat="1" ht="21.75" customHeight="1" x14ac:dyDescent="0.25">
      <c r="A106" s="141">
        <v>104</v>
      </c>
      <c r="B106" s="142">
        <v>1708</v>
      </c>
      <c r="C106" s="143" t="s">
        <v>363</v>
      </c>
      <c r="D106" s="185">
        <v>1081.4000000000001</v>
      </c>
      <c r="E106" s="182">
        <v>0.4</v>
      </c>
      <c r="F106" s="182">
        <f t="shared" si="2"/>
        <v>432.56000000000006</v>
      </c>
      <c r="G106" s="182">
        <f>431.88</f>
        <v>431.88</v>
      </c>
      <c r="H106" s="182">
        <f t="shared" si="3"/>
        <v>0.68000000000006366</v>
      </c>
      <c r="I106" s="144">
        <v>1331691</v>
      </c>
      <c r="J106" s="159" t="s">
        <v>364</v>
      </c>
      <c r="K106" s="144" t="s">
        <v>31</v>
      </c>
      <c r="L106" s="144" t="s">
        <v>32</v>
      </c>
      <c r="M106" s="144"/>
      <c r="N106" s="318" t="s">
        <v>606</v>
      </c>
    </row>
    <row r="107" spans="1:15" s="17" customFormat="1" ht="21.75" customHeight="1" x14ac:dyDescent="0.25">
      <c r="A107" s="146">
        <v>105</v>
      </c>
      <c r="B107" s="235">
        <v>1709</v>
      </c>
      <c r="C107" s="296" t="s">
        <v>365</v>
      </c>
      <c r="D107" s="295">
        <v>345</v>
      </c>
      <c r="E107" s="149">
        <v>0.4</v>
      </c>
      <c r="F107" s="186">
        <f t="shared" si="2"/>
        <v>138</v>
      </c>
      <c r="G107" s="186"/>
      <c r="H107" s="186">
        <f t="shared" si="3"/>
        <v>138</v>
      </c>
      <c r="I107" s="136">
        <v>2406629</v>
      </c>
      <c r="J107" s="311" t="s">
        <v>580</v>
      </c>
      <c r="K107" s="136" t="s">
        <v>121</v>
      </c>
      <c r="L107" s="136" t="s">
        <v>122</v>
      </c>
      <c r="M107" s="136">
        <v>92771786</v>
      </c>
      <c r="N107" s="140"/>
    </row>
    <row r="108" spans="1:15" s="17" customFormat="1" ht="21.75" customHeight="1" x14ac:dyDescent="0.25">
      <c r="A108" s="146">
        <v>106</v>
      </c>
      <c r="B108" s="235">
        <v>1711</v>
      </c>
      <c r="C108" s="296" t="s">
        <v>55</v>
      </c>
      <c r="D108" s="295">
        <v>545.79999999999995</v>
      </c>
      <c r="E108" s="149">
        <v>0.4</v>
      </c>
      <c r="F108" s="186">
        <f t="shared" si="2"/>
        <v>218.32</v>
      </c>
      <c r="G108" s="186"/>
      <c r="H108" s="186">
        <f t="shared" si="3"/>
        <v>218.32</v>
      </c>
      <c r="I108" s="136">
        <v>638353</v>
      </c>
      <c r="J108" s="313" t="s">
        <v>56</v>
      </c>
      <c r="K108" s="136" t="s">
        <v>31</v>
      </c>
      <c r="L108" s="136" t="s">
        <v>32</v>
      </c>
      <c r="M108" s="136">
        <v>99292727</v>
      </c>
      <c r="N108" s="140"/>
    </row>
    <row r="109" spans="1:15" s="17" customFormat="1" ht="21.75" customHeight="1" x14ac:dyDescent="0.25">
      <c r="A109" s="146">
        <v>107</v>
      </c>
      <c r="B109" s="235">
        <v>1712</v>
      </c>
      <c r="C109" s="296" t="s">
        <v>57</v>
      </c>
      <c r="D109" s="295">
        <v>337.1</v>
      </c>
      <c r="E109" s="149">
        <v>0.4</v>
      </c>
      <c r="F109" s="186">
        <f t="shared" si="2"/>
        <v>134.84</v>
      </c>
      <c r="G109" s="186"/>
      <c r="H109" s="186">
        <f t="shared" si="3"/>
        <v>134.84</v>
      </c>
      <c r="I109" s="136">
        <v>788958</v>
      </c>
      <c r="J109" s="313" t="s">
        <v>58</v>
      </c>
      <c r="K109" s="136" t="s">
        <v>31</v>
      </c>
      <c r="L109" s="136" t="s">
        <v>32</v>
      </c>
      <c r="M109" s="136"/>
      <c r="N109" s="140"/>
    </row>
    <row r="110" spans="1:15" s="17" customFormat="1" ht="21.75" customHeight="1" x14ac:dyDescent="0.25">
      <c r="A110" s="141">
        <v>108</v>
      </c>
      <c r="B110" s="142">
        <v>1713</v>
      </c>
      <c r="C110" s="143" t="s">
        <v>157</v>
      </c>
      <c r="D110" s="185">
        <v>368</v>
      </c>
      <c r="E110" s="182">
        <v>0.4</v>
      </c>
      <c r="F110" s="182">
        <f t="shared" si="2"/>
        <v>147.20000000000002</v>
      </c>
      <c r="G110" s="182">
        <f>F110</f>
        <v>147.20000000000002</v>
      </c>
      <c r="H110" s="182">
        <f t="shared" si="3"/>
        <v>0</v>
      </c>
      <c r="I110" s="144">
        <v>19890467</v>
      </c>
      <c r="J110" s="197" t="s">
        <v>158</v>
      </c>
      <c r="K110" s="144" t="s">
        <v>52</v>
      </c>
      <c r="L110" s="144" t="s">
        <v>53</v>
      </c>
      <c r="M110" s="144"/>
      <c r="N110" s="318" t="s">
        <v>606</v>
      </c>
      <c r="O110" s="17" t="s">
        <v>614</v>
      </c>
    </row>
    <row r="111" spans="1:15" s="17" customFormat="1" ht="21.75" customHeight="1" x14ac:dyDescent="0.25">
      <c r="A111" s="146">
        <v>109</v>
      </c>
      <c r="B111" s="235">
        <v>1714</v>
      </c>
      <c r="C111" s="296" t="s">
        <v>59</v>
      </c>
      <c r="D111" s="295">
        <v>344.9</v>
      </c>
      <c r="E111" s="149">
        <v>0.4</v>
      </c>
      <c r="F111" s="186">
        <f t="shared" si="2"/>
        <v>137.96</v>
      </c>
      <c r="G111" s="186"/>
      <c r="H111" s="186">
        <f t="shared" si="3"/>
        <v>137.96</v>
      </c>
      <c r="I111" s="136">
        <v>6285703</v>
      </c>
      <c r="J111" s="313" t="s">
        <v>60</v>
      </c>
      <c r="K111" s="136" t="s">
        <v>31</v>
      </c>
      <c r="L111" s="136" t="s">
        <v>32</v>
      </c>
      <c r="M111" s="136"/>
      <c r="N111" s="140"/>
    </row>
    <row r="112" spans="1:15" s="17" customFormat="1" ht="21.75" customHeight="1" x14ac:dyDescent="0.25">
      <c r="A112" s="146">
        <v>110</v>
      </c>
      <c r="B112" s="235">
        <v>1715</v>
      </c>
      <c r="C112" s="296" t="s">
        <v>62</v>
      </c>
      <c r="D112" s="295">
        <v>197.4</v>
      </c>
      <c r="E112" s="149">
        <v>0.4</v>
      </c>
      <c r="F112" s="186">
        <f t="shared" si="2"/>
        <v>78.960000000000008</v>
      </c>
      <c r="G112" s="186"/>
      <c r="H112" s="186">
        <f t="shared" si="3"/>
        <v>78.960000000000008</v>
      </c>
      <c r="I112" s="136">
        <v>6511663</v>
      </c>
      <c r="J112" s="313" t="s">
        <v>63</v>
      </c>
      <c r="K112" s="136" t="s">
        <v>31</v>
      </c>
      <c r="L112" s="136" t="s">
        <v>32</v>
      </c>
      <c r="M112" s="136"/>
      <c r="N112" s="140"/>
    </row>
    <row r="113" spans="1:14" s="54" customFormat="1" ht="21.75" customHeight="1" x14ac:dyDescent="0.25">
      <c r="A113" s="141">
        <v>111</v>
      </c>
      <c r="B113" s="142">
        <v>1716</v>
      </c>
      <c r="C113" s="143" t="s">
        <v>368</v>
      </c>
      <c r="D113" s="185">
        <v>734</v>
      </c>
      <c r="E113" s="182">
        <v>0.4</v>
      </c>
      <c r="F113" s="182">
        <f t="shared" si="2"/>
        <v>293.60000000000002</v>
      </c>
      <c r="G113" s="182">
        <f>293.12</f>
        <v>293.12</v>
      </c>
      <c r="H113" s="182">
        <f t="shared" si="3"/>
        <v>0.48000000000001819</v>
      </c>
      <c r="I113" s="144">
        <v>24147445</v>
      </c>
      <c r="J113" s="201" t="s">
        <v>369</v>
      </c>
      <c r="K113" s="144" t="s">
        <v>31</v>
      </c>
      <c r="L113" s="144" t="s">
        <v>32</v>
      </c>
      <c r="M113" s="144">
        <v>92772114</v>
      </c>
      <c r="N113" s="201" t="s">
        <v>618</v>
      </c>
    </row>
    <row r="114" spans="1:14" s="17" customFormat="1" ht="21.75" customHeight="1" x14ac:dyDescent="0.25">
      <c r="A114" s="146">
        <v>112</v>
      </c>
      <c r="B114" s="235">
        <v>1717</v>
      </c>
      <c r="C114" s="296" t="s">
        <v>370</v>
      </c>
      <c r="D114" s="295">
        <v>334.1</v>
      </c>
      <c r="E114" s="149">
        <v>0.4</v>
      </c>
      <c r="F114" s="186">
        <f t="shared" si="2"/>
        <v>133.64000000000001</v>
      </c>
      <c r="G114" s="186"/>
      <c r="H114" s="186">
        <f t="shared" si="3"/>
        <v>133.64000000000001</v>
      </c>
      <c r="I114" s="136">
        <v>3248965</v>
      </c>
      <c r="J114" s="313" t="s">
        <v>371</v>
      </c>
      <c r="K114" s="136" t="s">
        <v>31</v>
      </c>
      <c r="L114" s="136" t="s">
        <v>32</v>
      </c>
      <c r="M114" s="136">
        <v>92476390</v>
      </c>
      <c r="N114" s="140"/>
    </row>
    <row r="115" spans="1:14" s="17" customFormat="1" ht="21.75" customHeight="1" x14ac:dyDescent="0.25">
      <c r="A115" s="146">
        <v>113</v>
      </c>
      <c r="B115" s="235">
        <v>1718</v>
      </c>
      <c r="C115" s="296" t="s">
        <v>159</v>
      </c>
      <c r="D115" s="295">
        <v>343.7</v>
      </c>
      <c r="E115" s="149">
        <v>0.4</v>
      </c>
      <c r="F115" s="186">
        <f t="shared" si="2"/>
        <v>137.47999999999999</v>
      </c>
      <c r="G115" s="186"/>
      <c r="H115" s="186">
        <f t="shared" si="3"/>
        <v>137.47999999999999</v>
      </c>
      <c r="I115" s="136">
        <v>18656137</v>
      </c>
      <c r="J115" s="316" t="s">
        <v>160</v>
      </c>
      <c r="K115" s="136" t="s">
        <v>155</v>
      </c>
      <c r="L115" s="136" t="s">
        <v>156</v>
      </c>
      <c r="M115" s="136"/>
      <c r="N115" s="140"/>
    </row>
    <row r="116" spans="1:14" s="17" customFormat="1" ht="21.75" customHeight="1" x14ac:dyDescent="0.25">
      <c r="A116" s="146">
        <v>114</v>
      </c>
      <c r="B116" s="235">
        <v>1720</v>
      </c>
      <c r="C116" s="296" t="s">
        <v>372</v>
      </c>
      <c r="D116" s="295">
        <v>345</v>
      </c>
      <c r="E116" s="149">
        <v>0.4</v>
      </c>
      <c r="F116" s="186">
        <f t="shared" si="2"/>
        <v>138</v>
      </c>
      <c r="G116" s="186"/>
      <c r="H116" s="186">
        <f t="shared" si="3"/>
        <v>138</v>
      </c>
      <c r="I116" s="136">
        <v>6812881</v>
      </c>
      <c r="J116" s="313" t="s">
        <v>373</v>
      </c>
      <c r="K116" s="136" t="s">
        <v>52</v>
      </c>
      <c r="L116" s="136" t="s">
        <v>53</v>
      </c>
      <c r="M116" s="136"/>
      <c r="N116" s="140"/>
    </row>
    <row r="117" spans="1:14" s="54" customFormat="1" ht="21.75" customHeight="1" x14ac:dyDescent="0.25">
      <c r="A117" s="141">
        <v>115</v>
      </c>
      <c r="B117" s="142">
        <v>1722</v>
      </c>
      <c r="C117" s="143" t="s">
        <v>374</v>
      </c>
      <c r="D117" s="185">
        <v>449.4</v>
      </c>
      <c r="E117" s="182">
        <v>0.4</v>
      </c>
      <c r="F117" s="182">
        <f t="shared" si="2"/>
        <v>179.76</v>
      </c>
      <c r="G117" s="182">
        <f>177.32</f>
        <v>177.32</v>
      </c>
      <c r="H117" s="182">
        <f t="shared" si="3"/>
        <v>2.4399999999999977</v>
      </c>
      <c r="I117" s="144">
        <v>12979647</v>
      </c>
      <c r="J117" s="197" t="s">
        <v>375</v>
      </c>
      <c r="K117" s="144" t="s">
        <v>376</v>
      </c>
      <c r="L117" s="144" t="s">
        <v>307</v>
      </c>
      <c r="M117" s="144">
        <v>98899002</v>
      </c>
      <c r="N117" s="318" t="s">
        <v>618</v>
      </c>
    </row>
    <row r="118" spans="1:14" s="17" customFormat="1" ht="21.75" customHeight="1" x14ac:dyDescent="0.25">
      <c r="A118" s="146">
        <v>116</v>
      </c>
      <c r="B118" s="235">
        <v>1723</v>
      </c>
      <c r="C118" s="296" t="s">
        <v>65</v>
      </c>
      <c r="D118" s="295">
        <v>388</v>
      </c>
      <c r="E118" s="149">
        <v>0.4</v>
      </c>
      <c r="F118" s="186">
        <f t="shared" si="2"/>
        <v>155.20000000000002</v>
      </c>
      <c r="G118" s="186"/>
      <c r="H118" s="186">
        <f t="shared" si="3"/>
        <v>155.20000000000002</v>
      </c>
      <c r="I118" s="136">
        <v>6631224</v>
      </c>
      <c r="J118" s="311" t="s">
        <v>66</v>
      </c>
      <c r="K118" s="136" t="s">
        <v>31</v>
      </c>
      <c r="L118" s="136" t="s">
        <v>32</v>
      </c>
      <c r="M118" s="136">
        <v>92666839</v>
      </c>
      <c r="N118" s="140"/>
    </row>
    <row r="119" spans="1:14" s="17" customFormat="1" ht="21.75" customHeight="1" x14ac:dyDescent="0.25">
      <c r="A119" s="146">
        <v>117</v>
      </c>
      <c r="B119" s="235">
        <v>1724</v>
      </c>
      <c r="C119" s="296" t="s">
        <v>67</v>
      </c>
      <c r="D119" s="295">
        <v>346</v>
      </c>
      <c r="E119" s="149">
        <v>0.4</v>
      </c>
      <c r="F119" s="186">
        <f t="shared" si="2"/>
        <v>138.4</v>
      </c>
      <c r="G119" s="186"/>
      <c r="H119" s="186">
        <f t="shared" si="3"/>
        <v>138.4</v>
      </c>
      <c r="I119" s="136">
        <v>10795143</v>
      </c>
      <c r="J119" s="140" t="s">
        <v>68</v>
      </c>
      <c r="K119" s="136" t="s">
        <v>26</v>
      </c>
      <c r="L119" s="136" t="s">
        <v>27</v>
      </c>
      <c r="M119" s="136">
        <v>99494166</v>
      </c>
      <c r="N119" s="140"/>
    </row>
    <row r="120" spans="1:14" s="17" customFormat="1" ht="21.75" customHeight="1" x14ac:dyDescent="0.25">
      <c r="A120" s="146">
        <v>118</v>
      </c>
      <c r="B120" s="235">
        <v>1725</v>
      </c>
      <c r="C120" s="296" t="s">
        <v>377</v>
      </c>
      <c r="D120" s="295">
        <v>730.8</v>
      </c>
      <c r="E120" s="149">
        <v>0.4</v>
      </c>
      <c r="F120" s="186">
        <f t="shared" si="2"/>
        <v>292.32</v>
      </c>
      <c r="G120" s="186"/>
      <c r="H120" s="186">
        <f t="shared" si="3"/>
        <v>292.32</v>
      </c>
      <c r="I120" s="136">
        <v>2223414</v>
      </c>
      <c r="J120" s="313" t="s">
        <v>378</v>
      </c>
      <c r="K120" s="136" t="s">
        <v>52</v>
      </c>
      <c r="L120" s="136" t="s">
        <v>53</v>
      </c>
      <c r="M120" s="136"/>
      <c r="N120" s="140"/>
    </row>
    <row r="121" spans="1:14" s="17" customFormat="1" ht="21.75" customHeight="1" x14ac:dyDescent="0.25">
      <c r="A121" s="146">
        <v>119</v>
      </c>
      <c r="B121" s="235">
        <v>1726</v>
      </c>
      <c r="C121" s="296" t="s">
        <v>379</v>
      </c>
      <c r="D121" s="542">
        <v>395.9</v>
      </c>
      <c r="E121" s="149">
        <v>0.4</v>
      </c>
      <c r="F121" s="186">
        <f t="shared" si="2"/>
        <v>158.36000000000001</v>
      </c>
      <c r="G121" s="186"/>
      <c r="H121" s="186">
        <f t="shared" si="3"/>
        <v>158.36000000000001</v>
      </c>
      <c r="I121" s="136">
        <v>5440535</v>
      </c>
      <c r="J121" s="313" t="s">
        <v>380</v>
      </c>
      <c r="K121" s="136" t="s">
        <v>31</v>
      </c>
      <c r="L121" s="136" t="s">
        <v>32</v>
      </c>
      <c r="M121" s="136">
        <v>92023947</v>
      </c>
      <c r="N121" s="312"/>
    </row>
    <row r="122" spans="1:14" s="17" customFormat="1" ht="21.75" customHeight="1" x14ac:dyDescent="0.25">
      <c r="A122" s="146">
        <v>120</v>
      </c>
      <c r="B122" s="235">
        <v>1728</v>
      </c>
      <c r="C122" s="296" t="s">
        <v>13</v>
      </c>
      <c r="D122" s="295">
        <v>366</v>
      </c>
      <c r="E122" s="149">
        <v>0.4</v>
      </c>
      <c r="F122" s="186">
        <f t="shared" si="2"/>
        <v>146.4</v>
      </c>
      <c r="G122" s="186"/>
      <c r="H122" s="186">
        <f t="shared" si="3"/>
        <v>146.4</v>
      </c>
      <c r="I122" s="136">
        <v>8977778</v>
      </c>
      <c r="J122" s="311" t="s">
        <v>381</v>
      </c>
      <c r="K122" s="136" t="s">
        <v>31</v>
      </c>
      <c r="L122" s="136" t="s">
        <v>32</v>
      </c>
      <c r="M122" s="136"/>
      <c r="N122" s="140"/>
    </row>
    <row r="123" spans="1:14" s="54" customFormat="1" ht="21.75" customHeight="1" x14ac:dyDescent="0.25">
      <c r="A123" s="141">
        <v>121</v>
      </c>
      <c r="B123" s="142">
        <v>1729</v>
      </c>
      <c r="C123" s="143" t="s">
        <v>382</v>
      </c>
      <c r="D123" s="185">
        <v>315.2</v>
      </c>
      <c r="E123" s="182">
        <v>0.4</v>
      </c>
      <c r="F123" s="182">
        <f t="shared" si="2"/>
        <v>126.08</v>
      </c>
      <c r="G123" s="182">
        <f>124.98</f>
        <v>124.98</v>
      </c>
      <c r="H123" s="182">
        <f t="shared" si="3"/>
        <v>1.0999999999999943</v>
      </c>
      <c r="I123" s="144">
        <v>22975081</v>
      </c>
      <c r="J123" s="159" t="s">
        <v>383</v>
      </c>
      <c r="K123" s="144" t="s">
        <v>31</v>
      </c>
      <c r="L123" s="144" t="s">
        <v>32</v>
      </c>
      <c r="M123" s="144"/>
      <c r="N123" s="318" t="s">
        <v>618</v>
      </c>
    </row>
    <row r="124" spans="1:14" s="17" customFormat="1" ht="21.75" customHeight="1" x14ac:dyDescent="0.25">
      <c r="A124" s="146">
        <v>122</v>
      </c>
      <c r="B124" s="235">
        <v>1730</v>
      </c>
      <c r="C124" s="296" t="s">
        <v>162</v>
      </c>
      <c r="D124" s="295">
        <v>334.1</v>
      </c>
      <c r="E124" s="149">
        <v>0.4</v>
      </c>
      <c r="F124" s="186">
        <f t="shared" si="2"/>
        <v>133.64000000000001</v>
      </c>
      <c r="G124" s="186"/>
      <c r="H124" s="186">
        <f t="shared" si="3"/>
        <v>133.64000000000001</v>
      </c>
      <c r="I124" s="136">
        <v>18458405</v>
      </c>
      <c r="J124" s="313" t="s">
        <v>163</v>
      </c>
      <c r="K124" s="136" t="s">
        <v>31</v>
      </c>
      <c r="L124" s="136" t="s">
        <v>32</v>
      </c>
      <c r="M124" s="136">
        <v>98566660</v>
      </c>
      <c r="N124" s="312"/>
    </row>
    <row r="125" spans="1:14" s="17" customFormat="1" ht="21.75" customHeight="1" x14ac:dyDescent="0.25">
      <c r="A125" s="146">
        <v>123</v>
      </c>
      <c r="B125" s="235">
        <v>1731</v>
      </c>
      <c r="C125" s="296" t="s">
        <v>384</v>
      </c>
      <c r="D125" s="295">
        <v>343.3</v>
      </c>
      <c r="E125" s="149">
        <v>0.4</v>
      </c>
      <c r="F125" s="186">
        <f t="shared" si="2"/>
        <v>137.32000000000002</v>
      </c>
      <c r="G125" s="186"/>
      <c r="H125" s="186">
        <f t="shared" si="3"/>
        <v>137.32000000000002</v>
      </c>
      <c r="I125" s="136">
        <v>604651</v>
      </c>
      <c r="J125" s="313" t="s">
        <v>385</v>
      </c>
      <c r="K125" s="136" t="s">
        <v>31</v>
      </c>
      <c r="L125" s="136" t="s">
        <v>32</v>
      </c>
      <c r="M125" s="136">
        <v>92587799</v>
      </c>
      <c r="N125" s="312"/>
    </row>
    <row r="126" spans="1:14" s="17" customFormat="1" ht="21.75" customHeight="1" x14ac:dyDescent="0.25">
      <c r="A126" s="146">
        <v>124</v>
      </c>
      <c r="B126" s="235">
        <v>1733</v>
      </c>
      <c r="C126" s="296" t="s">
        <v>386</v>
      </c>
      <c r="D126" s="295">
        <v>366</v>
      </c>
      <c r="E126" s="149">
        <v>0.4</v>
      </c>
      <c r="F126" s="186">
        <f t="shared" si="2"/>
        <v>146.4</v>
      </c>
      <c r="G126" s="186"/>
      <c r="H126" s="186">
        <f t="shared" si="3"/>
        <v>146.4</v>
      </c>
      <c r="I126" s="136">
        <v>24598302</v>
      </c>
      <c r="J126" s="319" t="s">
        <v>387</v>
      </c>
      <c r="K126" s="136" t="s">
        <v>52</v>
      </c>
      <c r="L126" s="136" t="s">
        <v>53</v>
      </c>
      <c r="M126" s="136"/>
      <c r="N126" s="140"/>
    </row>
    <row r="127" spans="1:14" s="17" customFormat="1" ht="21.75" customHeight="1" x14ac:dyDescent="0.25">
      <c r="A127" s="146">
        <v>125</v>
      </c>
      <c r="B127" s="235">
        <v>1734</v>
      </c>
      <c r="C127" s="296" t="s">
        <v>388</v>
      </c>
      <c r="D127" s="295">
        <v>359.9</v>
      </c>
      <c r="E127" s="149">
        <v>0.4</v>
      </c>
      <c r="F127" s="186">
        <f t="shared" si="2"/>
        <v>143.96</v>
      </c>
      <c r="G127" s="186"/>
      <c r="H127" s="186">
        <f t="shared" si="3"/>
        <v>143.96</v>
      </c>
      <c r="I127" s="136">
        <v>1105552</v>
      </c>
      <c r="J127" s="311" t="s">
        <v>389</v>
      </c>
      <c r="K127" s="136" t="s">
        <v>52</v>
      </c>
      <c r="L127" s="136" t="s">
        <v>53</v>
      </c>
      <c r="M127" s="136">
        <v>99484517</v>
      </c>
      <c r="N127" s="140"/>
    </row>
    <row r="128" spans="1:14" s="17" customFormat="1" ht="21.75" customHeight="1" x14ac:dyDescent="0.25">
      <c r="A128" s="146">
        <v>126</v>
      </c>
      <c r="B128" s="235">
        <v>1736</v>
      </c>
      <c r="C128" s="296" t="s">
        <v>164</v>
      </c>
      <c r="D128" s="295">
        <v>319.3</v>
      </c>
      <c r="E128" s="149">
        <v>0.4</v>
      </c>
      <c r="F128" s="186">
        <f t="shared" si="2"/>
        <v>127.72000000000001</v>
      </c>
      <c r="G128" s="186"/>
      <c r="H128" s="186">
        <f t="shared" si="3"/>
        <v>127.72000000000001</v>
      </c>
      <c r="I128" s="136">
        <v>960639</v>
      </c>
      <c r="J128" s="313" t="s">
        <v>165</v>
      </c>
      <c r="K128" s="136" t="s">
        <v>31</v>
      </c>
      <c r="L128" s="136" t="s">
        <v>32</v>
      </c>
      <c r="M128" s="136"/>
      <c r="N128" s="140"/>
    </row>
    <row r="129" spans="1:14" s="17" customFormat="1" ht="21.75" customHeight="1" x14ac:dyDescent="0.25">
      <c r="A129" s="146">
        <v>127</v>
      </c>
      <c r="B129" s="235">
        <v>1737</v>
      </c>
      <c r="C129" s="136" t="s">
        <v>390</v>
      </c>
      <c r="D129" s="295">
        <v>339.6</v>
      </c>
      <c r="E129" s="149">
        <v>0.4</v>
      </c>
      <c r="F129" s="186">
        <f t="shared" si="2"/>
        <v>135.84</v>
      </c>
      <c r="G129" s="186"/>
      <c r="H129" s="186">
        <f t="shared" si="3"/>
        <v>135.84</v>
      </c>
      <c r="I129" s="136">
        <v>5566367</v>
      </c>
      <c r="J129" s="313" t="s">
        <v>391</v>
      </c>
      <c r="K129" s="136" t="s">
        <v>31</v>
      </c>
      <c r="L129" s="136" t="s">
        <v>32</v>
      </c>
      <c r="M129" s="136">
        <v>98517790</v>
      </c>
      <c r="N129" s="312"/>
    </row>
    <row r="130" spans="1:14" s="17" customFormat="1" ht="21.75" customHeight="1" x14ac:dyDescent="0.25">
      <c r="A130" s="146">
        <v>128</v>
      </c>
      <c r="B130" s="235">
        <v>1738</v>
      </c>
      <c r="C130" s="296" t="s">
        <v>166</v>
      </c>
      <c r="D130" s="295">
        <v>320.5</v>
      </c>
      <c r="E130" s="149">
        <v>0.4</v>
      </c>
      <c r="F130" s="186">
        <f t="shared" si="2"/>
        <v>128.20000000000002</v>
      </c>
      <c r="G130" s="186"/>
      <c r="H130" s="186">
        <f t="shared" si="3"/>
        <v>128.20000000000002</v>
      </c>
      <c r="I130" s="136">
        <v>23187863</v>
      </c>
      <c r="J130" s="313" t="s">
        <v>581</v>
      </c>
      <c r="K130" s="136" t="s">
        <v>52</v>
      </c>
      <c r="L130" s="136" t="s">
        <v>53</v>
      </c>
      <c r="M130" s="136">
        <v>99464736</v>
      </c>
      <c r="N130" s="312"/>
    </row>
    <row r="131" spans="1:14" s="17" customFormat="1" ht="21.75" customHeight="1" x14ac:dyDescent="0.25">
      <c r="A131" s="146">
        <v>129</v>
      </c>
      <c r="B131" s="235">
        <v>1740</v>
      </c>
      <c r="C131" s="296" t="s">
        <v>392</v>
      </c>
      <c r="D131" s="295">
        <v>449.6</v>
      </c>
      <c r="E131" s="149">
        <v>0.4</v>
      </c>
      <c r="F131" s="186">
        <f t="shared" si="2"/>
        <v>179.84000000000003</v>
      </c>
      <c r="G131" s="186"/>
      <c r="H131" s="186">
        <f t="shared" si="3"/>
        <v>179.84000000000003</v>
      </c>
      <c r="I131" s="136">
        <v>750305</v>
      </c>
      <c r="J131" s="313" t="s">
        <v>393</v>
      </c>
      <c r="K131" s="136" t="s">
        <v>31</v>
      </c>
      <c r="L131" s="136" t="s">
        <v>32</v>
      </c>
      <c r="M131" s="136"/>
      <c r="N131" s="312"/>
    </row>
    <row r="132" spans="1:14" s="17" customFormat="1" ht="21.75" customHeight="1" x14ac:dyDescent="0.25">
      <c r="A132" s="146">
        <v>130</v>
      </c>
      <c r="B132" s="235">
        <v>1741</v>
      </c>
      <c r="C132" s="296" t="s">
        <v>394</v>
      </c>
      <c r="D132" s="295">
        <v>1131.3</v>
      </c>
      <c r="E132" s="149">
        <v>0.4</v>
      </c>
      <c r="F132" s="186">
        <f t="shared" ref="F132:F195" si="4">D132*E132</f>
        <v>452.52</v>
      </c>
      <c r="G132" s="186"/>
      <c r="H132" s="186">
        <f t="shared" ref="H132:H195" si="5">F132-G132</f>
        <v>452.52</v>
      </c>
      <c r="I132" s="136">
        <v>3439836</v>
      </c>
      <c r="J132" s="313" t="s">
        <v>395</v>
      </c>
      <c r="K132" s="136" t="s">
        <v>31</v>
      </c>
      <c r="L132" s="136" t="s">
        <v>32</v>
      </c>
      <c r="M132" s="136">
        <v>99070188</v>
      </c>
      <c r="N132" s="140"/>
    </row>
    <row r="133" spans="1:14" s="17" customFormat="1" ht="21.75" customHeight="1" x14ac:dyDescent="0.25">
      <c r="A133" s="146">
        <v>131</v>
      </c>
      <c r="B133" s="235">
        <v>1742</v>
      </c>
      <c r="C133" s="296" t="s">
        <v>396</v>
      </c>
      <c r="D133" s="295">
        <v>391</v>
      </c>
      <c r="E133" s="149">
        <v>0.4</v>
      </c>
      <c r="F133" s="186">
        <f t="shared" si="4"/>
        <v>156.4</v>
      </c>
      <c r="G133" s="186"/>
      <c r="H133" s="186">
        <f t="shared" si="5"/>
        <v>156.4</v>
      </c>
      <c r="I133" s="136">
        <v>7534942</v>
      </c>
      <c r="J133" s="313" t="s">
        <v>397</v>
      </c>
      <c r="K133" s="136" t="s">
        <v>31</v>
      </c>
      <c r="L133" s="136" t="s">
        <v>32</v>
      </c>
      <c r="M133" s="136"/>
      <c r="N133" s="140"/>
    </row>
    <row r="134" spans="1:14" s="54" customFormat="1" ht="21.75" customHeight="1" x14ac:dyDescent="0.25">
      <c r="A134" s="141">
        <v>132</v>
      </c>
      <c r="B134" s="142">
        <v>1743</v>
      </c>
      <c r="C134" s="143" t="s">
        <v>398</v>
      </c>
      <c r="D134" s="185">
        <v>570.70000000000005</v>
      </c>
      <c r="E134" s="182">
        <v>0.4</v>
      </c>
      <c r="F134" s="182">
        <f t="shared" si="4"/>
        <v>228.28000000000003</v>
      </c>
      <c r="G134" s="182">
        <f>228.27</f>
        <v>228.27</v>
      </c>
      <c r="H134" s="182">
        <f t="shared" si="5"/>
        <v>1.0000000000019327E-2</v>
      </c>
      <c r="I134" s="144">
        <v>14028717</v>
      </c>
      <c r="J134" s="159" t="s">
        <v>399</v>
      </c>
      <c r="K134" s="144" t="s">
        <v>155</v>
      </c>
      <c r="L134" s="144" t="s">
        <v>156</v>
      </c>
      <c r="M134" s="144">
        <v>98500770</v>
      </c>
      <c r="N134" s="318" t="s">
        <v>600</v>
      </c>
    </row>
    <row r="135" spans="1:14" s="17" customFormat="1" ht="21.75" customHeight="1" x14ac:dyDescent="0.25">
      <c r="A135" s="146">
        <v>133</v>
      </c>
      <c r="B135" s="235">
        <v>1744</v>
      </c>
      <c r="C135" s="296" t="s">
        <v>400</v>
      </c>
      <c r="D135" s="295">
        <v>345</v>
      </c>
      <c r="E135" s="149">
        <v>0.4</v>
      </c>
      <c r="F135" s="186">
        <f t="shared" si="4"/>
        <v>138</v>
      </c>
      <c r="G135" s="186"/>
      <c r="H135" s="186">
        <f t="shared" si="5"/>
        <v>138</v>
      </c>
      <c r="I135" s="136">
        <v>6653046</v>
      </c>
      <c r="J135" s="140" t="s">
        <v>401</v>
      </c>
      <c r="K135" s="136" t="s">
        <v>52</v>
      </c>
      <c r="L135" s="136" t="s">
        <v>53</v>
      </c>
      <c r="M135" s="136">
        <v>98183585</v>
      </c>
      <c r="N135" s="312"/>
    </row>
    <row r="136" spans="1:14" s="17" customFormat="1" ht="21.75" customHeight="1" x14ac:dyDescent="0.25">
      <c r="A136" s="146">
        <v>134</v>
      </c>
      <c r="B136" s="235">
        <v>1745</v>
      </c>
      <c r="C136" s="296" t="s">
        <v>402</v>
      </c>
      <c r="D136" s="295">
        <v>342</v>
      </c>
      <c r="E136" s="149">
        <v>0.4</v>
      </c>
      <c r="F136" s="186">
        <f t="shared" si="4"/>
        <v>136.80000000000001</v>
      </c>
      <c r="G136" s="186"/>
      <c r="H136" s="186">
        <f t="shared" si="5"/>
        <v>136.80000000000001</v>
      </c>
      <c r="I136" s="136">
        <v>781826</v>
      </c>
      <c r="J136" s="311" t="s">
        <v>403</v>
      </c>
      <c r="K136" s="136" t="s">
        <v>52</v>
      </c>
      <c r="L136" s="136" t="s">
        <v>53</v>
      </c>
      <c r="M136" s="136"/>
      <c r="N136" s="140"/>
    </row>
    <row r="137" spans="1:14" s="17" customFormat="1" ht="21.75" customHeight="1" x14ac:dyDescent="0.25">
      <c r="A137" s="146">
        <v>135</v>
      </c>
      <c r="B137" s="235">
        <v>1748</v>
      </c>
      <c r="C137" s="296" t="s">
        <v>169</v>
      </c>
      <c r="D137" s="295">
        <v>319</v>
      </c>
      <c r="E137" s="149">
        <v>0.4</v>
      </c>
      <c r="F137" s="186">
        <f t="shared" si="4"/>
        <v>127.60000000000001</v>
      </c>
      <c r="G137" s="186"/>
      <c r="H137" s="186">
        <f t="shared" si="5"/>
        <v>127.60000000000001</v>
      </c>
      <c r="I137" s="136">
        <v>1354182</v>
      </c>
      <c r="J137" s="313" t="s">
        <v>170</v>
      </c>
      <c r="K137" s="136" t="s">
        <v>31</v>
      </c>
      <c r="L137" s="136" t="s">
        <v>32</v>
      </c>
      <c r="M137" s="136">
        <v>98953022</v>
      </c>
      <c r="N137" s="312"/>
    </row>
    <row r="138" spans="1:14" s="17" customFormat="1" ht="21.75" customHeight="1" x14ac:dyDescent="0.25">
      <c r="A138" s="146">
        <v>136</v>
      </c>
      <c r="B138" s="235">
        <v>1749</v>
      </c>
      <c r="C138" s="296" t="s">
        <v>404</v>
      </c>
      <c r="D138" s="295">
        <v>243.3</v>
      </c>
      <c r="E138" s="149">
        <v>0.4</v>
      </c>
      <c r="F138" s="186">
        <f t="shared" si="4"/>
        <v>97.320000000000007</v>
      </c>
      <c r="G138" s="186"/>
      <c r="H138" s="186">
        <f t="shared" si="5"/>
        <v>97.320000000000007</v>
      </c>
      <c r="I138" s="136">
        <v>1304923</v>
      </c>
      <c r="J138" s="311" t="s">
        <v>405</v>
      </c>
      <c r="K138" s="136" t="s">
        <v>52</v>
      </c>
      <c r="L138" s="136" t="s">
        <v>53</v>
      </c>
      <c r="M138" s="136">
        <v>97384393</v>
      </c>
      <c r="N138" s="140"/>
    </row>
    <row r="139" spans="1:14" s="17" customFormat="1" ht="21.75" customHeight="1" x14ac:dyDescent="0.25">
      <c r="A139" s="146">
        <v>137</v>
      </c>
      <c r="B139" s="235">
        <v>1750</v>
      </c>
      <c r="C139" s="296" t="s">
        <v>406</v>
      </c>
      <c r="D139" s="295">
        <v>339.2</v>
      </c>
      <c r="E139" s="149">
        <v>0.4</v>
      </c>
      <c r="F139" s="186">
        <f t="shared" si="4"/>
        <v>135.68</v>
      </c>
      <c r="G139" s="186"/>
      <c r="H139" s="186">
        <f t="shared" si="5"/>
        <v>135.68</v>
      </c>
      <c r="I139" s="136">
        <v>18638806</v>
      </c>
      <c r="J139" s="311" t="s">
        <v>407</v>
      </c>
      <c r="K139" s="136" t="s">
        <v>71</v>
      </c>
      <c r="L139" s="136" t="s">
        <v>72</v>
      </c>
      <c r="M139" s="136">
        <v>98595777</v>
      </c>
      <c r="N139" s="140"/>
    </row>
    <row r="140" spans="1:14" s="17" customFormat="1" ht="21.75" customHeight="1" x14ac:dyDescent="0.25">
      <c r="A140" s="146">
        <v>138</v>
      </c>
      <c r="B140" s="235">
        <v>1752</v>
      </c>
      <c r="C140" s="296" t="s">
        <v>171</v>
      </c>
      <c r="D140" s="295">
        <v>368</v>
      </c>
      <c r="E140" s="149">
        <v>0.4</v>
      </c>
      <c r="F140" s="186">
        <f t="shared" si="4"/>
        <v>147.20000000000002</v>
      </c>
      <c r="G140" s="186"/>
      <c r="H140" s="186">
        <f t="shared" si="5"/>
        <v>147.20000000000002</v>
      </c>
      <c r="I140" s="136">
        <v>2808921</v>
      </c>
      <c r="J140" s="311" t="s">
        <v>139</v>
      </c>
      <c r="K140" s="136" t="s">
        <v>31</v>
      </c>
      <c r="L140" s="136" t="s">
        <v>32</v>
      </c>
      <c r="M140" s="136">
        <v>92740803</v>
      </c>
      <c r="N140" s="140"/>
    </row>
    <row r="141" spans="1:14" s="17" customFormat="1" ht="21.75" customHeight="1" x14ac:dyDescent="0.25">
      <c r="A141" s="146">
        <v>139</v>
      </c>
      <c r="B141" s="235">
        <v>1753</v>
      </c>
      <c r="C141" s="296" t="s">
        <v>408</v>
      </c>
      <c r="D141" s="295">
        <v>355.8</v>
      </c>
      <c r="E141" s="149">
        <v>0.4</v>
      </c>
      <c r="F141" s="186">
        <f t="shared" si="4"/>
        <v>142.32000000000002</v>
      </c>
      <c r="G141" s="186"/>
      <c r="H141" s="186">
        <f t="shared" si="5"/>
        <v>142.32000000000002</v>
      </c>
      <c r="I141" s="136">
        <v>6496182</v>
      </c>
      <c r="J141" s="317" t="s">
        <v>409</v>
      </c>
      <c r="K141" s="136" t="s">
        <v>251</v>
      </c>
      <c r="L141" s="136" t="s">
        <v>252</v>
      </c>
      <c r="M141" s="136">
        <v>98595777</v>
      </c>
      <c r="N141" s="140"/>
    </row>
    <row r="142" spans="1:14" s="17" customFormat="1" ht="21.75" customHeight="1" x14ac:dyDescent="0.25">
      <c r="A142" s="146">
        <v>140</v>
      </c>
      <c r="B142" s="235">
        <v>1754</v>
      </c>
      <c r="C142" s="296" t="s">
        <v>410</v>
      </c>
      <c r="D142" s="295">
        <v>1302.7</v>
      </c>
      <c r="E142" s="149">
        <v>0.4</v>
      </c>
      <c r="F142" s="186">
        <f t="shared" si="4"/>
        <v>521.08000000000004</v>
      </c>
      <c r="G142" s="186"/>
      <c r="H142" s="186">
        <f t="shared" si="5"/>
        <v>521.08000000000004</v>
      </c>
      <c r="I142" s="136">
        <v>1523934</v>
      </c>
      <c r="J142" s="311" t="s">
        <v>411</v>
      </c>
      <c r="K142" s="136" t="s">
        <v>71</v>
      </c>
      <c r="L142" s="136" t="s">
        <v>72</v>
      </c>
      <c r="M142" s="136"/>
      <c r="N142" s="140"/>
    </row>
    <row r="143" spans="1:14" s="54" customFormat="1" ht="21.75" customHeight="1" x14ac:dyDescent="0.25">
      <c r="A143" s="141">
        <v>141</v>
      </c>
      <c r="B143" s="142">
        <v>1755</v>
      </c>
      <c r="C143" s="143" t="s">
        <v>69</v>
      </c>
      <c r="D143" s="185">
        <v>644</v>
      </c>
      <c r="E143" s="182">
        <v>0.4</v>
      </c>
      <c r="F143" s="182">
        <f t="shared" si="4"/>
        <v>257.60000000000002</v>
      </c>
      <c r="G143" s="182">
        <f>255.44</f>
        <v>255.44</v>
      </c>
      <c r="H143" s="182">
        <f t="shared" si="5"/>
        <v>2.160000000000025</v>
      </c>
      <c r="I143" s="144">
        <v>10592143</v>
      </c>
      <c r="J143" s="159" t="s">
        <v>70</v>
      </c>
      <c r="K143" s="144" t="s">
        <v>71</v>
      </c>
      <c r="L143" s="144" t="s">
        <v>72</v>
      </c>
      <c r="M143" s="144"/>
      <c r="N143" s="201" t="s">
        <v>604</v>
      </c>
    </row>
    <row r="144" spans="1:14" s="17" customFormat="1" ht="21.75" customHeight="1" x14ac:dyDescent="0.25">
      <c r="A144" s="146">
        <v>142</v>
      </c>
      <c r="B144" s="235">
        <v>1756</v>
      </c>
      <c r="C144" s="296" t="s">
        <v>412</v>
      </c>
      <c r="D144" s="295">
        <v>293.60000000000002</v>
      </c>
      <c r="E144" s="149">
        <v>0.4</v>
      </c>
      <c r="F144" s="186">
        <f t="shared" si="4"/>
        <v>117.44000000000001</v>
      </c>
      <c r="G144" s="186"/>
      <c r="H144" s="186">
        <f t="shared" si="5"/>
        <v>117.44000000000001</v>
      </c>
      <c r="I144" s="136">
        <v>381412</v>
      </c>
      <c r="J144" s="311" t="s">
        <v>413</v>
      </c>
      <c r="K144" s="136" t="s">
        <v>31</v>
      </c>
      <c r="L144" s="136" t="s">
        <v>32</v>
      </c>
      <c r="M144" s="136">
        <v>99293035</v>
      </c>
      <c r="N144" s="140"/>
    </row>
    <row r="145" spans="1:16" s="17" customFormat="1" ht="21.75" customHeight="1" x14ac:dyDescent="0.25">
      <c r="A145" s="146">
        <v>143</v>
      </c>
      <c r="B145" s="235">
        <v>1758</v>
      </c>
      <c r="C145" s="296" t="s">
        <v>74</v>
      </c>
      <c r="D145" s="295">
        <v>561.29999999999995</v>
      </c>
      <c r="E145" s="149">
        <v>0.4</v>
      </c>
      <c r="F145" s="186">
        <f t="shared" si="4"/>
        <v>224.51999999999998</v>
      </c>
      <c r="G145" s="186"/>
      <c r="H145" s="186">
        <f t="shared" si="5"/>
        <v>224.51999999999998</v>
      </c>
      <c r="I145" s="136">
        <v>2443662</v>
      </c>
      <c r="J145" s="311" t="s">
        <v>75</v>
      </c>
      <c r="K145" s="136" t="s">
        <v>31</v>
      </c>
      <c r="L145" s="136" t="s">
        <v>32</v>
      </c>
      <c r="M145" s="136">
        <v>99608818</v>
      </c>
      <c r="N145" s="312"/>
    </row>
    <row r="146" spans="1:16" s="17" customFormat="1" ht="21.75" customHeight="1" x14ac:dyDescent="0.25">
      <c r="A146" s="146">
        <v>144</v>
      </c>
      <c r="B146" s="235">
        <v>1759</v>
      </c>
      <c r="C146" s="296" t="s">
        <v>415</v>
      </c>
      <c r="D146" s="295">
        <v>284</v>
      </c>
      <c r="E146" s="149">
        <v>0.4</v>
      </c>
      <c r="F146" s="186">
        <f t="shared" si="4"/>
        <v>113.60000000000001</v>
      </c>
      <c r="G146" s="186"/>
      <c r="H146" s="186">
        <f t="shared" si="5"/>
        <v>113.60000000000001</v>
      </c>
      <c r="I146" s="136">
        <v>5029866</v>
      </c>
      <c r="J146" s="311" t="s">
        <v>416</v>
      </c>
      <c r="K146" s="136" t="s">
        <v>31</v>
      </c>
      <c r="L146" s="136" t="s">
        <v>32</v>
      </c>
      <c r="M146" s="136"/>
      <c r="N146" s="140"/>
    </row>
    <row r="147" spans="1:16" s="17" customFormat="1" ht="21.75" customHeight="1" x14ac:dyDescent="0.25">
      <c r="A147" s="146">
        <v>145</v>
      </c>
      <c r="B147" s="235">
        <v>1760</v>
      </c>
      <c r="C147" s="296" t="s">
        <v>418</v>
      </c>
      <c r="D147" s="295">
        <v>297.8</v>
      </c>
      <c r="E147" s="149">
        <v>0.4</v>
      </c>
      <c r="F147" s="186">
        <f t="shared" si="4"/>
        <v>119.12</v>
      </c>
      <c r="G147" s="186"/>
      <c r="H147" s="186">
        <f t="shared" si="5"/>
        <v>119.12</v>
      </c>
      <c r="I147" s="136">
        <v>3847339</v>
      </c>
      <c r="J147" s="311" t="s">
        <v>419</v>
      </c>
      <c r="K147" s="136" t="s">
        <v>31</v>
      </c>
      <c r="L147" s="136" t="s">
        <v>32</v>
      </c>
      <c r="M147" s="136"/>
      <c r="N147" s="140"/>
    </row>
    <row r="148" spans="1:16" s="17" customFormat="1" ht="21.75" customHeight="1" x14ac:dyDescent="0.25">
      <c r="A148" s="146">
        <v>146</v>
      </c>
      <c r="B148" s="235">
        <v>1763</v>
      </c>
      <c r="C148" s="296" t="s">
        <v>420</v>
      </c>
      <c r="D148" s="295">
        <v>265.39999999999998</v>
      </c>
      <c r="E148" s="149">
        <v>0.4</v>
      </c>
      <c r="F148" s="186">
        <f t="shared" si="4"/>
        <v>106.16</v>
      </c>
      <c r="G148" s="186"/>
      <c r="H148" s="186">
        <f t="shared" si="5"/>
        <v>106.16</v>
      </c>
      <c r="I148" s="136">
        <v>5384098</v>
      </c>
      <c r="J148" s="311" t="s">
        <v>421</v>
      </c>
      <c r="K148" s="136" t="s">
        <v>31</v>
      </c>
      <c r="L148" s="136" t="s">
        <v>32</v>
      </c>
      <c r="M148" s="136">
        <v>99199287</v>
      </c>
      <c r="N148" s="140"/>
    </row>
    <row r="149" spans="1:16" s="17" customFormat="1" ht="21.75" customHeight="1" x14ac:dyDescent="0.25">
      <c r="A149" s="146">
        <v>147</v>
      </c>
      <c r="B149" s="235">
        <v>1764</v>
      </c>
      <c r="C149" s="296" t="s">
        <v>422</v>
      </c>
      <c r="D149" s="295">
        <v>460</v>
      </c>
      <c r="E149" s="149">
        <v>0.4</v>
      </c>
      <c r="F149" s="186">
        <f t="shared" si="4"/>
        <v>184</v>
      </c>
      <c r="G149" s="186"/>
      <c r="H149" s="186">
        <f t="shared" si="5"/>
        <v>184</v>
      </c>
      <c r="I149" s="136">
        <v>6923798</v>
      </c>
      <c r="J149" s="313">
        <v>1023524004017</v>
      </c>
      <c r="K149" s="136" t="s">
        <v>26</v>
      </c>
      <c r="L149" s="136" t="s">
        <v>27</v>
      </c>
      <c r="M149" s="136">
        <v>93955557</v>
      </c>
      <c r="N149" s="140"/>
    </row>
    <row r="150" spans="1:16" s="17" customFormat="1" ht="21.75" customHeight="1" x14ac:dyDescent="0.25">
      <c r="A150" s="146">
        <v>148</v>
      </c>
      <c r="B150" s="235">
        <v>1766</v>
      </c>
      <c r="C150" s="296" t="s">
        <v>423</v>
      </c>
      <c r="D150" s="295">
        <v>621</v>
      </c>
      <c r="E150" s="149">
        <v>0.4</v>
      </c>
      <c r="F150" s="186">
        <f t="shared" si="4"/>
        <v>248.4</v>
      </c>
      <c r="G150" s="186"/>
      <c r="H150" s="186">
        <f t="shared" si="5"/>
        <v>248.4</v>
      </c>
      <c r="I150" s="136">
        <v>19548574</v>
      </c>
      <c r="J150" s="311" t="s">
        <v>424</v>
      </c>
      <c r="K150" s="136" t="s">
        <v>31</v>
      </c>
      <c r="L150" s="136" t="s">
        <v>32</v>
      </c>
      <c r="M150" s="136">
        <v>92924743</v>
      </c>
      <c r="N150" s="140"/>
    </row>
    <row r="151" spans="1:16" s="17" customFormat="1" ht="21.75" customHeight="1" x14ac:dyDescent="0.25">
      <c r="A151" s="146">
        <v>149</v>
      </c>
      <c r="B151" s="235">
        <v>1768</v>
      </c>
      <c r="C151" s="296" t="s">
        <v>172</v>
      </c>
      <c r="D151" s="295">
        <v>316.89999999999998</v>
      </c>
      <c r="E151" s="149">
        <v>0.4</v>
      </c>
      <c r="F151" s="186">
        <f t="shared" si="4"/>
        <v>126.75999999999999</v>
      </c>
      <c r="G151" s="186"/>
      <c r="H151" s="186">
        <f t="shared" si="5"/>
        <v>126.75999999999999</v>
      </c>
      <c r="I151" s="136">
        <v>13899464</v>
      </c>
      <c r="J151" s="140" t="s">
        <v>173</v>
      </c>
      <c r="K151" s="136" t="s">
        <v>31</v>
      </c>
      <c r="L151" s="136" t="s">
        <v>32</v>
      </c>
      <c r="M151" s="136">
        <v>99166449</v>
      </c>
      <c r="N151" s="140"/>
    </row>
    <row r="152" spans="1:16" s="17" customFormat="1" ht="21.75" customHeight="1" x14ac:dyDescent="0.25">
      <c r="A152" s="146">
        <v>150</v>
      </c>
      <c r="B152" s="235">
        <v>1769</v>
      </c>
      <c r="C152" s="296" t="s">
        <v>425</v>
      </c>
      <c r="D152" s="295">
        <v>313.7</v>
      </c>
      <c r="E152" s="149">
        <v>0.4</v>
      </c>
      <c r="F152" s="186">
        <f t="shared" si="4"/>
        <v>125.48</v>
      </c>
      <c r="G152" s="186"/>
      <c r="H152" s="186">
        <f t="shared" si="5"/>
        <v>125.48</v>
      </c>
      <c r="I152" s="136">
        <v>19322478</v>
      </c>
      <c r="J152" s="311" t="s">
        <v>426</v>
      </c>
      <c r="K152" s="136" t="s">
        <v>31</v>
      </c>
      <c r="L152" s="136" t="s">
        <v>32</v>
      </c>
      <c r="M152" s="136">
        <v>99180404</v>
      </c>
      <c r="N152" s="140"/>
    </row>
    <row r="153" spans="1:16" s="54" customFormat="1" ht="21.75" customHeight="1" x14ac:dyDescent="0.25">
      <c r="A153" s="141">
        <v>151</v>
      </c>
      <c r="B153" s="142">
        <v>1770</v>
      </c>
      <c r="C153" s="143" t="s">
        <v>427</v>
      </c>
      <c r="D153" s="185">
        <v>284.89999999999998</v>
      </c>
      <c r="E153" s="182">
        <v>0.4</v>
      </c>
      <c r="F153" s="182">
        <f t="shared" si="4"/>
        <v>113.96</v>
      </c>
      <c r="G153" s="182">
        <f>109.88</f>
        <v>109.88</v>
      </c>
      <c r="H153" s="182">
        <f t="shared" si="5"/>
        <v>4.0799999999999983</v>
      </c>
      <c r="I153" s="144">
        <v>24534799</v>
      </c>
      <c r="J153" s="159" t="s">
        <v>428</v>
      </c>
      <c r="K153" s="144" t="s">
        <v>26</v>
      </c>
      <c r="L153" s="144" t="s">
        <v>27</v>
      </c>
      <c r="M153" s="144"/>
      <c r="N153" s="201" t="s">
        <v>618</v>
      </c>
    </row>
    <row r="154" spans="1:16" s="17" customFormat="1" ht="21.75" customHeight="1" x14ac:dyDescent="0.25">
      <c r="A154" s="146">
        <v>152</v>
      </c>
      <c r="B154" s="235">
        <v>1771</v>
      </c>
      <c r="C154" s="296" t="s">
        <v>174</v>
      </c>
      <c r="D154" s="295">
        <v>337</v>
      </c>
      <c r="E154" s="149">
        <v>0.4</v>
      </c>
      <c r="F154" s="186">
        <f t="shared" si="4"/>
        <v>134.80000000000001</v>
      </c>
      <c r="G154" s="186"/>
      <c r="H154" s="186">
        <f t="shared" si="5"/>
        <v>134.80000000000001</v>
      </c>
      <c r="I154" s="136">
        <v>5044401</v>
      </c>
      <c r="J154" s="311" t="s">
        <v>132</v>
      </c>
      <c r="K154" s="136" t="s">
        <v>31</v>
      </c>
      <c r="L154" s="136" t="s">
        <v>32</v>
      </c>
      <c r="M154" s="136">
        <v>93556616</v>
      </c>
      <c r="N154" s="140"/>
    </row>
    <row r="155" spans="1:16" s="325" customFormat="1" ht="21.75" customHeight="1" x14ac:dyDescent="0.25">
      <c r="A155" s="154">
        <v>153</v>
      </c>
      <c r="B155" s="230">
        <v>1772</v>
      </c>
      <c r="C155" s="152" t="s">
        <v>429</v>
      </c>
      <c r="D155" s="231">
        <v>712.3</v>
      </c>
      <c r="E155" s="232">
        <v>0.4</v>
      </c>
      <c r="F155" s="232">
        <f t="shared" si="4"/>
        <v>284.92</v>
      </c>
      <c r="G155" s="232">
        <f>F155</f>
        <v>284.92</v>
      </c>
      <c r="H155" s="232">
        <f t="shared" si="5"/>
        <v>0</v>
      </c>
      <c r="I155" s="153">
        <v>5217694</v>
      </c>
      <c r="J155" s="233" t="s">
        <v>430</v>
      </c>
      <c r="K155" s="153" t="s">
        <v>52</v>
      </c>
      <c r="L155" s="153" t="s">
        <v>53</v>
      </c>
      <c r="M155" s="153"/>
      <c r="N155" s="327" t="s">
        <v>616</v>
      </c>
      <c r="O155" s="325">
        <v>257.04999999999995</v>
      </c>
      <c r="P155" s="325" t="s">
        <v>617</v>
      </c>
    </row>
    <row r="156" spans="1:16" s="17" customFormat="1" ht="21.75" customHeight="1" x14ac:dyDescent="0.25">
      <c r="A156" s="146">
        <v>154</v>
      </c>
      <c r="B156" s="235">
        <v>1773</v>
      </c>
      <c r="C156" s="296" t="s">
        <v>432</v>
      </c>
      <c r="D156" s="295">
        <v>249.5</v>
      </c>
      <c r="E156" s="149">
        <v>0.4</v>
      </c>
      <c r="F156" s="186">
        <f t="shared" si="4"/>
        <v>99.800000000000011</v>
      </c>
      <c r="G156" s="186"/>
      <c r="H156" s="186">
        <f t="shared" si="5"/>
        <v>99.800000000000011</v>
      </c>
      <c r="I156" s="136">
        <v>20562603</v>
      </c>
      <c r="J156" s="311" t="s">
        <v>433</v>
      </c>
      <c r="K156" s="136" t="s">
        <v>52</v>
      </c>
      <c r="L156" s="136" t="s">
        <v>53</v>
      </c>
      <c r="M156" s="136">
        <v>92755626</v>
      </c>
      <c r="N156" s="140"/>
    </row>
    <row r="157" spans="1:16" s="17" customFormat="1" ht="21.75" customHeight="1" x14ac:dyDescent="0.25">
      <c r="A157" s="146">
        <v>155</v>
      </c>
      <c r="B157" s="235">
        <v>1774</v>
      </c>
      <c r="C157" s="296" t="s">
        <v>175</v>
      </c>
      <c r="D157" s="295">
        <v>62.3</v>
      </c>
      <c r="E157" s="149">
        <v>0.4</v>
      </c>
      <c r="F157" s="186">
        <f t="shared" si="4"/>
        <v>24.92</v>
      </c>
      <c r="G157" s="186"/>
      <c r="H157" s="186">
        <f t="shared" si="5"/>
        <v>24.92</v>
      </c>
      <c r="I157" s="136">
        <v>20865047</v>
      </c>
      <c r="J157" s="311" t="s">
        <v>176</v>
      </c>
      <c r="K157" s="136" t="s">
        <v>31</v>
      </c>
      <c r="L157" s="136" t="s">
        <v>32</v>
      </c>
      <c r="M157" s="136">
        <v>98825083</v>
      </c>
      <c r="N157" s="312"/>
    </row>
    <row r="158" spans="1:16" s="54" customFormat="1" ht="21.75" customHeight="1" x14ac:dyDescent="0.25">
      <c r="A158" s="141">
        <v>156</v>
      </c>
      <c r="B158" s="142">
        <v>1775</v>
      </c>
      <c r="C158" s="143" t="s">
        <v>434</v>
      </c>
      <c r="D158" s="185">
        <v>546.79999999999995</v>
      </c>
      <c r="E158" s="182">
        <v>0.4</v>
      </c>
      <c r="F158" s="182">
        <f t="shared" si="4"/>
        <v>218.72</v>
      </c>
      <c r="G158" s="182">
        <f>120.52</f>
        <v>120.52</v>
      </c>
      <c r="H158" s="182">
        <f t="shared" si="5"/>
        <v>98.2</v>
      </c>
      <c r="I158" s="144">
        <v>18659223</v>
      </c>
      <c r="J158" s="246" t="s">
        <v>435</v>
      </c>
      <c r="K158" s="144" t="s">
        <v>31</v>
      </c>
      <c r="L158" s="144" t="s">
        <v>32</v>
      </c>
      <c r="M158" s="144">
        <v>93980028</v>
      </c>
      <c r="N158" s="201" t="s">
        <v>606</v>
      </c>
    </row>
    <row r="159" spans="1:16" s="17" customFormat="1" ht="21.75" customHeight="1" x14ac:dyDescent="0.25">
      <c r="A159" s="146">
        <v>157</v>
      </c>
      <c r="B159" s="235">
        <v>1776</v>
      </c>
      <c r="C159" s="296" t="s">
        <v>436</v>
      </c>
      <c r="D159" s="295">
        <v>341.2</v>
      </c>
      <c r="E159" s="149">
        <v>0.4</v>
      </c>
      <c r="F159" s="186">
        <f t="shared" si="4"/>
        <v>136.47999999999999</v>
      </c>
      <c r="G159" s="186"/>
      <c r="H159" s="186">
        <f t="shared" si="5"/>
        <v>136.47999999999999</v>
      </c>
      <c r="I159" s="136">
        <v>30837376</v>
      </c>
      <c r="J159" s="316" t="s">
        <v>437</v>
      </c>
      <c r="K159" s="136" t="s">
        <v>31</v>
      </c>
      <c r="L159" s="136" t="s">
        <v>32</v>
      </c>
      <c r="M159" s="136">
        <v>92445594</v>
      </c>
      <c r="N159" s="140"/>
    </row>
    <row r="160" spans="1:16" s="17" customFormat="1" ht="21.75" customHeight="1" x14ac:dyDescent="0.25">
      <c r="A160" s="146">
        <v>158</v>
      </c>
      <c r="B160" s="235">
        <v>1777</v>
      </c>
      <c r="C160" s="296" t="s">
        <v>438</v>
      </c>
      <c r="D160" s="295">
        <v>615</v>
      </c>
      <c r="E160" s="149">
        <v>0.4</v>
      </c>
      <c r="F160" s="186">
        <f t="shared" si="4"/>
        <v>246</v>
      </c>
      <c r="G160" s="186"/>
      <c r="H160" s="186">
        <f t="shared" si="5"/>
        <v>246</v>
      </c>
      <c r="I160" s="136">
        <v>15107764</v>
      </c>
      <c r="J160" s="316" t="s">
        <v>439</v>
      </c>
      <c r="K160" s="136" t="s">
        <v>121</v>
      </c>
      <c r="L160" s="136" t="s">
        <v>122</v>
      </c>
      <c r="M160" s="136"/>
      <c r="N160" s="312"/>
    </row>
    <row r="161" spans="1:15" s="17" customFormat="1" ht="21.75" customHeight="1" x14ac:dyDescent="0.25">
      <c r="A161" s="146">
        <v>159</v>
      </c>
      <c r="B161" s="235">
        <v>1778</v>
      </c>
      <c r="C161" s="296" t="s">
        <v>440</v>
      </c>
      <c r="D161" s="295">
        <v>330</v>
      </c>
      <c r="E161" s="149">
        <v>0.4</v>
      </c>
      <c r="F161" s="186">
        <f t="shared" si="4"/>
        <v>132</v>
      </c>
      <c r="G161" s="186"/>
      <c r="H161" s="186">
        <f t="shared" si="5"/>
        <v>132</v>
      </c>
      <c r="I161" s="136">
        <v>24984002</v>
      </c>
      <c r="J161" s="311" t="s">
        <v>441</v>
      </c>
      <c r="K161" s="136" t="s">
        <v>31</v>
      </c>
      <c r="L161" s="136" t="s">
        <v>32</v>
      </c>
      <c r="M161" s="136">
        <v>99033018</v>
      </c>
      <c r="N161" s="140"/>
    </row>
    <row r="162" spans="1:15" s="17" customFormat="1" ht="21.75" customHeight="1" x14ac:dyDescent="0.25">
      <c r="A162" s="146">
        <v>160</v>
      </c>
      <c r="B162" s="235">
        <v>1780</v>
      </c>
      <c r="C162" s="296" t="s">
        <v>442</v>
      </c>
      <c r="D162" s="295">
        <v>818.7</v>
      </c>
      <c r="E162" s="149">
        <v>0.4</v>
      </c>
      <c r="F162" s="186">
        <f t="shared" si="4"/>
        <v>327.48</v>
      </c>
      <c r="G162" s="186"/>
      <c r="H162" s="186">
        <f t="shared" si="5"/>
        <v>327.48</v>
      </c>
      <c r="I162" s="136">
        <v>6228066</v>
      </c>
      <c r="J162" s="311" t="s">
        <v>443</v>
      </c>
      <c r="K162" s="136" t="s">
        <v>31</v>
      </c>
      <c r="L162" s="136" t="s">
        <v>32</v>
      </c>
      <c r="M162" s="136">
        <v>91709355</v>
      </c>
      <c r="N162" s="140"/>
    </row>
    <row r="163" spans="1:15" s="17" customFormat="1" ht="21.75" customHeight="1" x14ac:dyDescent="0.25">
      <c r="A163" s="146">
        <v>161</v>
      </c>
      <c r="B163" s="235">
        <v>1781</v>
      </c>
      <c r="C163" s="296" t="s">
        <v>444</v>
      </c>
      <c r="D163" s="295">
        <v>291</v>
      </c>
      <c r="E163" s="149">
        <v>0.4</v>
      </c>
      <c r="F163" s="186">
        <f t="shared" si="4"/>
        <v>116.4</v>
      </c>
      <c r="G163" s="186"/>
      <c r="H163" s="186">
        <f t="shared" si="5"/>
        <v>116.4</v>
      </c>
      <c r="I163" s="136">
        <v>7287174</v>
      </c>
      <c r="J163" s="311" t="s">
        <v>445</v>
      </c>
      <c r="K163" s="136" t="s">
        <v>52</v>
      </c>
      <c r="L163" s="136" t="s">
        <v>53</v>
      </c>
      <c r="M163" s="136">
        <v>99673747</v>
      </c>
      <c r="N163" s="140"/>
    </row>
    <row r="164" spans="1:15" s="17" customFormat="1" ht="21.75" customHeight="1" x14ac:dyDescent="0.25">
      <c r="A164" s="146">
        <v>162</v>
      </c>
      <c r="B164" s="235">
        <v>1782</v>
      </c>
      <c r="C164" s="296" t="s">
        <v>446</v>
      </c>
      <c r="D164" s="295">
        <v>308.60000000000002</v>
      </c>
      <c r="E164" s="149">
        <v>0.4</v>
      </c>
      <c r="F164" s="186">
        <f t="shared" si="4"/>
        <v>123.44000000000001</v>
      </c>
      <c r="G164" s="186"/>
      <c r="H164" s="186">
        <f t="shared" si="5"/>
        <v>123.44000000000001</v>
      </c>
      <c r="I164" s="136">
        <v>19818711</v>
      </c>
      <c r="J164" s="311" t="s">
        <v>447</v>
      </c>
      <c r="K164" s="136" t="s">
        <v>31</v>
      </c>
      <c r="L164" s="136" t="s">
        <v>32</v>
      </c>
      <c r="M164" s="136">
        <v>92204006</v>
      </c>
      <c r="N164" s="140"/>
    </row>
    <row r="165" spans="1:15" s="17" customFormat="1" ht="21.75" customHeight="1" x14ac:dyDescent="0.25">
      <c r="A165" s="146">
        <v>163</v>
      </c>
      <c r="B165" s="235">
        <v>1783</v>
      </c>
      <c r="C165" s="296" t="s">
        <v>177</v>
      </c>
      <c r="D165" s="295">
        <v>288.2</v>
      </c>
      <c r="E165" s="149">
        <v>0.4</v>
      </c>
      <c r="F165" s="186">
        <f t="shared" si="4"/>
        <v>115.28</v>
      </c>
      <c r="G165" s="186"/>
      <c r="H165" s="186">
        <f t="shared" si="5"/>
        <v>115.28</v>
      </c>
      <c r="I165" s="136">
        <v>1500187</v>
      </c>
      <c r="J165" s="311" t="s">
        <v>178</v>
      </c>
      <c r="K165" s="136" t="s">
        <v>31</v>
      </c>
      <c r="L165" s="136" t="s">
        <v>32</v>
      </c>
      <c r="M165" s="136">
        <v>91159122</v>
      </c>
      <c r="N165" s="312"/>
    </row>
    <row r="166" spans="1:15" s="17" customFormat="1" ht="21.75" customHeight="1" x14ac:dyDescent="0.25">
      <c r="A166" s="146">
        <v>164</v>
      </c>
      <c r="B166" s="235">
        <v>1784</v>
      </c>
      <c r="C166" s="296" t="s">
        <v>448</v>
      </c>
      <c r="D166" s="295">
        <v>453.4</v>
      </c>
      <c r="E166" s="149">
        <v>0.4</v>
      </c>
      <c r="F166" s="186">
        <f t="shared" si="4"/>
        <v>181.36</v>
      </c>
      <c r="G166" s="186"/>
      <c r="H166" s="186">
        <f t="shared" si="5"/>
        <v>181.36</v>
      </c>
      <c r="I166" s="136">
        <v>19534652</v>
      </c>
      <c r="J166" s="313" t="s">
        <v>449</v>
      </c>
      <c r="K166" s="136" t="s">
        <v>52</v>
      </c>
      <c r="L166" s="136" t="s">
        <v>53</v>
      </c>
      <c r="M166" s="136">
        <v>99296177</v>
      </c>
      <c r="N166" s="140"/>
    </row>
    <row r="167" spans="1:15" s="17" customFormat="1" ht="21.75" customHeight="1" x14ac:dyDescent="0.25">
      <c r="A167" s="146">
        <v>165</v>
      </c>
      <c r="B167" s="235">
        <v>1785</v>
      </c>
      <c r="C167" s="296" t="s">
        <v>179</v>
      </c>
      <c r="D167" s="295">
        <v>328.3</v>
      </c>
      <c r="E167" s="149">
        <v>0.4</v>
      </c>
      <c r="F167" s="186">
        <f t="shared" si="4"/>
        <v>131.32000000000002</v>
      </c>
      <c r="G167" s="186"/>
      <c r="H167" s="186">
        <f t="shared" si="5"/>
        <v>131.32000000000002</v>
      </c>
      <c r="I167" s="136">
        <v>7374743</v>
      </c>
      <c r="J167" s="311" t="s">
        <v>180</v>
      </c>
      <c r="K167" s="136" t="s">
        <v>31</v>
      </c>
      <c r="L167" s="136" t="s">
        <v>32</v>
      </c>
      <c r="M167" s="136">
        <v>93875087</v>
      </c>
      <c r="N167" s="140"/>
    </row>
    <row r="168" spans="1:15" s="17" customFormat="1" ht="21.75" customHeight="1" x14ac:dyDescent="0.25">
      <c r="A168" s="146">
        <v>166</v>
      </c>
      <c r="B168" s="235">
        <v>1786</v>
      </c>
      <c r="C168" s="296" t="s">
        <v>181</v>
      </c>
      <c r="D168" s="295">
        <v>306.2</v>
      </c>
      <c r="E168" s="149">
        <v>0.4</v>
      </c>
      <c r="F168" s="186">
        <f t="shared" si="4"/>
        <v>122.48</v>
      </c>
      <c r="G168" s="186"/>
      <c r="H168" s="186">
        <f t="shared" si="5"/>
        <v>122.48</v>
      </c>
      <c r="I168" s="136">
        <v>5614637</v>
      </c>
      <c r="J168" s="311" t="s">
        <v>182</v>
      </c>
      <c r="K168" s="136" t="s">
        <v>31</v>
      </c>
      <c r="L168" s="136" t="s">
        <v>32</v>
      </c>
      <c r="M168" s="136">
        <v>92924645</v>
      </c>
      <c r="N168" s="312"/>
    </row>
    <row r="169" spans="1:15" s="17" customFormat="1" ht="21.75" customHeight="1" x14ac:dyDescent="0.25">
      <c r="A169" s="146">
        <v>167</v>
      </c>
      <c r="B169" s="235">
        <v>1787</v>
      </c>
      <c r="C169" s="296" t="s">
        <v>77</v>
      </c>
      <c r="D169" s="295">
        <v>345</v>
      </c>
      <c r="E169" s="149">
        <v>0.4</v>
      </c>
      <c r="F169" s="186">
        <f t="shared" si="4"/>
        <v>138</v>
      </c>
      <c r="G169" s="186"/>
      <c r="H169" s="186">
        <f t="shared" si="5"/>
        <v>138</v>
      </c>
      <c r="I169" s="136">
        <v>22980157</v>
      </c>
      <c r="J169" s="311" t="s">
        <v>78</v>
      </c>
      <c r="K169" s="136" t="s">
        <v>31</v>
      </c>
      <c r="L169" s="136" t="s">
        <v>32</v>
      </c>
      <c r="M169" s="136">
        <v>91490491</v>
      </c>
      <c r="N169" s="140"/>
    </row>
    <row r="170" spans="1:15" s="17" customFormat="1" ht="21.75" customHeight="1" x14ac:dyDescent="0.25">
      <c r="A170" s="146">
        <v>168</v>
      </c>
      <c r="B170" s="235">
        <v>1788</v>
      </c>
      <c r="C170" s="296" t="s">
        <v>450</v>
      </c>
      <c r="D170" s="295">
        <v>345</v>
      </c>
      <c r="E170" s="149">
        <v>0.4</v>
      </c>
      <c r="F170" s="186">
        <f t="shared" si="4"/>
        <v>138</v>
      </c>
      <c r="G170" s="186"/>
      <c r="H170" s="186">
        <f t="shared" si="5"/>
        <v>138</v>
      </c>
      <c r="I170" s="136">
        <v>25632707</v>
      </c>
      <c r="J170" s="311" t="s">
        <v>451</v>
      </c>
      <c r="K170" s="136" t="s">
        <v>31</v>
      </c>
      <c r="L170" s="136" t="s">
        <v>32</v>
      </c>
      <c r="M170" s="136"/>
      <c r="N170" s="140"/>
    </row>
    <row r="171" spans="1:15" s="17" customFormat="1" ht="21.75" customHeight="1" x14ac:dyDescent="0.25">
      <c r="A171" s="146">
        <v>169</v>
      </c>
      <c r="B171" s="235">
        <v>1789</v>
      </c>
      <c r="C171" s="296" t="s">
        <v>452</v>
      </c>
      <c r="D171" s="295">
        <v>367.3</v>
      </c>
      <c r="E171" s="149">
        <v>0.4</v>
      </c>
      <c r="F171" s="186">
        <f t="shared" si="4"/>
        <v>146.92000000000002</v>
      </c>
      <c r="G171" s="186"/>
      <c r="H171" s="186">
        <f t="shared" si="5"/>
        <v>146.92000000000002</v>
      </c>
      <c r="I171" s="136">
        <v>6687053</v>
      </c>
      <c r="J171" s="311" t="s">
        <v>453</v>
      </c>
      <c r="K171" s="136" t="s">
        <v>31</v>
      </c>
      <c r="L171" s="136" t="s">
        <v>32</v>
      </c>
      <c r="M171" s="136"/>
      <c r="N171" s="140"/>
    </row>
    <row r="172" spans="1:15" s="17" customFormat="1" ht="21.75" customHeight="1" x14ac:dyDescent="0.25">
      <c r="A172" s="146">
        <v>170</v>
      </c>
      <c r="B172" s="235">
        <v>1790</v>
      </c>
      <c r="C172" s="296" t="s">
        <v>454</v>
      </c>
      <c r="D172" s="295">
        <v>269</v>
      </c>
      <c r="E172" s="149">
        <v>0.4</v>
      </c>
      <c r="F172" s="186">
        <f t="shared" si="4"/>
        <v>107.60000000000001</v>
      </c>
      <c r="G172" s="186"/>
      <c r="H172" s="186">
        <f t="shared" si="5"/>
        <v>107.60000000000001</v>
      </c>
      <c r="I172" s="136">
        <v>22971771</v>
      </c>
      <c r="J172" s="311" t="s">
        <v>455</v>
      </c>
      <c r="K172" s="136" t="s">
        <v>31</v>
      </c>
      <c r="L172" s="136" t="s">
        <v>32</v>
      </c>
      <c r="M172" s="136">
        <v>90976223</v>
      </c>
      <c r="N172" s="140"/>
    </row>
    <row r="173" spans="1:15" s="17" customFormat="1" ht="21.75" customHeight="1" x14ac:dyDescent="0.25">
      <c r="A173" s="146">
        <v>171</v>
      </c>
      <c r="B173" s="235">
        <v>1791</v>
      </c>
      <c r="C173" s="296" t="s">
        <v>80</v>
      </c>
      <c r="D173" s="295">
        <v>345.7</v>
      </c>
      <c r="E173" s="149">
        <v>0.4</v>
      </c>
      <c r="F173" s="186">
        <f t="shared" si="4"/>
        <v>138.28</v>
      </c>
      <c r="G173" s="186"/>
      <c r="H173" s="186">
        <f t="shared" si="5"/>
        <v>138.28</v>
      </c>
      <c r="I173" s="136">
        <v>5335073</v>
      </c>
      <c r="J173" s="311" t="s">
        <v>81</v>
      </c>
      <c r="K173" s="136" t="s">
        <v>31</v>
      </c>
      <c r="L173" s="136" t="s">
        <v>32</v>
      </c>
      <c r="M173" s="136">
        <v>99806280</v>
      </c>
      <c r="N173" s="140"/>
    </row>
    <row r="174" spans="1:15" s="17" customFormat="1" ht="21.75" customHeight="1" x14ac:dyDescent="0.25">
      <c r="A174" s="146">
        <v>172</v>
      </c>
      <c r="B174" s="235">
        <v>1793</v>
      </c>
      <c r="C174" s="296" t="s">
        <v>456</v>
      </c>
      <c r="D174" s="295">
        <v>896.5</v>
      </c>
      <c r="E174" s="149">
        <v>0.4</v>
      </c>
      <c r="F174" s="186">
        <f t="shared" si="4"/>
        <v>358.6</v>
      </c>
      <c r="G174" s="186"/>
      <c r="H174" s="186">
        <f t="shared" si="5"/>
        <v>358.6</v>
      </c>
      <c r="I174" s="136">
        <v>1629686</v>
      </c>
      <c r="J174" s="311" t="s">
        <v>457</v>
      </c>
      <c r="K174" s="136" t="s">
        <v>31</v>
      </c>
      <c r="L174" s="136" t="s">
        <v>32</v>
      </c>
      <c r="M174" s="136"/>
      <c r="N174" s="140"/>
    </row>
    <row r="175" spans="1:15" s="17" customFormat="1" ht="21.75" customHeight="1" x14ac:dyDescent="0.25">
      <c r="A175" s="146">
        <v>173</v>
      </c>
      <c r="B175" s="235">
        <v>1794</v>
      </c>
      <c r="C175" s="296" t="s">
        <v>82</v>
      </c>
      <c r="D175" s="295">
        <v>346</v>
      </c>
      <c r="E175" s="149">
        <v>0.4</v>
      </c>
      <c r="F175" s="186">
        <f t="shared" si="4"/>
        <v>138.4</v>
      </c>
      <c r="G175" s="186"/>
      <c r="H175" s="186">
        <f t="shared" si="5"/>
        <v>138.4</v>
      </c>
      <c r="I175" s="136">
        <v>6122928</v>
      </c>
      <c r="J175" s="311" t="s">
        <v>83</v>
      </c>
      <c r="K175" s="136" t="s">
        <v>31</v>
      </c>
      <c r="L175" s="136" t="s">
        <v>32</v>
      </c>
      <c r="M175" s="136"/>
      <c r="N175" s="140"/>
    </row>
    <row r="176" spans="1:15" s="17" customFormat="1" ht="21.75" customHeight="1" x14ac:dyDescent="0.25">
      <c r="A176" s="141">
        <v>174</v>
      </c>
      <c r="B176" s="142">
        <v>1795</v>
      </c>
      <c r="C176" s="143" t="s">
        <v>458</v>
      </c>
      <c r="D176" s="185">
        <v>550</v>
      </c>
      <c r="E176" s="182">
        <v>0.4</v>
      </c>
      <c r="F176" s="182">
        <f t="shared" si="4"/>
        <v>220</v>
      </c>
      <c r="G176" s="182">
        <f>F176</f>
        <v>220</v>
      </c>
      <c r="H176" s="182">
        <f t="shared" si="5"/>
        <v>0</v>
      </c>
      <c r="I176" s="144">
        <v>6496299</v>
      </c>
      <c r="J176" s="159" t="s">
        <v>459</v>
      </c>
      <c r="K176" s="144" t="s">
        <v>121</v>
      </c>
      <c r="L176" s="144" t="s">
        <v>122</v>
      </c>
      <c r="M176" s="144"/>
      <c r="N176" s="201" t="s">
        <v>606</v>
      </c>
      <c r="O176" s="17" t="s">
        <v>611</v>
      </c>
    </row>
    <row r="177" spans="1:24" s="54" customFormat="1" ht="21.75" customHeight="1" x14ac:dyDescent="0.25">
      <c r="A177" s="141">
        <v>175</v>
      </c>
      <c r="B177" s="142">
        <v>1796</v>
      </c>
      <c r="C177" s="143" t="s">
        <v>460</v>
      </c>
      <c r="D177" s="185">
        <v>364</v>
      </c>
      <c r="E177" s="182">
        <v>0.4</v>
      </c>
      <c r="F177" s="182">
        <f t="shared" si="4"/>
        <v>145.6</v>
      </c>
      <c r="G177" s="182">
        <f>145.4</f>
        <v>145.4</v>
      </c>
      <c r="H177" s="182">
        <f t="shared" si="5"/>
        <v>0.19999999999998863</v>
      </c>
      <c r="I177" s="144">
        <v>7140382</v>
      </c>
      <c r="J177" s="214" t="s">
        <v>461</v>
      </c>
      <c r="K177" s="144" t="s">
        <v>31</v>
      </c>
      <c r="L177" s="144" t="s">
        <v>32</v>
      </c>
      <c r="M177" s="144"/>
      <c r="N177" s="201" t="s">
        <v>618</v>
      </c>
    </row>
    <row r="178" spans="1:24" s="17" customFormat="1" ht="21.75" customHeight="1" x14ac:dyDescent="0.25">
      <c r="A178" s="146">
        <v>176</v>
      </c>
      <c r="B178" s="235">
        <v>1797</v>
      </c>
      <c r="C178" s="296" t="s">
        <v>463</v>
      </c>
      <c r="D178" s="295">
        <v>345</v>
      </c>
      <c r="E178" s="149">
        <v>0.4</v>
      </c>
      <c r="F178" s="186">
        <f t="shared" si="4"/>
        <v>138</v>
      </c>
      <c r="G178" s="186"/>
      <c r="H178" s="186">
        <f t="shared" si="5"/>
        <v>138</v>
      </c>
      <c r="I178" s="136">
        <v>3677869</v>
      </c>
      <c r="J178" s="311" t="s">
        <v>464</v>
      </c>
      <c r="K178" s="136" t="s">
        <v>31</v>
      </c>
      <c r="L178" s="136" t="s">
        <v>32</v>
      </c>
      <c r="M178" s="136">
        <v>72522066</v>
      </c>
      <c r="N178" s="140"/>
    </row>
    <row r="179" spans="1:24" s="17" customFormat="1" ht="21.75" customHeight="1" x14ac:dyDescent="0.25">
      <c r="A179" s="146">
        <v>177</v>
      </c>
      <c r="B179" s="235">
        <v>1798</v>
      </c>
      <c r="C179" s="296" t="s">
        <v>84</v>
      </c>
      <c r="D179" s="295">
        <v>349.3</v>
      </c>
      <c r="E179" s="149">
        <v>0.4</v>
      </c>
      <c r="F179" s="186">
        <f t="shared" si="4"/>
        <v>139.72</v>
      </c>
      <c r="G179" s="186"/>
      <c r="H179" s="186">
        <f t="shared" si="5"/>
        <v>139.72</v>
      </c>
      <c r="I179" s="136">
        <v>5314229</v>
      </c>
      <c r="J179" s="314" t="s">
        <v>85</v>
      </c>
      <c r="K179" s="136" t="s">
        <v>52</v>
      </c>
      <c r="L179" s="136" t="s">
        <v>53</v>
      </c>
      <c r="M179" s="136"/>
      <c r="N179" s="140"/>
    </row>
    <row r="180" spans="1:24" s="17" customFormat="1" ht="21.75" customHeight="1" x14ac:dyDescent="0.25">
      <c r="A180" s="146">
        <v>178</v>
      </c>
      <c r="B180" s="235">
        <v>1799</v>
      </c>
      <c r="C180" s="296" t="s">
        <v>183</v>
      </c>
      <c r="D180" s="295">
        <v>302.7</v>
      </c>
      <c r="E180" s="149">
        <v>0.4</v>
      </c>
      <c r="F180" s="186">
        <f t="shared" si="4"/>
        <v>121.08</v>
      </c>
      <c r="G180" s="186"/>
      <c r="H180" s="186">
        <f t="shared" si="5"/>
        <v>121.08</v>
      </c>
      <c r="I180" s="136">
        <v>5219843</v>
      </c>
      <c r="J180" s="311" t="s">
        <v>184</v>
      </c>
      <c r="K180" s="136" t="s">
        <v>31</v>
      </c>
      <c r="L180" s="136" t="s">
        <v>32</v>
      </c>
      <c r="M180" s="136"/>
      <c r="N180" s="140"/>
    </row>
    <row r="181" spans="1:24" s="17" customFormat="1" ht="21.75" customHeight="1" x14ac:dyDescent="0.25">
      <c r="A181" s="146">
        <v>179</v>
      </c>
      <c r="B181" s="235">
        <v>1800</v>
      </c>
      <c r="C181" s="296" t="s">
        <v>185</v>
      </c>
      <c r="D181" s="295">
        <v>344.2</v>
      </c>
      <c r="E181" s="149">
        <v>0.4</v>
      </c>
      <c r="F181" s="186">
        <f t="shared" si="4"/>
        <v>137.68</v>
      </c>
      <c r="G181" s="186"/>
      <c r="H181" s="186">
        <f t="shared" si="5"/>
        <v>137.68</v>
      </c>
      <c r="I181" s="136">
        <v>7293505</v>
      </c>
      <c r="J181" s="315" t="s">
        <v>186</v>
      </c>
      <c r="K181" s="136" t="s">
        <v>31</v>
      </c>
      <c r="L181" s="136" t="s">
        <v>32</v>
      </c>
      <c r="M181" s="136">
        <v>99189910</v>
      </c>
      <c r="N181" s="312"/>
    </row>
    <row r="182" spans="1:24" s="325" customFormat="1" ht="21.75" customHeight="1" x14ac:dyDescent="0.25">
      <c r="A182" s="154">
        <v>180</v>
      </c>
      <c r="B182" s="230">
        <v>1801</v>
      </c>
      <c r="C182" s="152" t="s">
        <v>187</v>
      </c>
      <c r="D182" s="231">
        <v>363.9</v>
      </c>
      <c r="E182" s="232">
        <v>0.4</v>
      </c>
      <c r="F182" s="232">
        <f t="shared" si="4"/>
        <v>145.56</v>
      </c>
      <c r="G182" s="232">
        <f>F182</f>
        <v>145.56</v>
      </c>
      <c r="H182" s="232">
        <f t="shared" si="5"/>
        <v>0</v>
      </c>
      <c r="I182" s="153">
        <v>655141</v>
      </c>
      <c r="J182" s="233" t="s">
        <v>188</v>
      </c>
      <c r="K182" s="153" t="s">
        <v>155</v>
      </c>
      <c r="L182" s="153" t="s">
        <v>156</v>
      </c>
      <c r="M182" s="153"/>
      <c r="N182" s="327" t="s">
        <v>616</v>
      </c>
    </row>
    <row r="183" spans="1:24" s="54" customFormat="1" ht="21.75" customHeight="1" x14ac:dyDescent="0.25">
      <c r="A183" s="141">
        <v>181</v>
      </c>
      <c r="B183" s="142">
        <v>1802</v>
      </c>
      <c r="C183" s="143" t="s">
        <v>465</v>
      </c>
      <c r="D183" s="185">
        <v>321.3</v>
      </c>
      <c r="E183" s="182">
        <v>0.4</v>
      </c>
      <c r="F183" s="182">
        <f t="shared" si="4"/>
        <v>128.52000000000001</v>
      </c>
      <c r="G183" s="182">
        <f>127.39</f>
        <v>127.39</v>
      </c>
      <c r="H183" s="182">
        <f t="shared" si="5"/>
        <v>1.1300000000000097</v>
      </c>
      <c r="I183" s="144">
        <v>14760225</v>
      </c>
      <c r="J183" s="214" t="s">
        <v>466</v>
      </c>
      <c r="K183" s="144" t="s">
        <v>31</v>
      </c>
      <c r="L183" s="144" t="s">
        <v>32</v>
      </c>
      <c r="M183" s="144"/>
      <c r="N183" s="201" t="s">
        <v>606</v>
      </c>
    </row>
    <row r="184" spans="1:24" s="17" customFormat="1" ht="21.75" customHeight="1" x14ac:dyDescent="0.25">
      <c r="A184" s="146">
        <v>182</v>
      </c>
      <c r="B184" s="235">
        <v>1803</v>
      </c>
      <c r="C184" s="296" t="s">
        <v>467</v>
      </c>
      <c r="D184" s="295">
        <v>581.20000000000005</v>
      </c>
      <c r="E184" s="149">
        <v>0.4</v>
      </c>
      <c r="F184" s="186">
        <f t="shared" si="4"/>
        <v>232.48000000000002</v>
      </c>
      <c r="G184" s="186"/>
      <c r="H184" s="186">
        <f t="shared" si="5"/>
        <v>232.48000000000002</v>
      </c>
      <c r="I184" s="136">
        <v>5502798</v>
      </c>
      <c r="J184" s="314" t="s">
        <v>468</v>
      </c>
      <c r="K184" s="136" t="s">
        <v>52</v>
      </c>
      <c r="L184" s="136" t="s">
        <v>53</v>
      </c>
      <c r="M184" s="136"/>
      <c r="N184" s="312"/>
    </row>
    <row r="185" spans="1:24" s="17" customFormat="1" ht="21.75" customHeight="1" x14ac:dyDescent="0.25">
      <c r="A185" s="146">
        <v>183</v>
      </c>
      <c r="B185" s="235">
        <v>1804</v>
      </c>
      <c r="C185" s="296" t="s">
        <v>469</v>
      </c>
      <c r="D185" s="295">
        <v>282.5</v>
      </c>
      <c r="E185" s="149">
        <v>0.4</v>
      </c>
      <c r="F185" s="186">
        <f t="shared" si="4"/>
        <v>113</v>
      </c>
      <c r="G185" s="186"/>
      <c r="H185" s="186">
        <f t="shared" si="5"/>
        <v>113</v>
      </c>
      <c r="I185" s="136">
        <v>19623766</v>
      </c>
      <c r="J185" s="314" t="s">
        <v>470</v>
      </c>
      <c r="K185" s="136" t="s">
        <v>52</v>
      </c>
      <c r="L185" s="136" t="s">
        <v>53</v>
      </c>
      <c r="M185" s="136"/>
      <c r="N185" s="140"/>
    </row>
    <row r="186" spans="1:24" s="17" customFormat="1" ht="21.75" customHeight="1" x14ac:dyDescent="0.25">
      <c r="A186" s="146">
        <v>184</v>
      </c>
      <c r="B186" s="235">
        <v>1805</v>
      </c>
      <c r="C186" s="296" t="s">
        <v>471</v>
      </c>
      <c r="D186" s="295">
        <v>505</v>
      </c>
      <c r="E186" s="149">
        <v>0.4</v>
      </c>
      <c r="F186" s="186">
        <f t="shared" si="4"/>
        <v>202</v>
      </c>
      <c r="G186" s="186"/>
      <c r="H186" s="186">
        <f t="shared" si="5"/>
        <v>202</v>
      </c>
      <c r="I186" s="136">
        <v>1648586</v>
      </c>
      <c r="J186" s="314" t="s">
        <v>472</v>
      </c>
      <c r="K186" s="136" t="s">
        <v>31</v>
      </c>
      <c r="L186" s="136" t="s">
        <v>32</v>
      </c>
      <c r="M186" s="136">
        <v>96030388</v>
      </c>
      <c r="N186" s="140"/>
    </row>
    <row r="187" spans="1:24" s="17" customFormat="1" ht="21.75" customHeight="1" x14ac:dyDescent="0.25">
      <c r="A187" s="146">
        <v>185</v>
      </c>
      <c r="B187" s="235">
        <v>1808</v>
      </c>
      <c r="C187" s="296" t="s">
        <v>86</v>
      </c>
      <c r="D187" s="295">
        <v>344</v>
      </c>
      <c r="E187" s="149">
        <v>0.4</v>
      </c>
      <c r="F187" s="186">
        <f t="shared" si="4"/>
        <v>137.6</v>
      </c>
      <c r="G187" s="186"/>
      <c r="H187" s="186">
        <f t="shared" si="5"/>
        <v>137.6</v>
      </c>
      <c r="I187" s="136">
        <v>611136</v>
      </c>
      <c r="J187" s="313" t="s">
        <v>87</v>
      </c>
      <c r="K187" s="136" t="s">
        <v>26</v>
      </c>
      <c r="L187" s="136" t="s">
        <v>27</v>
      </c>
      <c r="M187" s="136"/>
      <c r="N187" s="140"/>
    </row>
    <row r="188" spans="1:24" s="17" customFormat="1" ht="21.75" customHeight="1" x14ac:dyDescent="0.25">
      <c r="A188" s="146">
        <v>186</v>
      </c>
      <c r="B188" s="235">
        <v>1809</v>
      </c>
      <c r="C188" s="296" t="s">
        <v>474</v>
      </c>
      <c r="D188" s="295">
        <v>345</v>
      </c>
      <c r="E188" s="149">
        <v>0.4</v>
      </c>
      <c r="F188" s="186">
        <f t="shared" si="4"/>
        <v>138</v>
      </c>
      <c r="G188" s="186"/>
      <c r="H188" s="186">
        <f t="shared" si="5"/>
        <v>138</v>
      </c>
      <c r="I188" s="136">
        <v>14957086</v>
      </c>
      <c r="J188" s="314" t="s">
        <v>475</v>
      </c>
      <c r="K188" s="136" t="s">
        <v>31</v>
      </c>
      <c r="L188" s="136" t="s">
        <v>32</v>
      </c>
      <c r="M188" s="136"/>
      <c r="N188" s="140"/>
    </row>
    <row r="189" spans="1:24" s="54" customFormat="1" ht="21.75" customHeight="1" x14ac:dyDescent="0.25">
      <c r="A189" s="141">
        <v>187</v>
      </c>
      <c r="B189" s="142">
        <v>1811</v>
      </c>
      <c r="C189" s="143" t="s">
        <v>476</v>
      </c>
      <c r="D189" s="185">
        <v>446.9</v>
      </c>
      <c r="E189" s="182">
        <v>0.4</v>
      </c>
      <c r="F189" s="182">
        <f t="shared" si="4"/>
        <v>178.76</v>
      </c>
      <c r="G189" s="182">
        <f>178.15</f>
        <v>178.15</v>
      </c>
      <c r="H189" s="182">
        <f t="shared" si="5"/>
        <v>0.60999999999998522</v>
      </c>
      <c r="I189" s="144">
        <v>6384618</v>
      </c>
      <c r="J189" s="214" t="s">
        <v>477</v>
      </c>
      <c r="K189" s="144" t="s">
        <v>31</v>
      </c>
      <c r="L189" s="144" t="s">
        <v>32</v>
      </c>
      <c r="M189" s="144"/>
      <c r="N189" s="201" t="s">
        <v>606</v>
      </c>
    </row>
    <row r="190" spans="1:24" s="54" customFormat="1" ht="21.75" customHeight="1" x14ac:dyDescent="0.25">
      <c r="A190" s="141">
        <v>188</v>
      </c>
      <c r="B190" s="142">
        <v>1812</v>
      </c>
      <c r="C190" s="143" t="s">
        <v>478</v>
      </c>
      <c r="D190" s="185">
        <v>345</v>
      </c>
      <c r="E190" s="182">
        <v>0.4</v>
      </c>
      <c r="F190" s="182">
        <f t="shared" si="4"/>
        <v>138</v>
      </c>
      <c r="G190" s="182">
        <f>137.63</f>
        <v>137.63</v>
      </c>
      <c r="H190" s="182">
        <f t="shared" si="5"/>
        <v>0.37000000000000455</v>
      </c>
      <c r="I190" s="144">
        <v>4748659</v>
      </c>
      <c r="J190" s="214" t="s">
        <v>479</v>
      </c>
      <c r="K190" s="144" t="s">
        <v>52</v>
      </c>
      <c r="L190" s="144" t="s">
        <v>53</v>
      </c>
      <c r="M190" s="144">
        <v>98170004</v>
      </c>
      <c r="N190" s="318" t="s">
        <v>618</v>
      </c>
    </row>
    <row r="191" spans="1:24" s="17" customFormat="1" ht="21.75" customHeight="1" x14ac:dyDescent="0.25">
      <c r="A191" s="543">
        <v>189</v>
      </c>
      <c r="B191" s="235">
        <v>1813</v>
      </c>
      <c r="C191" s="296" t="s">
        <v>602</v>
      </c>
      <c r="D191" s="295">
        <v>338.9</v>
      </c>
      <c r="E191" s="149">
        <v>0.4</v>
      </c>
      <c r="F191" s="186">
        <f t="shared" si="4"/>
        <v>135.56</v>
      </c>
      <c r="G191" s="186"/>
      <c r="H191" s="186">
        <f t="shared" si="5"/>
        <v>135.56</v>
      </c>
      <c r="I191" s="136">
        <v>20230381</v>
      </c>
      <c r="J191" s="315" t="s">
        <v>603</v>
      </c>
      <c r="K191" s="136" t="s">
        <v>52</v>
      </c>
      <c r="L191" s="136" t="s">
        <v>53</v>
      </c>
      <c r="M191" s="136"/>
      <c r="N191" s="140"/>
    </row>
    <row r="192" spans="1:24" s="54" customFormat="1" ht="21.75" customHeight="1" x14ac:dyDescent="0.25">
      <c r="A192" s="146">
        <v>190</v>
      </c>
      <c r="B192" s="235">
        <v>1816</v>
      </c>
      <c r="C192" s="296" t="s">
        <v>191</v>
      </c>
      <c r="D192" s="295">
        <v>352</v>
      </c>
      <c r="E192" s="149">
        <v>0.4</v>
      </c>
      <c r="F192" s="186">
        <f t="shared" si="4"/>
        <v>140.80000000000001</v>
      </c>
      <c r="G192" s="186"/>
      <c r="H192" s="186">
        <f t="shared" si="5"/>
        <v>140.80000000000001</v>
      </c>
      <c r="I192" s="136">
        <v>15694259</v>
      </c>
      <c r="J192" s="315" t="s">
        <v>192</v>
      </c>
      <c r="K192" s="136" t="s">
        <v>31</v>
      </c>
      <c r="L192" s="136" t="s">
        <v>32</v>
      </c>
      <c r="M192" s="136"/>
      <c r="N192" s="312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15" s="17" customFormat="1" ht="21.75" customHeight="1" x14ac:dyDescent="0.25">
      <c r="A193" s="146">
        <v>191</v>
      </c>
      <c r="B193" s="235">
        <v>1817</v>
      </c>
      <c r="C193" s="296" t="s">
        <v>483</v>
      </c>
      <c r="D193" s="295">
        <v>960</v>
      </c>
      <c r="E193" s="149">
        <v>0.4</v>
      </c>
      <c r="F193" s="186">
        <f t="shared" si="4"/>
        <v>384</v>
      </c>
      <c r="G193" s="186"/>
      <c r="H193" s="186">
        <f t="shared" si="5"/>
        <v>384</v>
      </c>
      <c r="I193" s="136">
        <v>6492948</v>
      </c>
      <c r="J193" s="315" t="s">
        <v>484</v>
      </c>
      <c r="K193" s="136" t="s">
        <v>31</v>
      </c>
      <c r="L193" s="136" t="s">
        <v>32</v>
      </c>
      <c r="M193" s="136"/>
      <c r="N193" s="140"/>
    </row>
    <row r="194" spans="1:15" s="17" customFormat="1" ht="21.75" customHeight="1" x14ac:dyDescent="0.25">
      <c r="A194" s="146">
        <v>192</v>
      </c>
      <c r="B194" s="235">
        <v>1818</v>
      </c>
      <c r="C194" s="296" t="s">
        <v>485</v>
      </c>
      <c r="D194" s="295">
        <v>324.39999999999998</v>
      </c>
      <c r="E194" s="149">
        <v>0.4</v>
      </c>
      <c r="F194" s="186">
        <f t="shared" si="4"/>
        <v>129.76</v>
      </c>
      <c r="G194" s="186"/>
      <c r="H194" s="186">
        <f t="shared" si="5"/>
        <v>129.76</v>
      </c>
      <c r="I194" s="136">
        <v>15677827</v>
      </c>
      <c r="J194" s="315" t="s">
        <v>486</v>
      </c>
      <c r="K194" s="136" t="s">
        <v>31</v>
      </c>
      <c r="L194" s="136" t="s">
        <v>32</v>
      </c>
      <c r="M194" s="136"/>
      <c r="N194" s="140"/>
    </row>
    <row r="195" spans="1:15" s="17" customFormat="1" ht="21.75" customHeight="1" x14ac:dyDescent="0.25">
      <c r="A195" s="146">
        <v>193</v>
      </c>
      <c r="B195" s="235">
        <v>1819</v>
      </c>
      <c r="C195" s="296" t="s">
        <v>487</v>
      </c>
      <c r="D195" s="295">
        <v>368</v>
      </c>
      <c r="E195" s="149">
        <v>0.4</v>
      </c>
      <c r="F195" s="186">
        <f t="shared" si="4"/>
        <v>147.20000000000002</v>
      </c>
      <c r="G195" s="186"/>
      <c r="H195" s="186">
        <f t="shared" si="5"/>
        <v>147.20000000000002</v>
      </c>
      <c r="I195" s="136">
        <v>851375</v>
      </c>
      <c r="J195" s="315" t="s">
        <v>488</v>
      </c>
      <c r="K195" s="136" t="s">
        <v>52</v>
      </c>
      <c r="L195" s="136" t="s">
        <v>53</v>
      </c>
      <c r="M195" s="136">
        <v>92819432</v>
      </c>
      <c r="N195" s="312"/>
    </row>
    <row r="196" spans="1:15" s="17" customFormat="1" ht="21.75" customHeight="1" x14ac:dyDescent="0.25">
      <c r="A196" s="146">
        <v>194</v>
      </c>
      <c r="B196" s="235">
        <v>1820</v>
      </c>
      <c r="C196" s="296" t="s">
        <v>489</v>
      </c>
      <c r="D196" s="295">
        <v>319.5</v>
      </c>
      <c r="E196" s="149">
        <v>0.4</v>
      </c>
      <c r="F196" s="186">
        <f t="shared" ref="F196:F223" si="6">D196*E196</f>
        <v>127.80000000000001</v>
      </c>
      <c r="G196" s="186"/>
      <c r="H196" s="186">
        <f t="shared" ref="H196:H223" si="7">F196-G196</f>
        <v>127.80000000000001</v>
      </c>
      <c r="I196" s="136">
        <v>7124544</v>
      </c>
      <c r="J196" s="311" t="s">
        <v>583</v>
      </c>
      <c r="K196" s="136" t="s">
        <v>52</v>
      </c>
      <c r="L196" s="136" t="s">
        <v>53</v>
      </c>
      <c r="M196" s="136"/>
      <c r="N196" s="140"/>
    </row>
    <row r="197" spans="1:15" s="17" customFormat="1" ht="21.75" customHeight="1" x14ac:dyDescent="0.25">
      <c r="A197" s="146">
        <v>195</v>
      </c>
      <c r="B197" s="235">
        <v>1821</v>
      </c>
      <c r="C197" s="136" t="s">
        <v>491</v>
      </c>
      <c r="D197" s="295">
        <v>629.20000000000005</v>
      </c>
      <c r="E197" s="149">
        <v>0.4</v>
      </c>
      <c r="F197" s="186">
        <f t="shared" si="6"/>
        <v>251.68000000000004</v>
      </c>
      <c r="G197" s="186"/>
      <c r="H197" s="186">
        <f t="shared" si="7"/>
        <v>251.68000000000004</v>
      </c>
      <c r="I197" s="136">
        <v>2454202</v>
      </c>
      <c r="J197" s="311" t="s">
        <v>492</v>
      </c>
      <c r="K197" s="136" t="s">
        <v>155</v>
      </c>
      <c r="L197" s="136" t="s">
        <v>156</v>
      </c>
      <c r="M197" s="136"/>
      <c r="N197" s="140"/>
    </row>
    <row r="198" spans="1:15" s="17" customFormat="1" ht="21.75" customHeight="1" x14ac:dyDescent="0.25">
      <c r="A198" s="146">
        <v>196</v>
      </c>
      <c r="B198" s="235">
        <v>1822</v>
      </c>
      <c r="C198" s="136" t="s">
        <v>193</v>
      </c>
      <c r="D198" s="295">
        <v>328.8</v>
      </c>
      <c r="E198" s="149">
        <v>0.4</v>
      </c>
      <c r="F198" s="186">
        <f t="shared" si="6"/>
        <v>131.52000000000001</v>
      </c>
      <c r="G198" s="186"/>
      <c r="H198" s="186">
        <f t="shared" si="7"/>
        <v>131.52000000000001</v>
      </c>
      <c r="I198" s="136">
        <v>22005737</v>
      </c>
      <c r="J198" s="311" t="s">
        <v>152</v>
      </c>
      <c r="K198" s="136" t="s">
        <v>31</v>
      </c>
      <c r="L198" s="136" t="s">
        <v>32</v>
      </c>
      <c r="M198" s="136"/>
      <c r="N198" s="140"/>
    </row>
    <row r="199" spans="1:15" s="17" customFormat="1" ht="21.75" customHeight="1" x14ac:dyDescent="0.25">
      <c r="A199" s="146">
        <v>197</v>
      </c>
      <c r="B199" s="235">
        <v>1823</v>
      </c>
      <c r="C199" s="136" t="s">
        <v>493</v>
      </c>
      <c r="D199" s="295">
        <v>332.5</v>
      </c>
      <c r="E199" s="149">
        <v>0.4</v>
      </c>
      <c r="F199" s="186">
        <f t="shared" si="6"/>
        <v>133</v>
      </c>
      <c r="G199" s="186"/>
      <c r="H199" s="186">
        <f t="shared" si="7"/>
        <v>133</v>
      </c>
      <c r="I199" s="136">
        <v>25722393</v>
      </c>
      <c r="J199" s="311" t="s">
        <v>494</v>
      </c>
      <c r="K199" s="136" t="s">
        <v>31</v>
      </c>
      <c r="L199" s="136" t="s">
        <v>32</v>
      </c>
      <c r="M199" s="136"/>
      <c r="N199" s="140"/>
    </row>
    <row r="200" spans="1:15" s="54" customFormat="1" ht="21.75" customHeight="1" x14ac:dyDescent="0.25">
      <c r="A200" s="141">
        <v>198</v>
      </c>
      <c r="B200" s="142">
        <v>1824</v>
      </c>
      <c r="C200" s="144" t="s">
        <v>195</v>
      </c>
      <c r="D200" s="185">
        <v>283.3</v>
      </c>
      <c r="E200" s="182">
        <v>0.4</v>
      </c>
      <c r="F200" s="182">
        <f t="shared" si="6"/>
        <v>113.32000000000001</v>
      </c>
      <c r="G200" s="182">
        <f>109.88</f>
        <v>109.88</v>
      </c>
      <c r="H200" s="182">
        <f t="shared" si="7"/>
        <v>3.4400000000000119</v>
      </c>
      <c r="I200" s="144">
        <v>766709</v>
      </c>
      <c r="J200" s="159" t="s">
        <v>196</v>
      </c>
      <c r="K200" s="144" t="s">
        <v>71</v>
      </c>
      <c r="L200" s="144" t="s">
        <v>72</v>
      </c>
      <c r="M200" s="144"/>
      <c r="N200" s="201" t="s">
        <v>618</v>
      </c>
    </row>
    <row r="201" spans="1:15" s="54" customFormat="1" ht="21.75" customHeight="1" x14ac:dyDescent="0.25">
      <c r="A201" s="141">
        <v>199</v>
      </c>
      <c r="B201" s="142">
        <v>1825</v>
      </c>
      <c r="C201" s="144" t="s">
        <v>495</v>
      </c>
      <c r="D201" s="185">
        <v>338</v>
      </c>
      <c r="E201" s="182">
        <v>0.4</v>
      </c>
      <c r="F201" s="182">
        <f t="shared" si="6"/>
        <v>135.20000000000002</v>
      </c>
      <c r="G201" s="182">
        <f>F201</f>
        <v>135.20000000000002</v>
      </c>
      <c r="H201" s="182">
        <f t="shared" si="7"/>
        <v>0</v>
      </c>
      <c r="I201" s="144">
        <v>7293524</v>
      </c>
      <c r="J201" s="214" t="s">
        <v>496</v>
      </c>
      <c r="K201" s="144" t="s">
        <v>31</v>
      </c>
      <c r="L201" s="144" t="s">
        <v>32</v>
      </c>
      <c r="M201" s="144"/>
      <c r="N201" s="201" t="s">
        <v>618</v>
      </c>
      <c r="O201" s="54" t="s">
        <v>620</v>
      </c>
    </row>
    <row r="202" spans="1:15" s="54" customFormat="1" ht="21.75" customHeight="1" x14ac:dyDescent="0.25">
      <c r="A202" s="141">
        <v>200</v>
      </c>
      <c r="B202" s="142">
        <v>1826</v>
      </c>
      <c r="C202" s="326" t="s">
        <v>88</v>
      </c>
      <c r="D202" s="185">
        <v>332.7</v>
      </c>
      <c r="E202" s="182">
        <v>0.4</v>
      </c>
      <c r="F202" s="182">
        <f t="shared" si="6"/>
        <v>133.08000000000001</v>
      </c>
      <c r="G202" s="182">
        <f>131.66</f>
        <v>131.66</v>
      </c>
      <c r="H202" s="182">
        <f t="shared" si="7"/>
        <v>1.4200000000000159</v>
      </c>
      <c r="I202" s="183">
        <v>381215</v>
      </c>
      <c r="J202" s="423" t="s">
        <v>89</v>
      </c>
      <c r="K202" s="183" t="s">
        <v>90</v>
      </c>
      <c r="L202" s="424" t="s">
        <v>32</v>
      </c>
      <c r="M202" s="425">
        <v>95110746</v>
      </c>
      <c r="N202" s="201" t="s">
        <v>618</v>
      </c>
    </row>
    <row r="203" spans="1:15" s="17" customFormat="1" ht="21.75" customHeight="1" x14ac:dyDescent="0.25">
      <c r="A203" s="146">
        <v>201</v>
      </c>
      <c r="B203" s="235">
        <v>1827</v>
      </c>
      <c r="C203" s="136" t="s">
        <v>497</v>
      </c>
      <c r="D203" s="295">
        <v>345</v>
      </c>
      <c r="E203" s="149">
        <v>0.4</v>
      </c>
      <c r="F203" s="186">
        <f t="shared" si="6"/>
        <v>138</v>
      </c>
      <c r="G203" s="186"/>
      <c r="H203" s="186">
        <f t="shared" si="7"/>
        <v>138</v>
      </c>
      <c r="I203" s="136">
        <v>24218909</v>
      </c>
      <c r="J203" s="311" t="s">
        <v>584</v>
      </c>
      <c r="K203" s="296" t="s">
        <v>90</v>
      </c>
      <c r="L203" s="311" t="s">
        <v>32</v>
      </c>
      <c r="M203" s="136"/>
      <c r="N203" s="312"/>
    </row>
    <row r="204" spans="1:15" s="17" customFormat="1" ht="21.75" customHeight="1" x14ac:dyDescent="0.25">
      <c r="A204" s="146">
        <v>202</v>
      </c>
      <c r="B204" s="235">
        <v>1830</v>
      </c>
      <c r="C204" s="136" t="s">
        <v>499</v>
      </c>
      <c r="D204" s="295">
        <v>702.2</v>
      </c>
      <c r="E204" s="149">
        <v>0.4</v>
      </c>
      <c r="F204" s="186">
        <f t="shared" si="6"/>
        <v>280.88000000000005</v>
      </c>
      <c r="G204" s="186"/>
      <c r="H204" s="186">
        <f t="shared" si="7"/>
        <v>280.88000000000005</v>
      </c>
      <c r="I204" s="136">
        <v>22697535</v>
      </c>
      <c r="J204" s="311" t="s">
        <v>500</v>
      </c>
      <c r="K204" s="296" t="s">
        <v>90</v>
      </c>
      <c r="L204" s="311" t="s">
        <v>32</v>
      </c>
      <c r="M204" s="136"/>
      <c r="N204" s="140"/>
    </row>
    <row r="205" spans="1:15" s="17" customFormat="1" ht="21.75" customHeight="1" x14ac:dyDescent="0.25">
      <c r="A205" s="146">
        <v>203</v>
      </c>
      <c r="B205" s="235">
        <v>3074</v>
      </c>
      <c r="C205" s="296" t="s">
        <v>501</v>
      </c>
      <c r="D205" s="295">
        <v>202.9</v>
      </c>
      <c r="E205" s="149">
        <v>0.4</v>
      </c>
      <c r="F205" s="186">
        <f t="shared" si="6"/>
        <v>81.160000000000011</v>
      </c>
      <c r="G205" s="186"/>
      <c r="H205" s="186">
        <f t="shared" si="7"/>
        <v>81.160000000000011</v>
      </c>
      <c r="I205" s="148">
        <v>6327112</v>
      </c>
      <c r="J205" s="311" t="s">
        <v>502</v>
      </c>
      <c r="K205" s="296" t="s">
        <v>90</v>
      </c>
      <c r="L205" s="311" t="s">
        <v>32</v>
      </c>
      <c r="M205" s="148">
        <v>92544491</v>
      </c>
      <c r="N205" s="312"/>
    </row>
    <row r="206" spans="1:15" s="17" customFormat="1" ht="21.75" customHeight="1" x14ac:dyDescent="0.25">
      <c r="A206" s="146">
        <v>204</v>
      </c>
      <c r="B206" s="235">
        <v>3075</v>
      </c>
      <c r="C206" s="136" t="s">
        <v>503</v>
      </c>
      <c r="D206" s="295">
        <v>564.29999999999995</v>
      </c>
      <c r="E206" s="149">
        <v>0.4</v>
      </c>
      <c r="F206" s="186">
        <f t="shared" si="6"/>
        <v>225.72</v>
      </c>
      <c r="G206" s="186"/>
      <c r="H206" s="186">
        <f t="shared" si="7"/>
        <v>225.72</v>
      </c>
      <c r="I206" s="148">
        <v>6207551</v>
      </c>
      <c r="J206" s="315" t="s">
        <v>504</v>
      </c>
      <c r="K206" s="136" t="s">
        <v>31</v>
      </c>
      <c r="L206" s="136" t="s">
        <v>32</v>
      </c>
      <c r="M206" s="296">
        <v>92011889</v>
      </c>
      <c r="N206" s="140"/>
    </row>
    <row r="207" spans="1:15" s="54" customFormat="1" ht="21.75" customHeight="1" x14ac:dyDescent="0.25">
      <c r="A207" s="141">
        <v>205</v>
      </c>
      <c r="B207" s="142">
        <v>3250</v>
      </c>
      <c r="C207" s="144" t="s">
        <v>198</v>
      </c>
      <c r="D207" s="185">
        <v>659.3</v>
      </c>
      <c r="E207" s="182">
        <v>0.4</v>
      </c>
      <c r="F207" s="182">
        <f t="shared" si="6"/>
        <v>263.71999999999997</v>
      </c>
      <c r="G207" s="182">
        <f>260.81</f>
        <v>260.81</v>
      </c>
      <c r="H207" s="182">
        <f t="shared" si="7"/>
        <v>2.9099999999999682</v>
      </c>
      <c r="I207" s="155">
        <v>1357047</v>
      </c>
      <c r="J207" s="197" t="s">
        <v>199</v>
      </c>
      <c r="K207" s="144" t="s">
        <v>26</v>
      </c>
      <c r="L207" s="144" t="s">
        <v>27</v>
      </c>
      <c r="M207" s="144">
        <v>91177550</v>
      </c>
      <c r="N207" s="318" t="s">
        <v>606</v>
      </c>
    </row>
    <row r="208" spans="1:15" s="17" customFormat="1" ht="21.75" customHeight="1" x14ac:dyDescent="0.25">
      <c r="A208" s="146">
        <v>206</v>
      </c>
      <c r="B208" s="235">
        <v>3317</v>
      </c>
      <c r="C208" s="136" t="s">
        <v>505</v>
      </c>
      <c r="D208" s="295">
        <v>460</v>
      </c>
      <c r="E208" s="149">
        <v>0.4</v>
      </c>
      <c r="F208" s="186">
        <f t="shared" si="6"/>
        <v>184</v>
      </c>
      <c r="G208" s="186"/>
      <c r="H208" s="186">
        <f t="shared" si="7"/>
        <v>184</v>
      </c>
      <c r="I208" s="139">
        <v>2366794</v>
      </c>
      <c r="J208" s="314" t="s">
        <v>506</v>
      </c>
      <c r="K208" s="136" t="s">
        <v>52</v>
      </c>
      <c r="L208" s="136" t="s">
        <v>53</v>
      </c>
      <c r="M208" s="136">
        <v>95138883</v>
      </c>
      <c r="N208" s="140"/>
    </row>
    <row r="209" spans="1:15" s="17" customFormat="1" ht="21.75" customHeight="1" x14ac:dyDescent="0.25">
      <c r="A209" s="146">
        <v>207</v>
      </c>
      <c r="B209" s="235">
        <v>3323</v>
      </c>
      <c r="C209" s="136" t="s">
        <v>507</v>
      </c>
      <c r="D209" s="295">
        <v>621</v>
      </c>
      <c r="E209" s="149">
        <v>0.4</v>
      </c>
      <c r="F209" s="186">
        <f t="shared" si="6"/>
        <v>248.4</v>
      </c>
      <c r="G209" s="186"/>
      <c r="H209" s="186">
        <f t="shared" si="7"/>
        <v>248.4</v>
      </c>
      <c r="I209" s="139">
        <v>683613</v>
      </c>
      <c r="J209" s="313" t="s">
        <v>508</v>
      </c>
      <c r="K209" s="136" t="s">
        <v>31</v>
      </c>
      <c r="L209" s="136" t="s">
        <v>32</v>
      </c>
      <c r="M209" s="136">
        <v>92280327</v>
      </c>
      <c r="N209" s="140"/>
    </row>
    <row r="210" spans="1:15" s="17" customFormat="1" ht="21.75" customHeight="1" x14ac:dyDescent="0.25">
      <c r="A210" s="146">
        <v>208</v>
      </c>
      <c r="B210" s="235">
        <v>3327</v>
      </c>
      <c r="C210" s="136" t="s">
        <v>509</v>
      </c>
      <c r="D210" s="295">
        <v>592.29999999999995</v>
      </c>
      <c r="E210" s="149">
        <v>0.4</v>
      </c>
      <c r="F210" s="186">
        <f t="shared" si="6"/>
        <v>236.92</v>
      </c>
      <c r="G210" s="186"/>
      <c r="H210" s="186">
        <f t="shared" si="7"/>
        <v>236.92</v>
      </c>
      <c r="I210" s="136">
        <v>4919647</v>
      </c>
      <c r="J210" s="311" t="s">
        <v>510</v>
      </c>
      <c r="K210" s="136" t="s">
        <v>52</v>
      </c>
      <c r="L210" s="136" t="s">
        <v>53</v>
      </c>
      <c r="M210" s="136">
        <v>99895505</v>
      </c>
      <c r="N210" s="139"/>
    </row>
    <row r="211" spans="1:15" s="17" customFormat="1" ht="21.75" customHeight="1" x14ac:dyDescent="0.25">
      <c r="A211" s="146">
        <v>209</v>
      </c>
      <c r="B211" s="235">
        <v>3345</v>
      </c>
      <c r="C211" s="136" t="s">
        <v>511</v>
      </c>
      <c r="D211" s="295">
        <v>344.5</v>
      </c>
      <c r="E211" s="149">
        <v>0.4</v>
      </c>
      <c r="F211" s="186">
        <f t="shared" si="6"/>
        <v>137.80000000000001</v>
      </c>
      <c r="G211" s="186"/>
      <c r="H211" s="186">
        <f t="shared" si="7"/>
        <v>137.80000000000001</v>
      </c>
      <c r="I211" s="136">
        <v>6572395</v>
      </c>
      <c r="J211" s="311" t="s">
        <v>512</v>
      </c>
      <c r="K211" s="136" t="s">
        <v>31</v>
      </c>
      <c r="L211" s="136" t="s">
        <v>32</v>
      </c>
      <c r="M211" s="136">
        <v>99294765</v>
      </c>
      <c r="N211" s="139"/>
    </row>
    <row r="212" spans="1:15" s="17" customFormat="1" ht="21.75" customHeight="1" x14ac:dyDescent="0.25">
      <c r="A212" s="146">
        <v>210</v>
      </c>
      <c r="B212" s="235">
        <v>3701</v>
      </c>
      <c r="C212" s="296" t="s">
        <v>513</v>
      </c>
      <c r="D212" s="295">
        <v>344.7</v>
      </c>
      <c r="E212" s="149">
        <v>0.4</v>
      </c>
      <c r="F212" s="186">
        <f t="shared" si="6"/>
        <v>137.88</v>
      </c>
      <c r="G212" s="186"/>
      <c r="H212" s="186">
        <f t="shared" si="7"/>
        <v>137.88</v>
      </c>
      <c r="I212" s="136">
        <v>5146416</v>
      </c>
      <c r="J212" s="311" t="s">
        <v>514</v>
      </c>
      <c r="K212" s="136" t="s">
        <v>31</v>
      </c>
      <c r="L212" s="136" t="s">
        <v>32</v>
      </c>
      <c r="M212" s="136">
        <v>99898838</v>
      </c>
      <c r="N212" s="140"/>
    </row>
    <row r="213" spans="1:15" s="17" customFormat="1" ht="21.75" customHeight="1" x14ac:dyDescent="0.25">
      <c r="A213" s="146">
        <v>211</v>
      </c>
      <c r="B213" s="235">
        <v>3710</v>
      </c>
      <c r="C213" s="296" t="s">
        <v>515</v>
      </c>
      <c r="D213" s="295">
        <v>186.6</v>
      </c>
      <c r="E213" s="149">
        <v>0.4</v>
      </c>
      <c r="F213" s="186">
        <f t="shared" si="6"/>
        <v>74.64</v>
      </c>
      <c r="G213" s="186"/>
      <c r="H213" s="186">
        <f t="shared" si="7"/>
        <v>74.64</v>
      </c>
      <c r="I213" s="136">
        <v>22749678</v>
      </c>
      <c r="J213" s="544" t="s">
        <v>516</v>
      </c>
      <c r="K213" s="136" t="s">
        <v>31</v>
      </c>
      <c r="L213" s="136" t="s">
        <v>32</v>
      </c>
      <c r="M213" s="136"/>
      <c r="N213" s="312"/>
    </row>
    <row r="214" spans="1:15" s="17" customFormat="1" ht="21.75" customHeight="1" x14ac:dyDescent="0.25">
      <c r="A214" s="146">
        <v>212</v>
      </c>
      <c r="B214" s="235">
        <v>3715</v>
      </c>
      <c r="C214" s="296" t="s">
        <v>517</v>
      </c>
      <c r="D214" s="295">
        <v>176</v>
      </c>
      <c r="E214" s="149">
        <v>0.4</v>
      </c>
      <c r="F214" s="186">
        <f t="shared" si="6"/>
        <v>70.400000000000006</v>
      </c>
      <c r="G214" s="186"/>
      <c r="H214" s="186">
        <f t="shared" si="7"/>
        <v>70.400000000000006</v>
      </c>
      <c r="I214" s="136">
        <v>6327183</v>
      </c>
      <c r="J214" s="311" t="s">
        <v>518</v>
      </c>
      <c r="K214" s="136" t="s">
        <v>31</v>
      </c>
      <c r="L214" s="136" t="s">
        <v>32</v>
      </c>
      <c r="M214" s="136"/>
      <c r="N214" s="312"/>
    </row>
    <row r="215" spans="1:15" s="17" customFormat="1" ht="21.75" customHeight="1" x14ac:dyDescent="0.25">
      <c r="A215" s="146">
        <v>213</v>
      </c>
      <c r="B215" s="235">
        <v>3721</v>
      </c>
      <c r="C215" s="296" t="s">
        <v>519</v>
      </c>
      <c r="D215" s="295">
        <v>261.2</v>
      </c>
      <c r="E215" s="149">
        <v>0.4</v>
      </c>
      <c r="F215" s="186">
        <f t="shared" si="6"/>
        <v>104.48</v>
      </c>
      <c r="G215" s="186"/>
      <c r="H215" s="186">
        <f t="shared" si="7"/>
        <v>104.48</v>
      </c>
      <c r="I215" s="136">
        <v>5332235</v>
      </c>
      <c r="J215" s="146" t="s">
        <v>520</v>
      </c>
      <c r="K215" s="296" t="s">
        <v>90</v>
      </c>
      <c r="L215" s="146" t="s">
        <v>32</v>
      </c>
      <c r="M215" s="136"/>
      <c r="N215" s="140"/>
    </row>
    <row r="216" spans="1:15" s="17" customFormat="1" ht="21.75" customHeight="1" x14ac:dyDescent="0.25">
      <c r="A216" s="146">
        <v>214</v>
      </c>
      <c r="B216" s="235">
        <v>3738</v>
      </c>
      <c r="C216" s="136" t="s">
        <v>521</v>
      </c>
      <c r="D216" s="295">
        <v>367</v>
      </c>
      <c r="E216" s="149">
        <v>0.4</v>
      </c>
      <c r="F216" s="186">
        <f t="shared" si="6"/>
        <v>146.80000000000001</v>
      </c>
      <c r="G216" s="186"/>
      <c r="H216" s="186">
        <f t="shared" si="7"/>
        <v>146.80000000000001</v>
      </c>
      <c r="I216" s="136">
        <v>730741</v>
      </c>
      <c r="J216" s="311" t="s">
        <v>522</v>
      </c>
      <c r="K216" s="136" t="s">
        <v>31</v>
      </c>
      <c r="L216" s="136" t="s">
        <v>32</v>
      </c>
      <c r="M216" s="136">
        <v>99710505</v>
      </c>
      <c r="N216" s="140"/>
    </row>
    <row r="217" spans="1:15" s="17" customFormat="1" ht="21.75" customHeight="1" x14ac:dyDescent="0.25">
      <c r="A217" s="146">
        <v>215</v>
      </c>
      <c r="B217" s="235">
        <v>3763</v>
      </c>
      <c r="C217" s="136" t="s">
        <v>92</v>
      </c>
      <c r="D217" s="295">
        <v>307.2</v>
      </c>
      <c r="E217" s="149">
        <v>0.4</v>
      </c>
      <c r="F217" s="186">
        <f t="shared" si="6"/>
        <v>122.88</v>
      </c>
      <c r="G217" s="186"/>
      <c r="H217" s="186">
        <f t="shared" si="7"/>
        <v>122.88</v>
      </c>
      <c r="I217" s="136">
        <v>19189247</v>
      </c>
      <c r="J217" s="311" t="s">
        <v>93</v>
      </c>
      <c r="K217" s="136" t="s">
        <v>31</v>
      </c>
      <c r="L217" s="136" t="s">
        <v>32</v>
      </c>
      <c r="M217" s="136">
        <v>99846685</v>
      </c>
      <c r="N217" s="140"/>
    </row>
    <row r="218" spans="1:15" s="17" customFormat="1" ht="21.75" customHeight="1" x14ac:dyDescent="0.25">
      <c r="A218" s="146">
        <v>216</v>
      </c>
      <c r="B218" s="235">
        <v>3788</v>
      </c>
      <c r="C218" s="136" t="s">
        <v>523</v>
      </c>
      <c r="D218" s="295">
        <v>345</v>
      </c>
      <c r="E218" s="149">
        <v>0.4</v>
      </c>
      <c r="F218" s="186">
        <f t="shared" si="6"/>
        <v>138</v>
      </c>
      <c r="G218" s="186"/>
      <c r="H218" s="186">
        <f t="shared" si="7"/>
        <v>138</v>
      </c>
      <c r="I218" s="136">
        <v>5146627</v>
      </c>
      <c r="J218" s="311" t="s">
        <v>524</v>
      </c>
      <c r="K218" s="136" t="s">
        <v>31</v>
      </c>
      <c r="L218" s="136" t="s">
        <v>32</v>
      </c>
      <c r="M218" s="136"/>
      <c r="N218" s="140"/>
    </row>
    <row r="219" spans="1:15" s="17" customFormat="1" ht="21.75" customHeight="1" x14ac:dyDescent="0.25">
      <c r="A219" s="146">
        <v>217</v>
      </c>
      <c r="B219" s="235">
        <v>3806</v>
      </c>
      <c r="C219" s="136" t="s">
        <v>525</v>
      </c>
      <c r="D219" s="295">
        <v>234.3</v>
      </c>
      <c r="E219" s="149">
        <v>0.4</v>
      </c>
      <c r="F219" s="186">
        <f t="shared" si="6"/>
        <v>93.720000000000013</v>
      </c>
      <c r="G219" s="186"/>
      <c r="H219" s="186">
        <f t="shared" si="7"/>
        <v>93.720000000000013</v>
      </c>
      <c r="I219" s="136">
        <v>14457167</v>
      </c>
      <c r="J219" s="313">
        <v>3158759994700</v>
      </c>
      <c r="K219" s="136" t="s">
        <v>71</v>
      </c>
      <c r="L219" s="136" t="s">
        <v>72</v>
      </c>
      <c r="M219" s="136">
        <v>91794400</v>
      </c>
      <c r="N219" s="140"/>
    </row>
    <row r="220" spans="1:15" s="17" customFormat="1" ht="21.75" customHeight="1" x14ac:dyDescent="0.25">
      <c r="A220" s="146">
        <v>218</v>
      </c>
      <c r="B220" s="235">
        <v>3825</v>
      </c>
      <c r="C220" s="136" t="s">
        <v>526</v>
      </c>
      <c r="D220" s="295">
        <v>186.1</v>
      </c>
      <c r="E220" s="149">
        <v>0.4</v>
      </c>
      <c r="F220" s="186">
        <f t="shared" si="6"/>
        <v>74.44</v>
      </c>
      <c r="G220" s="186"/>
      <c r="H220" s="186">
        <f t="shared" si="7"/>
        <v>74.44</v>
      </c>
      <c r="I220" s="136">
        <v>6327337</v>
      </c>
      <c r="J220" s="544" t="s">
        <v>527</v>
      </c>
      <c r="K220" s="136" t="s">
        <v>31</v>
      </c>
      <c r="L220" s="136" t="s">
        <v>32</v>
      </c>
      <c r="M220" s="136"/>
      <c r="N220" s="312"/>
    </row>
    <row r="221" spans="1:15" s="17" customFormat="1" ht="21.75" customHeight="1" x14ac:dyDescent="0.25">
      <c r="A221" s="146">
        <v>219</v>
      </c>
      <c r="B221" s="235">
        <v>3826</v>
      </c>
      <c r="C221" s="136" t="s">
        <v>200</v>
      </c>
      <c r="D221" s="295">
        <v>355</v>
      </c>
      <c r="E221" s="149">
        <v>0.4</v>
      </c>
      <c r="F221" s="186">
        <f t="shared" si="6"/>
        <v>142</v>
      </c>
      <c r="G221" s="186"/>
      <c r="H221" s="186">
        <f t="shared" si="7"/>
        <v>142</v>
      </c>
      <c r="I221" s="136">
        <v>4919671</v>
      </c>
      <c r="J221" s="311" t="s">
        <v>201</v>
      </c>
      <c r="K221" s="136" t="s">
        <v>31</v>
      </c>
      <c r="L221" s="136" t="s">
        <v>32</v>
      </c>
      <c r="M221" s="136">
        <v>92516644</v>
      </c>
      <c r="N221" s="312" t="s">
        <v>15</v>
      </c>
      <c r="O221" s="17" t="s">
        <v>15</v>
      </c>
    </row>
    <row r="222" spans="1:15" s="54" customFormat="1" ht="21.75" customHeight="1" x14ac:dyDescent="0.25">
      <c r="A222" s="141">
        <v>220</v>
      </c>
      <c r="B222" s="142">
        <v>3881</v>
      </c>
      <c r="C222" s="201" t="s">
        <v>529</v>
      </c>
      <c r="D222" s="185">
        <v>312.39999999999998</v>
      </c>
      <c r="E222" s="182">
        <v>0.4</v>
      </c>
      <c r="F222" s="182">
        <f t="shared" si="6"/>
        <v>124.96</v>
      </c>
      <c r="G222" s="182">
        <f>124.96</f>
        <v>124.96</v>
      </c>
      <c r="H222" s="182">
        <f t="shared" si="7"/>
        <v>0</v>
      </c>
      <c r="I222" s="144">
        <v>5335138</v>
      </c>
      <c r="J222" s="159" t="s">
        <v>530</v>
      </c>
      <c r="K222" s="144" t="s">
        <v>31</v>
      </c>
      <c r="L222" s="144" t="s">
        <v>32</v>
      </c>
      <c r="M222" s="144">
        <v>92936035</v>
      </c>
      <c r="N222" s="201" t="s">
        <v>618</v>
      </c>
      <c r="O222" s="54" t="s">
        <v>623</v>
      </c>
    </row>
    <row r="223" spans="1:15" s="17" customFormat="1" ht="21.75" customHeight="1" x14ac:dyDescent="0.25">
      <c r="A223" s="146">
        <v>221</v>
      </c>
      <c r="B223" s="235">
        <v>3883</v>
      </c>
      <c r="C223" s="136" t="s">
        <v>531</v>
      </c>
      <c r="D223" s="295">
        <v>254.5</v>
      </c>
      <c r="E223" s="149">
        <v>0.4</v>
      </c>
      <c r="F223" s="186">
        <f t="shared" si="6"/>
        <v>101.80000000000001</v>
      </c>
      <c r="G223" s="186"/>
      <c r="H223" s="186">
        <f t="shared" si="7"/>
        <v>101.80000000000001</v>
      </c>
      <c r="I223" s="136">
        <v>18636502</v>
      </c>
      <c r="J223" s="311" t="s">
        <v>532</v>
      </c>
      <c r="K223" s="136" t="s">
        <v>90</v>
      </c>
      <c r="L223" s="136" t="s">
        <v>32</v>
      </c>
      <c r="M223" s="136" t="s">
        <v>32</v>
      </c>
      <c r="N223" s="140"/>
    </row>
    <row r="224" spans="1:15" ht="13.5" x14ac:dyDescent="0.25">
      <c r="A224" s="146"/>
      <c r="B224" s="146"/>
      <c r="C224" s="140"/>
      <c r="D224" s="294">
        <f>SUM(D3:D223)</f>
        <v>103008.79999999996</v>
      </c>
      <c r="E224" s="149"/>
      <c r="F224" s="186">
        <f>SUM(F3:F223)</f>
        <v>41203.51999999999</v>
      </c>
      <c r="G224" s="186">
        <f t="shared" ref="G224:H224" si="8">SUM(G3:G223)</f>
        <v>10187.019999999995</v>
      </c>
      <c r="H224" s="186">
        <f t="shared" si="8"/>
        <v>31016.499999999993</v>
      </c>
      <c r="I224" s="140"/>
      <c r="J224" s="310"/>
      <c r="K224" s="140"/>
      <c r="L224" s="140"/>
      <c r="M224" s="140"/>
      <c r="N224" s="140"/>
      <c r="O224" s="17"/>
    </row>
    <row r="225" spans="1:15" x14ac:dyDescent="0.25">
      <c r="B225" s="6"/>
      <c r="C225" s="290"/>
      <c r="D225" s="5"/>
      <c r="E225" s="64"/>
      <c r="F225" s="7"/>
      <c r="G225" s="7"/>
      <c r="H225" s="7"/>
      <c r="I225" s="7"/>
      <c r="J225" s="7"/>
      <c r="L225" s="6"/>
      <c r="N225" s="5"/>
      <c r="O225" s="17"/>
    </row>
    <row r="226" spans="1:15" x14ac:dyDescent="0.25">
      <c r="B226" s="6"/>
      <c r="C226" s="290"/>
      <c r="D226" s="10"/>
      <c r="E226" s="10"/>
      <c r="F226" s="6"/>
      <c r="G226" s="6"/>
      <c r="H226" s="6"/>
      <c r="I226" s="107"/>
      <c r="J226" s="6"/>
      <c r="K226" s="7"/>
      <c r="L226" s="6"/>
      <c r="O226" s="17"/>
    </row>
    <row r="227" spans="1:15" x14ac:dyDescent="0.25">
      <c r="M227" s="9"/>
      <c r="N227" s="9"/>
    </row>
    <row r="228" spans="1:15" x14ac:dyDescent="0.25">
      <c r="D228" s="290" t="s">
        <v>15</v>
      </c>
      <c r="F228" s="78"/>
      <c r="G228" s="78"/>
      <c r="H228" s="78"/>
    </row>
    <row r="229" spans="1:15" x14ac:dyDescent="0.25">
      <c r="J229" s="78"/>
    </row>
    <row r="230" spans="1:15" ht="21" x14ac:dyDescent="0.35">
      <c r="A230" s="65"/>
      <c r="B230" s="66"/>
      <c r="C230" s="65"/>
      <c r="D230" s="293"/>
      <c r="E230" s="65"/>
      <c r="F230" s="4"/>
      <c r="G230" s="4"/>
      <c r="H230" s="4"/>
      <c r="I230" s="4"/>
      <c r="J230" s="4"/>
      <c r="K230" s="309"/>
      <c r="L230" s="68"/>
    </row>
    <row r="231" spans="1:15" ht="15.75" x14ac:dyDescent="0.25">
      <c r="A231" s="4"/>
      <c r="B231" s="4"/>
      <c r="C231" s="4"/>
      <c r="D231" s="292"/>
      <c r="E231" s="4"/>
      <c r="F231" s="4"/>
      <c r="G231" s="4"/>
      <c r="H231" s="4"/>
      <c r="I231" s="4"/>
      <c r="J231" s="4"/>
      <c r="K231" s="4"/>
      <c r="L231" s="68"/>
    </row>
    <row r="232" spans="1:15" ht="15.75" x14ac:dyDescent="0.25">
      <c r="A232" s="70"/>
      <c r="B232" s="70"/>
      <c r="C232" s="70"/>
      <c r="D232" s="291"/>
      <c r="E232" s="70"/>
      <c r="F232" s="70"/>
      <c r="G232" s="70"/>
      <c r="H232" s="70"/>
      <c r="I232" s="70"/>
      <c r="J232" s="308"/>
      <c r="K232" s="70"/>
      <c r="L232" s="72"/>
    </row>
    <row r="233" spans="1:15" ht="15.75" x14ac:dyDescent="0.25">
      <c r="A233" s="70"/>
      <c r="B233" s="70"/>
      <c r="C233" s="70"/>
      <c r="D233" s="291"/>
      <c r="E233" s="70"/>
      <c r="F233" s="70"/>
      <c r="G233" s="70"/>
      <c r="H233" s="70"/>
      <c r="I233" s="70"/>
      <c r="J233" s="70"/>
      <c r="K233" s="70"/>
      <c r="L233" s="72"/>
    </row>
    <row r="234" spans="1:15" ht="15.75" x14ac:dyDescent="0.25">
      <c r="A234" s="70"/>
      <c r="B234" s="70"/>
      <c r="C234" s="70"/>
      <c r="D234" s="291"/>
      <c r="E234" s="70"/>
      <c r="F234" s="70"/>
      <c r="G234" s="70"/>
      <c r="H234" s="70"/>
      <c r="I234" s="70"/>
      <c r="J234" s="70"/>
      <c r="K234" s="70"/>
      <c r="L234" s="72"/>
    </row>
  </sheetData>
  <mergeCells count="1">
    <mergeCell ref="A1:O1"/>
  </mergeCells>
  <conditionalFormatting sqref="B7">
    <cfRule type="duplicateValues" dxfId="65" priority="9"/>
  </conditionalFormatting>
  <conditionalFormatting sqref="B18:B19">
    <cfRule type="duplicateValues" dxfId="64" priority="11"/>
  </conditionalFormatting>
  <conditionalFormatting sqref="B33">
    <cfRule type="duplicateValues" dxfId="63" priority="1"/>
  </conditionalFormatting>
  <conditionalFormatting sqref="B34">
    <cfRule type="duplicateValues" dxfId="62" priority="8"/>
  </conditionalFormatting>
  <conditionalFormatting sqref="B39:B41">
    <cfRule type="duplicateValues" dxfId="61" priority="7"/>
  </conditionalFormatting>
  <conditionalFormatting sqref="B48">
    <cfRule type="duplicateValues" dxfId="60" priority="6"/>
  </conditionalFormatting>
  <conditionalFormatting sqref="B59:B61">
    <cfRule type="duplicateValues" dxfId="59" priority="5"/>
  </conditionalFormatting>
  <conditionalFormatting sqref="B63">
    <cfRule type="duplicateValues" dxfId="58" priority="4"/>
  </conditionalFormatting>
  <conditionalFormatting sqref="B78">
    <cfRule type="duplicateValues" dxfId="57" priority="3"/>
  </conditionalFormatting>
  <conditionalFormatting sqref="B79">
    <cfRule type="duplicateValues" dxfId="56" priority="2"/>
  </conditionalFormatting>
  <conditionalFormatting sqref="B206">
    <cfRule type="duplicateValues" dxfId="55" priority="10"/>
  </conditionalFormatting>
  <pageMargins left="0.7" right="0.7" top="0.75" bottom="0.75" header="0.3" footer="0.3"/>
  <pageSetup scale="5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5BF1-87BE-4C91-AC91-8AD19CC004AF}">
  <dimension ref="A1:W234"/>
  <sheetViews>
    <sheetView view="pageBreakPreview" zoomScale="98" zoomScaleNormal="100" zoomScaleSheetLayoutView="98" workbookViewId="0">
      <pane xSplit="2" ySplit="2" topLeftCell="C3" activePane="bottomRight" state="frozen"/>
      <selection pane="topRight" activeCell="D1" sqref="D1"/>
      <selection pane="bottomLeft" activeCell="A3" sqref="A3"/>
      <selection pane="bottomRight" sqref="A1:A1048576"/>
    </sheetView>
  </sheetViews>
  <sheetFormatPr defaultColWidth="9" defaultRowHeight="12" x14ac:dyDescent="0.25"/>
  <cols>
    <col min="1" max="1" width="36.85546875" style="5" bestFit="1" customWidth="1"/>
    <col min="2" max="2" width="40.28515625" style="6" customWidth="1"/>
    <col min="3" max="3" width="13.42578125" style="290" customWidth="1"/>
    <col min="4" max="4" width="12" style="5" customWidth="1"/>
    <col min="5" max="5" width="11.5703125" style="5" customWidth="1"/>
    <col min="6" max="6" width="11.5703125" style="5" bestFit="1" customWidth="1"/>
    <col min="7" max="7" width="16.5703125" style="5" customWidth="1"/>
    <col min="8" max="8" width="13.28515625" style="5" customWidth="1"/>
    <col min="9" max="9" width="15.42578125" style="5" hidden="1" customWidth="1"/>
    <col min="10" max="10" width="11.7109375" style="6" hidden="1" customWidth="1"/>
    <col min="11" max="11" width="15.85546875" style="7" hidden="1" customWidth="1"/>
    <col min="12" max="12" width="14.85546875" style="6" hidden="1" customWidth="1"/>
    <col min="13" max="13" width="17.42578125" style="6" customWidth="1"/>
    <col min="14" max="14" width="10.7109375" style="5" customWidth="1"/>
    <col min="15" max="15" width="9" style="5"/>
    <col min="16" max="16" width="40.28515625" style="5" bestFit="1" customWidth="1"/>
    <col min="17" max="17" width="9.7109375" style="5" customWidth="1"/>
    <col min="18" max="19" width="9" style="5"/>
    <col min="20" max="20" width="14.85546875" style="5" bestFit="1" customWidth="1"/>
    <col min="21" max="21" width="14.85546875" style="5" customWidth="1"/>
    <col min="22" max="22" width="13.140625" style="5" bestFit="1" customWidth="1"/>
    <col min="23" max="23" width="13.140625" style="5" customWidth="1"/>
    <col min="24" max="24" width="15.140625" style="5" bestFit="1" customWidth="1"/>
    <col min="25" max="16384" width="9" style="5"/>
  </cols>
  <sheetData>
    <row r="1" spans="1:23" ht="34.5" customHeight="1" x14ac:dyDescent="0.25">
      <c r="A1" s="643" t="s">
        <v>671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5"/>
    </row>
    <row r="2" spans="1:23" ht="30" customHeight="1" x14ac:dyDescent="0.25">
      <c r="A2" s="38" t="s">
        <v>2</v>
      </c>
      <c r="B2" s="39" t="s">
        <v>3</v>
      </c>
      <c r="C2" s="303" t="s">
        <v>4</v>
      </c>
      <c r="D2" s="38" t="s">
        <v>5</v>
      </c>
      <c r="E2" s="302" t="s">
        <v>564</v>
      </c>
      <c r="F2" s="302" t="s">
        <v>7</v>
      </c>
      <c r="G2" s="302" t="s">
        <v>19</v>
      </c>
      <c r="H2" s="39" t="s">
        <v>9</v>
      </c>
      <c r="I2" s="39" t="s">
        <v>20</v>
      </c>
      <c r="J2" s="39" t="s">
        <v>21</v>
      </c>
      <c r="K2" s="39" t="s">
        <v>22</v>
      </c>
      <c r="L2" s="39" t="s">
        <v>23</v>
      </c>
      <c r="M2" s="39" t="s">
        <v>10</v>
      </c>
    </row>
    <row r="3" spans="1:23" ht="21.75" customHeight="1" x14ac:dyDescent="0.25">
      <c r="A3" s="301">
        <v>1001</v>
      </c>
      <c r="B3" s="296" t="s">
        <v>95</v>
      </c>
      <c r="C3" s="617">
        <v>129.30000000000001</v>
      </c>
      <c r="D3" s="618">
        <v>0.4</v>
      </c>
      <c r="E3" s="617">
        <f>C3*D3</f>
        <v>51.720000000000006</v>
      </c>
      <c r="F3" s="617"/>
      <c r="G3" s="617">
        <f>E3-F3</f>
        <v>51.720000000000006</v>
      </c>
      <c r="H3" s="136">
        <v>2130934</v>
      </c>
      <c r="I3" s="311" t="s">
        <v>96</v>
      </c>
      <c r="J3" s="136" t="s">
        <v>31</v>
      </c>
      <c r="K3" s="136" t="s">
        <v>32</v>
      </c>
      <c r="L3" s="136">
        <v>92911133</v>
      </c>
      <c r="M3" s="321"/>
    </row>
    <row r="4" spans="1:23" s="325" customFormat="1" ht="21.75" customHeight="1" x14ac:dyDescent="0.25">
      <c r="A4" s="616">
        <v>1007</v>
      </c>
      <c r="B4" s="152" t="s">
        <v>213</v>
      </c>
      <c r="C4" s="624">
        <v>1207</v>
      </c>
      <c r="D4" s="621">
        <v>0.4</v>
      </c>
      <c r="E4" s="621">
        <f t="shared" ref="E4:E67" si="0">C4*D4</f>
        <v>482.8</v>
      </c>
      <c r="F4" s="621">
        <f>1+481.8</f>
        <v>482.8</v>
      </c>
      <c r="G4" s="621">
        <f t="shared" ref="G4:G67" si="1">E4-F4</f>
        <v>0</v>
      </c>
      <c r="H4" s="233">
        <v>1515504</v>
      </c>
      <c r="I4" s="233" t="s">
        <v>214</v>
      </c>
      <c r="J4" s="153" t="s">
        <v>71</v>
      </c>
      <c r="K4" s="153" t="s">
        <v>72</v>
      </c>
      <c r="L4" s="607">
        <v>91748840</v>
      </c>
      <c r="M4" s="325" t="s">
        <v>682</v>
      </c>
      <c r="N4" s="598">
        <v>45912</v>
      </c>
    </row>
    <row r="5" spans="1:23" s="17" customFormat="1" ht="21.75" customHeight="1" x14ac:dyDescent="0.25">
      <c r="A5" s="301">
        <v>1028</v>
      </c>
      <c r="B5" s="296" t="s">
        <v>215</v>
      </c>
      <c r="C5" s="619">
        <v>229</v>
      </c>
      <c r="D5" s="618">
        <v>0.4</v>
      </c>
      <c r="E5" s="617">
        <f t="shared" si="0"/>
        <v>91.600000000000009</v>
      </c>
      <c r="F5" s="617">
        <f>E5</f>
        <v>91.600000000000009</v>
      </c>
      <c r="G5" s="617">
        <f t="shared" si="1"/>
        <v>0</v>
      </c>
      <c r="H5" s="136">
        <v>802875</v>
      </c>
      <c r="I5" s="311" t="s">
        <v>216</v>
      </c>
      <c r="J5" s="136" t="s">
        <v>31</v>
      </c>
      <c r="K5" s="136" t="s">
        <v>32</v>
      </c>
      <c r="L5" s="136">
        <v>99498677</v>
      </c>
      <c r="M5" s="598" t="s">
        <v>687</v>
      </c>
      <c r="O5" s="5"/>
      <c r="Q5" s="5"/>
      <c r="S5" s="5"/>
      <c r="U5" s="5"/>
      <c r="W5" s="5"/>
    </row>
    <row r="6" spans="1:23" s="325" customFormat="1" ht="21.75" customHeight="1" x14ac:dyDescent="0.25">
      <c r="A6" s="230">
        <v>1033</v>
      </c>
      <c r="B6" s="152" t="s">
        <v>217</v>
      </c>
      <c r="C6" s="620">
        <v>512</v>
      </c>
      <c r="D6" s="621">
        <v>0.4</v>
      </c>
      <c r="E6" s="621">
        <f t="shared" si="0"/>
        <v>204.8</v>
      </c>
      <c r="F6" s="621">
        <f>E6</f>
        <v>204.8</v>
      </c>
      <c r="G6" s="621">
        <f t="shared" si="1"/>
        <v>0</v>
      </c>
      <c r="H6" s="153">
        <v>10132435</v>
      </c>
      <c r="I6" s="233" t="s">
        <v>218</v>
      </c>
      <c r="J6" s="153" t="s">
        <v>52</v>
      </c>
      <c r="K6" s="153" t="s">
        <v>53</v>
      </c>
      <c r="L6" s="153">
        <v>92268168</v>
      </c>
      <c r="M6" s="598" t="s">
        <v>676</v>
      </c>
    </row>
    <row r="7" spans="1:23" ht="21.75" customHeight="1" x14ac:dyDescent="0.25">
      <c r="A7" s="235">
        <v>1040</v>
      </c>
      <c r="B7" s="296" t="s">
        <v>11</v>
      </c>
      <c r="C7" s="619">
        <v>224.3</v>
      </c>
      <c r="D7" s="618">
        <v>0.4</v>
      </c>
      <c r="E7" s="617">
        <f t="shared" si="0"/>
        <v>89.720000000000013</v>
      </c>
      <c r="F7" s="617"/>
      <c r="G7" s="617">
        <f t="shared" si="1"/>
        <v>89.720000000000013</v>
      </c>
      <c r="H7" s="136">
        <v>25082374</v>
      </c>
      <c r="I7" s="311" t="s">
        <v>220</v>
      </c>
      <c r="J7" s="136" t="s">
        <v>31</v>
      </c>
      <c r="K7" s="136" t="s">
        <v>32</v>
      </c>
      <c r="L7" s="136">
        <v>99816344</v>
      </c>
      <c r="M7" s="139"/>
    </row>
    <row r="8" spans="1:23" s="325" customFormat="1" ht="21.75" customHeight="1" x14ac:dyDescent="0.25">
      <c r="A8" s="230">
        <v>1044</v>
      </c>
      <c r="B8" s="152" t="s">
        <v>221</v>
      </c>
      <c r="C8" s="620">
        <v>256</v>
      </c>
      <c r="D8" s="621">
        <v>0.4</v>
      </c>
      <c r="E8" s="621">
        <f t="shared" si="0"/>
        <v>102.4</v>
      </c>
      <c r="F8" s="621">
        <f>99</f>
        <v>99</v>
      </c>
      <c r="G8" s="621">
        <f t="shared" si="1"/>
        <v>3.4000000000000057</v>
      </c>
      <c r="H8" s="153">
        <v>81904</v>
      </c>
      <c r="I8" s="233" t="s">
        <v>222</v>
      </c>
      <c r="J8" s="153" t="s">
        <v>31</v>
      </c>
      <c r="K8" s="153" t="s">
        <v>32</v>
      </c>
      <c r="L8" s="153">
        <v>99494120</v>
      </c>
      <c r="M8" s="325" t="s">
        <v>706</v>
      </c>
    </row>
    <row r="9" spans="1:23" s="325" customFormat="1" ht="21.75" customHeight="1" x14ac:dyDescent="0.25">
      <c r="A9" s="230">
        <v>1080</v>
      </c>
      <c r="B9" s="152" t="s">
        <v>223</v>
      </c>
      <c r="C9" s="620">
        <v>218.4</v>
      </c>
      <c r="D9" s="621">
        <v>0.4</v>
      </c>
      <c r="E9" s="621">
        <f t="shared" si="0"/>
        <v>87.360000000000014</v>
      </c>
      <c r="F9" s="621">
        <f>87.07+0.29</f>
        <v>87.36</v>
      </c>
      <c r="G9" s="621">
        <f t="shared" si="1"/>
        <v>0</v>
      </c>
      <c r="H9" s="153">
        <v>78762</v>
      </c>
      <c r="I9" s="233" t="s">
        <v>224</v>
      </c>
      <c r="J9" s="153" t="s">
        <v>31</v>
      </c>
      <c r="K9" s="153" t="s">
        <v>32</v>
      </c>
      <c r="L9" s="153">
        <v>92440088</v>
      </c>
      <c r="M9" s="598">
        <v>46002</v>
      </c>
      <c r="N9" s="598" t="s">
        <v>701</v>
      </c>
    </row>
    <row r="10" spans="1:23" s="325" customFormat="1" ht="21.75" customHeight="1" x14ac:dyDescent="0.25">
      <c r="A10" s="230">
        <v>1089</v>
      </c>
      <c r="B10" s="613" t="s">
        <v>225</v>
      </c>
      <c r="C10" s="620">
        <v>406</v>
      </c>
      <c r="D10" s="621">
        <v>0.4</v>
      </c>
      <c r="E10" s="621">
        <f t="shared" si="0"/>
        <v>162.4</v>
      </c>
      <c r="F10" s="621">
        <f>E10</f>
        <v>162.4</v>
      </c>
      <c r="G10" s="621">
        <f t="shared" si="1"/>
        <v>0</v>
      </c>
      <c r="H10" s="153">
        <v>892683</v>
      </c>
      <c r="I10" s="153" t="s">
        <v>226</v>
      </c>
      <c r="J10" s="153" t="s">
        <v>26</v>
      </c>
      <c r="K10" s="153" t="s">
        <v>27</v>
      </c>
      <c r="L10" s="153">
        <v>99506162</v>
      </c>
      <c r="M10" s="598" t="s">
        <v>676</v>
      </c>
    </row>
    <row r="11" spans="1:23" s="17" customFormat="1" ht="21.75" customHeight="1" x14ac:dyDescent="0.25">
      <c r="A11" s="235">
        <v>1096</v>
      </c>
      <c r="B11" s="296" t="s">
        <v>227</v>
      </c>
      <c r="C11" s="619">
        <v>224.9</v>
      </c>
      <c r="D11" s="618">
        <v>0.4</v>
      </c>
      <c r="E11" s="617">
        <f t="shared" si="0"/>
        <v>89.960000000000008</v>
      </c>
      <c r="F11" s="617"/>
      <c r="G11" s="617">
        <f t="shared" si="1"/>
        <v>89.960000000000008</v>
      </c>
      <c r="H11" s="136">
        <v>1959918</v>
      </c>
      <c r="I11" s="136" t="s">
        <v>228</v>
      </c>
      <c r="J11" s="136" t="s">
        <v>71</v>
      </c>
      <c r="K11" s="136" t="s">
        <v>72</v>
      </c>
      <c r="L11" s="136">
        <v>92699781</v>
      </c>
      <c r="M11" s="139"/>
      <c r="O11" s="5"/>
      <c r="Q11" s="5"/>
      <c r="S11" s="5"/>
      <c r="U11" s="5"/>
      <c r="W11" s="5"/>
    </row>
    <row r="12" spans="1:23" s="17" customFormat="1" ht="21.75" customHeight="1" x14ac:dyDescent="0.25">
      <c r="A12" s="235">
        <v>1106</v>
      </c>
      <c r="B12" s="296" t="s">
        <v>24</v>
      </c>
      <c r="C12" s="619">
        <v>748</v>
      </c>
      <c r="D12" s="618">
        <v>0.4</v>
      </c>
      <c r="E12" s="617">
        <f t="shared" si="0"/>
        <v>299.2</v>
      </c>
      <c r="F12" s="617"/>
      <c r="G12" s="617">
        <f t="shared" si="1"/>
        <v>299.2</v>
      </c>
      <c r="H12" s="136">
        <v>5502751</v>
      </c>
      <c r="I12" s="136" t="s">
        <v>25</v>
      </c>
      <c r="J12" s="136" t="s">
        <v>26</v>
      </c>
      <c r="K12" s="136" t="s">
        <v>27</v>
      </c>
      <c r="L12" s="136">
        <v>99270001</v>
      </c>
      <c r="M12" s="139"/>
      <c r="O12" s="5"/>
      <c r="Q12" s="5"/>
      <c r="S12" s="5"/>
      <c r="U12" s="5"/>
      <c r="W12" s="5"/>
    </row>
    <row r="13" spans="1:23" s="325" customFormat="1" ht="21.75" customHeight="1" x14ac:dyDescent="0.25">
      <c r="A13" s="230">
        <v>1110</v>
      </c>
      <c r="B13" s="152" t="s">
        <v>229</v>
      </c>
      <c r="C13" s="620">
        <v>390</v>
      </c>
      <c r="D13" s="621">
        <v>0.4</v>
      </c>
      <c r="E13" s="621">
        <f t="shared" si="0"/>
        <v>156</v>
      </c>
      <c r="F13" s="621">
        <f>155.1+0.9</f>
        <v>156</v>
      </c>
      <c r="G13" s="621">
        <f t="shared" si="1"/>
        <v>0</v>
      </c>
      <c r="H13" s="153">
        <v>934298</v>
      </c>
      <c r="I13" s="153" t="s">
        <v>230</v>
      </c>
      <c r="J13" s="153" t="s">
        <v>31</v>
      </c>
      <c r="K13" s="153" t="s">
        <v>32</v>
      </c>
      <c r="L13" s="153">
        <v>92811415</v>
      </c>
      <c r="M13" s="598">
        <v>45945</v>
      </c>
      <c r="N13" s="598">
        <v>45758</v>
      </c>
    </row>
    <row r="14" spans="1:23" ht="21.75" customHeight="1" x14ac:dyDescent="0.25">
      <c r="A14" s="235">
        <v>1111</v>
      </c>
      <c r="B14" s="296" t="s">
        <v>231</v>
      </c>
      <c r="C14" s="619">
        <v>391.7</v>
      </c>
      <c r="D14" s="618">
        <v>0.4</v>
      </c>
      <c r="E14" s="617">
        <f t="shared" si="0"/>
        <v>156.68</v>
      </c>
      <c r="F14" s="617">
        <f>E14</f>
        <v>156.68</v>
      </c>
      <c r="G14" s="617">
        <f t="shared" si="1"/>
        <v>0</v>
      </c>
      <c r="H14" s="136">
        <v>15571992</v>
      </c>
      <c r="I14" s="311" t="s">
        <v>232</v>
      </c>
      <c r="J14" s="136" t="s">
        <v>52</v>
      </c>
      <c r="K14" s="136" t="s">
        <v>53</v>
      </c>
      <c r="L14" s="136">
        <v>92708951</v>
      </c>
      <c r="M14" s="598" t="s">
        <v>687</v>
      </c>
    </row>
    <row r="15" spans="1:23" ht="21.75" customHeight="1" x14ac:dyDescent="0.25">
      <c r="A15" s="235">
        <v>1119</v>
      </c>
      <c r="B15" s="297" t="s">
        <v>233</v>
      </c>
      <c r="C15" s="619">
        <v>372</v>
      </c>
      <c r="D15" s="618">
        <v>0.4</v>
      </c>
      <c r="E15" s="617">
        <f t="shared" si="0"/>
        <v>148.80000000000001</v>
      </c>
      <c r="F15" s="617"/>
      <c r="G15" s="617">
        <f t="shared" si="1"/>
        <v>148.80000000000001</v>
      </c>
      <c r="H15" s="136">
        <v>24000245</v>
      </c>
      <c r="I15" s="136" t="s">
        <v>234</v>
      </c>
      <c r="J15" s="136" t="s">
        <v>31</v>
      </c>
      <c r="K15" s="136" t="s">
        <v>32</v>
      </c>
      <c r="L15" s="136">
        <v>90911369</v>
      </c>
      <c r="M15" s="324"/>
    </row>
    <row r="16" spans="1:23" s="325" customFormat="1" ht="21.75" customHeight="1" x14ac:dyDescent="0.25">
      <c r="A16" s="230">
        <v>1122</v>
      </c>
      <c r="B16" s="152" t="s">
        <v>98</v>
      </c>
      <c r="C16" s="620">
        <v>237.6</v>
      </c>
      <c r="D16" s="621">
        <v>0.4</v>
      </c>
      <c r="E16" s="621">
        <f t="shared" si="0"/>
        <v>95.04</v>
      </c>
      <c r="F16" s="621">
        <f>94.58+0.46</f>
        <v>95.039999999999992</v>
      </c>
      <c r="G16" s="621">
        <f t="shared" si="1"/>
        <v>0</v>
      </c>
      <c r="H16" s="153">
        <v>5219876</v>
      </c>
      <c r="I16" s="153" t="s">
        <v>99</v>
      </c>
      <c r="J16" s="153" t="s">
        <v>31</v>
      </c>
      <c r="K16" s="153" t="s">
        <v>32</v>
      </c>
      <c r="L16" s="153">
        <v>99066779</v>
      </c>
      <c r="M16" s="598" t="s">
        <v>677</v>
      </c>
      <c r="N16" s="598" t="s">
        <v>700</v>
      </c>
    </row>
    <row r="17" spans="1:23" s="325" customFormat="1" ht="21.75" customHeight="1" x14ac:dyDescent="0.25">
      <c r="A17" s="230">
        <v>1135</v>
      </c>
      <c r="B17" s="152" t="s">
        <v>101</v>
      </c>
      <c r="C17" s="620">
        <v>457.3</v>
      </c>
      <c r="D17" s="621">
        <v>0.4</v>
      </c>
      <c r="E17" s="621">
        <f t="shared" si="0"/>
        <v>182.92000000000002</v>
      </c>
      <c r="F17" s="621">
        <f>E17</f>
        <v>182.92000000000002</v>
      </c>
      <c r="G17" s="621">
        <f t="shared" si="1"/>
        <v>0</v>
      </c>
      <c r="H17" s="153">
        <v>19202954</v>
      </c>
      <c r="I17" s="233" t="s">
        <v>102</v>
      </c>
      <c r="J17" s="153" t="s">
        <v>52</v>
      </c>
      <c r="K17" s="153" t="s">
        <v>53</v>
      </c>
      <c r="L17" s="153">
        <v>92771786</v>
      </c>
      <c r="M17" s="598" t="s">
        <v>676</v>
      </c>
    </row>
    <row r="18" spans="1:23" s="325" customFormat="1" ht="21.75" customHeight="1" x14ac:dyDescent="0.25">
      <c r="A18" s="230">
        <v>1141</v>
      </c>
      <c r="B18" s="152" t="s">
        <v>235</v>
      </c>
      <c r="C18" s="620">
        <v>369.1</v>
      </c>
      <c r="D18" s="621">
        <v>0.4</v>
      </c>
      <c r="E18" s="621">
        <f t="shared" si="0"/>
        <v>147.64000000000001</v>
      </c>
      <c r="F18" s="621">
        <f>145.93+1.71</f>
        <v>147.64000000000001</v>
      </c>
      <c r="G18" s="621">
        <f t="shared" si="1"/>
        <v>0</v>
      </c>
      <c r="H18" s="153">
        <v>11753992</v>
      </c>
      <c r="I18" s="233" t="s">
        <v>236</v>
      </c>
      <c r="J18" s="153" t="s">
        <v>31</v>
      </c>
      <c r="K18" s="153" t="s">
        <v>32</v>
      </c>
      <c r="L18" s="153">
        <v>99205960</v>
      </c>
      <c r="M18" s="598">
        <v>45945</v>
      </c>
      <c r="N18" s="598" t="s">
        <v>685</v>
      </c>
    </row>
    <row r="19" spans="1:23" ht="21.75" customHeight="1" x14ac:dyDescent="0.25">
      <c r="A19" s="235">
        <v>1154</v>
      </c>
      <c r="B19" s="136" t="s">
        <v>237</v>
      </c>
      <c r="C19" s="619">
        <v>642</v>
      </c>
      <c r="D19" s="618">
        <v>0.4</v>
      </c>
      <c r="E19" s="617">
        <f t="shared" si="0"/>
        <v>256.8</v>
      </c>
      <c r="F19" s="617"/>
      <c r="G19" s="617">
        <f t="shared" si="1"/>
        <v>256.8</v>
      </c>
      <c r="H19" s="137">
        <v>18654817</v>
      </c>
      <c r="I19" s="311" t="s">
        <v>238</v>
      </c>
      <c r="J19" s="136" t="s">
        <v>31</v>
      </c>
      <c r="K19" s="136" t="s">
        <v>32</v>
      </c>
      <c r="L19" s="136">
        <v>98887846</v>
      </c>
      <c r="M19" s="139"/>
    </row>
    <row r="20" spans="1:23" s="325" customFormat="1" ht="21.75" customHeight="1" x14ac:dyDescent="0.25">
      <c r="A20" s="230">
        <v>1161</v>
      </c>
      <c r="B20" s="152" t="s">
        <v>239</v>
      </c>
      <c r="C20" s="620">
        <v>258</v>
      </c>
      <c r="D20" s="621">
        <v>0.4</v>
      </c>
      <c r="E20" s="621">
        <f t="shared" si="0"/>
        <v>103.2</v>
      </c>
      <c r="F20" s="621">
        <f>E20</f>
        <v>103.2</v>
      </c>
      <c r="G20" s="621">
        <f t="shared" si="1"/>
        <v>0</v>
      </c>
      <c r="H20" s="153">
        <v>257926</v>
      </c>
      <c r="I20" s="233" t="s">
        <v>240</v>
      </c>
      <c r="J20" s="153" t="s">
        <v>71</v>
      </c>
      <c r="K20" s="153" t="s">
        <v>72</v>
      </c>
      <c r="L20" s="153">
        <v>99589267</v>
      </c>
      <c r="M20" s="598" t="s">
        <v>676</v>
      </c>
    </row>
    <row r="21" spans="1:23" s="325" customFormat="1" ht="21.75" customHeight="1" x14ac:dyDescent="0.25">
      <c r="A21" s="230">
        <v>1168</v>
      </c>
      <c r="B21" s="152" t="s">
        <v>241</v>
      </c>
      <c r="C21" s="620">
        <v>392.8</v>
      </c>
      <c r="D21" s="621">
        <v>0.4</v>
      </c>
      <c r="E21" s="621">
        <f t="shared" si="0"/>
        <v>157.12</v>
      </c>
      <c r="F21" s="621">
        <f>E21</f>
        <v>157.12</v>
      </c>
      <c r="G21" s="621">
        <f t="shared" si="1"/>
        <v>0</v>
      </c>
      <c r="H21" s="153">
        <v>15498714</v>
      </c>
      <c r="I21" s="233" t="s">
        <v>573</v>
      </c>
      <c r="J21" s="153" t="s">
        <v>31</v>
      </c>
      <c r="K21" s="153" t="s">
        <v>32</v>
      </c>
      <c r="L21" s="153">
        <v>99292524</v>
      </c>
      <c r="M21" s="598" t="s">
        <v>676</v>
      </c>
    </row>
    <row r="22" spans="1:23" ht="21.75" customHeight="1" x14ac:dyDescent="0.25">
      <c r="A22" s="235">
        <v>1177</v>
      </c>
      <c r="B22" s="297" t="s">
        <v>243</v>
      </c>
      <c r="C22" s="619">
        <v>263.7</v>
      </c>
      <c r="D22" s="618">
        <v>0.4</v>
      </c>
      <c r="E22" s="617">
        <f t="shared" si="0"/>
        <v>105.48</v>
      </c>
      <c r="F22" s="617"/>
      <c r="G22" s="617">
        <f t="shared" si="1"/>
        <v>105.48</v>
      </c>
      <c r="H22" s="136">
        <v>219353</v>
      </c>
      <c r="I22" s="311" t="s">
        <v>244</v>
      </c>
      <c r="J22" s="136" t="s">
        <v>52</v>
      </c>
      <c r="K22" s="136" t="s">
        <v>53</v>
      </c>
      <c r="L22" s="138">
        <v>99485534</v>
      </c>
      <c r="M22" s="324"/>
    </row>
    <row r="23" spans="1:23" ht="21.75" customHeight="1" x14ac:dyDescent="0.25">
      <c r="A23" s="235">
        <v>1178</v>
      </c>
      <c r="B23" s="296" t="s">
        <v>245</v>
      </c>
      <c r="C23" s="619">
        <v>475.2</v>
      </c>
      <c r="D23" s="618">
        <v>0.4</v>
      </c>
      <c r="E23" s="617">
        <f t="shared" si="0"/>
        <v>190.08</v>
      </c>
      <c r="F23" s="617">
        <f>E23</f>
        <v>190.08</v>
      </c>
      <c r="G23" s="617">
        <f t="shared" si="1"/>
        <v>0</v>
      </c>
      <c r="H23" s="138">
        <v>970872</v>
      </c>
      <c r="I23" s="138" t="s">
        <v>246</v>
      </c>
      <c r="J23" s="138" t="s">
        <v>26</v>
      </c>
      <c r="K23" s="138" t="s">
        <v>27</v>
      </c>
      <c r="L23" s="138">
        <v>99485535</v>
      </c>
      <c r="M23" s="598">
        <v>45758</v>
      </c>
    </row>
    <row r="24" spans="1:23" s="325" customFormat="1" ht="21.75" customHeight="1" x14ac:dyDescent="0.25">
      <c r="A24" s="230">
        <v>1224</v>
      </c>
      <c r="B24" s="152" t="s">
        <v>247</v>
      </c>
      <c r="C24" s="620">
        <v>530</v>
      </c>
      <c r="D24" s="621">
        <v>0.4</v>
      </c>
      <c r="E24" s="621">
        <f t="shared" si="0"/>
        <v>212</v>
      </c>
      <c r="F24" s="621">
        <f>E24</f>
        <v>212</v>
      </c>
      <c r="G24" s="621">
        <f t="shared" si="1"/>
        <v>0</v>
      </c>
      <c r="H24" s="153">
        <v>24911691</v>
      </c>
      <c r="I24" s="242" t="s">
        <v>248</v>
      </c>
      <c r="J24" s="153" t="s">
        <v>31</v>
      </c>
      <c r="K24" s="153" t="s">
        <v>32</v>
      </c>
      <c r="L24" s="153">
        <v>99192216</v>
      </c>
      <c r="M24" s="598" t="s">
        <v>676</v>
      </c>
    </row>
    <row r="25" spans="1:23" s="17" customFormat="1" ht="21.75" customHeight="1" x14ac:dyDescent="0.25">
      <c r="A25" s="235">
        <v>1225</v>
      </c>
      <c r="B25" s="296" t="s">
        <v>249</v>
      </c>
      <c r="C25" s="619">
        <v>437</v>
      </c>
      <c r="D25" s="618">
        <v>0.4</v>
      </c>
      <c r="E25" s="617">
        <f t="shared" si="0"/>
        <v>174.8</v>
      </c>
      <c r="F25" s="617"/>
      <c r="G25" s="617">
        <f t="shared" si="1"/>
        <v>174.8</v>
      </c>
      <c r="H25" s="136">
        <v>9642357</v>
      </c>
      <c r="I25" s="317" t="s">
        <v>250</v>
      </c>
      <c r="J25" s="136" t="s">
        <v>251</v>
      </c>
      <c r="K25" s="136" t="s">
        <v>252</v>
      </c>
      <c r="L25" s="136">
        <v>99777877</v>
      </c>
      <c r="M25" s="139"/>
      <c r="O25" s="5"/>
      <c r="Q25" s="5"/>
      <c r="S25" s="5"/>
      <c r="U25" s="5"/>
      <c r="W25" s="5"/>
    </row>
    <row r="26" spans="1:23" s="325" customFormat="1" ht="21.75" customHeight="1" x14ac:dyDescent="0.25">
      <c r="A26" s="230">
        <v>1235</v>
      </c>
      <c r="B26" s="591" t="s">
        <v>253</v>
      </c>
      <c r="C26" s="620">
        <v>493</v>
      </c>
      <c r="D26" s="621">
        <v>0.4</v>
      </c>
      <c r="E26" s="621">
        <f t="shared" si="0"/>
        <v>197.20000000000002</v>
      </c>
      <c r="F26" s="621">
        <f>111.3+85.9</f>
        <v>197.2</v>
      </c>
      <c r="G26" s="621">
        <f t="shared" si="1"/>
        <v>0</v>
      </c>
      <c r="H26" s="593">
        <v>1992436</v>
      </c>
      <c r="I26" s="611" t="s">
        <v>254</v>
      </c>
      <c r="J26" s="327" t="s">
        <v>90</v>
      </c>
      <c r="K26" s="153" t="s">
        <v>32</v>
      </c>
      <c r="L26" s="327">
        <v>99484668</v>
      </c>
      <c r="M26" s="598" t="s">
        <v>685</v>
      </c>
      <c r="N26" s="598">
        <v>46002</v>
      </c>
    </row>
    <row r="27" spans="1:23" s="325" customFormat="1" ht="21.75" customHeight="1" x14ac:dyDescent="0.25">
      <c r="A27" s="230">
        <v>1241</v>
      </c>
      <c r="B27" s="152" t="s">
        <v>255</v>
      </c>
      <c r="C27" s="620">
        <v>423.6</v>
      </c>
      <c r="D27" s="621">
        <v>0.4</v>
      </c>
      <c r="E27" s="621">
        <f t="shared" si="0"/>
        <v>169.44000000000003</v>
      </c>
      <c r="F27" s="621">
        <f>165.02+4.42</f>
        <v>169.44</v>
      </c>
      <c r="G27" s="621">
        <f t="shared" si="1"/>
        <v>0</v>
      </c>
      <c r="H27" s="153">
        <v>5343254</v>
      </c>
      <c r="I27" s="153" t="s">
        <v>256</v>
      </c>
      <c r="J27" s="153" t="s">
        <v>31</v>
      </c>
      <c r="K27" s="153" t="s">
        <v>32</v>
      </c>
      <c r="L27" s="153">
        <v>98964664</v>
      </c>
      <c r="M27" s="598">
        <v>45758</v>
      </c>
      <c r="N27" s="598" t="s">
        <v>701</v>
      </c>
    </row>
    <row r="28" spans="1:23" s="325" customFormat="1" ht="21.75" customHeight="1" x14ac:dyDescent="0.25">
      <c r="A28" s="230">
        <v>1247</v>
      </c>
      <c r="B28" s="152" t="s">
        <v>103</v>
      </c>
      <c r="C28" s="620">
        <v>406</v>
      </c>
      <c r="D28" s="621">
        <v>0.4</v>
      </c>
      <c r="E28" s="621">
        <f t="shared" si="0"/>
        <v>162.4</v>
      </c>
      <c r="F28" s="621">
        <f>158.25+4.15</f>
        <v>162.4</v>
      </c>
      <c r="G28" s="621">
        <f t="shared" si="1"/>
        <v>0</v>
      </c>
      <c r="H28" s="153">
        <v>4748561</v>
      </c>
      <c r="I28" s="233" t="s">
        <v>104</v>
      </c>
      <c r="J28" s="153" t="s">
        <v>52</v>
      </c>
      <c r="K28" s="153" t="s">
        <v>53</v>
      </c>
      <c r="L28" s="153">
        <v>92345282</v>
      </c>
      <c r="M28" s="598">
        <v>45945</v>
      </c>
      <c r="N28" s="598">
        <v>45758</v>
      </c>
    </row>
    <row r="29" spans="1:23" ht="21.75" customHeight="1" x14ac:dyDescent="0.25">
      <c r="A29" s="235">
        <v>1252</v>
      </c>
      <c r="B29" s="296" t="s">
        <v>258</v>
      </c>
      <c r="C29" s="619">
        <v>355.6</v>
      </c>
      <c r="D29" s="618">
        <v>0.4</v>
      </c>
      <c r="E29" s="617">
        <f t="shared" si="0"/>
        <v>142.24</v>
      </c>
      <c r="F29" s="617"/>
      <c r="G29" s="617">
        <f t="shared" si="1"/>
        <v>142.24</v>
      </c>
      <c r="H29" s="136">
        <v>2433959</v>
      </c>
      <c r="I29" s="311" t="s">
        <v>259</v>
      </c>
      <c r="J29" s="136" t="s">
        <v>52</v>
      </c>
      <c r="K29" s="136" t="s">
        <v>53</v>
      </c>
      <c r="L29" s="136">
        <v>93555999</v>
      </c>
      <c r="M29" s="139"/>
    </row>
    <row r="30" spans="1:23" s="325" customFormat="1" ht="21.75" customHeight="1" x14ac:dyDescent="0.25">
      <c r="A30" s="230">
        <v>1258</v>
      </c>
      <c r="B30" s="152" t="s">
        <v>105</v>
      </c>
      <c r="C30" s="620">
        <v>544</v>
      </c>
      <c r="D30" s="621">
        <v>0.4</v>
      </c>
      <c r="E30" s="621">
        <f t="shared" si="0"/>
        <v>217.60000000000002</v>
      </c>
      <c r="F30" s="621">
        <f>215.15+2.45</f>
        <v>217.6</v>
      </c>
      <c r="G30" s="621">
        <f t="shared" si="1"/>
        <v>0</v>
      </c>
      <c r="H30" s="153">
        <v>1924174</v>
      </c>
      <c r="I30" s="153" t="s">
        <v>106</v>
      </c>
      <c r="J30" s="153" t="s">
        <v>52</v>
      </c>
      <c r="K30" s="153" t="s">
        <v>53</v>
      </c>
      <c r="L30" s="153">
        <v>99297990</v>
      </c>
      <c r="M30" s="590">
        <v>45945</v>
      </c>
      <c r="N30" s="598">
        <v>46002</v>
      </c>
    </row>
    <row r="31" spans="1:23" s="325" customFormat="1" ht="21.75" customHeight="1" x14ac:dyDescent="0.25">
      <c r="A31" s="230">
        <v>1260</v>
      </c>
      <c r="B31" s="152" t="s">
        <v>260</v>
      </c>
      <c r="C31" s="620">
        <v>476</v>
      </c>
      <c r="D31" s="621">
        <v>0.4</v>
      </c>
      <c r="E31" s="621">
        <f t="shared" si="0"/>
        <v>190.4</v>
      </c>
      <c r="F31" s="621">
        <f>E31</f>
        <v>190.4</v>
      </c>
      <c r="G31" s="621">
        <f t="shared" si="1"/>
        <v>0</v>
      </c>
      <c r="H31" s="153">
        <v>18363579</v>
      </c>
      <c r="I31" s="602" t="s">
        <v>261</v>
      </c>
      <c r="J31" s="153" t="s">
        <v>52</v>
      </c>
      <c r="K31" s="153" t="s">
        <v>53</v>
      </c>
      <c r="L31" s="153">
        <v>98217444</v>
      </c>
      <c r="M31" s="598">
        <v>45972</v>
      </c>
    </row>
    <row r="32" spans="1:23" s="325" customFormat="1" ht="21.75" customHeight="1" x14ac:dyDescent="0.25">
      <c r="A32" s="230">
        <v>1261</v>
      </c>
      <c r="B32" s="153" t="s">
        <v>107</v>
      </c>
      <c r="C32" s="620">
        <v>251.4</v>
      </c>
      <c r="D32" s="621">
        <v>0.4</v>
      </c>
      <c r="E32" s="621">
        <f t="shared" si="0"/>
        <v>100.56</v>
      </c>
      <c r="F32" s="621">
        <f>97.958+2.602</f>
        <v>100.56</v>
      </c>
      <c r="G32" s="621">
        <f t="shared" si="1"/>
        <v>0</v>
      </c>
      <c r="H32" s="153">
        <v>14429332</v>
      </c>
      <c r="I32" s="233" t="s">
        <v>574</v>
      </c>
      <c r="J32" s="153" t="s">
        <v>31</v>
      </c>
      <c r="K32" s="153" t="s">
        <v>32</v>
      </c>
      <c r="L32" s="153">
        <v>92939445</v>
      </c>
      <c r="M32" s="598" t="s">
        <v>678</v>
      </c>
      <c r="N32" s="598" t="s">
        <v>701</v>
      </c>
    </row>
    <row r="33" spans="1:14" s="325" customFormat="1" ht="21.75" customHeight="1" x14ac:dyDescent="0.25">
      <c r="A33" s="230">
        <v>1268</v>
      </c>
      <c r="B33" s="152" t="s">
        <v>109</v>
      </c>
      <c r="C33" s="620">
        <v>160</v>
      </c>
      <c r="D33" s="621">
        <v>0.4</v>
      </c>
      <c r="E33" s="621">
        <f t="shared" si="0"/>
        <v>64</v>
      </c>
      <c r="F33" s="621">
        <f>61.04+2.96</f>
        <v>64</v>
      </c>
      <c r="G33" s="621">
        <f t="shared" si="1"/>
        <v>0</v>
      </c>
      <c r="H33" s="153">
        <v>722058</v>
      </c>
      <c r="I33" s="233" t="s">
        <v>110</v>
      </c>
      <c r="J33" s="153" t="s">
        <v>31</v>
      </c>
      <c r="K33" s="153" t="s">
        <v>32</v>
      </c>
      <c r="L33" s="153">
        <v>92848609</v>
      </c>
      <c r="M33" s="590">
        <v>45945</v>
      </c>
      <c r="N33" s="598">
        <v>45758</v>
      </c>
    </row>
    <row r="34" spans="1:14" s="325" customFormat="1" ht="21.75" customHeight="1" x14ac:dyDescent="0.25">
      <c r="A34" s="230">
        <v>1282</v>
      </c>
      <c r="B34" s="152" t="s">
        <v>111</v>
      </c>
      <c r="C34" s="620">
        <v>474</v>
      </c>
      <c r="D34" s="621">
        <v>0.4</v>
      </c>
      <c r="E34" s="621">
        <f t="shared" si="0"/>
        <v>189.60000000000002</v>
      </c>
      <c r="F34" s="621">
        <f>E34</f>
        <v>189.60000000000002</v>
      </c>
      <c r="G34" s="621">
        <f t="shared" si="1"/>
        <v>0</v>
      </c>
      <c r="H34" s="153">
        <v>2997747</v>
      </c>
      <c r="I34" s="233" t="s">
        <v>112</v>
      </c>
      <c r="J34" s="153" t="s">
        <v>71</v>
      </c>
      <c r="K34" s="153" t="s">
        <v>72</v>
      </c>
      <c r="L34" s="153">
        <v>92660969</v>
      </c>
      <c r="M34" s="598" t="s">
        <v>676</v>
      </c>
    </row>
    <row r="35" spans="1:14" s="325" customFormat="1" ht="22.5" customHeight="1" x14ac:dyDescent="0.25">
      <c r="A35" s="230">
        <v>1284</v>
      </c>
      <c r="B35" s="152" t="s">
        <v>115</v>
      </c>
      <c r="C35" s="620">
        <v>448</v>
      </c>
      <c r="D35" s="621">
        <v>0.4</v>
      </c>
      <c r="E35" s="621">
        <f t="shared" si="0"/>
        <v>179.20000000000002</v>
      </c>
      <c r="F35" s="621">
        <f>177.9+1.3</f>
        <v>179.20000000000002</v>
      </c>
      <c r="G35" s="621">
        <f t="shared" si="1"/>
        <v>0</v>
      </c>
      <c r="H35" s="153">
        <v>1177598</v>
      </c>
      <c r="I35" s="233" t="s">
        <v>116</v>
      </c>
      <c r="J35" s="153" t="s">
        <v>52</v>
      </c>
      <c r="K35" s="153" t="s">
        <v>53</v>
      </c>
      <c r="L35" s="153">
        <v>92825228</v>
      </c>
      <c r="M35" s="598" t="s">
        <v>678</v>
      </c>
      <c r="N35" s="325" t="s">
        <v>703</v>
      </c>
    </row>
    <row r="36" spans="1:14" s="325" customFormat="1" ht="21.75" customHeight="1" x14ac:dyDescent="0.25">
      <c r="A36" s="230">
        <v>1300</v>
      </c>
      <c r="B36" s="591" t="s">
        <v>263</v>
      </c>
      <c r="C36" s="620">
        <v>544</v>
      </c>
      <c r="D36" s="621">
        <v>0.4</v>
      </c>
      <c r="E36" s="621">
        <f t="shared" si="0"/>
        <v>217.60000000000002</v>
      </c>
      <c r="F36" s="621">
        <v>213.75</v>
      </c>
      <c r="G36" s="621">
        <f t="shared" si="1"/>
        <v>3.8500000000000227</v>
      </c>
      <c r="H36" s="593">
        <v>19534277</v>
      </c>
      <c r="I36" s="233" t="s">
        <v>264</v>
      </c>
      <c r="J36" s="153" t="s">
        <v>31</v>
      </c>
      <c r="K36" s="153" t="s">
        <v>32</v>
      </c>
      <c r="L36" s="153">
        <v>99710505</v>
      </c>
      <c r="M36" s="325" t="s">
        <v>703</v>
      </c>
    </row>
    <row r="37" spans="1:14" s="325" customFormat="1" ht="21.75" customHeight="1" x14ac:dyDescent="0.25">
      <c r="A37" s="230">
        <v>1306</v>
      </c>
      <c r="B37" s="604" t="s">
        <v>265</v>
      </c>
      <c r="C37" s="620">
        <v>260</v>
      </c>
      <c r="D37" s="621">
        <v>0.4</v>
      </c>
      <c r="E37" s="621">
        <f t="shared" si="0"/>
        <v>104</v>
      </c>
      <c r="F37" s="621">
        <f>E37</f>
        <v>104</v>
      </c>
      <c r="G37" s="621">
        <f t="shared" si="1"/>
        <v>0</v>
      </c>
      <c r="H37" s="597">
        <v>2006904</v>
      </c>
      <c r="I37" s="592" t="s">
        <v>266</v>
      </c>
      <c r="J37" s="597" t="s">
        <v>31</v>
      </c>
      <c r="K37" s="153" t="s">
        <v>32</v>
      </c>
      <c r="L37" s="597">
        <v>96137717</v>
      </c>
      <c r="M37" s="598" t="s">
        <v>676</v>
      </c>
    </row>
    <row r="38" spans="1:14" ht="21.75" customHeight="1" x14ac:dyDescent="0.25">
      <c r="A38" s="235">
        <v>1315</v>
      </c>
      <c r="B38" s="296" t="s">
        <v>267</v>
      </c>
      <c r="C38" s="619">
        <v>226.8</v>
      </c>
      <c r="D38" s="618">
        <v>0.4</v>
      </c>
      <c r="E38" s="617">
        <f t="shared" si="0"/>
        <v>90.720000000000013</v>
      </c>
      <c r="F38" s="617"/>
      <c r="G38" s="617">
        <f t="shared" si="1"/>
        <v>90.720000000000013</v>
      </c>
      <c r="H38" s="136">
        <v>19528845</v>
      </c>
      <c r="I38" s="311" t="s">
        <v>268</v>
      </c>
      <c r="J38" s="136" t="s">
        <v>31</v>
      </c>
      <c r="K38" s="136" t="s">
        <v>32</v>
      </c>
      <c r="L38" s="136">
        <v>92432606</v>
      </c>
      <c r="M38" s="139"/>
    </row>
    <row r="39" spans="1:14" s="325" customFormat="1" ht="21.75" customHeight="1" x14ac:dyDescent="0.25">
      <c r="A39" s="230">
        <v>1328</v>
      </c>
      <c r="B39" s="152" t="s">
        <v>117</v>
      </c>
      <c r="C39" s="620">
        <v>300.2</v>
      </c>
      <c r="D39" s="621">
        <v>0.4</v>
      </c>
      <c r="E39" s="621">
        <f t="shared" si="0"/>
        <v>120.08</v>
      </c>
      <c r="F39" s="621">
        <f>115.91+4.17</f>
        <v>120.08</v>
      </c>
      <c r="G39" s="621">
        <f t="shared" si="1"/>
        <v>0</v>
      </c>
      <c r="H39" s="153">
        <v>782833</v>
      </c>
      <c r="I39" s="233" t="s">
        <v>118</v>
      </c>
      <c r="J39" s="153" t="s">
        <v>52</v>
      </c>
      <c r="K39" s="153" t="s">
        <v>53</v>
      </c>
      <c r="L39" s="153">
        <v>92475895</v>
      </c>
      <c r="M39" s="327" t="s">
        <v>679</v>
      </c>
      <c r="N39" s="598" t="s">
        <v>687</v>
      </c>
    </row>
    <row r="40" spans="1:14" s="325" customFormat="1" ht="21.75" customHeight="1" x14ac:dyDescent="0.25">
      <c r="A40" s="230">
        <v>1330</v>
      </c>
      <c r="B40" s="591" t="s">
        <v>119</v>
      </c>
      <c r="C40" s="620">
        <v>473.5</v>
      </c>
      <c r="D40" s="621">
        <v>0.4</v>
      </c>
      <c r="E40" s="621">
        <f t="shared" si="0"/>
        <v>189.4</v>
      </c>
      <c r="F40" s="621">
        <f>189.25+0.15</f>
        <v>189.4</v>
      </c>
      <c r="G40" s="621">
        <f t="shared" si="1"/>
        <v>0</v>
      </c>
      <c r="H40" s="153">
        <v>12194826</v>
      </c>
      <c r="I40" s="233" t="s">
        <v>120</v>
      </c>
      <c r="J40" s="153" t="s">
        <v>121</v>
      </c>
      <c r="K40" s="153" t="s">
        <v>122</v>
      </c>
      <c r="L40" s="153">
        <v>91299100</v>
      </c>
      <c r="M40" s="598">
        <v>45945</v>
      </c>
      <c r="N40" s="598">
        <v>45758</v>
      </c>
    </row>
    <row r="41" spans="1:14" s="325" customFormat="1" ht="21.75" customHeight="1" x14ac:dyDescent="0.25">
      <c r="A41" s="230">
        <v>1331</v>
      </c>
      <c r="B41" s="152" t="s">
        <v>269</v>
      </c>
      <c r="C41" s="620">
        <v>256</v>
      </c>
      <c r="D41" s="621">
        <v>0.4</v>
      </c>
      <c r="E41" s="621">
        <f t="shared" si="0"/>
        <v>102.4</v>
      </c>
      <c r="F41" s="621">
        <f>E41</f>
        <v>102.4</v>
      </c>
      <c r="G41" s="621">
        <f t="shared" si="1"/>
        <v>0</v>
      </c>
      <c r="H41" s="153">
        <v>2107763</v>
      </c>
      <c r="I41" s="233" t="s">
        <v>270</v>
      </c>
      <c r="J41" s="153" t="s">
        <v>71</v>
      </c>
      <c r="K41" s="153" t="s">
        <v>72</v>
      </c>
      <c r="L41" s="153">
        <v>93536009</v>
      </c>
      <c r="M41" s="325" t="s">
        <v>708</v>
      </c>
    </row>
    <row r="42" spans="1:14" s="325" customFormat="1" ht="21.75" customHeight="1" x14ac:dyDescent="0.25">
      <c r="A42" s="230">
        <v>1333</v>
      </c>
      <c r="B42" s="152" t="s">
        <v>29</v>
      </c>
      <c r="C42" s="620">
        <v>420.7</v>
      </c>
      <c r="D42" s="621">
        <v>0.4</v>
      </c>
      <c r="E42" s="621">
        <f t="shared" si="0"/>
        <v>168.28</v>
      </c>
      <c r="F42" s="621">
        <f>164.93+3.35</f>
        <v>168.28</v>
      </c>
      <c r="G42" s="621">
        <f t="shared" si="1"/>
        <v>0</v>
      </c>
      <c r="H42" s="153">
        <v>1736679</v>
      </c>
      <c r="I42" s="233" t="s">
        <v>30</v>
      </c>
      <c r="J42" s="153" t="s">
        <v>31</v>
      </c>
      <c r="K42" s="153" t="s">
        <v>32</v>
      </c>
      <c r="L42" s="153">
        <v>99482212</v>
      </c>
      <c r="M42" s="598">
        <v>45945</v>
      </c>
      <c r="N42" s="598">
        <v>45972</v>
      </c>
    </row>
    <row r="43" spans="1:14" s="325" customFormat="1" ht="21.75" customHeight="1" x14ac:dyDescent="0.25">
      <c r="A43" s="230">
        <v>1382</v>
      </c>
      <c r="B43" s="152" t="s">
        <v>34</v>
      </c>
      <c r="C43" s="620">
        <v>481</v>
      </c>
      <c r="D43" s="621">
        <v>0.4</v>
      </c>
      <c r="E43" s="621">
        <f t="shared" si="0"/>
        <v>192.4</v>
      </c>
      <c r="F43" s="621">
        <f>187.75+4.65</f>
        <v>192.4</v>
      </c>
      <c r="G43" s="621">
        <f t="shared" si="1"/>
        <v>0</v>
      </c>
      <c r="H43" s="153">
        <v>886492</v>
      </c>
      <c r="I43" s="233" t="s">
        <v>35</v>
      </c>
      <c r="J43" s="153" t="s">
        <v>31</v>
      </c>
      <c r="K43" s="153" t="s">
        <v>32</v>
      </c>
      <c r="L43" s="153">
        <v>99494166</v>
      </c>
      <c r="M43" s="598">
        <v>45945</v>
      </c>
      <c r="N43" s="589">
        <v>45788</v>
      </c>
    </row>
    <row r="44" spans="1:14" ht="21.75" customHeight="1" x14ac:dyDescent="0.25">
      <c r="A44" s="235">
        <v>1384</v>
      </c>
      <c r="B44" s="296" t="s">
        <v>37</v>
      </c>
      <c r="C44" s="619">
        <v>178.5</v>
      </c>
      <c r="D44" s="618">
        <v>0.4</v>
      </c>
      <c r="E44" s="617">
        <f t="shared" si="0"/>
        <v>71.400000000000006</v>
      </c>
      <c r="F44" s="617"/>
      <c r="G44" s="617">
        <f t="shared" si="1"/>
        <v>71.400000000000006</v>
      </c>
      <c r="H44" s="136">
        <v>4426701</v>
      </c>
      <c r="I44" s="311" t="s">
        <v>38</v>
      </c>
      <c r="J44" s="136" t="s">
        <v>31</v>
      </c>
      <c r="K44" s="136" t="s">
        <v>32</v>
      </c>
      <c r="L44" s="136">
        <v>92634991</v>
      </c>
      <c r="M44" s="139"/>
    </row>
    <row r="45" spans="1:14" s="325" customFormat="1" ht="21.75" customHeight="1" x14ac:dyDescent="0.25">
      <c r="A45" s="230">
        <v>1386</v>
      </c>
      <c r="B45" s="152" t="s">
        <v>39</v>
      </c>
      <c r="C45" s="620">
        <v>544</v>
      </c>
      <c r="D45" s="621">
        <v>0.4</v>
      </c>
      <c r="E45" s="621">
        <f t="shared" si="0"/>
        <v>217.60000000000002</v>
      </c>
      <c r="F45" s="621">
        <f>0.04+217.56</f>
        <v>217.6</v>
      </c>
      <c r="G45" s="621">
        <f t="shared" si="1"/>
        <v>0</v>
      </c>
      <c r="H45" s="153">
        <v>711799</v>
      </c>
      <c r="I45" s="233" t="s">
        <v>40</v>
      </c>
      <c r="J45" s="153" t="s">
        <v>31</v>
      </c>
      <c r="K45" s="153" t="s">
        <v>32</v>
      </c>
      <c r="L45" s="153">
        <v>92394924</v>
      </c>
      <c r="M45" s="589">
        <v>45931</v>
      </c>
      <c r="N45" s="325" t="s">
        <v>702</v>
      </c>
    </row>
    <row r="46" spans="1:14" ht="21.75" customHeight="1" x14ac:dyDescent="0.25">
      <c r="A46" s="235">
        <v>1387</v>
      </c>
      <c r="B46" s="296" t="s">
        <v>271</v>
      </c>
      <c r="C46" s="619">
        <v>445.7</v>
      </c>
      <c r="D46" s="618">
        <v>0.4</v>
      </c>
      <c r="E46" s="617">
        <f t="shared" si="0"/>
        <v>178.28</v>
      </c>
      <c r="F46" s="617"/>
      <c r="G46" s="617">
        <f t="shared" si="1"/>
        <v>178.28</v>
      </c>
      <c r="H46" s="136">
        <v>6759716</v>
      </c>
      <c r="I46" s="311" t="s">
        <v>272</v>
      </c>
      <c r="J46" s="136" t="s">
        <v>71</v>
      </c>
      <c r="K46" s="136" t="s">
        <v>72</v>
      </c>
      <c r="L46" s="136">
        <v>91907675</v>
      </c>
      <c r="M46" s="139"/>
    </row>
    <row r="47" spans="1:14" ht="21.75" customHeight="1" x14ac:dyDescent="0.25">
      <c r="A47" s="235">
        <v>1388</v>
      </c>
      <c r="B47" s="296" t="s">
        <v>273</v>
      </c>
      <c r="C47" s="619">
        <v>269</v>
      </c>
      <c r="D47" s="618">
        <v>0.4</v>
      </c>
      <c r="E47" s="617">
        <f t="shared" si="0"/>
        <v>107.60000000000001</v>
      </c>
      <c r="F47" s="617"/>
      <c r="G47" s="617">
        <f t="shared" si="1"/>
        <v>107.60000000000001</v>
      </c>
      <c r="H47" s="136">
        <v>18610874</v>
      </c>
      <c r="I47" s="311" t="s">
        <v>274</v>
      </c>
      <c r="J47" s="136" t="s">
        <v>52</v>
      </c>
      <c r="K47" s="136" t="s">
        <v>53</v>
      </c>
      <c r="L47" s="136">
        <v>93955577</v>
      </c>
      <c r="M47" s="139"/>
    </row>
    <row r="48" spans="1:14" ht="21.75" customHeight="1" x14ac:dyDescent="0.25">
      <c r="A48" s="235">
        <v>1389</v>
      </c>
      <c r="B48" s="296" t="s">
        <v>275</v>
      </c>
      <c r="C48" s="619">
        <v>680</v>
      </c>
      <c r="D48" s="618">
        <v>0.4</v>
      </c>
      <c r="E48" s="617">
        <f t="shared" si="0"/>
        <v>272</v>
      </c>
      <c r="F48" s="617">
        <f>E48</f>
        <v>272</v>
      </c>
      <c r="G48" s="617">
        <f t="shared" si="1"/>
        <v>0</v>
      </c>
      <c r="H48" s="136">
        <v>1036354</v>
      </c>
      <c r="I48" s="311" t="s">
        <v>276</v>
      </c>
      <c r="J48" s="136" t="s">
        <v>52</v>
      </c>
      <c r="K48" s="136" t="s">
        <v>53</v>
      </c>
      <c r="L48" s="136">
        <v>92413881</v>
      </c>
      <c r="M48" s="598" t="s">
        <v>685</v>
      </c>
    </row>
    <row r="49" spans="1:23" s="325" customFormat="1" ht="21.75" customHeight="1" x14ac:dyDescent="0.25">
      <c r="A49" s="230">
        <v>1394</v>
      </c>
      <c r="B49" s="152" t="s">
        <v>277</v>
      </c>
      <c r="C49" s="620">
        <v>295.5</v>
      </c>
      <c r="D49" s="621">
        <v>0.4</v>
      </c>
      <c r="E49" s="621">
        <f t="shared" si="0"/>
        <v>118.2</v>
      </c>
      <c r="F49" s="621">
        <f>117.21+0.99</f>
        <v>118.19999999999999</v>
      </c>
      <c r="G49" s="621">
        <f t="shared" si="1"/>
        <v>0</v>
      </c>
      <c r="H49" s="153">
        <v>25656187</v>
      </c>
      <c r="I49" s="153" t="s">
        <v>278</v>
      </c>
      <c r="J49" s="153" t="s">
        <v>31</v>
      </c>
      <c r="K49" s="233" t="s">
        <v>32</v>
      </c>
      <c r="L49" s="153">
        <v>98987848</v>
      </c>
      <c r="M49" s="598">
        <v>45945</v>
      </c>
      <c r="N49" s="598" t="s">
        <v>685</v>
      </c>
    </row>
    <row r="50" spans="1:23" s="325" customFormat="1" ht="21.75" customHeight="1" x14ac:dyDescent="0.25">
      <c r="A50" s="230">
        <v>1396</v>
      </c>
      <c r="B50" s="152" t="s">
        <v>123</v>
      </c>
      <c r="C50" s="620">
        <v>306</v>
      </c>
      <c r="D50" s="621">
        <v>0.4</v>
      </c>
      <c r="E50" s="621">
        <f t="shared" si="0"/>
        <v>122.4</v>
      </c>
      <c r="F50" s="621">
        <f>119.14+3.26</f>
        <v>122.4</v>
      </c>
      <c r="G50" s="621">
        <f t="shared" si="1"/>
        <v>0</v>
      </c>
      <c r="H50" s="153">
        <v>905845</v>
      </c>
      <c r="I50" s="233" t="s">
        <v>124</v>
      </c>
      <c r="J50" s="153" t="s">
        <v>31</v>
      </c>
      <c r="K50" s="153" t="s">
        <v>32</v>
      </c>
      <c r="L50" s="153">
        <v>99696204</v>
      </c>
      <c r="M50" s="598" t="s">
        <v>678</v>
      </c>
      <c r="N50" s="598" t="s">
        <v>687</v>
      </c>
    </row>
    <row r="51" spans="1:23" s="325" customFormat="1" ht="21.75" customHeight="1" x14ac:dyDescent="0.25">
      <c r="A51" s="230">
        <v>1397</v>
      </c>
      <c r="B51" s="152" t="s">
        <v>125</v>
      </c>
      <c r="C51" s="620">
        <v>243.3</v>
      </c>
      <c r="D51" s="621">
        <v>0.4</v>
      </c>
      <c r="E51" s="621">
        <f t="shared" si="0"/>
        <v>97.320000000000007</v>
      </c>
      <c r="F51" s="621">
        <f>E51</f>
        <v>97.320000000000007</v>
      </c>
      <c r="G51" s="621">
        <f t="shared" si="1"/>
        <v>0</v>
      </c>
      <c r="H51" s="153">
        <v>1292885</v>
      </c>
      <c r="I51" s="233" t="s">
        <v>126</v>
      </c>
      <c r="J51" s="153" t="s">
        <v>127</v>
      </c>
      <c r="K51" s="153" t="s">
        <v>128</v>
      </c>
      <c r="L51" s="153">
        <v>92307552</v>
      </c>
      <c r="M51" s="598" t="s">
        <v>676</v>
      </c>
    </row>
    <row r="52" spans="1:23" ht="21.75" customHeight="1" x14ac:dyDescent="0.25">
      <c r="A52" s="235">
        <v>1398</v>
      </c>
      <c r="B52" s="296" t="s">
        <v>279</v>
      </c>
      <c r="C52" s="619">
        <v>203.4</v>
      </c>
      <c r="D52" s="618">
        <v>0.4</v>
      </c>
      <c r="E52" s="617">
        <f t="shared" si="0"/>
        <v>81.360000000000014</v>
      </c>
      <c r="F52" s="617">
        <f>E52</f>
        <v>81.360000000000014</v>
      </c>
      <c r="G52" s="617">
        <f t="shared" si="1"/>
        <v>0</v>
      </c>
      <c r="H52" s="136">
        <v>1161437</v>
      </c>
      <c r="I52" s="136" t="s">
        <v>280</v>
      </c>
      <c r="J52" s="136" t="s">
        <v>121</v>
      </c>
      <c r="K52" s="136" t="s">
        <v>122</v>
      </c>
      <c r="L52" s="136">
        <v>91135580</v>
      </c>
      <c r="M52" s="598">
        <v>45945</v>
      </c>
    </row>
    <row r="53" spans="1:23" s="17" customFormat="1" ht="21.75" customHeight="1" x14ac:dyDescent="0.25">
      <c r="A53" s="235">
        <v>1400</v>
      </c>
      <c r="B53" s="296" t="s">
        <v>281</v>
      </c>
      <c r="C53" s="619">
        <v>450</v>
      </c>
      <c r="D53" s="618">
        <v>0.4</v>
      </c>
      <c r="E53" s="617">
        <f t="shared" si="0"/>
        <v>180</v>
      </c>
      <c r="F53" s="617">
        <f>E53</f>
        <v>180</v>
      </c>
      <c r="G53" s="617">
        <f t="shared" si="1"/>
        <v>0</v>
      </c>
      <c r="H53" s="136">
        <v>7223707</v>
      </c>
      <c r="I53" s="311" t="s">
        <v>282</v>
      </c>
      <c r="J53" s="136" t="s">
        <v>26</v>
      </c>
      <c r="K53" s="136" t="s">
        <v>27</v>
      </c>
      <c r="L53" s="136">
        <v>92616136</v>
      </c>
      <c r="M53" s="598" t="s">
        <v>687</v>
      </c>
      <c r="O53" s="5"/>
      <c r="Q53" s="5"/>
      <c r="S53" s="5"/>
      <c r="U53" s="5"/>
      <c r="W53" s="5"/>
    </row>
    <row r="54" spans="1:23" s="325" customFormat="1" ht="21.75" customHeight="1" x14ac:dyDescent="0.25">
      <c r="A54" s="230">
        <v>1403</v>
      </c>
      <c r="B54" s="152" t="s">
        <v>283</v>
      </c>
      <c r="C54" s="620">
        <v>386.6</v>
      </c>
      <c r="D54" s="621">
        <v>0.4</v>
      </c>
      <c r="E54" s="621">
        <f t="shared" si="0"/>
        <v>154.64000000000001</v>
      </c>
      <c r="F54" s="621">
        <f>151.77+2.87</f>
        <v>154.64000000000001</v>
      </c>
      <c r="G54" s="621">
        <f t="shared" si="1"/>
        <v>0</v>
      </c>
      <c r="H54" s="153">
        <v>499044</v>
      </c>
      <c r="I54" s="153" t="s">
        <v>284</v>
      </c>
      <c r="J54" s="153" t="s">
        <v>31</v>
      </c>
      <c r="K54" s="153" t="s">
        <v>32</v>
      </c>
      <c r="L54" s="153">
        <v>92226988</v>
      </c>
      <c r="M54" s="598">
        <v>45945</v>
      </c>
      <c r="N54" s="589">
        <v>45788</v>
      </c>
    </row>
    <row r="55" spans="1:23" s="325" customFormat="1" ht="21.75" customHeight="1" x14ac:dyDescent="0.25">
      <c r="A55" s="595">
        <v>1406</v>
      </c>
      <c r="B55" s="152" t="s">
        <v>285</v>
      </c>
      <c r="C55" s="620">
        <v>340</v>
      </c>
      <c r="D55" s="621">
        <v>0.4</v>
      </c>
      <c r="E55" s="621">
        <f t="shared" si="0"/>
        <v>136</v>
      </c>
      <c r="F55" s="621">
        <f>132.4+3.6</f>
        <v>136</v>
      </c>
      <c r="G55" s="621">
        <f t="shared" si="1"/>
        <v>0</v>
      </c>
      <c r="H55" s="153">
        <v>880849</v>
      </c>
      <c r="I55" s="233" t="s">
        <v>286</v>
      </c>
      <c r="J55" s="153" t="s">
        <v>71</v>
      </c>
      <c r="K55" s="153" t="s">
        <v>72</v>
      </c>
      <c r="L55" s="153">
        <v>99365157</v>
      </c>
      <c r="M55" s="598">
        <v>45945</v>
      </c>
      <c r="N55" s="598">
        <v>45758</v>
      </c>
    </row>
    <row r="56" spans="1:23" s="325" customFormat="1" ht="21.75" customHeight="1" x14ac:dyDescent="0.25">
      <c r="A56" s="595">
        <v>1408</v>
      </c>
      <c r="B56" s="153" t="s">
        <v>287</v>
      </c>
      <c r="C56" s="620">
        <v>985</v>
      </c>
      <c r="D56" s="621">
        <v>0.4</v>
      </c>
      <c r="E56" s="621">
        <f t="shared" si="0"/>
        <v>394</v>
      </c>
      <c r="F56" s="621">
        <f>390.341+3.659</f>
        <v>394</v>
      </c>
      <c r="G56" s="621">
        <f t="shared" si="1"/>
        <v>0</v>
      </c>
      <c r="H56" s="153">
        <v>997465</v>
      </c>
      <c r="I56" s="233" t="s">
        <v>288</v>
      </c>
      <c r="J56" s="153" t="s">
        <v>31</v>
      </c>
      <c r="K56" s="153" t="s">
        <v>32</v>
      </c>
      <c r="L56" s="153">
        <v>99490975</v>
      </c>
      <c r="M56" s="593" t="s">
        <v>678</v>
      </c>
      <c r="N56" s="325" t="s">
        <v>702</v>
      </c>
    </row>
    <row r="57" spans="1:23" s="325" customFormat="1" ht="21.75" customHeight="1" x14ac:dyDescent="0.25">
      <c r="A57" s="595">
        <v>1409</v>
      </c>
      <c r="B57" s="152" t="s">
        <v>289</v>
      </c>
      <c r="C57" s="624">
        <v>359.8</v>
      </c>
      <c r="D57" s="621">
        <v>0.4</v>
      </c>
      <c r="E57" s="621">
        <f t="shared" si="0"/>
        <v>143.92000000000002</v>
      </c>
      <c r="F57" s="621">
        <f>E57</f>
        <v>143.92000000000002</v>
      </c>
      <c r="G57" s="621">
        <f t="shared" si="1"/>
        <v>0</v>
      </c>
      <c r="H57" s="153">
        <v>7279409</v>
      </c>
      <c r="I57" s="233" t="s">
        <v>290</v>
      </c>
      <c r="J57" s="153" t="s">
        <v>31</v>
      </c>
      <c r="K57" s="153" t="s">
        <v>32</v>
      </c>
      <c r="L57" s="153">
        <v>99626634</v>
      </c>
      <c r="M57" s="598" t="s">
        <v>676</v>
      </c>
    </row>
    <row r="58" spans="1:23" ht="21.75" customHeight="1" x14ac:dyDescent="0.25">
      <c r="A58" s="148">
        <v>1410</v>
      </c>
      <c r="B58" s="296" t="s">
        <v>292</v>
      </c>
      <c r="C58" s="617">
        <v>417.5</v>
      </c>
      <c r="D58" s="618">
        <v>0.4</v>
      </c>
      <c r="E58" s="617">
        <f t="shared" si="0"/>
        <v>167</v>
      </c>
      <c r="F58" s="617">
        <f>E58</f>
        <v>167</v>
      </c>
      <c r="G58" s="617">
        <f t="shared" si="1"/>
        <v>0</v>
      </c>
      <c r="H58" s="136">
        <v>757372</v>
      </c>
      <c r="I58" s="311" t="s">
        <v>293</v>
      </c>
      <c r="J58" s="136" t="s">
        <v>31</v>
      </c>
      <c r="K58" s="136" t="s">
        <v>32</v>
      </c>
      <c r="L58" s="136">
        <v>92018800</v>
      </c>
      <c r="M58" s="589">
        <v>45972</v>
      </c>
    </row>
    <row r="59" spans="1:23" s="325" customFormat="1" ht="21.75" customHeight="1" x14ac:dyDescent="0.25">
      <c r="A59" s="595">
        <v>1411</v>
      </c>
      <c r="B59" s="152" t="s">
        <v>294</v>
      </c>
      <c r="C59" s="620">
        <v>443.1</v>
      </c>
      <c r="D59" s="621">
        <v>0.4</v>
      </c>
      <c r="E59" s="621">
        <f t="shared" si="0"/>
        <v>177.24</v>
      </c>
      <c r="F59" s="621">
        <f>173.89+3.35</f>
        <v>177.23999999999998</v>
      </c>
      <c r="G59" s="621">
        <f t="shared" si="1"/>
        <v>0</v>
      </c>
      <c r="H59" s="153">
        <v>1650389</v>
      </c>
      <c r="I59" s="233" t="s">
        <v>295</v>
      </c>
      <c r="J59" s="153" t="s">
        <v>31</v>
      </c>
      <c r="K59" s="153" t="s">
        <v>32</v>
      </c>
      <c r="L59" s="153">
        <v>92294150</v>
      </c>
      <c r="M59" s="598">
        <v>45945</v>
      </c>
      <c r="N59" s="598">
        <v>45758</v>
      </c>
    </row>
    <row r="60" spans="1:23" ht="21.75" customHeight="1" x14ac:dyDescent="0.25">
      <c r="A60" s="235">
        <v>1412</v>
      </c>
      <c r="B60" s="296" t="s">
        <v>296</v>
      </c>
      <c r="C60" s="619">
        <v>510</v>
      </c>
      <c r="D60" s="618">
        <v>0.4</v>
      </c>
      <c r="E60" s="617">
        <f t="shared" si="0"/>
        <v>204</v>
      </c>
      <c r="F60" s="617"/>
      <c r="G60" s="617">
        <f t="shared" si="1"/>
        <v>204</v>
      </c>
      <c r="H60" s="136">
        <v>312227</v>
      </c>
      <c r="I60" s="136" t="s">
        <v>297</v>
      </c>
      <c r="J60" s="136" t="s">
        <v>31</v>
      </c>
      <c r="K60" s="136" t="s">
        <v>32</v>
      </c>
      <c r="L60" s="136">
        <v>95414124</v>
      </c>
      <c r="M60" s="139"/>
    </row>
    <row r="61" spans="1:23" s="325" customFormat="1" ht="21.75" customHeight="1" x14ac:dyDescent="0.25">
      <c r="A61" s="230">
        <v>1413</v>
      </c>
      <c r="B61" s="153" t="s">
        <v>298</v>
      </c>
      <c r="C61" s="620">
        <v>261</v>
      </c>
      <c r="D61" s="621">
        <v>0.4</v>
      </c>
      <c r="E61" s="621">
        <f t="shared" si="0"/>
        <v>104.4</v>
      </c>
      <c r="F61" s="621">
        <f>E61</f>
        <v>104.4</v>
      </c>
      <c r="G61" s="621">
        <f t="shared" si="1"/>
        <v>0</v>
      </c>
      <c r="H61" s="153">
        <v>539906</v>
      </c>
      <c r="I61" s="233" t="s">
        <v>299</v>
      </c>
      <c r="J61" s="153" t="s">
        <v>52</v>
      </c>
      <c r="K61" s="153" t="s">
        <v>53</v>
      </c>
      <c r="L61" s="153"/>
      <c r="M61" s="598" t="s">
        <v>676</v>
      </c>
    </row>
    <row r="62" spans="1:23" s="17" customFormat="1" ht="21.75" customHeight="1" x14ac:dyDescent="0.25">
      <c r="A62" s="235">
        <v>1414</v>
      </c>
      <c r="B62" s="296" t="s">
        <v>300</v>
      </c>
      <c r="C62" s="619">
        <v>730.8</v>
      </c>
      <c r="D62" s="618">
        <v>0.4</v>
      </c>
      <c r="E62" s="617">
        <f t="shared" si="0"/>
        <v>292.32</v>
      </c>
      <c r="F62" s="617"/>
      <c r="G62" s="617">
        <f t="shared" si="1"/>
        <v>292.32</v>
      </c>
      <c r="H62" s="136">
        <v>9178238</v>
      </c>
      <c r="I62" s="311" t="s">
        <v>301</v>
      </c>
      <c r="J62" s="136" t="s">
        <v>52</v>
      </c>
      <c r="K62" s="136" t="s">
        <v>53</v>
      </c>
      <c r="L62" s="136">
        <v>91966140</v>
      </c>
      <c r="M62" s="321"/>
      <c r="O62" s="5"/>
      <c r="Q62" s="5"/>
      <c r="S62" s="5"/>
      <c r="U62" s="5"/>
      <c r="W62" s="5"/>
    </row>
    <row r="63" spans="1:23" s="325" customFormat="1" ht="21.75" customHeight="1" x14ac:dyDescent="0.25">
      <c r="A63" s="230">
        <v>1415</v>
      </c>
      <c r="B63" s="152" t="s">
        <v>549</v>
      </c>
      <c r="C63" s="620">
        <v>200.8</v>
      </c>
      <c r="D63" s="621">
        <v>0.4</v>
      </c>
      <c r="E63" s="621">
        <f t="shared" si="0"/>
        <v>80.320000000000007</v>
      </c>
      <c r="F63" s="621">
        <f>0.1+79.2+1.02</f>
        <v>80.319999999999993</v>
      </c>
      <c r="G63" s="621">
        <f t="shared" si="1"/>
        <v>0</v>
      </c>
      <c r="H63" s="153">
        <v>5334952</v>
      </c>
      <c r="I63" s="602" t="s">
        <v>576</v>
      </c>
      <c r="J63" s="153" t="s">
        <v>31</v>
      </c>
      <c r="K63" s="153" t="s">
        <v>32</v>
      </c>
      <c r="L63" s="153">
        <v>99806280</v>
      </c>
      <c r="M63" s="593" t="s">
        <v>674</v>
      </c>
      <c r="N63" s="590">
        <v>45945</v>
      </c>
      <c r="O63" s="589">
        <v>45972</v>
      </c>
    </row>
    <row r="64" spans="1:23" s="325" customFormat="1" ht="21.75" customHeight="1" x14ac:dyDescent="0.25">
      <c r="A64" s="230">
        <v>1417</v>
      </c>
      <c r="B64" s="152" t="s">
        <v>42</v>
      </c>
      <c r="C64" s="620">
        <v>374</v>
      </c>
      <c r="D64" s="621">
        <v>0.4</v>
      </c>
      <c r="E64" s="621">
        <f t="shared" si="0"/>
        <v>149.6</v>
      </c>
      <c r="F64" s="621">
        <f>E64</f>
        <v>149.6</v>
      </c>
      <c r="G64" s="621">
        <f t="shared" si="1"/>
        <v>0</v>
      </c>
      <c r="H64" s="153">
        <v>1252579</v>
      </c>
      <c r="I64" s="233" t="s">
        <v>43</v>
      </c>
      <c r="J64" s="153" t="s">
        <v>31</v>
      </c>
      <c r="K64" s="153" t="s">
        <v>32</v>
      </c>
      <c r="L64" s="153">
        <v>98520912</v>
      </c>
      <c r="M64" s="598" t="s">
        <v>685</v>
      </c>
    </row>
    <row r="65" spans="1:14" s="325" customFormat="1" ht="21.75" customHeight="1" x14ac:dyDescent="0.25">
      <c r="A65" s="230">
        <v>1418</v>
      </c>
      <c r="B65" s="152" t="s">
        <v>304</v>
      </c>
      <c r="C65" s="620">
        <v>332</v>
      </c>
      <c r="D65" s="621">
        <v>0.4</v>
      </c>
      <c r="E65" s="621">
        <f t="shared" si="0"/>
        <v>132.80000000000001</v>
      </c>
      <c r="F65" s="621">
        <f>128.32+4.48</f>
        <v>132.79999999999998</v>
      </c>
      <c r="G65" s="621">
        <f t="shared" si="1"/>
        <v>0</v>
      </c>
      <c r="H65" s="153">
        <v>9954378</v>
      </c>
      <c r="I65" s="233" t="s">
        <v>577</v>
      </c>
      <c r="J65" s="153" t="s">
        <v>31</v>
      </c>
      <c r="K65" s="153" t="s">
        <v>32</v>
      </c>
      <c r="L65" s="153">
        <v>99282423</v>
      </c>
      <c r="M65" s="593" t="s">
        <v>674</v>
      </c>
      <c r="N65" s="598" t="s">
        <v>678</v>
      </c>
    </row>
    <row r="66" spans="1:14" s="106" customFormat="1" ht="21.75" customHeight="1" x14ac:dyDescent="0.25">
      <c r="A66" s="205">
        <v>1419</v>
      </c>
      <c r="B66" s="206" t="s">
        <v>308</v>
      </c>
      <c r="C66" s="626">
        <v>606</v>
      </c>
      <c r="D66" s="627">
        <v>0.4</v>
      </c>
      <c r="E66" s="627">
        <f t="shared" si="0"/>
        <v>242.4</v>
      </c>
      <c r="F66" s="627">
        <f>E66</f>
        <v>242.4</v>
      </c>
      <c r="G66" s="627">
        <f t="shared" si="1"/>
        <v>0</v>
      </c>
      <c r="H66" s="209">
        <v>386821</v>
      </c>
      <c r="I66" s="210" t="s">
        <v>309</v>
      </c>
      <c r="J66" s="209" t="s">
        <v>31</v>
      </c>
      <c r="K66" s="209" t="s">
        <v>32</v>
      </c>
      <c r="L66" s="209">
        <v>99181419</v>
      </c>
      <c r="M66" s="615" t="s">
        <v>673</v>
      </c>
    </row>
    <row r="67" spans="1:14" ht="21.75" customHeight="1" x14ac:dyDescent="0.25">
      <c r="A67" s="235">
        <v>1420</v>
      </c>
      <c r="B67" s="296" t="s">
        <v>310</v>
      </c>
      <c r="C67" s="619">
        <v>459</v>
      </c>
      <c r="D67" s="618">
        <v>0.4</v>
      </c>
      <c r="E67" s="617">
        <f t="shared" si="0"/>
        <v>183.60000000000002</v>
      </c>
      <c r="F67" s="617"/>
      <c r="G67" s="617">
        <f t="shared" si="1"/>
        <v>183.60000000000002</v>
      </c>
      <c r="H67" s="136">
        <v>5460297</v>
      </c>
      <c r="I67" s="311" t="s">
        <v>311</v>
      </c>
      <c r="J67" s="136" t="s">
        <v>31</v>
      </c>
      <c r="K67" s="136" t="s">
        <v>32</v>
      </c>
      <c r="L67" s="136">
        <v>95898899</v>
      </c>
      <c r="M67" s="139"/>
    </row>
    <row r="68" spans="1:14" s="325" customFormat="1" ht="21.75" customHeight="1" x14ac:dyDescent="0.25">
      <c r="A68" s="230">
        <v>1421</v>
      </c>
      <c r="B68" s="152" t="s">
        <v>129</v>
      </c>
      <c r="C68" s="620">
        <v>493</v>
      </c>
      <c r="D68" s="621">
        <v>0.4</v>
      </c>
      <c r="E68" s="621">
        <f t="shared" ref="E68:E131" si="2">C68*D68</f>
        <v>197.20000000000002</v>
      </c>
      <c r="F68" s="621">
        <f>E68</f>
        <v>197.20000000000002</v>
      </c>
      <c r="G68" s="621">
        <f t="shared" ref="G68:G131" si="3">E68-F68</f>
        <v>0</v>
      </c>
      <c r="H68" s="153">
        <v>15314262</v>
      </c>
      <c r="I68" s="233" t="s">
        <v>130</v>
      </c>
      <c r="J68" s="153" t="s">
        <v>31</v>
      </c>
      <c r="K68" s="153" t="s">
        <v>32</v>
      </c>
      <c r="L68" s="153">
        <v>90333361</v>
      </c>
      <c r="M68" s="598" t="s">
        <v>676</v>
      </c>
    </row>
    <row r="69" spans="1:14" ht="21.75" customHeight="1" x14ac:dyDescent="0.25">
      <c r="A69" s="235">
        <v>1423</v>
      </c>
      <c r="B69" s="296" t="s">
        <v>131</v>
      </c>
      <c r="C69" s="619">
        <v>450</v>
      </c>
      <c r="D69" s="618">
        <v>0.4</v>
      </c>
      <c r="E69" s="617">
        <f t="shared" si="2"/>
        <v>180</v>
      </c>
      <c r="F69" s="617"/>
      <c r="G69" s="617">
        <f t="shared" si="3"/>
        <v>180</v>
      </c>
      <c r="H69" s="136">
        <v>5044397</v>
      </c>
      <c r="I69" s="311" t="s">
        <v>132</v>
      </c>
      <c r="J69" s="136" t="s">
        <v>31</v>
      </c>
      <c r="K69" s="136" t="s">
        <v>32</v>
      </c>
      <c r="L69" s="136">
        <v>99580550</v>
      </c>
      <c r="M69" s="139"/>
    </row>
    <row r="70" spans="1:14" s="325" customFormat="1" ht="21.75" customHeight="1" x14ac:dyDescent="0.25">
      <c r="A70" s="230">
        <v>1425</v>
      </c>
      <c r="B70" s="152" t="s">
        <v>312</v>
      </c>
      <c r="C70" s="620">
        <v>431.2</v>
      </c>
      <c r="D70" s="621">
        <v>0.4</v>
      </c>
      <c r="E70" s="621">
        <f t="shared" si="2"/>
        <v>172.48000000000002</v>
      </c>
      <c r="F70" s="621">
        <f>172.19+0.29</f>
        <v>172.48</v>
      </c>
      <c r="G70" s="621">
        <f t="shared" si="3"/>
        <v>0</v>
      </c>
      <c r="H70" s="153">
        <v>5614623</v>
      </c>
      <c r="I70" s="233" t="s">
        <v>313</v>
      </c>
      <c r="J70" s="153" t="s">
        <v>31</v>
      </c>
      <c r="K70" s="153" t="s">
        <v>32</v>
      </c>
      <c r="L70" s="153">
        <v>99583112</v>
      </c>
      <c r="M70" s="598">
        <v>45945</v>
      </c>
      <c r="N70" s="598">
        <v>45758</v>
      </c>
    </row>
    <row r="71" spans="1:14" s="325" customFormat="1" ht="21.75" customHeight="1" x14ac:dyDescent="0.25">
      <c r="A71" s="595">
        <v>1426</v>
      </c>
      <c r="B71" s="152" t="s">
        <v>314</v>
      </c>
      <c r="C71" s="620">
        <v>430.7</v>
      </c>
      <c r="D71" s="621">
        <v>0.4</v>
      </c>
      <c r="E71" s="621">
        <f t="shared" si="2"/>
        <v>172.28</v>
      </c>
      <c r="F71" s="621">
        <f>E71</f>
        <v>172.28</v>
      </c>
      <c r="G71" s="621">
        <f t="shared" si="3"/>
        <v>0</v>
      </c>
      <c r="H71" s="153">
        <v>2160707</v>
      </c>
      <c r="I71" s="233" t="s">
        <v>315</v>
      </c>
      <c r="J71" s="153" t="s">
        <v>71</v>
      </c>
      <c r="K71" s="153" t="s">
        <v>72</v>
      </c>
      <c r="L71" s="153">
        <v>92280327</v>
      </c>
      <c r="M71" s="598" t="s">
        <v>676</v>
      </c>
    </row>
    <row r="72" spans="1:14" s="325" customFormat="1" ht="21.75" customHeight="1" x14ac:dyDescent="0.25">
      <c r="A72" s="230">
        <v>1427</v>
      </c>
      <c r="B72" s="152" t="s">
        <v>134</v>
      </c>
      <c r="C72" s="620">
        <v>234.8</v>
      </c>
      <c r="D72" s="621">
        <v>0.4</v>
      </c>
      <c r="E72" s="621">
        <f t="shared" si="2"/>
        <v>93.920000000000016</v>
      </c>
      <c r="F72" s="621">
        <f>E72</f>
        <v>93.920000000000016</v>
      </c>
      <c r="G72" s="621">
        <f t="shared" si="3"/>
        <v>0</v>
      </c>
      <c r="H72" s="153">
        <v>24171637</v>
      </c>
      <c r="I72" s="233" t="s">
        <v>135</v>
      </c>
      <c r="J72" s="153" t="s">
        <v>31</v>
      </c>
      <c r="K72" s="153" t="s">
        <v>32</v>
      </c>
      <c r="L72" s="153">
        <v>97030409</v>
      </c>
      <c r="M72" s="598" t="s">
        <v>676</v>
      </c>
    </row>
    <row r="73" spans="1:14" s="325" customFormat="1" ht="21.75" customHeight="1" x14ac:dyDescent="0.25">
      <c r="A73" s="230">
        <v>1428</v>
      </c>
      <c r="B73" s="152" t="s">
        <v>316</v>
      </c>
      <c r="C73" s="620">
        <v>231.4</v>
      </c>
      <c r="D73" s="621">
        <v>0.4</v>
      </c>
      <c r="E73" s="621">
        <f t="shared" si="2"/>
        <v>92.56</v>
      </c>
      <c r="F73" s="621">
        <f>92.1+0.46</f>
        <v>92.559999999999988</v>
      </c>
      <c r="G73" s="621">
        <f t="shared" si="3"/>
        <v>0</v>
      </c>
      <c r="H73" s="153">
        <v>921364</v>
      </c>
      <c r="I73" s="622" t="s">
        <v>317</v>
      </c>
      <c r="J73" s="153" t="s">
        <v>90</v>
      </c>
      <c r="K73" s="153" t="s">
        <v>32</v>
      </c>
      <c r="L73" s="153">
        <v>92599597</v>
      </c>
      <c r="M73" s="598" t="s">
        <v>676</v>
      </c>
      <c r="N73" s="598" t="s">
        <v>687</v>
      </c>
    </row>
    <row r="74" spans="1:14" s="325" customFormat="1" ht="21.75" customHeight="1" x14ac:dyDescent="0.25">
      <c r="A74" s="230">
        <v>1430</v>
      </c>
      <c r="B74" s="152" t="s">
        <v>136</v>
      </c>
      <c r="C74" s="620">
        <v>238</v>
      </c>
      <c r="D74" s="621">
        <v>0.4</v>
      </c>
      <c r="E74" s="621">
        <f t="shared" si="2"/>
        <v>95.2</v>
      </c>
      <c r="F74" s="621">
        <f>94.98+0.22</f>
        <v>95.2</v>
      </c>
      <c r="G74" s="621">
        <f t="shared" si="3"/>
        <v>0</v>
      </c>
      <c r="H74" s="153">
        <v>564698</v>
      </c>
      <c r="I74" s="233" t="s">
        <v>137</v>
      </c>
      <c r="J74" s="153" t="s">
        <v>31</v>
      </c>
      <c r="K74" s="153" t="s">
        <v>32</v>
      </c>
      <c r="L74" s="153">
        <v>99189793</v>
      </c>
      <c r="M74" s="598">
        <v>45945</v>
      </c>
      <c r="N74" s="598">
        <v>45758</v>
      </c>
    </row>
    <row r="75" spans="1:14" ht="21.75" customHeight="1" x14ac:dyDescent="0.25">
      <c r="A75" s="235">
        <v>1432</v>
      </c>
      <c r="B75" s="296" t="s">
        <v>318</v>
      </c>
      <c r="C75" s="619">
        <v>560.9</v>
      </c>
      <c r="D75" s="618">
        <v>0.4</v>
      </c>
      <c r="E75" s="617">
        <f t="shared" si="2"/>
        <v>224.36</v>
      </c>
      <c r="F75" s="617"/>
      <c r="G75" s="617">
        <f t="shared" si="3"/>
        <v>224.36</v>
      </c>
      <c r="H75" s="136">
        <v>5004855</v>
      </c>
      <c r="I75" s="311" t="s">
        <v>319</v>
      </c>
      <c r="J75" s="136" t="s">
        <v>52</v>
      </c>
      <c r="K75" s="136" t="s">
        <v>53</v>
      </c>
      <c r="L75" s="136">
        <v>99899962</v>
      </c>
      <c r="M75" s="139"/>
    </row>
    <row r="76" spans="1:14" s="325" customFormat="1" ht="21.75" customHeight="1" x14ac:dyDescent="0.25">
      <c r="A76" s="230">
        <v>1433</v>
      </c>
      <c r="B76" s="152" t="s">
        <v>320</v>
      </c>
      <c r="C76" s="620">
        <v>562</v>
      </c>
      <c r="D76" s="621">
        <v>0.4</v>
      </c>
      <c r="E76" s="621">
        <f t="shared" si="2"/>
        <v>224.8</v>
      </c>
      <c r="F76" s="621">
        <f>222.05+2.75</f>
        <v>224.8</v>
      </c>
      <c r="G76" s="621">
        <f t="shared" si="3"/>
        <v>0</v>
      </c>
      <c r="H76" s="153">
        <v>285841</v>
      </c>
      <c r="I76" s="233" t="s">
        <v>321</v>
      </c>
      <c r="J76" s="153" t="s">
        <v>31</v>
      </c>
      <c r="K76" s="153" t="s">
        <v>32</v>
      </c>
      <c r="L76" s="153">
        <v>92958552</v>
      </c>
      <c r="M76" s="589">
        <v>45788</v>
      </c>
      <c r="N76" s="598" t="s">
        <v>700</v>
      </c>
    </row>
    <row r="77" spans="1:14" s="325" customFormat="1" ht="21.75" customHeight="1" x14ac:dyDescent="0.25">
      <c r="A77" s="595">
        <v>1434</v>
      </c>
      <c r="B77" s="152" t="s">
        <v>138</v>
      </c>
      <c r="C77" s="620">
        <v>272.8</v>
      </c>
      <c r="D77" s="621">
        <v>0.4</v>
      </c>
      <c r="E77" s="621">
        <f t="shared" si="2"/>
        <v>109.12</v>
      </c>
      <c r="F77" s="621">
        <f>106.43+2.69</f>
        <v>109.12</v>
      </c>
      <c r="G77" s="621">
        <f t="shared" si="3"/>
        <v>0</v>
      </c>
      <c r="H77" s="153">
        <v>19197503</v>
      </c>
      <c r="I77" s="233" t="s">
        <v>139</v>
      </c>
      <c r="J77" s="153" t="s">
        <v>31</v>
      </c>
      <c r="K77" s="153" t="s">
        <v>32</v>
      </c>
      <c r="L77" s="153">
        <v>92466605</v>
      </c>
      <c r="M77" s="593" t="s">
        <v>701</v>
      </c>
      <c r="N77" s="325" t="s">
        <v>703</v>
      </c>
    </row>
    <row r="78" spans="1:14" s="325" customFormat="1" ht="21.75" customHeight="1" x14ac:dyDescent="0.25">
      <c r="A78" s="595">
        <v>1435</v>
      </c>
      <c r="B78" s="152" t="s">
        <v>45</v>
      </c>
      <c r="C78" s="620">
        <v>727</v>
      </c>
      <c r="D78" s="621">
        <v>0.4</v>
      </c>
      <c r="E78" s="621">
        <f t="shared" si="2"/>
        <v>290.8</v>
      </c>
      <c r="F78" s="621">
        <f>289.55+1.25</f>
        <v>290.8</v>
      </c>
      <c r="G78" s="621">
        <f t="shared" si="3"/>
        <v>0</v>
      </c>
      <c r="H78" s="153">
        <v>1305522</v>
      </c>
      <c r="I78" s="233" t="s">
        <v>46</v>
      </c>
      <c r="J78" s="153" t="s">
        <v>31</v>
      </c>
      <c r="K78" s="153" t="s">
        <v>32</v>
      </c>
      <c r="L78" s="153">
        <v>93246263</v>
      </c>
      <c r="M78" s="598">
        <v>45945</v>
      </c>
      <c r="N78" s="589">
        <v>45972</v>
      </c>
    </row>
    <row r="79" spans="1:14" s="325" customFormat="1" ht="21.75" customHeight="1" x14ac:dyDescent="0.25">
      <c r="A79" s="595">
        <v>1437</v>
      </c>
      <c r="B79" s="152" t="s">
        <v>143</v>
      </c>
      <c r="C79" s="620">
        <v>488</v>
      </c>
      <c r="D79" s="621">
        <v>0.4</v>
      </c>
      <c r="E79" s="621">
        <f t="shared" si="2"/>
        <v>195.20000000000002</v>
      </c>
      <c r="F79" s="621">
        <f>191.34+3.86</f>
        <v>195.20000000000002</v>
      </c>
      <c r="G79" s="621">
        <f t="shared" si="3"/>
        <v>0</v>
      </c>
      <c r="H79" s="153">
        <v>9685144</v>
      </c>
      <c r="I79" s="233" t="s">
        <v>144</v>
      </c>
      <c r="J79" s="153" t="s">
        <v>127</v>
      </c>
      <c r="K79" s="153" t="s">
        <v>128</v>
      </c>
      <c r="L79" s="153">
        <v>96907302</v>
      </c>
      <c r="M79" s="598">
        <v>45945</v>
      </c>
      <c r="N79" s="598" t="s">
        <v>687</v>
      </c>
    </row>
    <row r="80" spans="1:14" s="325" customFormat="1" ht="21.75" customHeight="1" x14ac:dyDescent="0.25">
      <c r="A80" s="230">
        <v>1438</v>
      </c>
      <c r="B80" s="152" t="s">
        <v>145</v>
      </c>
      <c r="C80" s="620">
        <v>750</v>
      </c>
      <c r="D80" s="621">
        <v>0.4</v>
      </c>
      <c r="E80" s="621">
        <f t="shared" si="2"/>
        <v>300</v>
      </c>
      <c r="F80" s="621">
        <f>E80</f>
        <v>300</v>
      </c>
      <c r="G80" s="621">
        <f t="shared" si="3"/>
        <v>0</v>
      </c>
      <c r="H80" s="153">
        <v>656621</v>
      </c>
      <c r="I80" s="233" t="s">
        <v>146</v>
      </c>
      <c r="J80" s="153" t="s">
        <v>26</v>
      </c>
      <c r="K80" s="153" t="s">
        <v>27</v>
      </c>
      <c r="L80" s="153">
        <v>92509804</v>
      </c>
      <c r="M80" s="598" t="s">
        <v>676</v>
      </c>
    </row>
    <row r="81" spans="1:14" ht="21.75" customHeight="1" x14ac:dyDescent="0.25">
      <c r="A81" s="235">
        <v>1439</v>
      </c>
      <c r="B81" s="296" t="s">
        <v>323</v>
      </c>
      <c r="C81" s="619">
        <v>368</v>
      </c>
      <c r="D81" s="618">
        <v>0.4</v>
      </c>
      <c r="E81" s="617">
        <f t="shared" si="2"/>
        <v>147.20000000000002</v>
      </c>
      <c r="F81" s="617">
        <f>E81</f>
        <v>147.20000000000002</v>
      </c>
      <c r="G81" s="617">
        <f t="shared" si="3"/>
        <v>0</v>
      </c>
      <c r="H81" s="136">
        <v>18880548</v>
      </c>
      <c r="I81" s="311" t="s">
        <v>324</v>
      </c>
      <c r="J81" s="136" t="s">
        <v>31</v>
      </c>
      <c r="K81" s="136" t="s">
        <v>32</v>
      </c>
      <c r="L81" s="136">
        <v>98901515</v>
      </c>
      <c r="M81" s="598">
        <v>45945</v>
      </c>
    </row>
    <row r="82" spans="1:14" s="325" customFormat="1" ht="21.75" customHeight="1" x14ac:dyDescent="0.25">
      <c r="A82" s="230">
        <v>1441</v>
      </c>
      <c r="B82" s="152" t="s">
        <v>325</v>
      </c>
      <c r="C82" s="620">
        <v>407.4</v>
      </c>
      <c r="D82" s="621">
        <v>0.4</v>
      </c>
      <c r="E82" s="621">
        <f t="shared" si="2"/>
        <v>162.96</v>
      </c>
      <c r="F82" s="621">
        <f>E82</f>
        <v>162.96</v>
      </c>
      <c r="G82" s="621">
        <f t="shared" si="3"/>
        <v>0</v>
      </c>
      <c r="H82" s="153">
        <v>7285624</v>
      </c>
      <c r="I82" s="233" t="s">
        <v>326</v>
      </c>
      <c r="J82" s="153" t="s">
        <v>121</v>
      </c>
      <c r="K82" s="153"/>
      <c r="L82" s="153">
        <v>93587666</v>
      </c>
      <c r="M82" s="598" t="s">
        <v>677</v>
      </c>
    </row>
    <row r="83" spans="1:14" ht="21.75" customHeight="1" x14ac:dyDescent="0.25">
      <c r="A83" s="235">
        <v>1444</v>
      </c>
      <c r="B83" s="296" t="s">
        <v>327</v>
      </c>
      <c r="C83" s="619">
        <v>580</v>
      </c>
      <c r="D83" s="618">
        <v>0.4</v>
      </c>
      <c r="E83" s="617">
        <f t="shared" si="2"/>
        <v>232</v>
      </c>
      <c r="F83" s="617"/>
      <c r="G83" s="617">
        <f t="shared" si="3"/>
        <v>232</v>
      </c>
      <c r="H83" s="136">
        <v>13487202</v>
      </c>
      <c r="I83" s="311" t="s">
        <v>328</v>
      </c>
      <c r="J83" s="136" t="s">
        <v>31</v>
      </c>
      <c r="K83" s="136" t="s">
        <v>32</v>
      </c>
      <c r="L83" s="136">
        <v>92244429</v>
      </c>
      <c r="M83" s="139"/>
    </row>
    <row r="84" spans="1:14" s="325" customFormat="1" ht="21.75" customHeight="1" x14ac:dyDescent="0.25">
      <c r="A84" s="596">
        <v>1448</v>
      </c>
      <c r="B84" s="152" t="s">
        <v>147</v>
      </c>
      <c r="C84" s="620">
        <v>315.89999999999998</v>
      </c>
      <c r="D84" s="621">
        <v>0.4</v>
      </c>
      <c r="E84" s="621">
        <f t="shared" si="2"/>
        <v>126.36</v>
      </c>
      <c r="F84" s="621">
        <f>121.81+4.55</f>
        <v>126.36</v>
      </c>
      <c r="G84" s="621">
        <f t="shared" si="3"/>
        <v>0</v>
      </c>
      <c r="H84" s="597">
        <v>26433121</v>
      </c>
      <c r="I84" s="597" t="s">
        <v>148</v>
      </c>
      <c r="J84" s="597" t="s">
        <v>31</v>
      </c>
      <c r="K84" s="153" t="s">
        <v>32</v>
      </c>
      <c r="L84" s="597">
        <v>93229244</v>
      </c>
      <c r="M84" s="598">
        <v>45945</v>
      </c>
      <c r="N84" s="598">
        <v>45758</v>
      </c>
    </row>
    <row r="85" spans="1:14" ht="21.75" customHeight="1" x14ac:dyDescent="0.25">
      <c r="A85" s="235">
        <v>1451</v>
      </c>
      <c r="B85" s="296" t="s">
        <v>329</v>
      </c>
      <c r="C85" s="619">
        <v>266</v>
      </c>
      <c r="D85" s="618">
        <v>0.4</v>
      </c>
      <c r="E85" s="617">
        <f t="shared" si="2"/>
        <v>106.4</v>
      </c>
      <c r="F85" s="617"/>
      <c r="G85" s="617">
        <f t="shared" si="3"/>
        <v>106.4</v>
      </c>
      <c r="H85" s="136">
        <v>20337612</v>
      </c>
      <c r="I85" s="311" t="s">
        <v>330</v>
      </c>
      <c r="J85" s="136" t="s">
        <v>31</v>
      </c>
      <c r="K85" s="136" t="s">
        <v>32</v>
      </c>
      <c r="L85" s="136">
        <v>98829667</v>
      </c>
      <c r="M85" s="321"/>
    </row>
    <row r="86" spans="1:14" s="325" customFormat="1" ht="21.75" customHeight="1" x14ac:dyDescent="0.25">
      <c r="A86" s="230">
        <v>1453</v>
      </c>
      <c r="B86" s="152" t="s">
        <v>331</v>
      </c>
      <c r="C86" s="620">
        <v>256</v>
      </c>
      <c r="D86" s="621">
        <v>0.4</v>
      </c>
      <c r="E86" s="621">
        <f t="shared" si="2"/>
        <v>102.4</v>
      </c>
      <c r="F86" s="621">
        <f>E86</f>
        <v>102.4</v>
      </c>
      <c r="G86" s="621">
        <f t="shared" si="3"/>
        <v>0</v>
      </c>
      <c r="H86" s="153">
        <v>5460259</v>
      </c>
      <c r="I86" s="233" t="s">
        <v>332</v>
      </c>
      <c r="J86" s="153" t="s">
        <v>155</v>
      </c>
      <c r="K86" s="153" t="s">
        <v>156</v>
      </c>
      <c r="L86" s="153">
        <v>90199947</v>
      </c>
      <c r="M86" s="598" t="s">
        <v>676</v>
      </c>
    </row>
    <row r="87" spans="1:14" s="325" customFormat="1" ht="21.75" customHeight="1" x14ac:dyDescent="0.25">
      <c r="A87" s="230">
        <v>1455</v>
      </c>
      <c r="B87" s="152" t="s">
        <v>333</v>
      </c>
      <c r="C87" s="620">
        <v>448</v>
      </c>
      <c r="D87" s="621">
        <v>0.4</v>
      </c>
      <c r="E87" s="621">
        <f t="shared" si="2"/>
        <v>179.20000000000002</v>
      </c>
      <c r="F87" s="621">
        <f>177.5+1.7</f>
        <v>179.2</v>
      </c>
      <c r="G87" s="621">
        <f t="shared" si="3"/>
        <v>0</v>
      </c>
      <c r="H87" s="153">
        <v>9954383</v>
      </c>
      <c r="I87" s="233" t="s">
        <v>334</v>
      </c>
      <c r="J87" s="153" t="s">
        <v>31</v>
      </c>
      <c r="K87" s="153" t="s">
        <v>32</v>
      </c>
      <c r="L87" s="153">
        <v>93270751</v>
      </c>
      <c r="M87" s="598">
        <v>45945</v>
      </c>
      <c r="N87" s="598">
        <v>45758</v>
      </c>
    </row>
    <row r="88" spans="1:14" s="325" customFormat="1" ht="21.75" customHeight="1" x14ac:dyDescent="0.25">
      <c r="A88" s="230">
        <v>1462</v>
      </c>
      <c r="B88" s="152" t="s">
        <v>48</v>
      </c>
      <c r="C88" s="620">
        <v>259.10000000000002</v>
      </c>
      <c r="D88" s="621">
        <v>0.4</v>
      </c>
      <c r="E88" s="621">
        <f t="shared" si="2"/>
        <v>103.64000000000001</v>
      </c>
      <c r="F88" s="621">
        <f>99.86+3.78</f>
        <v>103.64</v>
      </c>
      <c r="G88" s="621">
        <f t="shared" si="3"/>
        <v>0</v>
      </c>
      <c r="H88" s="153">
        <v>9664038</v>
      </c>
      <c r="I88" s="153" t="s">
        <v>49</v>
      </c>
      <c r="J88" s="153" t="s">
        <v>31</v>
      </c>
      <c r="K88" s="153" t="s">
        <v>32</v>
      </c>
      <c r="L88" s="153">
        <v>92989674</v>
      </c>
      <c r="M88" s="598">
        <v>45945</v>
      </c>
      <c r="N88" s="589">
        <v>45788</v>
      </c>
    </row>
    <row r="89" spans="1:14" s="325" customFormat="1" ht="21.75" customHeight="1" x14ac:dyDescent="0.25">
      <c r="A89" s="230">
        <v>1463</v>
      </c>
      <c r="B89" s="152" t="s">
        <v>50</v>
      </c>
      <c r="C89" s="620">
        <v>405</v>
      </c>
      <c r="D89" s="621">
        <v>0.4</v>
      </c>
      <c r="E89" s="621">
        <f t="shared" si="2"/>
        <v>162</v>
      </c>
      <c r="F89" s="621">
        <f>E89</f>
        <v>162</v>
      </c>
      <c r="G89" s="621">
        <f t="shared" si="3"/>
        <v>0</v>
      </c>
      <c r="H89" s="153">
        <v>3798072</v>
      </c>
      <c r="I89" s="233" t="s">
        <v>51</v>
      </c>
      <c r="J89" s="153" t="s">
        <v>52</v>
      </c>
      <c r="K89" s="153" t="s">
        <v>53</v>
      </c>
      <c r="L89" s="153">
        <v>99480608</v>
      </c>
      <c r="M89" s="598">
        <v>45669</v>
      </c>
    </row>
    <row r="90" spans="1:14" s="325" customFormat="1" ht="21.75" customHeight="1" x14ac:dyDescent="0.25">
      <c r="A90" s="230">
        <v>1464</v>
      </c>
      <c r="B90" s="152" t="s">
        <v>335</v>
      </c>
      <c r="C90" s="620">
        <v>476.8</v>
      </c>
      <c r="D90" s="621">
        <v>0.4</v>
      </c>
      <c r="E90" s="621">
        <f t="shared" si="2"/>
        <v>190.72000000000003</v>
      </c>
      <c r="F90" s="621">
        <f>E90</f>
        <v>190.72000000000003</v>
      </c>
      <c r="G90" s="621">
        <f t="shared" si="3"/>
        <v>0</v>
      </c>
      <c r="H90" s="153">
        <v>6352996</v>
      </c>
      <c r="I90" s="233" t="s">
        <v>336</v>
      </c>
      <c r="J90" s="153" t="s">
        <v>52</v>
      </c>
      <c r="K90" s="153" t="s">
        <v>53</v>
      </c>
      <c r="L90" s="153">
        <v>92463267</v>
      </c>
      <c r="M90" s="589">
        <v>45972</v>
      </c>
    </row>
    <row r="91" spans="1:14" ht="21.75" customHeight="1" x14ac:dyDescent="0.25">
      <c r="A91" s="235">
        <v>1467</v>
      </c>
      <c r="B91" s="136" t="s">
        <v>337</v>
      </c>
      <c r="C91" s="619">
        <v>360.6</v>
      </c>
      <c r="D91" s="618">
        <v>0.4</v>
      </c>
      <c r="E91" s="617">
        <f t="shared" si="2"/>
        <v>144.24</v>
      </c>
      <c r="F91" s="617"/>
      <c r="G91" s="617">
        <f t="shared" si="3"/>
        <v>144.24</v>
      </c>
      <c r="H91" s="136">
        <v>4279933</v>
      </c>
      <c r="I91" s="311" t="s">
        <v>338</v>
      </c>
      <c r="J91" s="136" t="s">
        <v>52</v>
      </c>
      <c r="K91" s="136" t="s">
        <v>53</v>
      </c>
      <c r="L91" s="136">
        <v>98510166</v>
      </c>
      <c r="M91" s="139"/>
    </row>
    <row r="92" spans="1:14" s="325" customFormat="1" ht="21.75" customHeight="1" x14ac:dyDescent="0.25">
      <c r="A92" s="230">
        <v>1468</v>
      </c>
      <c r="B92" s="613" t="s">
        <v>149</v>
      </c>
      <c r="C92" s="620">
        <v>495.5</v>
      </c>
      <c r="D92" s="621">
        <v>0.4</v>
      </c>
      <c r="E92" s="621">
        <f t="shared" si="2"/>
        <v>198.20000000000002</v>
      </c>
      <c r="F92" s="621">
        <f>E92</f>
        <v>198.20000000000002</v>
      </c>
      <c r="G92" s="621">
        <f t="shared" si="3"/>
        <v>0</v>
      </c>
      <c r="H92" s="153">
        <v>6996485</v>
      </c>
      <c r="I92" s="233" t="s">
        <v>150</v>
      </c>
      <c r="J92" s="153" t="s">
        <v>31</v>
      </c>
      <c r="K92" s="153" t="s">
        <v>32</v>
      </c>
      <c r="L92" s="153">
        <v>92947741</v>
      </c>
      <c r="M92" s="598" t="s">
        <v>681</v>
      </c>
    </row>
    <row r="93" spans="1:14" s="325" customFormat="1" ht="21.75" customHeight="1" x14ac:dyDescent="0.25">
      <c r="A93" s="230">
        <v>1472</v>
      </c>
      <c r="B93" s="152" t="s">
        <v>554</v>
      </c>
      <c r="C93" s="620">
        <v>379.4</v>
      </c>
      <c r="D93" s="621">
        <v>0.4</v>
      </c>
      <c r="E93" s="621">
        <f t="shared" si="2"/>
        <v>151.76</v>
      </c>
      <c r="F93" s="621">
        <f>149.83+1.93</f>
        <v>151.76000000000002</v>
      </c>
      <c r="G93" s="621">
        <f t="shared" si="3"/>
        <v>0</v>
      </c>
      <c r="H93" s="153">
        <v>12987814</v>
      </c>
      <c r="I93" s="233" t="s">
        <v>578</v>
      </c>
      <c r="J93" s="153" t="s">
        <v>26</v>
      </c>
      <c r="K93" s="153" t="s">
        <v>27</v>
      </c>
      <c r="L93" s="153">
        <v>99365173</v>
      </c>
      <c r="M93" s="598">
        <v>45945</v>
      </c>
      <c r="N93" s="598" t="s">
        <v>687</v>
      </c>
    </row>
    <row r="94" spans="1:14" ht="21.75" customHeight="1" x14ac:dyDescent="0.25">
      <c r="A94" s="235">
        <v>1473</v>
      </c>
      <c r="B94" s="296" t="s">
        <v>341</v>
      </c>
      <c r="C94" s="619">
        <v>441.5</v>
      </c>
      <c r="D94" s="618">
        <v>0.4</v>
      </c>
      <c r="E94" s="617">
        <f t="shared" si="2"/>
        <v>176.60000000000002</v>
      </c>
      <c r="F94" s="617"/>
      <c r="G94" s="617">
        <f t="shared" si="3"/>
        <v>176.60000000000002</v>
      </c>
      <c r="H94" s="136">
        <v>18722784</v>
      </c>
      <c r="I94" s="136" t="s">
        <v>342</v>
      </c>
      <c r="J94" s="136" t="s">
        <v>52</v>
      </c>
      <c r="K94" s="136" t="s">
        <v>53</v>
      </c>
      <c r="L94" s="136">
        <v>98900644</v>
      </c>
      <c r="M94" s="140"/>
    </row>
    <row r="95" spans="1:14" s="325" customFormat="1" ht="21.75" customHeight="1" x14ac:dyDescent="0.25">
      <c r="A95" s="230">
        <v>1475</v>
      </c>
      <c r="B95" s="613" t="s">
        <v>151</v>
      </c>
      <c r="C95" s="620">
        <v>265</v>
      </c>
      <c r="D95" s="621">
        <v>0.4</v>
      </c>
      <c r="E95" s="621">
        <f t="shared" si="2"/>
        <v>106</v>
      </c>
      <c r="F95" s="621">
        <f>103.53+2.47</f>
        <v>106</v>
      </c>
      <c r="G95" s="621">
        <f t="shared" si="3"/>
        <v>0</v>
      </c>
      <c r="H95" s="153">
        <v>4584011</v>
      </c>
      <c r="I95" s="233" t="s">
        <v>152</v>
      </c>
      <c r="J95" s="153" t="s">
        <v>31</v>
      </c>
      <c r="K95" s="153" t="s">
        <v>32</v>
      </c>
      <c r="L95" s="153">
        <v>98822862</v>
      </c>
      <c r="M95" s="598">
        <v>45945</v>
      </c>
      <c r="N95" s="325" t="s">
        <v>702</v>
      </c>
    </row>
    <row r="96" spans="1:14" s="325" customFormat="1" ht="21.75" customHeight="1" x14ac:dyDescent="0.25">
      <c r="A96" s="230">
        <v>1476</v>
      </c>
      <c r="B96" s="153" t="s">
        <v>343</v>
      </c>
      <c r="C96" s="620">
        <v>245.8</v>
      </c>
      <c r="D96" s="621">
        <v>0.4</v>
      </c>
      <c r="E96" s="621">
        <f t="shared" si="2"/>
        <v>98.320000000000007</v>
      </c>
      <c r="F96" s="621">
        <f>E96</f>
        <v>98.320000000000007</v>
      </c>
      <c r="G96" s="621">
        <f t="shared" si="3"/>
        <v>0</v>
      </c>
      <c r="H96" s="153">
        <v>5486858</v>
      </c>
      <c r="I96" s="233" t="s">
        <v>344</v>
      </c>
      <c r="J96" s="153" t="s">
        <v>26</v>
      </c>
      <c r="K96" s="153" t="s">
        <v>27</v>
      </c>
      <c r="L96" s="153">
        <v>99019634</v>
      </c>
      <c r="M96" s="598" t="s">
        <v>676</v>
      </c>
    </row>
    <row r="97" spans="1:23" ht="21.75" customHeight="1" x14ac:dyDescent="0.25">
      <c r="A97" s="235">
        <v>1477</v>
      </c>
      <c r="B97" s="296" t="s">
        <v>345</v>
      </c>
      <c r="C97" s="619">
        <v>225.1</v>
      </c>
      <c r="D97" s="618">
        <v>0.4</v>
      </c>
      <c r="E97" s="617">
        <f t="shared" si="2"/>
        <v>90.04</v>
      </c>
      <c r="F97" s="617"/>
      <c r="G97" s="617">
        <f t="shared" si="3"/>
        <v>90.04</v>
      </c>
      <c r="H97" s="136">
        <v>18656494</v>
      </c>
      <c r="I97" s="136" t="s">
        <v>346</v>
      </c>
      <c r="J97" s="136" t="s">
        <v>31</v>
      </c>
      <c r="K97" s="136" t="s">
        <v>32</v>
      </c>
      <c r="L97" s="136">
        <v>92610234</v>
      </c>
      <c r="M97" s="140"/>
    </row>
    <row r="98" spans="1:23" s="325" customFormat="1" ht="21.75" customHeight="1" x14ac:dyDescent="0.25">
      <c r="A98" s="230">
        <v>1480</v>
      </c>
      <c r="B98" s="152" t="s">
        <v>347</v>
      </c>
      <c r="C98" s="620">
        <v>255</v>
      </c>
      <c r="D98" s="621">
        <v>0.4</v>
      </c>
      <c r="E98" s="621">
        <f t="shared" si="2"/>
        <v>102</v>
      </c>
      <c r="F98" s="621">
        <f>98.22+3.78</f>
        <v>102</v>
      </c>
      <c r="G98" s="621">
        <f t="shared" si="3"/>
        <v>0</v>
      </c>
      <c r="H98" s="153">
        <v>19820777</v>
      </c>
      <c r="I98" s="153" t="s">
        <v>348</v>
      </c>
      <c r="J98" s="153" t="s">
        <v>31</v>
      </c>
      <c r="K98" s="153" t="s">
        <v>32</v>
      </c>
      <c r="L98" s="153">
        <v>92525031</v>
      </c>
      <c r="M98" s="598">
        <v>45945</v>
      </c>
      <c r="N98" s="598">
        <v>45758</v>
      </c>
    </row>
    <row r="99" spans="1:23" s="325" customFormat="1" ht="21.75" customHeight="1" x14ac:dyDescent="0.25">
      <c r="A99" s="230">
        <v>1482</v>
      </c>
      <c r="B99" s="152" t="s">
        <v>349</v>
      </c>
      <c r="C99" s="620">
        <v>455</v>
      </c>
      <c r="D99" s="621">
        <v>0.4</v>
      </c>
      <c r="E99" s="621">
        <f t="shared" si="2"/>
        <v>182</v>
      </c>
      <c r="F99" s="621">
        <f>E99</f>
        <v>182</v>
      </c>
      <c r="G99" s="621">
        <f t="shared" si="3"/>
        <v>0</v>
      </c>
      <c r="H99" s="153">
        <v>4024306</v>
      </c>
      <c r="I99" s="233" t="s">
        <v>350</v>
      </c>
      <c r="J99" s="153" t="s">
        <v>52</v>
      </c>
      <c r="K99" s="153" t="s">
        <v>53</v>
      </c>
      <c r="L99" s="153">
        <v>94453330</v>
      </c>
      <c r="M99" s="598">
        <v>45912</v>
      </c>
    </row>
    <row r="100" spans="1:23" s="17" customFormat="1" ht="26.25" customHeight="1" x14ac:dyDescent="0.25">
      <c r="A100" s="235">
        <v>1485</v>
      </c>
      <c r="B100" s="296" t="s">
        <v>352</v>
      </c>
      <c r="C100" s="619">
        <v>244.6</v>
      </c>
      <c r="D100" s="618">
        <v>0.4</v>
      </c>
      <c r="E100" s="617">
        <f t="shared" si="2"/>
        <v>97.84</v>
      </c>
      <c r="F100" s="617">
        <f>E100</f>
        <v>97.84</v>
      </c>
      <c r="G100" s="617">
        <f t="shared" si="3"/>
        <v>0</v>
      </c>
      <c r="H100" s="136">
        <v>18585573</v>
      </c>
      <c r="I100" s="311" t="s">
        <v>353</v>
      </c>
      <c r="J100" s="136" t="s">
        <v>31</v>
      </c>
      <c r="K100" s="136" t="s">
        <v>32</v>
      </c>
      <c r="L100" s="136">
        <v>92695802</v>
      </c>
      <c r="M100" s="598" t="s">
        <v>678</v>
      </c>
      <c r="O100" s="5"/>
      <c r="Q100" s="5"/>
      <c r="S100" s="5"/>
      <c r="U100" s="5"/>
      <c r="W100" s="5"/>
    </row>
    <row r="101" spans="1:23" s="17" customFormat="1" ht="26.25" customHeight="1" x14ac:dyDescent="0.25">
      <c r="A101" s="235">
        <v>1487</v>
      </c>
      <c r="B101" s="140" t="s">
        <v>354</v>
      </c>
      <c r="C101" s="619">
        <v>0</v>
      </c>
      <c r="D101" s="618">
        <v>0.4</v>
      </c>
      <c r="E101" s="617">
        <f t="shared" si="2"/>
        <v>0</v>
      </c>
      <c r="F101" s="617"/>
      <c r="G101" s="617">
        <f t="shared" si="3"/>
        <v>0</v>
      </c>
      <c r="H101" s="139">
        <v>19315674</v>
      </c>
      <c r="I101" s="314" t="s">
        <v>355</v>
      </c>
      <c r="J101" s="136" t="s">
        <v>31</v>
      </c>
      <c r="K101" s="136" t="s">
        <v>32</v>
      </c>
      <c r="L101" s="136">
        <v>93972300</v>
      </c>
      <c r="M101" s="139"/>
      <c r="O101" s="5"/>
      <c r="Q101" s="5"/>
      <c r="S101" s="5"/>
      <c r="U101" s="5"/>
      <c r="W101" s="5"/>
    </row>
    <row r="102" spans="1:23" s="325" customFormat="1" ht="21.75" customHeight="1" x14ac:dyDescent="0.25">
      <c r="A102" s="230">
        <v>1700</v>
      </c>
      <c r="B102" s="152" t="s">
        <v>356</v>
      </c>
      <c r="C102" s="620">
        <v>493</v>
      </c>
      <c r="D102" s="621">
        <v>0.4</v>
      </c>
      <c r="E102" s="621">
        <f t="shared" si="2"/>
        <v>197.20000000000002</v>
      </c>
      <c r="F102" s="621">
        <f>195.49+1.71</f>
        <v>197.20000000000002</v>
      </c>
      <c r="G102" s="621">
        <f t="shared" si="3"/>
        <v>0</v>
      </c>
      <c r="H102" s="153">
        <v>6332437</v>
      </c>
      <c r="I102" s="233" t="s">
        <v>357</v>
      </c>
      <c r="J102" s="153" t="s">
        <v>31</v>
      </c>
      <c r="K102" s="153" t="s">
        <v>32</v>
      </c>
      <c r="L102" s="153">
        <v>99284449</v>
      </c>
      <c r="M102" s="327" t="s">
        <v>682</v>
      </c>
      <c r="N102" s="639" t="s">
        <v>701</v>
      </c>
    </row>
    <row r="103" spans="1:23" s="17" customFormat="1" ht="21.75" customHeight="1" x14ac:dyDescent="0.25">
      <c r="A103" s="235">
        <v>1702</v>
      </c>
      <c r="B103" s="296" t="s">
        <v>359</v>
      </c>
      <c r="C103" s="619">
        <v>391</v>
      </c>
      <c r="D103" s="618">
        <v>0.4</v>
      </c>
      <c r="E103" s="617">
        <f t="shared" si="2"/>
        <v>156.4</v>
      </c>
      <c r="F103" s="617"/>
      <c r="G103" s="617">
        <f t="shared" si="3"/>
        <v>156.4</v>
      </c>
      <c r="H103" s="136">
        <v>1572875</v>
      </c>
      <c r="I103" s="313" t="s">
        <v>360</v>
      </c>
      <c r="J103" s="136" t="s">
        <v>52</v>
      </c>
      <c r="K103" s="136" t="s">
        <v>53</v>
      </c>
      <c r="L103" s="136">
        <v>99899341</v>
      </c>
      <c r="M103" s="140"/>
      <c r="O103" s="5"/>
      <c r="Q103" s="5"/>
      <c r="S103" s="5"/>
      <c r="U103" s="5"/>
      <c r="W103" s="5"/>
    </row>
    <row r="104" spans="1:23" s="325" customFormat="1" ht="21.75" customHeight="1" x14ac:dyDescent="0.25">
      <c r="A104" s="230">
        <v>1704</v>
      </c>
      <c r="B104" s="152" t="s">
        <v>361</v>
      </c>
      <c r="C104" s="620">
        <v>317</v>
      </c>
      <c r="D104" s="621">
        <v>0.4</v>
      </c>
      <c r="E104" s="621">
        <f t="shared" si="2"/>
        <v>126.80000000000001</v>
      </c>
      <c r="F104" s="621">
        <f>E104</f>
        <v>126.80000000000001</v>
      </c>
      <c r="G104" s="621">
        <f t="shared" si="3"/>
        <v>0</v>
      </c>
      <c r="H104" s="153">
        <v>19235157</v>
      </c>
      <c r="I104" s="233" t="s">
        <v>362</v>
      </c>
      <c r="J104" s="153" t="s">
        <v>31</v>
      </c>
      <c r="K104" s="153" t="s">
        <v>32</v>
      </c>
      <c r="L104" s="153"/>
      <c r="M104" s="598" t="s">
        <v>676</v>
      </c>
    </row>
    <row r="105" spans="1:23" s="325" customFormat="1" ht="21.75" customHeight="1" x14ac:dyDescent="0.25">
      <c r="A105" s="230">
        <v>1706</v>
      </c>
      <c r="B105" s="152" t="s">
        <v>153</v>
      </c>
      <c r="C105" s="620">
        <v>230.6</v>
      </c>
      <c r="D105" s="621">
        <v>0.4</v>
      </c>
      <c r="E105" s="621">
        <f t="shared" si="2"/>
        <v>92.240000000000009</v>
      </c>
      <c r="F105" s="621">
        <f>E105</f>
        <v>92.240000000000009</v>
      </c>
      <c r="G105" s="621">
        <f t="shared" si="3"/>
        <v>0</v>
      </c>
      <c r="H105" s="153">
        <v>2520947</v>
      </c>
      <c r="I105" s="327" t="s">
        <v>154</v>
      </c>
      <c r="J105" s="153" t="s">
        <v>155</v>
      </c>
      <c r="K105" s="327" t="s">
        <v>156</v>
      </c>
      <c r="L105" s="153">
        <v>92246641</v>
      </c>
      <c r="M105" s="598" t="s">
        <v>676</v>
      </c>
    </row>
    <row r="106" spans="1:23" s="17" customFormat="1" ht="21.75" customHeight="1" x14ac:dyDescent="0.25">
      <c r="A106" s="235">
        <v>1708</v>
      </c>
      <c r="B106" s="296" t="s">
        <v>363</v>
      </c>
      <c r="C106" s="619">
        <v>779.9</v>
      </c>
      <c r="D106" s="618">
        <v>0.4</v>
      </c>
      <c r="E106" s="617">
        <f t="shared" si="2"/>
        <v>311.96000000000004</v>
      </c>
      <c r="F106" s="617"/>
      <c r="G106" s="617">
        <f t="shared" si="3"/>
        <v>311.96000000000004</v>
      </c>
      <c r="H106" s="136">
        <v>1331691</v>
      </c>
      <c r="I106" s="311" t="s">
        <v>364</v>
      </c>
      <c r="J106" s="136" t="s">
        <v>31</v>
      </c>
      <c r="K106" s="136" t="s">
        <v>32</v>
      </c>
      <c r="L106" s="136"/>
      <c r="M106" s="312"/>
      <c r="O106" s="5"/>
      <c r="Q106" s="5"/>
      <c r="S106" s="5"/>
      <c r="U106" s="5"/>
      <c r="W106" s="5"/>
    </row>
    <row r="107" spans="1:23" s="325" customFormat="1" ht="21.75" customHeight="1" x14ac:dyDescent="0.25">
      <c r="A107" s="230">
        <v>1709</v>
      </c>
      <c r="B107" s="152" t="s">
        <v>365</v>
      </c>
      <c r="C107" s="620">
        <v>261</v>
      </c>
      <c r="D107" s="621">
        <v>0.4</v>
      </c>
      <c r="E107" s="621">
        <f t="shared" si="2"/>
        <v>104.4</v>
      </c>
      <c r="F107" s="621">
        <f>103.95</f>
        <v>103.95</v>
      </c>
      <c r="G107" s="621">
        <f t="shared" si="3"/>
        <v>0.45000000000000284</v>
      </c>
      <c r="H107" s="153">
        <v>2406629</v>
      </c>
      <c r="I107" s="233" t="s">
        <v>580</v>
      </c>
      <c r="J107" s="153" t="s">
        <v>121</v>
      </c>
      <c r="K107" s="153" t="s">
        <v>122</v>
      </c>
      <c r="L107" s="153">
        <v>92771786</v>
      </c>
      <c r="M107" s="598" t="s">
        <v>685</v>
      </c>
    </row>
    <row r="108" spans="1:23" s="325" customFormat="1" ht="21.75" customHeight="1" x14ac:dyDescent="0.25">
      <c r="A108" s="230">
        <v>1711</v>
      </c>
      <c r="B108" s="152" t="s">
        <v>55</v>
      </c>
      <c r="C108" s="620">
        <v>364.7</v>
      </c>
      <c r="D108" s="621">
        <v>0.4</v>
      </c>
      <c r="E108" s="621">
        <f t="shared" si="2"/>
        <v>145.88</v>
      </c>
      <c r="F108" s="621">
        <f>10.27+133+2.61</f>
        <v>145.88000000000002</v>
      </c>
      <c r="G108" s="621">
        <f t="shared" si="3"/>
        <v>0</v>
      </c>
      <c r="H108" s="153">
        <v>638353</v>
      </c>
      <c r="I108" s="242" t="s">
        <v>56</v>
      </c>
      <c r="J108" s="153" t="s">
        <v>31</v>
      </c>
      <c r="K108" s="153" t="s">
        <v>32</v>
      </c>
      <c r="L108" s="153">
        <v>99292727</v>
      </c>
      <c r="M108" s="327" t="s">
        <v>672</v>
      </c>
      <c r="N108" s="598">
        <v>45945</v>
      </c>
      <c r="O108" s="589">
        <v>45972</v>
      </c>
    </row>
    <row r="109" spans="1:23" s="325" customFormat="1" ht="21.75" customHeight="1" x14ac:dyDescent="0.25">
      <c r="A109" s="230">
        <v>1712</v>
      </c>
      <c r="B109" s="152" t="s">
        <v>57</v>
      </c>
      <c r="C109" s="620">
        <v>253.7</v>
      </c>
      <c r="D109" s="621">
        <v>0.4</v>
      </c>
      <c r="E109" s="621">
        <f t="shared" si="2"/>
        <v>101.48</v>
      </c>
      <c r="F109" s="621">
        <f>101.17+0.31</f>
        <v>101.48</v>
      </c>
      <c r="G109" s="621">
        <f t="shared" si="3"/>
        <v>0</v>
      </c>
      <c r="H109" s="153">
        <v>788958</v>
      </c>
      <c r="I109" s="242" t="s">
        <v>58</v>
      </c>
      <c r="J109" s="153" t="s">
        <v>31</v>
      </c>
      <c r="K109" s="153" t="s">
        <v>32</v>
      </c>
      <c r="L109" s="153"/>
      <c r="M109" s="598">
        <v>45945</v>
      </c>
      <c r="N109" s="598" t="s">
        <v>687</v>
      </c>
    </row>
    <row r="110" spans="1:23" s="325" customFormat="1" ht="21.75" customHeight="1" x14ac:dyDescent="0.25">
      <c r="A110" s="230">
        <v>1713</v>
      </c>
      <c r="B110" s="152" t="s">
        <v>157</v>
      </c>
      <c r="C110" s="620">
        <v>273</v>
      </c>
      <c r="D110" s="621">
        <v>0.4</v>
      </c>
      <c r="E110" s="621">
        <f t="shared" si="2"/>
        <v>109.2</v>
      </c>
      <c r="F110" s="621">
        <f>107.97+1.23</f>
        <v>109.2</v>
      </c>
      <c r="G110" s="621">
        <f t="shared" si="3"/>
        <v>0</v>
      </c>
      <c r="H110" s="153">
        <v>19890467</v>
      </c>
      <c r="I110" s="242" t="s">
        <v>158</v>
      </c>
      <c r="J110" s="153" t="s">
        <v>52</v>
      </c>
      <c r="K110" s="153" t="s">
        <v>53</v>
      </c>
      <c r="L110" s="153"/>
      <c r="M110" s="327" t="s">
        <v>679</v>
      </c>
      <c r="N110" s="325" t="s">
        <v>703</v>
      </c>
    </row>
    <row r="111" spans="1:23" s="325" customFormat="1" ht="21.75" customHeight="1" x14ac:dyDescent="0.25">
      <c r="A111" s="230">
        <v>1714</v>
      </c>
      <c r="B111" s="152" t="s">
        <v>59</v>
      </c>
      <c r="C111" s="620">
        <v>255</v>
      </c>
      <c r="D111" s="621">
        <v>0.4</v>
      </c>
      <c r="E111" s="621">
        <f t="shared" si="2"/>
        <v>102</v>
      </c>
      <c r="F111" s="621">
        <f>E111</f>
        <v>102</v>
      </c>
      <c r="G111" s="621">
        <f t="shared" si="3"/>
        <v>0</v>
      </c>
      <c r="H111" s="153">
        <v>6285703</v>
      </c>
      <c r="I111" s="242" t="s">
        <v>60</v>
      </c>
      <c r="J111" s="153" t="s">
        <v>31</v>
      </c>
      <c r="K111" s="153" t="s">
        <v>32</v>
      </c>
      <c r="L111" s="153"/>
      <c r="M111" s="598">
        <v>46002</v>
      </c>
    </row>
    <row r="112" spans="1:23" s="325" customFormat="1" ht="21.75" customHeight="1" x14ac:dyDescent="0.25">
      <c r="A112" s="230">
        <v>1715</v>
      </c>
      <c r="B112" s="152" t="s">
        <v>62</v>
      </c>
      <c r="C112" s="620">
        <v>196</v>
      </c>
      <c r="D112" s="621">
        <v>0.4</v>
      </c>
      <c r="E112" s="621">
        <f t="shared" si="2"/>
        <v>78.400000000000006</v>
      </c>
      <c r="F112" s="621">
        <f>75.15+3.25</f>
        <v>78.400000000000006</v>
      </c>
      <c r="G112" s="621">
        <f t="shared" si="3"/>
        <v>0</v>
      </c>
      <c r="H112" s="153">
        <v>6511663</v>
      </c>
      <c r="I112" s="242" t="s">
        <v>63</v>
      </c>
      <c r="J112" s="153" t="s">
        <v>31</v>
      </c>
      <c r="K112" s="153" t="s">
        <v>32</v>
      </c>
      <c r="L112" s="153"/>
      <c r="M112" s="327" t="s">
        <v>679</v>
      </c>
      <c r="N112" s="325" t="s">
        <v>703</v>
      </c>
    </row>
    <row r="113" spans="1:23" s="325" customFormat="1" ht="21.75" customHeight="1" x14ac:dyDescent="0.25">
      <c r="A113" s="230">
        <v>1716</v>
      </c>
      <c r="B113" s="152" t="s">
        <v>368</v>
      </c>
      <c r="C113" s="620">
        <v>525.5</v>
      </c>
      <c r="D113" s="621">
        <v>0.4</v>
      </c>
      <c r="E113" s="621">
        <f t="shared" si="2"/>
        <v>210.20000000000002</v>
      </c>
      <c r="F113" s="621">
        <f>E113</f>
        <v>210.20000000000002</v>
      </c>
      <c r="G113" s="621">
        <f t="shared" si="3"/>
        <v>0</v>
      </c>
      <c r="H113" s="153">
        <v>24147445</v>
      </c>
      <c r="I113" s="327" t="s">
        <v>369</v>
      </c>
      <c r="J113" s="153" t="s">
        <v>31</v>
      </c>
      <c r="K113" s="153" t="s">
        <v>32</v>
      </c>
      <c r="L113" s="153">
        <v>92772114</v>
      </c>
      <c r="M113" s="598" t="s">
        <v>676</v>
      </c>
    </row>
    <row r="114" spans="1:23" s="17" customFormat="1" ht="21.75" customHeight="1" x14ac:dyDescent="0.25">
      <c r="A114" s="235">
        <v>1717</v>
      </c>
      <c r="B114" s="296" t="s">
        <v>370</v>
      </c>
      <c r="C114" s="619">
        <v>255</v>
      </c>
      <c r="D114" s="618">
        <v>0.4</v>
      </c>
      <c r="E114" s="617">
        <f t="shared" si="2"/>
        <v>102</v>
      </c>
      <c r="F114" s="617">
        <f>E114</f>
        <v>102</v>
      </c>
      <c r="G114" s="617">
        <f t="shared" si="3"/>
        <v>0</v>
      </c>
      <c r="H114" s="136">
        <v>3248965</v>
      </c>
      <c r="I114" s="313" t="s">
        <v>371</v>
      </c>
      <c r="J114" s="136" t="s">
        <v>31</v>
      </c>
      <c r="K114" s="136" t="s">
        <v>32</v>
      </c>
      <c r="L114" s="136">
        <v>92476390</v>
      </c>
      <c r="M114" s="325" t="s">
        <v>702</v>
      </c>
      <c r="O114" s="5"/>
      <c r="Q114" s="5"/>
      <c r="S114" s="5"/>
      <c r="U114" s="5"/>
      <c r="W114" s="5"/>
    </row>
    <row r="115" spans="1:23" s="325" customFormat="1" ht="21.75" customHeight="1" x14ac:dyDescent="0.25">
      <c r="A115" s="230">
        <v>1718</v>
      </c>
      <c r="B115" s="152" t="s">
        <v>159</v>
      </c>
      <c r="C115" s="620">
        <v>255</v>
      </c>
      <c r="D115" s="621">
        <v>0.4</v>
      </c>
      <c r="E115" s="621">
        <f t="shared" si="2"/>
        <v>102</v>
      </c>
      <c r="F115" s="621">
        <f>E115</f>
        <v>102</v>
      </c>
      <c r="G115" s="621">
        <f t="shared" si="3"/>
        <v>0</v>
      </c>
      <c r="H115" s="153">
        <v>18656137</v>
      </c>
      <c r="I115" s="594" t="s">
        <v>160</v>
      </c>
      <c r="J115" s="153" t="s">
        <v>155</v>
      </c>
      <c r="K115" s="153" t="s">
        <v>156</v>
      </c>
      <c r="L115" s="153"/>
      <c r="M115" s="598" t="s">
        <v>676</v>
      </c>
    </row>
    <row r="116" spans="1:23" s="17" customFormat="1" ht="21.75" customHeight="1" x14ac:dyDescent="0.25">
      <c r="A116" s="235">
        <v>1720</v>
      </c>
      <c r="B116" s="296" t="s">
        <v>372</v>
      </c>
      <c r="C116" s="619">
        <v>257</v>
      </c>
      <c r="D116" s="618">
        <v>0.4</v>
      </c>
      <c r="E116" s="617">
        <f t="shared" si="2"/>
        <v>102.80000000000001</v>
      </c>
      <c r="F116" s="617"/>
      <c r="G116" s="617">
        <f t="shared" si="3"/>
        <v>102.80000000000001</v>
      </c>
      <c r="H116" s="136">
        <v>6812881</v>
      </c>
      <c r="I116" s="313" t="s">
        <v>373</v>
      </c>
      <c r="J116" s="136" t="s">
        <v>52</v>
      </c>
      <c r="K116" s="136" t="s">
        <v>53</v>
      </c>
      <c r="L116" s="136"/>
      <c r="M116" s="140"/>
      <c r="O116" s="5"/>
      <c r="Q116" s="5"/>
      <c r="S116" s="5"/>
      <c r="U116" s="5"/>
      <c r="W116" s="5"/>
    </row>
    <row r="117" spans="1:23" s="325" customFormat="1" ht="21.75" customHeight="1" x14ac:dyDescent="0.25">
      <c r="A117" s="230">
        <v>1722</v>
      </c>
      <c r="B117" s="152" t="s">
        <v>374</v>
      </c>
      <c r="C117" s="620">
        <v>290</v>
      </c>
      <c r="D117" s="621">
        <v>0.4</v>
      </c>
      <c r="E117" s="621">
        <f t="shared" si="2"/>
        <v>116</v>
      </c>
      <c r="F117" s="621">
        <f>112.78+3.22</f>
        <v>116</v>
      </c>
      <c r="G117" s="621">
        <f t="shared" si="3"/>
        <v>0</v>
      </c>
      <c r="H117" s="153">
        <v>12979647</v>
      </c>
      <c r="I117" s="242" t="s">
        <v>375</v>
      </c>
      <c r="J117" s="153" t="s">
        <v>376</v>
      </c>
      <c r="K117" s="153" t="s">
        <v>307</v>
      </c>
      <c r="L117" s="153">
        <v>98899002</v>
      </c>
      <c r="M117" s="590">
        <v>45945</v>
      </c>
      <c r="N117" s="598">
        <v>46002</v>
      </c>
    </row>
    <row r="118" spans="1:23" s="17" customFormat="1" ht="21.75" customHeight="1" x14ac:dyDescent="0.25">
      <c r="A118" s="235">
        <v>1723</v>
      </c>
      <c r="B118" s="296" t="s">
        <v>65</v>
      </c>
      <c r="C118" s="619">
        <v>288</v>
      </c>
      <c r="D118" s="618">
        <v>0.4</v>
      </c>
      <c r="E118" s="617">
        <f t="shared" si="2"/>
        <v>115.2</v>
      </c>
      <c r="F118" s="617"/>
      <c r="G118" s="617">
        <f t="shared" si="3"/>
        <v>115.2</v>
      </c>
      <c r="H118" s="136">
        <v>6631224</v>
      </c>
      <c r="I118" s="311" t="s">
        <v>66</v>
      </c>
      <c r="J118" s="136" t="s">
        <v>31</v>
      </c>
      <c r="K118" s="136" t="s">
        <v>32</v>
      </c>
      <c r="L118" s="136">
        <v>92666839</v>
      </c>
      <c r="M118" s="140"/>
      <c r="O118" s="5"/>
      <c r="Q118" s="5"/>
      <c r="S118" s="5"/>
      <c r="U118" s="5"/>
      <c r="W118" s="5"/>
    </row>
    <row r="119" spans="1:23" s="325" customFormat="1" ht="21.75" customHeight="1" x14ac:dyDescent="0.25">
      <c r="A119" s="230">
        <v>1724</v>
      </c>
      <c r="B119" s="152" t="s">
        <v>67</v>
      </c>
      <c r="C119" s="620">
        <v>257.89999999999998</v>
      </c>
      <c r="D119" s="621">
        <v>0.4</v>
      </c>
      <c r="E119" s="621">
        <f t="shared" si="2"/>
        <v>103.16</v>
      </c>
      <c r="F119" s="621">
        <f>102.09+1.07</f>
        <v>103.16</v>
      </c>
      <c r="G119" s="621">
        <f t="shared" si="3"/>
        <v>0</v>
      </c>
      <c r="H119" s="153">
        <v>10795143</v>
      </c>
      <c r="I119" s="327" t="s">
        <v>68</v>
      </c>
      <c r="J119" s="153" t="s">
        <v>26</v>
      </c>
      <c r="K119" s="153" t="s">
        <v>27</v>
      </c>
      <c r="L119" s="153">
        <v>99494166</v>
      </c>
      <c r="M119" s="590">
        <v>45945</v>
      </c>
      <c r="N119" s="589">
        <v>45788</v>
      </c>
    </row>
    <row r="120" spans="1:23" s="17" customFormat="1" ht="21.75" customHeight="1" x14ac:dyDescent="0.25">
      <c r="A120" s="235">
        <v>1725</v>
      </c>
      <c r="B120" s="296" t="s">
        <v>377</v>
      </c>
      <c r="C120" s="619">
        <v>377</v>
      </c>
      <c r="D120" s="618">
        <v>0.4</v>
      </c>
      <c r="E120" s="617">
        <f t="shared" si="2"/>
        <v>150.80000000000001</v>
      </c>
      <c r="F120" s="617"/>
      <c r="G120" s="617">
        <f t="shared" si="3"/>
        <v>150.80000000000001</v>
      </c>
      <c r="H120" s="136">
        <v>2223414</v>
      </c>
      <c r="I120" s="313" t="s">
        <v>378</v>
      </c>
      <c r="J120" s="136" t="s">
        <v>52</v>
      </c>
      <c r="K120" s="136" t="s">
        <v>53</v>
      </c>
      <c r="L120" s="136"/>
      <c r="M120" s="140"/>
      <c r="O120" s="5"/>
      <c r="Q120" s="5"/>
      <c r="S120" s="5"/>
      <c r="U120" s="5"/>
      <c r="W120" s="5"/>
    </row>
    <row r="121" spans="1:23" s="325" customFormat="1" ht="21.75" customHeight="1" x14ac:dyDescent="0.25">
      <c r="A121" s="230">
        <v>1726</v>
      </c>
      <c r="B121" s="152" t="s">
        <v>379</v>
      </c>
      <c r="C121" s="640">
        <v>396.3</v>
      </c>
      <c r="D121" s="621">
        <v>0.4</v>
      </c>
      <c r="E121" s="621">
        <f t="shared" si="2"/>
        <v>158.52000000000001</v>
      </c>
      <c r="F121" s="621">
        <f>153.69+4.83</f>
        <v>158.52000000000001</v>
      </c>
      <c r="G121" s="621">
        <f t="shared" si="3"/>
        <v>0</v>
      </c>
      <c r="H121" s="153">
        <v>5440535</v>
      </c>
      <c r="I121" s="242" t="s">
        <v>380</v>
      </c>
      <c r="J121" s="153" t="s">
        <v>31</v>
      </c>
      <c r="K121" s="153" t="s">
        <v>32</v>
      </c>
      <c r="L121" s="153">
        <v>92023947</v>
      </c>
      <c r="M121" s="589">
        <v>45788</v>
      </c>
      <c r="N121" s="325" t="s">
        <v>15</v>
      </c>
    </row>
    <row r="122" spans="1:23" s="325" customFormat="1" ht="21.75" customHeight="1" x14ac:dyDescent="0.25">
      <c r="A122" s="230">
        <v>1728</v>
      </c>
      <c r="B122" s="152" t="s">
        <v>13</v>
      </c>
      <c r="C122" s="620">
        <v>273</v>
      </c>
      <c r="D122" s="621">
        <v>0.4</v>
      </c>
      <c r="E122" s="621">
        <f t="shared" si="2"/>
        <v>109.2</v>
      </c>
      <c r="F122" s="621">
        <f>E122</f>
        <v>109.2</v>
      </c>
      <c r="G122" s="621">
        <f t="shared" si="3"/>
        <v>0</v>
      </c>
      <c r="H122" s="153">
        <v>8977778</v>
      </c>
      <c r="I122" s="233" t="s">
        <v>381</v>
      </c>
      <c r="J122" s="153" t="s">
        <v>31</v>
      </c>
      <c r="K122" s="153" t="s">
        <v>32</v>
      </c>
      <c r="L122" s="153"/>
      <c r="M122" s="598" t="s">
        <v>676</v>
      </c>
    </row>
    <row r="123" spans="1:23" s="325" customFormat="1" ht="21.75" customHeight="1" x14ac:dyDescent="0.25">
      <c r="A123" s="230">
        <v>1729</v>
      </c>
      <c r="B123" s="152" t="s">
        <v>382</v>
      </c>
      <c r="C123" s="620">
        <v>206.4</v>
      </c>
      <c r="D123" s="621">
        <v>0.4</v>
      </c>
      <c r="E123" s="621">
        <f t="shared" si="2"/>
        <v>82.56</v>
      </c>
      <c r="F123" s="621">
        <f>81.9+0.66</f>
        <v>82.56</v>
      </c>
      <c r="G123" s="621">
        <f t="shared" si="3"/>
        <v>0</v>
      </c>
      <c r="H123" s="153">
        <v>22975081</v>
      </c>
      <c r="I123" s="233" t="s">
        <v>383</v>
      </c>
      <c r="J123" s="153" t="s">
        <v>31</v>
      </c>
      <c r="K123" s="153" t="s">
        <v>32</v>
      </c>
      <c r="L123" s="153"/>
      <c r="M123" s="327" t="s">
        <v>679</v>
      </c>
      <c r="N123" s="598">
        <v>45758</v>
      </c>
    </row>
    <row r="124" spans="1:23" s="325" customFormat="1" ht="21.75" customHeight="1" x14ac:dyDescent="0.25">
      <c r="A124" s="230">
        <v>1730</v>
      </c>
      <c r="B124" s="152" t="s">
        <v>162</v>
      </c>
      <c r="C124" s="620">
        <v>298.89999999999998</v>
      </c>
      <c r="D124" s="621">
        <v>0.4</v>
      </c>
      <c r="E124" s="621">
        <f t="shared" si="2"/>
        <v>119.56</v>
      </c>
      <c r="F124" s="621">
        <f>117.13+2.43</f>
        <v>119.56</v>
      </c>
      <c r="G124" s="621">
        <f t="shared" si="3"/>
        <v>0</v>
      </c>
      <c r="H124" s="153">
        <v>18458405</v>
      </c>
      <c r="I124" s="242" t="s">
        <v>163</v>
      </c>
      <c r="J124" s="153" t="s">
        <v>31</v>
      </c>
      <c r="K124" s="153" t="s">
        <v>32</v>
      </c>
      <c r="L124" s="153">
        <v>98566660</v>
      </c>
      <c r="M124" s="598" t="s">
        <v>677</v>
      </c>
      <c r="N124" s="598" t="s">
        <v>687</v>
      </c>
    </row>
    <row r="125" spans="1:23" s="325" customFormat="1" ht="21.75" customHeight="1" x14ac:dyDescent="0.25">
      <c r="A125" s="230">
        <v>1731</v>
      </c>
      <c r="B125" s="152" t="s">
        <v>384</v>
      </c>
      <c r="C125" s="620">
        <v>279.89999999999998</v>
      </c>
      <c r="D125" s="621">
        <v>0.4</v>
      </c>
      <c r="E125" s="621">
        <f t="shared" si="2"/>
        <v>111.96</v>
      </c>
      <c r="F125" s="621">
        <f>109.64+2.32</f>
        <v>111.96</v>
      </c>
      <c r="G125" s="621">
        <f t="shared" si="3"/>
        <v>0</v>
      </c>
      <c r="H125" s="153">
        <v>604651</v>
      </c>
      <c r="I125" s="242" t="s">
        <v>385</v>
      </c>
      <c r="J125" s="153" t="s">
        <v>31</v>
      </c>
      <c r="K125" s="153" t="s">
        <v>32</v>
      </c>
      <c r="L125" s="153">
        <v>92587799</v>
      </c>
      <c r="M125" s="590">
        <v>45945</v>
      </c>
      <c r="N125" s="598">
        <v>45758</v>
      </c>
    </row>
    <row r="126" spans="1:23" s="325" customFormat="1" ht="21.75" customHeight="1" x14ac:dyDescent="0.25">
      <c r="A126" s="230">
        <v>1733</v>
      </c>
      <c r="B126" s="152" t="s">
        <v>386</v>
      </c>
      <c r="C126" s="620">
        <v>274</v>
      </c>
      <c r="D126" s="621">
        <v>0.4</v>
      </c>
      <c r="E126" s="621">
        <f t="shared" si="2"/>
        <v>109.60000000000001</v>
      </c>
      <c r="F126" s="621">
        <f>104.91+4.69</f>
        <v>109.6</v>
      </c>
      <c r="G126" s="621">
        <f t="shared" si="3"/>
        <v>0</v>
      </c>
      <c r="H126" s="153">
        <v>24598302</v>
      </c>
      <c r="I126" s="599" t="s">
        <v>387</v>
      </c>
      <c r="J126" s="153" t="s">
        <v>52</v>
      </c>
      <c r="K126" s="153" t="s">
        <v>53</v>
      </c>
      <c r="L126" s="153"/>
      <c r="M126" s="590">
        <v>45945</v>
      </c>
      <c r="N126" s="589">
        <v>45788</v>
      </c>
    </row>
    <row r="127" spans="1:23" s="17" customFormat="1" ht="21.75" customHeight="1" x14ac:dyDescent="0.25">
      <c r="A127" s="235">
        <v>1734</v>
      </c>
      <c r="B127" s="296" t="s">
        <v>388</v>
      </c>
      <c r="C127" s="619">
        <v>270.5</v>
      </c>
      <c r="D127" s="618">
        <v>0.4</v>
      </c>
      <c r="E127" s="617">
        <f t="shared" si="2"/>
        <v>108.2</v>
      </c>
      <c r="F127" s="617"/>
      <c r="G127" s="617">
        <f t="shared" si="3"/>
        <v>108.2</v>
      </c>
      <c r="H127" s="136">
        <v>1105552</v>
      </c>
      <c r="I127" s="311" t="s">
        <v>389</v>
      </c>
      <c r="J127" s="136" t="s">
        <v>52</v>
      </c>
      <c r="K127" s="136" t="s">
        <v>53</v>
      </c>
      <c r="L127" s="136">
        <v>99484517</v>
      </c>
      <c r="M127" s="140"/>
      <c r="O127" s="5"/>
      <c r="Q127" s="5"/>
      <c r="S127" s="5"/>
      <c r="U127" s="5"/>
      <c r="W127" s="5"/>
    </row>
    <row r="128" spans="1:23" s="325" customFormat="1" ht="21.75" customHeight="1" x14ac:dyDescent="0.25">
      <c r="A128" s="230">
        <v>1736</v>
      </c>
      <c r="B128" s="152" t="s">
        <v>164</v>
      </c>
      <c r="C128" s="620">
        <v>223.9</v>
      </c>
      <c r="D128" s="621">
        <v>0.4</v>
      </c>
      <c r="E128" s="621">
        <f t="shared" si="2"/>
        <v>89.56</v>
      </c>
      <c r="F128" s="621">
        <f>87.61+1.95</f>
        <v>89.56</v>
      </c>
      <c r="G128" s="621">
        <f t="shared" si="3"/>
        <v>0</v>
      </c>
      <c r="H128" s="153">
        <v>960639</v>
      </c>
      <c r="I128" s="242" t="s">
        <v>165</v>
      </c>
      <c r="J128" s="153" t="s">
        <v>31</v>
      </c>
      <c r="K128" s="153" t="s">
        <v>32</v>
      </c>
      <c r="L128" s="153"/>
      <c r="M128" s="598" t="s">
        <v>677</v>
      </c>
      <c r="N128" s="598" t="s">
        <v>700</v>
      </c>
    </row>
    <row r="129" spans="1:23" s="325" customFormat="1" ht="21.75" customHeight="1" x14ac:dyDescent="0.25">
      <c r="A129" s="230">
        <v>1737</v>
      </c>
      <c r="B129" s="153" t="s">
        <v>390</v>
      </c>
      <c r="C129" s="620">
        <v>189.4</v>
      </c>
      <c r="D129" s="621">
        <v>0.4</v>
      </c>
      <c r="E129" s="621">
        <f t="shared" si="2"/>
        <v>75.760000000000005</v>
      </c>
      <c r="F129" s="621">
        <f>E129</f>
        <v>75.760000000000005</v>
      </c>
      <c r="G129" s="621">
        <f t="shared" si="3"/>
        <v>0</v>
      </c>
      <c r="H129" s="153">
        <v>5566367</v>
      </c>
      <c r="I129" s="242" t="s">
        <v>391</v>
      </c>
      <c r="J129" s="153" t="s">
        <v>31</v>
      </c>
      <c r="K129" s="153" t="s">
        <v>32</v>
      </c>
      <c r="L129" s="153">
        <v>98517790</v>
      </c>
      <c r="M129" s="598" t="s">
        <v>676</v>
      </c>
    </row>
    <row r="130" spans="1:23" s="17" customFormat="1" ht="21.75" customHeight="1" x14ac:dyDescent="0.25">
      <c r="A130" s="235">
        <v>1738</v>
      </c>
      <c r="B130" s="296" t="s">
        <v>166</v>
      </c>
      <c r="C130" s="619">
        <v>261</v>
      </c>
      <c r="D130" s="618">
        <v>0.4</v>
      </c>
      <c r="E130" s="617">
        <f t="shared" si="2"/>
        <v>104.4</v>
      </c>
      <c r="F130" s="617"/>
      <c r="G130" s="617">
        <f t="shared" si="3"/>
        <v>104.4</v>
      </c>
      <c r="H130" s="136">
        <v>23187863</v>
      </c>
      <c r="I130" s="313" t="s">
        <v>581</v>
      </c>
      <c r="J130" s="136" t="s">
        <v>52</v>
      </c>
      <c r="K130" s="136" t="s">
        <v>53</v>
      </c>
      <c r="L130" s="136">
        <v>99464736</v>
      </c>
      <c r="M130" s="312"/>
      <c r="O130" s="5"/>
      <c r="Q130" s="5"/>
      <c r="S130" s="5"/>
      <c r="U130" s="5"/>
      <c r="W130" s="5"/>
    </row>
    <row r="131" spans="1:23" s="325" customFormat="1" ht="21.75" customHeight="1" x14ac:dyDescent="0.25">
      <c r="A131" s="230">
        <v>1740</v>
      </c>
      <c r="B131" s="152" t="s">
        <v>392</v>
      </c>
      <c r="C131" s="620">
        <v>355</v>
      </c>
      <c r="D131" s="621">
        <v>0.4</v>
      </c>
      <c r="E131" s="621">
        <f t="shared" si="2"/>
        <v>142</v>
      </c>
      <c r="F131" s="621">
        <f>138.79+3.21</f>
        <v>142</v>
      </c>
      <c r="G131" s="621">
        <f t="shared" si="3"/>
        <v>0</v>
      </c>
      <c r="H131" s="153">
        <v>750305</v>
      </c>
      <c r="I131" s="242" t="s">
        <v>393</v>
      </c>
      <c r="J131" s="153" t="s">
        <v>31</v>
      </c>
      <c r="K131" s="153" t="s">
        <v>32</v>
      </c>
      <c r="L131" s="153"/>
      <c r="M131" s="598" t="s">
        <v>677</v>
      </c>
      <c r="N131" s="598">
        <v>45758</v>
      </c>
    </row>
    <row r="132" spans="1:23" s="325" customFormat="1" ht="21.75" customHeight="1" x14ac:dyDescent="0.25">
      <c r="A132" s="230">
        <v>1741</v>
      </c>
      <c r="B132" s="152" t="s">
        <v>394</v>
      </c>
      <c r="C132" s="620">
        <v>800.2</v>
      </c>
      <c r="D132" s="621">
        <v>0.4</v>
      </c>
      <c r="E132" s="621">
        <f t="shared" ref="E132:E195" si="4">C132*D132</f>
        <v>320.08000000000004</v>
      </c>
      <c r="F132" s="621">
        <f>E132</f>
        <v>320.08000000000004</v>
      </c>
      <c r="G132" s="621">
        <f t="shared" ref="G132:G195" si="5">E132-F132</f>
        <v>0</v>
      </c>
      <c r="H132" s="153">
        <v>3439836</v>
      </c>
      <c r="I132" s="242" t="s">
        <v>395</v>
      </c>
      <c r="J132" s="153" t="s">
        <v>31</v>
      </c>
      <c r="K132" s="153" t="s">
        <v>32</v>
      </c>
      <c r="L132" s="153">
        <v>99070188</v>
      </c>
      <c r="M132" s="598" t="s">
        <v>677</v>
      </c>
    </row>
    <row r="133" spans="1:23" s="325" customFormat="1" ht="21.75" customHeight="1" x14ac:dyDescent="0.25">
      <c r="A133" s="230">
        <v>1742</v>
      </c>
      <c r="B133" s="152" t="s">
        <v>396</v>
      </c>
      <c r="C133" s="620">
        <v>277</v>
      </c>
      <c r="D133" s="621">
        <v>0.4</v>
      </c>
      <c r="E133" s="621">
        <f t="shared" si="4"/>
        <v>110.80000000000001</v>
      </c>
      <c r="F133" s="621">
        <f>E133</f>
        <v>110.80000000000001</v>
      </c>
      <c r="G133" s="621">
        <f t="shared" si="5"/>
        <v>0</v>
      </c>
      <c r="H133" s="153">
        <v>7534942</v>
      </c>
      <c r="I133" s="242" t="s">
        <v>397</v>
      </c>
      <c r="J133" s="153" t="s">
        <v>31</v>
      </c>
      <c r="K133" s="153" t="s">
        <v>32</v>
      </c>
      <c r="L133" s="153"/>
      <c r="M133" s="598" t="s">
        <v>676</v>
      </c>
    </row>
    <row r="134" spans="1:23" s="325" customFormat="1" ht="21.75" customHeight="1" x14ac:dyDescent="0.25">
      <c r="A134" s="230">
        <v>1743</v>
      </c>
      <c r="B134" s="152" t="s">
        <v>398</v>
      </c>
      <c r="C134" s="620">
        <v>512</v>
      </c>
      <c r="D134" s="621">
        <v>0.4</v>
      </c>
      <c r="E134" s="621">
        <f t="shared" si="4"/>
        <v>204.8</v>
      </c>
      <c r="F134" s="621">
        <f>E134</f>
        <v>204.8</v>
      </c>
      <c r="G134" s="621">
        <f t="shared" si="5"/>
        <v>0</v>
      </c>
      <c r="H134" s="153">
        <v>14028717</v>
      </c>
      <c r="I134" s="233" t="s">
        <v>399</v>
      </c>
      <c r="J134" s="153" t="s">
        <v>155</v>
      </c>
      <c r="K134" s="153" t="s">
        <v>156</v>
      </c>
      <c r="L134" s="153">
        <v>98500770</v>
      </c>
      <c r="M134" s="598" t="s">
        <v>676</v>
      </c>
    </row>
    <row r="135" spans="1:23" s="325" customFormat="1" ht="21.75" customHeight="1" x14ac:dyDescent="0.25">
      <c r="A135" s="230">
        <v>1744</v>
      </c>
      <c r="B135" s="152" t="s">
        <v>400</v>
      </c>
      <c r="C135" s="620">
        <v>256.7</v>
      </c>
      <c r="D135" s="621">
        <v>0.4</v>
      </c>
      <c r="E135" s="621">
        <f t="shared" si="4"/>
        <v>102.68</v>
      </c>
      <c r="F135" s="621">
        <f>101.59+1.09</f>
        <v>102.68</v>
      </c>
      <c r="G135" s="621">
        <f t="shared" si="5"/>
        <v>0</v>
      </c>
      <c r="H135" s="153">
        <v>6653046</v>
      </c>
      <c r="I135" s="327" t="s">
        <v>401</v>
      </c>
      <c r="J135" s="153" t="s">
        <v>52</v>
      </c>
      <c r="K135" s="153" t="s">
        <v>53</v>
      </c>
      <c r="L135" s="153">
        <v>98183585</v>
      </c>
      <c r="M135" s="327" t="s">
        <v>679</v>
      </c>
      <c r="N135" s="598" t="s">
        <v>687</v>
      </c>
    </row>
    <row r="136" spans="1:23" s="325" customFormat="1" ht="21.75" customHeight="1" x14ac:dyDescent="0.25">
      <c r="A136" s="230">
        <v>1745</v>
      </c>
      <c r="B136" s="152" t="s">
        <v>402</v>
      </c>
      <c r="C136" s="620">
        <v>228.1</v>
      </c>
      <c r="D136" s="621">
        <v>0.4</v>
      </c>
      <c r="E136" s="621">
        <f t="shared" si="4"/>
        <v>91.240000000000009</v>
      </c>
      <c r="F136" s="621">
        <f>88.02+3.22</f>
        <v>91.24</v>
      </c>
      <c r="G136" s="621">
        <f t="shared" si="5"/>
        <v>0</v>
      </c>
      <c r="H136" s="153">
        <v>781826</v>
      </c>
      <c r="I136" s="233" t="s">
        <v>403</v>
      </c>
      <c r="J136" s="153" t="s">
        <v>52</v>
      </c>
      <c r="K136" s="153" t="s">
        <v>53</v>
      </c>
      <c r="L136" s="153"/>
      <c r="M136" s="598">
        <v>45945</v>
      </c>
      <c r="N136" s="598" t="s">
        <v>701</v>
      </c>
    </row>
    <row r="137" spans="1:23" s="325" customFormat="1" ht="21.75" customHeight="1" x14ac:dyDescent="0.25">
      <c r="A137" s="230">
        <v>1748</v>
      </c>
      <c r="B137" s="152" t="s">
        <v>169</v>
      </c>
      <c r="C137" s="620">
        <v>239</v>
      </c>
      <c r="D137" s="621">
        <v>0.4</v>
      </c>
      <c r="E137" s="621">
        <f t="shared" si="4"/>
        <v>95.600000000000009</v>
      </c>
      <c r="F137" s="621">
        <f>E137</f>
        <v>95.600000000000009</v>
      </c>
      <c r="G137" s="621">
        <f t="shared" si="5"/>
        <v>0</v>
      </c>
      <c r="H137" s="153">
        <v>1354182</v>
      </c>
      <c r="I137" s="242" t="s">
        <v>170</v>
      </c>
      <c r="J137" s="153" t="s">
        <v>31</v>
      </c>
      <c r="K137" s="153" t="s">
        <v>32</v>
      </c>
      <c r="L137" s="153">
        <v>98953022</v>
      </c>
      <c r="M137" s="598" t="s">
        <v>678</v>
      </c>
    </row>
    <row r="138" spans="1:23" s="17" customFormat="1" ht="21.75" customHeight="1" x14ac:dyDescent="0.25">
      <c r="A138" s="235">
        <v>1749</v>
      </c>
      <c r="B138" s="296" t="s">
        <v>404</v>
      </c>
      <c r="C138" s="619">
        <v>255.9</v>
      </c>
      <c r="D138" s="618">
        <v>0.4</v>
      </c>
      <c r="E138" s="617">
        <f t="shared" si="4"/>
        <v>102.36000000000001</v>
      </c>
      <c r="F138" s="617">
        <f>E138</f>
        <v>102.36000000000001</v>
      </c>
      <c r="G138" s="617">
        <f t="shared" si="5"/>
        <v>0</v>
      </c>
      <c r="H138" s="136">
        <v>1304923</v>
      </c>
      <c r="I138" s="311" t="s">
        <v>405</v>
      </c>
      <c r="J138" s="136" t="s">
        <v>52</v>
      </c>
      <c r="K138" s="136" t="s">
        <v>53</v>
      </c>
      <c r="L138" s="136">
        <v>97384393</v>
      </c>
      <c r="M138" s="598">
        <v>45758</v>
      </c>
      <c r="O138" s="5"/>
      <c r="Q138" s="5"/>
      <c r="S138" s="5"/>
      <c r="U138" s="5"/>
      <c r="W138" s="5"/>
    </row>
    <row r="139" spans="1:23" s="325" customFormat="1" ht="21.75" customHeight="1" x14ac:dyDescent="0.25">
      <c r="A139" s="230">
        <v>1750</v>
      </c>
      <c r="B139" s="152" t="s">
        <v>406</v>
      </c>
      <c r="C139" s="620">
        <v>293</v>
      </c>
      <c r="D139" s="621">
        <v>0.4</v>
      </c>
      <c r="E139" s="621">
        <f t="shared" si="4"/>
        <v>117.2</v>
      </c>
      <c r="F139" s="621">
        <f>E139</f>
        <v>117.2</v>
      </c>
      <c r="G139" s="621">
        <f t="shared" si="5"/>
        <v>0</v>
      </c>
      <c r="H139" s="153">
        <v>18638806</v>
      </c>
      <c r="I139" s="233" t="s">
        <v>407</v>
      </c>
      <c r="J139" s="153" t="s">
        <v>71</v>
      </c>
      <c r="K139" s="153" t="s">
        <v>72</v>
      </c>
      <c r="L139" s="153">
        <v>98595777</v>
      </c>
      <c r="M139" s="598" t="s">
        <v>676</v>
      </c>
    </row>
    <row r="140" spans="1:23" s="17" customFormat="1" ht="21.75" customHeight="1" x14ac:dyDescent="0.25">
      <c r="A140" s="235">
        <v>1752</v>
      </c>
      <c r="B140" s="296" t="s">
        <v>171</v>
      </c>
      <c r="C140" s="619">
        <v>277</v>
      </c>
      <c r="D140" s="618">
        <v>0.4</v>
      </c>
      <c r="E140" s="617">
        <f t="shared" si="4"/>
        <v>110.80000000000001</v>
      </c>
      <c r="F140" s="617">
        <f>110.27+0.53</f>
        <v>110.8</v>
      </c>
      <c r="G140" s="617">
        <f t="shared" si="5"/>
        <v>0</v>
      </c>
      <c r="H140" s="136">
        <v>2808921</v>
      </c>
      <c r="I140" s="311" t="s">
        <v>139</v>
      </c>
      <c r="J140" s="136" t="s">
        <v>31</v>
      </c>
      <c r="K140" s="136" t="s">
        <v>32</v>
      </c>
      <c r="L140" s="136">
        <v>92740803</v>
      </c>
      <c r="M140" s="598" t="s">
        <v>701</v>
      </c>
      <c r="N140" s="325" t="s">
        <v>703</v>
      </c>
      <c r="O140" s="5"/>
      <c r="Q140" s="5"/>
      <c r="S140" s="5"/>
      <c r="U140" s="5"/>
      <c r="W140" s="5"/>
    </row>
    <row r="141" spans="1:23" s="325" customFormat="1" ht="21.75" customHeight="1" x14ac:dyDescent="0.25">
      <c r="A141" s="230">
        <v>1753</v>
      </c>
      <c r="B141" s="152" t="s">
        <v>408</v>
      </c>
      <c r="C141" s="620">
        <v>261</v>
      </c>
      <c r="D141" s="621">
        <v>0.4</v>
      </c>
      <c r="E141" s="621">
        <f t="shared" si="4"/>
        <v>104.4</v>
      </c>
      <c r="F141" s="621">
        <f>E141</f>
        <v>104.4</v>
      </c>
      <c r="G141" s="621">
        <f t="shared" si="5"/>
        <v>0</v>
      </c>
      <c r="H141" s="153">
        <v>6496182</v>
      </c>
      <c r="I141" s="612" t="s">
        <v>409</v>
      </c>
      <c r="J141" s="153" t="s">
        <v>251</v>
      </c>
      <c r="K141" s="153" t="s">
        <v>252</v>
      </c>
      <c r="L141" s="153">
        <v>98595777</v>
      </c>
      <c r="M141" s="598" t="s">
        <v>676</v>
      </c>
    </row>
    <row r="142" spans="1:23" s="17" customFormat="1" ht="21.75" customHeight="1" x14ac:dyDescent="0.25">
      <c r="A142" s="235">
        <v>1754</v>
      </c>
      <c r="B142" s="296" t="s">
        <v>410</v>
      </c>
      <c r="C142" s="619">
        <v>662.3</v>
      </c>
      <c r="D142" s="618">
        <v>0.4</v>
      </c>
      <c r="E142" s="617">
        <f t="shared" si="4"/>
        <v>264.92</v>
      </c>
      <c r="F142" s="617"/>
      <c r="G142" s="617">
        <f t="shared" si="5"/>
        <v>264.92</v>
      </c>
      <c r="H142" s="136">
        <v>1523934</v>
      </c>
      <c r="I142" s="311" t="s">
        <v>411</v>
      </c>
      <c r="J142" s="136" t="s">
        <v>71</v>
      </c>
      <c r="K142" s="136" t="s">
        <v>72</v>
      </c>
      <c r="L142" s="136"/>
      <c r="M142" s="140"/>
      <c r="O142" s="5"/>
      <c r="Q142" s="5"/>
      <c r="S142" s="5"/>
      <c r="U142" s="5"/>
      <c r="W142" s="5"/>
    </row>
    <row r="143" spans="1:23" s="325" customFormat="1" ht="21.75" customHeight="1" x14ac:dyDescent="0.25">
      <c r="A143" s="230">
        <v>1755</v>
      </c>
      <c r="B143" s="152" t="s">
        <v>69</v>
      </c>
      <c r="C143" s="620">
        <v>476</v>
      </c>
      <c r="D143" s="621">
        <v>0.4</v>
      </c>
      <c r="E143" s="621">
        <f t="shared" si="4"/>
        <v>190.4</v>
      </c>
      <c r="F143" s="621">
        <f>0.79+188.1+1.51</f>
        <v>190.39999999999998</v>
      </c>
      <c r="G143" s="621">
        <f t="shared" si="5"/>
        <v>0</v>
      </c>
      <c r="H143" s="153">
        <v>10592143</v>
      </c>
      <c r="I143" s="233" t="s">
        <v>70</v>
      </c>
      <c r="J143" s="153" t="s">
        <v>71</v>
      </c>
      <c r="K143" s="153" t="s">
        <v>72</v>
      </c>
      <c r="L143" s="153"/>
      <c r="M143" s="327" t="s">
        <v>672</v>
      </c>
      <c r="N143" s="325" t="s">
        <v>682</v>
      </c>
      <c r="P143" s="639" t="s">
        <v>701</v>
      </c>
    </row>
    <row r="144" spans="1:23" s="17" customFormat="1" ht="21.75" customHeight="1" x14ac:dyDescent="0.25">
      <c r="A144" s="235">
        <v>1756</v>
      </c>
      <c r="B144" s="296" t="s">
        <v>412</v>
      </c>
      <c r="C144" s="619">
        <v>188.2</v>
      </c>
      <c r="D144" s="618">
        <v>0.4</v>
      </c>
      <c r="E144" s="617">
        <f t="shared" si="4"/>
        <v>75.28</v>
      </c>
      <c r="F144" s="617"/>
      <c r="G144" s="617">
        <f t="shared" si="5"/>
        <v>75.28</v>
      </c>
      <c r="H144" s="136">
        <v>381412</v>
      </c>
      <c r="I144" s="311" t="s">
        <v>413</v>
      </c>
      <c r="J144" s="136" t="s">
        <v>31</v>
      </c>
      <c r="K144" s="136" t="s">
        <v>32</v>
      </c>
      <c r="L144" s="136">
        <v>99293035</v>
      </c>
      <c r="M144" s="140"/>
      <c r="O144" s="5"/>
      <c r="Q144" s="5"/>
      <c r="S144" s="5"/>
      <c r="U144" s="5"/>
      <c r="W144" s="5"/>
    </row>
    <row r="145" spans="1:23" s="325" customFormat="1" ht="21.75" customHeight="1" x14ac:dyDescent="0.25">
      <c r="A145" s="230">
        <v>1758</v>
      </c>
      <c r="B145" s="152" t="s">
        <v>74</v>
      </c>
      <c r="C145" s="620">
        <v>446</v>
      </c>
      <c r="D145" s="621">
        <v>0.4</v>
      </c>
      <c r="E145" s="621">
        <f t="shared" si="4"/>
        <v>178.4</v>
      </c>
      <c r="F145" s="621">
        <f>E145</f>
        <v>178.4</v>
      </c>
      <c r="G145" s="621">
        <f t="shared" si="5"/>
        <v>0</v>
      </c>
      <c r="H145" s="153">
        <v>2443662</v>
      </c>
      <c r="I145" s="233" t="s">
        <v>75</v>
      </c>
      <c r="J145" s="153" t="s">
        <v>31</v>
      </c>
      <c r="K145" s="153" t="s">
        <v>32</v>
      </c>
      <c r="L145" s="153">
        <v>99608818</v>
      </c>
      <c r="M145" s="598" t="s">
        <v>676</v>
      </c>
    </row>
    <row r="146" spans="1:23" s="17" customFormat="1" ht="21.75" customHeight="1" x14ac:dyDescent="0.25">
      <c r="A146" s="235">
        <v>1759</v>
      </c>
      <c r="B146" s="296" t="s">
        <v>415</v>
      </c>
      <c r="C146" s="619">
        <v>220.8</v>
      </c>
      <c r="D146" s="618">
        <v>0.4</v>
      </c>
      <c r="E146" s="617">
        <f t="shared" si="4"/>
        <v>88.320000000000007</v>
      </c>
      <c r="F146" s="617"/>
      <c r="G146" s="617">
        <f t="shared" si="5"/>
        <v>88.320000000000007</v>
      </c>
      <c r="H146" s="136">
        <v>5029866</v>
      </c>
      <c r="I146" s="311" t="s">
        <v>416</v>
      </c>
      <c r="J146" s="136" t="s">
        <v>31</v>
      </c>
      <c r="K146" s="136" t="s">
        <v>32</v>
      </c>
      <c r="L146" s="136"/>
      <c r="M146" s="140"/>
      <c r="O146" s="5"/>
      <c r="Q146" s="5"/>
      <c r="S146" s="5"/>
      <c r="U146" s="5"/>
      <c r="W146" s="5"/>
    </row>
    <row r="147" spans="1:23" s="325" customFormat="1" ht="21.75" customHeight="1" x14ac:dyDescent="0.25">
      <c r="A147" s="230">
        <v>1760</v>
      </c>
      <c r="B147" s="152" t="s">
        <v>418</v>
      </c>
      <c r="C147" s="620">
        <v>255.7</v>
      </c>
      <c r="D147" s="621">
        <v>0.4</v>
      </c>
      <c r="E147" s="621">
        <f t="shared" si="4"/>
        <v>102.28</v>
      </c>
      <c r="F147" s="621">
        <f>E147</f>
        <v>102.28</v>
      </c>
      <c r="G147" s="621">
        <f t="shared" si="5"/>
        <v>0</v>
      </c>
      <c r="H147" s="153">
        <v>3847339</v>
      </c>
      <c r="I147" s="233" t="s">
        <v>419</v>
      </c>
      <c r="J147" s="153" t="s">
        <v>31</v>
      </c>
      <c r="K147" s="153" t="s">
        <v>32</v>
      </c>
      <c r="L147" s="153"/>
      <c r="M147" s="598" t="s">
        <v>676</v>
      </c>
    </row>
    <row r="148" spans="1:23" s="17" customFormat="1" ht="21.75" customHeight="1" x14ac:dyDescent="0.25">
      <c r="A148" s="235">
        <v>1763</v>
      </c>
      <c r="B148" s="296" t="s">
        <v>420</v>
      </c>
      <c r="C148" s="619">
        <v>214.8</v>
      </c>
      <c r="D148" s="618">
        <v>0.4</v>
      </c>
      <c r="E148" s="617">
        <f t="shared" si="4"/>
        <v>85.920000000000016</v>
      </c>
      <c r="F148" s="617"/>
      <c r="G148" s="617">
        <f t="shared" si="5"/>
        <v>85.920000000000016</v>
      </c>
      <c r="H148" s="136">
        <v>5384098</v>
      </c>
      <c r="I148" s="311" t="s">
        <v>421</v>
      </c>
      <c r="J148" s="136" t="s">
        <v>31</v>
      </c>
      <c r="K148" s="136" t="s">
        <v>32</v>
      </c>
      <c r="L148" s="136">
        <v>99199287</v>
      </c>
      <c r="M148" s="140"/>
      <c r="O148" s="5"/>
      <c r="Q148" s="5"/>
      <c r="S148" s="5"/>
      <c r="U148" s="5"/>
      <c r="W148" s="5"/>
    </row>
    <row r="149" spans="1:23" s="325" customFormat="1" ht="21.75" customHeight="1" x14ac:dyDescent="0.25">
      <c r="A149" s="230">
        <v>1764</v>
      </c>
      <c r="B149" s="152" t="s">
        <v>422</v>
      </c>
      <c r="C149" s="620">
        <v>331.8</v>
      </c>
      <c r="D149" s="621">
        <v>0.4</v>
      </c>
      <c r="E149" s="621">
        <f t="shared" si="4"/>
        <v>132.72</v>
      </c>
      <c r="F149" s="621">
        <f>128.75+3.97</f>
        <v>132.72</v>
      </c>
      <c r="G149" s="621">
        <f t="shared" si="5"/>
        <v>0</v>
      </c>
      <c r="H149" s="153">
        <v>6923798</v>
      </c>
      <c r="I149" s="242">
        <v>1023524004017</v>
      </c>
      <c r="J149" s="153" t="s">
        <v>26</v>
      </c>
      <c r="K149" s="153" t="s">
        <v>27</v>
      </c>
      <c r="L149" s="153">
        <v>93955557</v>
      </c>
      <c r="M149" s="327" t="s">
        <v>678</v>
      </c>
      <c r="N149" s="589">
        <v>45788</v>
      </c>
    </row>
    <row r="150" spans="1:23" s="325" customFormat="1" ht="21.75" customHeight="1" x14ac:dyDescent="0.25">
      <c r="A150" s="230">
        <v>1766</v>
      </c>
      <c r="B150" s="152" t="s">
        <v>423</v>
      </c>
      <c r="C150" s="620">
        <v>475</v>
      </c>
      <c r="D150" s="621">
        <v>0.4</v>
      </c>
      <c r="E150" s="621">
        <f t="shared" si="4"/>
        <v>190</v>
      </c>
      <c r="F150" s="621">
        <f>E150</f>
        <v>190</v>
      </c>
      <c r="G150" s="621">
        <f t="shared" si="5"/>
        <v>0</v>
      </c>
      <c r="H150" s="153">
        <v>19548574</v>
      </c>
      <c r="I150" s="233" t="s">
        <v>424</v>
      </c>
      <c r="J150" s="153" t="s">
        <v>31</v>
      </c>
      <c r="K150" s="153" t="s">
        <v>32</v>
      </c>
      <c r="L150" s="153">
        <v>92924743</v>
      </c>
      <c r="M150" s="598" t="s">
        <v>676</v>
      </c>
    </row>
    <row r="151" spans="1:23" s="325" customFormat="1" ht="21.75" customHeight="1" x14ac:dyDescent="0.25">
      <c r="A151" s="230">
        <v>1768</v>
      </c>
      <c r="B151" s="152" t="s">
        <v>172</v>
      </c>
      <c r="C151" s="620">
        <v>255</v>
      </c>
      <c r="D151" s="621">
        <v>0.4</v>
      </c>
      <c r="E151" s="621">
        <f t="shared" si="4"/>
        <v>102</v>
      </c>
      <c r="F151" s="621">
        <f>99.12+2.88</f>
        <v>102</v>
      </c>
      <c r="G151" s="621">
        <f t="shared" si="5"/>
        <v>0</v>
      </c>
      <c r="H151" s="153">
        <v>13899464</v>
      </c>
      <c r="I151" s="327" t="s">
        <v>173</v>
      </c>
      <c r="J151" s="153" t="s">
        <v>31</v>
      </c>
      <c r="K151" s="153" t="s">
        <v>32</v>
      </c>
      <c r="L151" s="153">
        <v>99166449</v>
      </c>
      <c r="M151" s="327" t="s">
        <v>678</v>
      </c>
      <c r="N151" s="598" t="s">
        <v>687</v>
      </c>
    </row>
    <row r="152" spans="1:23" s="17" customFormat="1" ht="21.75" customHeight="1" x14ac:dyDescent="0.25">
      <c r="A152" s="235">
        <v>1769</v>
      </c>
      <c r="B152" s="296" t="s">
        <v>425</v>
      </c>
      <c r="C152" s="619">
        <v>174.1</v>
      </c>
      <c r="D152" s="618">
        <v>0.4</v>
      </c>
      <c r="E152" s="617">
        <f t="shared" si="4"/>
        <v>69.64</v>
      </c>
      <c r="F152" s="617"/>
      <c r="G152" s="617">
        <f t="shared" si="5"/>
        <v>69.64</v>
      </c>
      <c r="H152" s="136">
        <v>19322478</v>
      </c>
      <c r="I152" s="311" t="s">
        <v>426</v>
      </c>
      <c r="J152" s="136" t="s">
        <v>31</v>
      </c>
      <c r="K152" s="136" t="s">
        <v>32</v>
      </c>
      <c r="L152" s="136">
        <v>99180404</v>
      </c>
      <c r="M152" s="140"/>
      <c r="O152" s="5"/>
      <c r="Q152" s="5"/>
      <c r="S152" s="5"/>
      <c r="U152" s="5"/>
      <c r="W152" s="5"/>
    </row>
    <row r="153" spans="1:23" s="17" customFormat="1" ht="21.75" customHeight="1" x14ac:dyDescent="0.25">
      <c r="A153" s="235">
        <v>1770</v>
      </c>
      <c r="B153" s="296" t="s">
        <v>427</v>
      </c>
      <c r="C153" s="619">
        <v>216.6</v>
      </c>
      <c r="D153" s="618">
        <v>0.4</v>
      </c>
      <c r="E153" s="617">
        <f t="shared" si="4"/>
        <v>86.64</v>
      </c>
      <c r="F153" s="617"/>
      <c r="G153" s="617">
        <f t="shared" si="5"/>
        <v>86.64</v>
      </c>
      <c r="H153" s="136">
        <v>24534799</v>
      </c>
      <c r="I153" s="311" t="s">
        <v>428</v>
      </c>
      <c r="J153" s="136" t="s">
        <v>26</v>
      </c>
      <c r="K153" s="136" t="s">
        <v>27</v>
      </c>
      <c r="L153" s="136"/>
      <c r="M153" s="140"/>
      <c r="O153" s="5"/>
      <c r="Q153" s="5"/>
      <c r="S153" s="5"/>
      <c r="U153" s="5"/>
      <c r="W153" s="5"/>
    </row>
    <row r="154" spans="1:23" s="17" customFormat="1" ht="21.75" customHeight="1" x14ac:dyDescent="0.25">
      <c r="A154" s="235">
        <v>1771</v>
      </c>
      <c r="B154" s="296" t="s">
        <v>174</v>
      </c>
      <c r="C154" s="619">
        <v>250</v>
      </c>
      <c r="D154" s="618">
        <v>0.4</v>
      </c>
      <c r="E154" s="617">
        <f t="shared" si="4"/>
        <v>100</v>
      </c>
      <c r="F154" s="617"/>
      <c r="G154" s="617">
        <f t="shared" si="5"/>
        <v>100</v>
      </c>
      <c r="H154" s="136">
        <v>5044401</v>
      </c>
      <c r="I154" s="311" t="s">
        <v>132</v>
      </c>
      <c r="J154" s="136" t="s">
        <v>31</v>
      </c>
      <c r="K154" s="136" t="s">
        <v>32</v>
      </c>
      <c r="L154" s="136">
        <v>93556616</v>
      </c>
      <c r="M154" s="140"/>
      <c r="O154" s="5"/>
      <c r="Q154" s="5"/>
      <c r="S154" s="5"/>
      <c r="U154" s="5"/>
      <c r="W154" s="5"/>
    </row>
    <row r="155" spans="1:23" s="325" customFormat="1" ht="21.75" customHeight="1" x14ac:dyDescent="0.25">
      <c r="A155" s="230">
        <v>1772</v>
      </c>
      <c r="B155" s="152" t="s">
        <v>429</v>
      </c>
      <c r="C155" s="620">
        <v>470.5</v>
      </c>
      <c r="D155" s="621">
        <v>0.4</v>
      </c>
      <c r="E155" s="621">
        <f t="shared" si="4"/>
        <v>188.20000000000002</v>
      </c>
      <c r="F155" s="621">
        <f>180.15+8.05</f>
        <v>188.20000000000002</v>
      </c>
      <c r="G155" s="621">
        <f t="shared" si="5"/>
        <v>0</v>
      </c>
      <c r="H155" s="153">
        <v>5217694</v>
      </c>
      <c r="I155" s="233" t="s">
        <v>430</v>
      </c>
      <c r="J155" s="153" t="s">
        <v>52</v>
      </c>
      <c r="K155" s="153" t="s">
        <v>53</v>
      </c>
      <c r="L155" s="153"/>
      <c r="M155" s="598">
        <v>45945</v>
      </c>
      <c r="N155" s="598" t="s">
        <v>700</v>
      </c>
    </row>
    <row r="156" spans="1:23" s="17" customFormat="1" ht="21.75" customHeight="1" x14ac:dyDescent="0.25">
      <c r="A156" s="235">
        <v>1773</v>
      </c>
      <c r="B156" s="296" t="s">
        <v>432</v>
      </c>
      <c r="C156" s="619">
        <v>205.1</v>
      </c>
      <c r="D156" s="618">
        <v>0.4</v>
      </c>
      <c r="E156" s="617">
        <f t="shared" si="4"/>
        <v>82.04</v>
      </c>
      <c r="F156" s="617"/>
      <c r="G156" s="617">
        <f t="shared" si="5"/>
        <v>82.04</v>
      </c>
      <c r="H156" s="136">
        <v>20562603</v>
      </c>
      <c r="I156" s="311" t="s">
        <v>433</v>
      </c>
      <c r="J156" s="136" t="s">
        <v>52</v>
      </c>
      <c r="K156" s="136" t="s">
        <v>53</v>
      </c>
      <c r="L156" s="136">
        <v>92755626</v>
      </c>
      <c r="M156" s="140"/>
      <c r="O156" s="5"/>
      <c r="Q156" s="5"/>
      <c r="S156" s="5"/>
      <c r="U156" s="5"/>
      <c r="W156" s="5"/>
    </row>
    <row r="157" spans="1:23" s="325" customFormat="1" ht="21.75" customHeight="1" x14ac:dyDescent="0.25">
      <c r="A157" s="230">
        <v>1774</v>
      </c>
      <c r="B157" s="152" t="s">
        <v>175</v>
      </c>
      <c r="C157" s="620">
        <v>255</v>
      </c>
      <c r="D157" s="621">
        <v>0.4</v>
      </c>
      <c r="E157" s="621">
        <f t="shared" si="4"/>
        <v>102</v>
      </c>
      <c r="F157" s="621">
        <f>99.56+2.44</f>
        <v>102</v>
      </c>
      <c r="G157" s="621">
        <f t="shared" si="5"/>
        <v>0</v>
      </c>
      <c r="H157" s="153">
        <v>20865047</v>
      </c>
      <c r="I157" s="233" t="s">
        <v>176</v>
      </c>
      <c r="J157" s="153" t="s">
        <v>31</v>
      </c>
      <c r="K157" s="153" t="s">
        <v>32</v>
      </c>
      <c r="L157" s="153">
        <v>98825083</v>
      </c>
      <c r="M157" s="327" t="s">
        <v>678</v>
      </c>
      <c r="N157" s="589">
        <v>45972</v>
      </c>
    </row>
    <row r="158" spans="1:23" s="325" customFormat="1" ht="21.75" customHeight="1" x14ac:dyDescent="0.25">
      <c r="A158" s="230">
        <v>1775</v>
      </c>
      <c r="B158" s="152" t="s">
        <v>434</v>
      </c>
      <c r="C158" s="620">
        <v>408</v>
      </c>
      <c r="D158" s="621">
        <v>0.4</v>
      </c>
      <c r="E158" s="621">
        <f t="shared" si="4"/>
        <v>163.20000000000002</v>
      </c>
      <c r="F158" s="621">
        <f>0.77+162.43</f>
        <v>163.20000000000002</v>
      </c>
      <c r="G158" s="621">
        <f t="shared" si="5"/>
        <v>0</v>
      </c>
      <c r="H158" s="153">
        <v>18659223</v>
      </c>
      <c r="I158" s="594" t="s">
        <v>435</v>
      </c>
      <c r="J158" s="153" t="s">
        <v>31</v>
      </c>
      <c r="K158" s="153" t="s">
        <v>32</v>
      </c>
      <c r="L158" s="153">
        <v>93980028</v>
      </c>
      <c r="M158" s="590">
        <v>45818</v>
      </c>
      <c r="N158" s="598" t="s">
        <v>684</v>
      </c>
    </row>
    <row r="159" spans="1:23" s="17" customFormat="1" ht="21.75" customHeight="1" x14ac:dyDescent="0.25">
      <c r="A159" s="235">
        <v>1776</v>
      </c>
      <c r="B159" s="296" t="s">
        <v>436</v>
      </c>
      <c r="C159" s="619">
        <v>247.7</v>
      </c>
      <c r="D159" s="618">
        <v>0.4</v>
      </c>
      <c r="E159" s="617">
        <f t="shared" si="4"/>
        <v>99.08</v>
      </c>
      <c r="F159" s="617"/>
      <c r="G159" s="617">
        <f t="shared" si="5"/>
        <v>99.08</v>
      </c>
      <c r="H159" s="136">
        <v>30837376</v>
      </c>
      <c r="I159" s="316" t="s">
        <v>437</v>
      </c>
      <c r="J159" s="136" t="s">
        <v>31</v>
      </c>
      <c r="K159" s="136" t="s">
        <v>32</v>
      </c>
      <c r="L159" s="136">
        <v>92445594</v>
      </c>
      <c r="M159" s="140"/>
      <c r="O159" s="5"/>
      <c r="Q159" s="5"/>
      <c r="S159" s="5"/>
      <c r="U159" s="5"/>
      <c r="W159" s="5"/>
    </row>
    <row r="160" spans="1:23" s="325" customFormat="1" ht="21.75" customHeight="1" x14ac:dyDescent="0.25">
      <c r="A160" s="230">
        <v>1777</v>
      </c>
      <c r="B160" s="152" t="s">
        <v>438</v>
      </c>
      <c r="C160" s="620">
        <v>515</v>
      </c>
      <c r="D160" s="621">
        <v>0.4</v>
      </c>
      <c r="E160" s="621">
        <f t="shared" si="4"/>
        <v>206</v>
      </c>
      <c r="F160" s="621">
        <f>30+74.25+99</f>
        <v>203.25</v>
      </c>
      <c r="G160" s="621">
        <f t="shared" si="5"/>
        <v>2.75</v>
      </c>
      <c r="H160" s="153">
        <v>15107764</v>
      </c>
      <c r="I160" s="594" t="s">
        <v>439</v>
      </c>
      <c r="J160" s="153" t="s">
        <v>121</v>
      </c>
      <c r="K160" s="153" t="s">
        <v>122</v>
      </c>
      <c r="L160" s="153"/>
      <c r="M160" s="327" t="s">
        <v>678</v>
      </c>
      <c r="N160" s="589">
        <v>45972</v>
      </c>
      <c r="O160" s="589">
        <v>45669</v>
      </c>
    </row>
    <row r="161" spans="1:23" s="17" customFormat="1" ht="21.75" customHeight="1" x14ac:dyDescent="0.25">
      <c r="A161" s="230">
        <v>1778</v>
      </c>
      <c r="B161" s="152" t="s">
        <v>440</v>
      </c>
      <c r="C161" s="620">
        <v>258.39999999999998</v>
      </c>
      <c r="D161" s="621">
        <v>0.4</v>
      </c>
      <c r="E161" s="621">
        <f t="shared" si="4"/>
        <v>103.36</v>
      </c>
      <c r="F161" s="621">
        <f>101.2+2.16</f>
        <v>103.36</v>
      </c>
      <c r="G161" s="621">
        <f t="shared" si="5"/>
        <v>0</v>
      </c>
      <c r="H161" s="153">
        <v>24984002</v>
      </c>
      <c r="I161" s="233" t="s">
        <v>441</v>
      </c>
      <c r="J161" s="153" t="s">
        <v>31</v>
      </c>
      <c r="K161" s="153" t="s">
        <v>32</v>
      </c>
      <c r="L161" s="153">
        <v>99033018</v>
      </c>
      <c r="M161" s="327" t="s">
        <v>678</v>
      </c>
      <c r="N161" s="589">
        <v>45788</v>
      </c>
      <c r="O161" s="5"/>
      <c r="Q161" s="5"/>
      <c r="S161" s="5"/>
      <c r="U161" s="5"/>
      <c r="W161" s="5"/>
    </row>
    <row r="162" spans="1:23" s="325" customFormat="1" ht="21.75" customHeight="1" x14ac:dyDescent="0.25">
      <c r="A162" s="230">
        <v>1780</v>
      </c>
      <c r="B162" s="152" t="s">
        <v>442</v>
      </c>
      <c r="C162" s="620">
        <v>640</v>
      </c>
      <c r="D162" s="621">
        <v>0.4</v>
      </c>
      <c r="E162" s="621">
        <f t="shared" si="4"/>
        <v>256</v>
      </c>
      <c r="F162" s="621">
        <f>254.98+1.02</f>
        <v>256</v>
      </c>
      <c r="G162" s="621">
        <f t="shared" si="5"/>
        <v>0</v>
      </c>
      <c r="H162" s="153">
        <v>6228066</v>
      </c>
      <c r="I162" s="233" t="s">
        <v>443</v>
      </c>
      <c r="J162" s="153" t="s">
        <v>31</v>
      </c>
      <c r="K162" s="153" t="s">
        <v>32</v>
      </c>
      <c r="L162" s="153">
        <v>91709355</v>
      </c>
      <c r="M162" s="590">
        <v>45758</v>
      </c>
      <c r="N162" s="589">
        <v>45973</v>
      </c>
    </row>
    <row r="163" spans="1:23" s="17" customFormat="1" ht="21.75" customHeight="1" x14ac:dyDescent="0.25">
      <c r="A163" s="235">
        <v>1781</v>
      </c>
      <c r="B163" s="296" t="s">
        <v>444</v>
      </c>
      <c r="C163" s="619">
        <v>244</v>
      </c>
      <c r="D163" s="618">
        <v>0.4</v>
      </c>
      <c r="E163" s="617">
        <f t="shared" si="4"/>
        <v>97.600000000000009</v>
      </c>
      <c r="F163" s="617"/>
      <c r="G163" s="617">
        <f t="shared" si="5"/>
        <v>97.600000000000009</v>
      </c>
      <c r="H163" s="136">
        <v>7287174</v>
      </c>
      <c r="I163" s="311" t="s">
        <v>445</v>
      </c>
      <c r="J163" s="136" t="s">
        <v>52</v>
      </c>
      <c r="K163" s="136" t="s">
        <v>53</v>
      </c>
      <c r="L163" s="136">
        <v>99673747</v>
      </c>
      <c r="M163" s="140"/>
      <c r="O163" s="5"/>
      <c r="Q163" s="5"/>
      <c r="S163" s="5"/>
      <c r="U163" s="5"/>
      <c r="W163" s="5"/>
    </row>
    <row r="164" spans="1:23" s="325" customFormat="1" ht="21.75" customHeight="1" x14ac:dyDescent="0.25">
      <c r="A164" s="230">
        <v>1782</v>
      </c>
      <c r="B164" s="152" t="s">
        <v>446</v>
      </c>
      <c r="C164" s="620">
        <v>294.5</v>
      </c>
      <c r="D164" s="621">
        <v>0.4</v>
      </c>
      <c r="E164" s="621">
        <f t="shared" si="4"/>
        <v>117.80000000000001</v>
      </c>
      <c r="F164" s="621">
        <f>115.84+1.96</f>
        <v>117.8</v>
      </c>
      <c r="G164" s="621">
        <f t="shared" si="5"/>
        <v>0</v>
      </c>
      <c r="H164" s="153">
        <v>19818711</v>
      </c>
      <c r="I164" s="233" t="s">
        <v>447</v>
      </c>
      <c r="J164" s="153" t="s">
        <v>31</v>
      </c>
      <c r="K164" s="153" t="s">
        <v>32</v>
      </c>
      <c r="L164" s="153">
        <v>92204006</v>
      </c>
      <c r="M164" s="327" t="s">
        <v>678</v>
      </c>
      <c r="N164" s="598">
        <v>45669</v>
      </c>
    </row>
    <row r="165" spans="1:23" s="325" customFormat="1" ht="21.75" customHeight="1" x14ac:dyDescent="0.25">
      <c r="A165" s="230">
        <v>1783</v>
      </c>
      <c r="B165" s="152" t="s">
        <v>177</v>
      </c>
      <c r="C165" s="620">
        <v>223</v>
      </c>
      <c r="D165" s="621">
        <v>0.4</v>
      </c>
      <c r="E165" s="621">
        <f t="shared" si="4"/>
        <v>89.2</v>
      </c>
      <c r="F165" s="621">
        <f>87.58+1.62</f>
        <v>89.2</v>
      </c>
      <c r="G165" s="621">
        <f t="shared" si="5"/>
        <v>0</v>
      </c>
      <c r="H165" s="153">
        <v>1500187</v>
      </c>
      <c r="I165" s="233" t="s">
        <v>178</v>
      </c>
      <c r="J165" s="153" t="s">
        <v>31</v>
      </c>
      <c r="K165" s="153" t="s">
        <v>32</v>
      </c>
      <c r="L165" s="153">
        <v>91159122</v>
      </c>
      <c r="M165" s="327" t="s">
        <v>678</v>
      </c>
      <c r="N165" s="325" t="s">
        <v>703</v>
      </c>
    </row>
    <row r="166" spans="1:23" s="17" customFormat="1" ht="21.75" customHeight="1" x14ac:dyDescent="0.25">
      <c r="A166" s="235">
        <v>1784</v>
      </c>
      <c r="B166" s="296" t="s">
        <v>448</v>
      </c>
      <c r="C166" s="619">
        <v>319.39999999999998</v>
      </c>
      <c r="D166" s="618">
        <v>0.4</v>
      </c>
      <c r="E166" s="617">
        <f t="shared" si="4"/>
        <v>127.75999999999999</v>
      </c>
      <c r="F166" s="617">
        <f>E166</f>
        <v>127.75999999999999</v>
      </c>
      <c r="G166" s="617">
        <f t="shared" si="5"/>
        <v>0</v>
      </c>
      <c r="H166" s="136">
        <v>19534652</v>
      </c>
      <c r="I166" s="313" t="s">
        <v>449</v>
      </c>
      <c r="J166" s="136" t="s">
        <v>52</v>
      </c>
      <c r="K166" s="136" t="s">
        <v>53</v>
      </c>
      <c r="L166" s="136">
        <v>99296177</v>
      </c>
      <c r="M166" s="598" t="s">
        <v>700</v>
      </c>
      <c r="O166" s="5"/>
      <c r="Q166" s="5"/>
      <c r="S166" s="5"/>
      <c r="U166" s="5"/>
      <c r="W166" s="5"/>
    </row>
    <row r="167" spans="1:23" s="17" customFormat="1" ht="21.75" customHeight="1" x14ac:dyDescent="0.25">
      <c r="A167" s="235">
        <v>1785</v>
      </c>
      <c r="B167" s="296" t="s">
        <v>179</v>
      </c>
      <c r="C167" s="619">
        <v>260</v>
      </c>
      <c r="D167" s="618">
        <v>0.4</v>
      </c>
      <c r="E167" s="617">
        <f t="shared" si="4"/>
        <v>104</v>
      </c>
      <c r="F167" s="617"/>
      <c r="G167" s="617">
        <f t="shared" si="5"/>
        <v>104</v>
      </c>
      <c r="H167" s="136">
        <v>7374743</v>
      </c>
      <c r="I167" s="311" t="s">
        <v>180</v>
      </c>
      <c r="J167" s="136" t="s">
        <v>31</v>
      </c>
      <c r="K167" s="136" t="s">
        <v>32</v>
      </c>
      <c r="L167" s="136">
        <v>93875087</v>
      </c>
      <c r="M167" s="140"/>
      <c r="O167" s="5"/>
      <c r="Q167" s="5"/>
      <c r="S167" s="5"/>
      <c r="U167" s="5"/>
      <c r="W167" s="5"/>
    </row>
    <row r="168" spans="1:23" s="325" customFormat="1" ht="21.75" customHeight="1" x14ac:dyDescent="0.25">
      <c r="A168" s="230">
        <v>1786</v>
      </c>
      <c r="B168" s="152" t="s">
        <v>181</v>
      </c>
      <c r="C168" s="620">
        <v>248.9</v>
      </c>
      <c r="D168" s="621">
        <v>0.4</v>
      </c>
      <c r="E168" s="621">
        <f t="shared" si="4"/>
        <v>99.56</v>
      </c>
      <c r="F168" s="621">
        <f>95+4.56</f>
        <v>99.56</v>
      </c>
      <c r="G168" s="621">
        <f t="shared" si="5"/>
        <v>0</v>
      </c>
      <c r="H168" s="153">
        <v>5614637</v>
      </c>
      <c r="I168" s="233" t="s">
        <v>182</v>
      </c>
      <c r="J168" s="153" t="s">
        <v>31</v>
      </c>
      <c r="K168" s="153" t="s">
        <v>32</v>
      </c>
      <c r="L168" s="153">
        <v>92924645</v>
      </c>
      <c r="M168" s="598">
        <v>45945</v>
      </c>
      <c r="N168" s="598">
        <v>45758</v>
      </c>
    </row>
    <row r="169" spans="1:23" s="17" customFormat="1" ht="21.75" customHeight="1" x14ac:dyDescent="0.25">
      <c r="A169" s="235">
        <v>1787</v>
      </c>
      <c r="B169" s="296" t="s">
        <v>77</v>
      </c>
      <c r="C169" s="619">
        <v>256.5</v>
      </c>
      <c r="D169" s="618">
        <v>0.4</v>
      </c>
      <c r="E169" s="617">
        <f t="shared" si="4"/>
        <v>102.60000000000001</v>
      </c>
      <c r="F169" s="617"/>
      <c r="G169" s="617">
        <f t="shared" si="5"/>
        <v>102.60000000000001</v>
      </c>
      <c r="H169" s="136">
        <v>22980157</v>
      </c>
      <c r="I169" s="311" t="s">
        <v>78</v>
      </c>
      <c r="J169" s="136" t="s">
        <v>31</v>
      </c>
      <c r="K169" s="136" t="s">
        <v>32</v>
      </c>
      <c r="L169" s="136">
        <v>91490491</v>
      </c>
      <c r="M169" s="140"/>
      <c r="O169" s="5"/>
      <c r="Q169" s="5"/>
      <c r="S169" s="5"/>
      <c r="U169" s="5"/>
      <c r="W169" s="5"/>
    </row>
    <row r="170" spans="1:23" s="17" customFormat="1" ht="21.75" customHeight="1" x14ac:dyDescent="0.25">
      <c r="A170" s="235">
        <v>1788</v>
      </c>
      <c r="B170" s="296" t="s">
        <v>450</v>
      </c>
      <c r="C170" s="619">
        <v>253.8</v>
      </c>
      <c r="D170" s="618">
        <v>0.4</v>
      </c>
      <c r="E170" s="617">
        <f t="shared" si="4"/>
        <v>101.52000000000001</v>
      </c>
      <c r="F170" s="617"/>
      <c r="G170" s="617">
        <f t="shared" si="5"/>
        <v>101.52000000000001</v>
      </c>
      <c r="H170" s="136">
        <v>25632707</v>
      </c>
      <c r="I170" s="311" t="s">
        <v>451</v>
      </c>
      <c r="J170" s="136" t="s">
        <v>31</v>
      </c>
      <c r="K170" s="136" t="s">
        <v>32</v>
      </c>
      <c r="L170" s="136"/>
      <c r="M170" s="140"/>
      <c r="O170" s="5"/>
      <c r="Q170" s="5"/>
      <c r="S170" s="5"/>
      <c r="U170" s="5"/>
      <c r="W170" s="5"/>
    </row>
    <row r="171" spans="1:23" s="325" customFormat="1" ht="21.75" customHeight="1" x14ac:dyDescent="0.25">
      <c r="A171" s="230">
        <v>1789</v>
      </c>
      <c r="B171" s="152" t="s">
        <v>452</v>
      </c>
      <c r="C171" s="620">
        <v>272</v>
      </c>
      <c r="D171" s="621">
        <v>0.4</v>
      </c>
      <c r="E171" s="621">
        <f t="shared" si="4"/>
        <v>108.80000000000001</v>
      </c>
      <c r="F171" s="621">
        <f>108.54+0.26</f>
        <v>108.80000000000001</v>
      </c>
      <c r="G171" s="621">
        <f t="shared" si="5"/>
        <v>0</v>
      </c>
      <c r="H171" s="153">
        <v>6687053</v>
      </c>
      <c r="I171" s="233" t="s">
        <v>453</v>
      </c>
      <c r="J171" s="153" t="s">
        <v>31</v>
      </c>
      <c r="K171" s="153" t="s">
        <v>32</v>
      </c>
      <c r="L171" s="153"/>
      <c r="M171" s="598" t="s">
        <v>682</v>
      </c>
      <c r="N171" s="589">
        <v>45788</v>
      </c>
    </row>
    <row r="172" spans="1:23" s="17" customFormat="1" ht="21.75" customHeight="1" x14ac:dyDescent="0.25">
      <c r="A172" s="235">
        <v>1790</v>
      </c>
      <c r="B172" s="296" t="s">
        <v>454</v>
      </c>
      <c r="C172" s="619">
        <v>194</v>
      </c>
      <c r="D172" s="618">
        <v>0.4</v>
      </c>
      <c r="E172" s="617">
        <f t="shared" si="4"/>
        <v>77.600000000000009</v>
      </c>
      <c r="F172" s="617"/>
      <c r="G172" s="617">
        <f t="shared" si="5"/>
        <v>77.600000000000009</v>
      </c>
      <c r="H172" s="136">
        <v>22971771</v>
      </c>
      <c r="I172" s="311" t="s">
        <v>455</v>
      </c>
      <c r="J172" s="136" t="s">
        <v>31</v>
      </c>
      <c r="K172" s="136" t="s">
        <v>32</v>
      </c>
      <c r="L172" s="136">
        <v>90976223</v>
      </c>
      <c r="M172" s="140"/>
      <c r="O172" s="5"/>
      <c r="Q172" s="5"/>
      <c r="S172" s="5"/>
      <c r="U172" s="5"/>
      <c r="W172" s="5"/>
    </row>
    <row r="173" spans="1:23" s="325" customFormat="1" ht="21.75" customHeight="1" x14ac:dyDescent="0.25">
      <c r="A173" s="230">
        <v>1791</v>
      </c>
      <c r="B173" s="152" t="s">
        <v>80</v>
      </c>
      <c r="C173" s="620">
        <v>201.9</v>
      </c>
      <c r="D173" s="621">
        <v>0.4</v>
      </c>
      <c r="E173" s="621">
        <f t="shared" si="4"/>
        <v>80.760000000000005</v>
      </c>
      <c r="F173" s="621">
        <f>E173</f>
        <v>80.760000000000005</v>
      </c>
      <c r="G173" s="621">
        <f t="shared" si="5"/>
        <v>0</v>
      </c>
      <c r="H173" s="153">
        <v>5335073</v>
      </c>
      <c r="I173" s="233" t="s">
        <v>81</v>
      </c>
      <c r="J173" s="153" t="s">
        <v>31</v>
      </c>
      <c r="K173" s="153" t="s">
        <v>32</v>
      </c>
      <c r="L173" s="153">
        <v>99806280</v>
      </c>
      <c r="M173" s="598" t="s">
        <v>676</v>
      </c>
    </row>
    <row r="174" spans="1:23" s="325" customFormat="1" ht="21.75" customHeight="1" x14ac:dyDescent="0.25">
      <c r="A174" s="230">
        <v>1793</v>
      </c>
      <c r="B174" s="152" t="s">
        <v>456</v>
      </c>
      <c r="C174" s="620">
        <v>438.3</v>
      </c>
      <c r="D174" s="621">
        <v>0.4</v>
      </c>
      <c r="E174" s="621">
        <f t="shared" si="4"/>
        <v>175.32000000000002</v>
      </c>
      <c r="F174" s="621">
        <f>172.95+2.37</f>
        <v>175.32</v>
      </c>
      <c r="G174" s="621">
        <f t="shared" si="5"/>
        <v>0</v>
      </c>
      <c r="H174" s="153">
        <v>1629686</v>
      </c>
      <c r="I174" s="233" t="s">
        <v>457</v>
      </c>
      <c r="J174" s="153" t="s">
        <v>31</v>
      </c>
      <c r="K174" s="153" t="s">
        <v>32</v>
      </c>
      <c r="L174" s="153"/>
      <c r="M174" s="598">
        <v>45945</v>
      </c>
      <c r="N174" s="598">
        <v>45758</v>
      </c>
    </row>
    <row r="175" spans="1:23" s="325" customFormat="1" ht="21.75" customHeight="1" x14ac:dyDescent="0.25">
      <c r="A175" s="230">
        <v>1794</v>
      </c>
      <c r="B175" s="152" t="s">
        <v>82</v>
      </c>
      <c r="C175" s="620">
        <v>272</v>
      </c>
      <c r="D175" s="621">
        <v>0.4</v>
      </c>
      <c r="E175" s="621">
        <f t="shared" si="4"/>
        <v>108.80000000000001</v>
      </c>
      <c r="F175" s="621">
        <f>106.59+2.21</f>
        <v>108.8</v>
      </c>
      <c r="G175" s="621">
        <f t="shared" si="5"/>
        <v>0</v>
      </c>
      <c r="H175" s="153">
        <v>6122928</v>
      </c>
      <c r="I175" s="233" t="s">
        <v>83</v>
      </c>
      <c r="J175" s="153" t="s">
        <v>31</v>
      </c>
      <c r="K175" s="153" t="s">
        <v>32</v>
      </c>
      <c r="L175" s="153"/>
      <c r="M175" s="598">
        <v>45945</v>
      </c>
      <c r="N175" s="589">
        <v>45788</v>
      </c>
    </row>
    <row r="176" spans="1:23" s="325" customFormat="1" ht="21.75" customHeight="1" x14ac:dyDescent="0.25">
      <c r="A176" s="230">
        <v>1795</v>
      </c>
      <c r="B176" s="152" t="s">
        <v>458</v>
      </c>
      <c r="C176" s="620">
        <v>332.7</v>
      </c>
      <c r="D176" s="621">
        <v>0.4</v>
      </c>
      <c r="E176" s="621">
        <f t="shared" si="4"/>
        <v>133.08000000000001</v>
      </c>
      <c r="F176" s="621">
        <f>E176</f>
        <v>133.08000000000001</v>
      </c>
      <c r="G176" s="621">
        <f t="shared" si="5"/>
        <v>0</v>
      </c>
      <c r="H176" s="153">
        <v>6496299</v>
      </c>
      <c r="I176" s="233" t="s">
        <v>459</v>
      </c>
      <c r="J176" s="153" t="s">
        <v>121</v>
      </c>
      <c r="K176" s="153" t="s">
        <v>122</v>
      </c>
      <c r="L176" s="153"/>
      <c r="M176" s="598" t="s">
        <v>687</v>
      </c>
    </row>
    <row r="177" spans="1:23" s="325" customFormat="1" ht="21.75" customHeight="1" x14ac:dyDescent="0.25">
      <c r="A177" s="230">
        <v>1796</v>
      </c>
      <c r="B177" s="152" t="s">
        <v>460</v>
      </c>
      <c r="C177" s="620">
        <v>272</v>
      </c>
      <c r="D177" s="621">
        <v>0.4</v>
      </c>
      <c r="E177" s="621">
        <f t="shared" si="4"/>
        <v>108.80000000000001</v>
      </c>
      <c r="F177" s="621">
        <f>107.33+1.47</f>
        <v>108.8</v>
      </c>
      <c r="G177" s="621">
        <f t="shared" si="5"/>
        <v>0</v>
      </c>
      <c r="H177" s="153">
        <v>7140382</v>
      </c>
      <c r="I177" s="592" t="s">
        <v>461</v>
      </c>
      <c r="J177" s="153" t="s">
        <v>31</v>
      </c>
      <c r="K177" s="153" t="s">
        <v>32</v>
      </c>
      <c r="L177" s="153"/>
      <c r="M177" s="598" t="s">
        <v>677</v>
      </c>
      <c r="N177" s="589">
        <v>46002</v>
      </c>
    </row>
    <row r="178" spans="1:23" s="325" customFormat="1" ht="21.75" customHeight="1" x14ac:dyDescent="0.25">
      <c r="A178" s="230">
        <v>1797</v>
      </c>
      <c r="B178" s="152" t="s">
        <v>463</v>
      </c>
      <c r="C178" s="620">
        <v>255</v>
      </c>
      <c r="D178" s="621">
        <v>0.4</v>
      </c>
      <c r="E178" s="621">
        <f t="shared" si="4"/>
        <v>102</v>
      </c>
      <c r="F178" s="621">
        <f>98.1+3.9</f>
        <v>102</v>
      </c>
      <c r="G178" s="621">
        <f t="shared" si="5"/>
        <v>0</v>
      </c>
      <c r="H178" s="153">
        <v>3677869</v>
      </c>
      <c r="I178" s="233" t="s">
        <v>464</v>
      </c>
      <c r="J178" s="153" t="s">
        <v>31</v>
      </c>
      <c r="K178" s="153" t="s">
        <v>32</v>
      </c>
      <c r="L178" s="153">
        <v>72522066</v>
      </c>
      <c r="M178" s="327" t="s">
        <v>700</v>
      </c>
      <c r="N178" s="598">
        <v>45669</v>
      </c>
    </row>
    <row r="179" spans="1:23" s="325" customFormat="1" ht="21.75" customHeight="1" x14ac:dyDescent="0.25">
      <c r="A179" s="230">
        <v>1798</v>
      </c>
      <c r="B179" s="152" t="s">
        <v>84</v>
      </c>
      <c r="C179" s="620">
        <v>272</v>
      </c>
      <c r="D179" s="621">
        <v>0.4</v>
      </c>
      <c r="E179" s="621">
        <f t="shared" si="4"/>
        <v>108.80000000000001</v>
      </c>
      <c r="F179" s="621">
        <f>108.44+0.36</f>
        <v>108.8</v>
      </c>
      <c r="G179" s="621">
        <f t="shared" si="5"/>
        <v>0</v>
      </c>
      <c r="H179" s="153">
        <v>5314229</v>
      </c>
      <c r="I179" s="611" t="s">
        <v>85</v>
      </c>
      <c r="J179" s="153" t="s">
        <v>52</v>
      </c>
      <c r="K179" s="153" t="s">
        <v>53</v>
      </c>
      <c r="L179" s="153"/>
      <c r="M179" s="589">
        <v>45788</v>
      </c>
      <c r="N179" s="589">
        <v>45972</v>
      </c>
    </row>
    <row r="180" spans="1:23" s="325" customFormat="1" ht="21.75" customHeight="1" x14ac:dyDescent="0.25">
      <c r="A180" s="230">
        <v>1799</v>
      </c>
      <c r="B180" s="152" t="s">
        <v>183</v>
      </c>
      <c r="C180" s="620">
        <v>243.6</v>
      </c>
      <c r="D180" s="621">
        <v>0.4</v>
      </c>
      <c r="E180" s="621">
        <f t="shared" si="4"/>
        <v>97.44</v>
      </c>
      <c r="F180" s="621">
        <f>96.32+1.12</f>
        <v>97.44</v>
      </c>
      <c r="G180" s="621">
        <f t="shared" si="5"/>
        <v>0</v>
      </c>
      <c r="H180" s="153">
        <v>5219843</v>
      </c>
      <c r="I180" s="233" t="s">
        <v>184</v>
      </c>
      <c r="J180" s="153" t="s">
        <v>31</v>
      </c>
      <c r="K180" s="153" t="s">
        <v>32</v>
      </c>
      <c r="L180" s="153"/>
      <c r="M180" s="598" t="s">
        <v>677</v>
      </c>
      <c r="N180" s="598" t="s">
        <v>700</v>
      </c>
    </row>
    <row r="181" spans="1:23" s="325" customFormat="1" ht="21.75" customHeight="1" x14ac:dyDescent="0.25">
      <c r="A181" s="230">
        <v>1800</v>
      </c>
      <c r="B181" s="152" t="s">
        <v>185</v>
      </c>
      <c r="C181" s="620">
        <v>257</v>
      </c>
      <c r="D181" s="621">
        <v>0.4</v>
      </c>
      <c r="E181" s="621">
        <f t="shared" si="4"/>
        <v>102.80000000000001</v>
      </c>
      <c r="F181" s="621">
        <f>100.65+2.15</f>
        <v>102.80000000000001</v>
      </c>
      <c r="G181" s="621">
        <f t="shared" si="5"/>
        <v>0</v>
      </c>
      <c r="H181" s="153">
        <v>7293505</v>
      </c>
      <c r="I181" s="592" t="s">
        <v>186</v>
      </c>
      <c r="J181" s="153" t="s">
        <v>31</v>
      </c>
      <c r="K181" s="153" t="s">
        <v>32</v>
      </c>
      <c r="L181" s="153">
        <v>99189910</v>
      </c>
      <c r="M181" s="325" t="s">
        <v>678</v>
      </c>
      <c r="N181" s="598" t="s">
        <v>700</v>
      </c>
    </row>
    <row r="182" spans="1:23" s="325" customFormat="1" ht="21.75" customHeight="1" x14ac:dyDescent="0.25">
      <c r="A182" s="230">
        <v>1801</v>
      </c>
      <c r="B182" s="152" t="s">
        <v>187</v>
      </c>
      <c r="C182" s="620">
        <v>272</v>
      </c>
      <c r="D182" s="621">
        <v>0.4</v>
      </c>
      <c r="E182" s="621">
        <f t="shared" si="4"/>
        <v>108.80000000000001</v>
      </c>
      <c r="F182" s="621">
        <f>106.693+2.107</f>
        <v>108.8</v>
      </c>
      <c r="G182" s="621">
        <f t="shared" si="5"/>
        <v>0</v>
      </c>
      <c r="H182" s="153">
        <v>655141</v>
      </c>
      <c r="I182" s="233" t="s">
        <v>188</v>
      </c>
      <c r="J182" s="153" t="s">
        <v>155</v>
      </c>
      <c r="K182" s="153" t="s">
        <v>156</v>
      </c>
      <c r="L182" s="153"/>
      <c r="M182" s="598">
        <v>45945</v>
      </c>
      <c r="N182" s="598" t="s">
        <v>683</v>
      </c>
    </row>
    <row r="183" spans="1:23" s="325" customFormat="1" ht="21.75" customHeight="1" x14ac:dyDescent="0.25">
      <c r="A183" s="230">
        <v>1802</v>
      </c>
      <c r="B183" s="152" t="s">
        <v>465</v>
      </c>
      <c r="C183" s="620">
        <v>232.2</v>
      </c>
      <c r="D183" s="621">
        <v>0.4</v>
      </c>
      <c r="E183" s="621">
        <f t="shared" si="4"/>
        <v>92.88</v>
      </c>
      <c r="F183" s="621">
        <f>90.12+2.76</f>
        <v>92.88000000000001</v>
      </c>
      <c r="G183" s="621">
        <f t="shared" si="5"/>
        <v>0</v>
      </c>
      <c r="H183" s="153">
        <v>14760225</v>
      </c>
      <c r="I183" s="592" t="s">
        <v>466</v>
      </c>
      <c r="J183" s="153" t="s">
        <v>31</v>
      </c>
      <c r="K183" s="153" t="s">
        <v>32</v>
      </c>
      <c r="L183" s="153"/>
      <c r="M183" s="598" t="s">
        <v>676</v>
      </c>
      <c r="N183" s="598" t="s">
        <v>687</v>
      </c>
    </row>
    <row r="184" spans="1:23" s="17" customFormat="1" ht="21.75" customHeight="1" x14ac:dyDescent="0.25">
      <c r="A184" s="235">
        <v>1803</v>
      </c>
      <c r="B184" s="296" t="s">
        <v>467</v>
      </c>
      <c r="C184" s="619">
        <v>437.2</v>
      </c>
      <c r="D184" s="618">
        <v>0.4</v>
      </c>
      <c r="E184" s="617">
        <f t="shared" si="4"/>
        <v>174.88</v>
      </c>
      <c r="F184" s="617"/>
      <c r="G184" s="617">
        <f t="shared" si="5"/>
        <v>174.88</v>
      </c>
      <c r="H184" s="136">
        <v>5502798</v>
      </c>
      <c r="I184" s="314" t="s">
        <v>468</v>
      </c>
      <c r="J184" s="136" t="s">
        <v>52</v>
      </c>
      <c r="K184" s="136" t="s">
        <v>53</v>
      </c>
      <c r="L184" s="136"/>
      <c r="M184" s="312"/>
      <c r="O184" s="5"/>
      <c r="Q184" s="5"/>
      <c r="S184" s="5"/>
      <c r="U184" s="5"/>
      <c r="W184" s="5"/>
    </row>
    <row r="185" spans="1:23" s="17" customFormat="1" ht="21.75" customHeight="1" x14ac:dyDescent="0.25">
      <c r="A185" s="235">
        <v>1804</v>
      </c>
      <c r="B185" s="296" t="s">
        <v>469</v>
      </c>
      <c r="C185" s="619">
        <v>230.3</v>
      </c>
      <c r="D185" s="618">
        <v>0.4</v>
      </c>
      <c r="E185" s="617">
        <f t="shared" si="4"/>
        <v>92.12</v>
      </c>
      <c r="F185" s="617">
        <f>E185</f>
        <v>92.12</v>
      </c>
      <c r="G185" s="617">
        <f t="shared" si="5"/>
        <v>0</v>
      </c>
      <c r="H185" s="136">
        <v>19623766</v>
      </c>
      <c r="I185" s="314" t="s">
        <v>470</v>
      </c>
      <c r="J185" s="136" t="s">
        <v>52</v>
      </c>
      <c r="K185" s="136" t="s">
        <v>53</v>
      </c>
      <c r="L185" s="136"/>
      <c r="M185" s="598">
        <v>45972</v>
      </c>
      <c r="O185" s="5"/>
      <c r="Q185" s="5"/>
      <c r="S185" s="5"/>
      <c r="U185" s="5"/>
      <c r="W185" s="5"/>
    </row>
    <row r="186" spans="1:23" s="17" customFormat="1" ht="21.75" customHeight="1" x14ac:dyDescent="0.25">
      <c r="A186" s="235">
        <v>1805</v>
      </c>
      <c r="B186" s="296" t="s">
        <v>471</v>
      </c>
      <c r="C186" s="619">
        <v>361.3</v>
      </c>
      <c r="D186" s="618">
        <v>0.4</v>
      </c>
      <c r="E186" s="617">
        <f t="shared" si="4"/>
        <v>144.52000000000001</v>
      </c>
      <c r="F186" s="617"/>
      <c r="G186" s="617">
        <f t="shared" si="5"/>
        <v>144.52000000000001</v>
      </c>
      <c r="H186" s="136">
        <v>1648586</v>
      </c>
      <c r="I186" s="314" t="s">
        <v>472</v>
      </c>
      <c r="J186" s="136" t="s">
        <v>31</v>
      </c>
      <c r="K186" s="136" t="s">
        <v>32</v>
      </c>
      <c r="L186" s="136">
        <v>96030388</v>
      </c>
      <c r="M186" s="140"/>
      <c r="O186" s="5"/>
      <c r="Q186" s="5"/>
      <c r="S186" s="5"/>
      <c r="U186" s="5"/>
      <c r="W186" s="5"/>
    </row>
    <row r="187" spans="1:23" s="325" customFormat="1" ht="21.75" customHeight="1" x14ac:dyDescent="0.25">
      <c r="A187" s="230">
        <v>1808</v>
      </c>
      <c r="B187" s="152" t="s">
        <v>86</v>
      </c>
      <c r="C187" s="620">
        <v>257</v>
      </c>
      <c r="D187" s="621">
        <v>0.4</v>
      </c>
      <c r="E187" s="621">
        <f t="shared" si="4"/>
        <v>102.80000000000001</v>
      </c>
      <c r="F187" s="621">
        <f>102.04+0.76</f>
        <v>102.80000000000001</v>
      </c>
      <c r="G187" s="621">
        <f t="shared" si="5"/>
        <v>0</v>
      </c>
      <c r="H187" s="153">
        <v>611136</v>
      </c>
      <c r="I187" s="242" t="s">
        <v>87</v>
      </c>
      <c r="J187" s="153" t="s">
        <v>26</v>
      </c>
      <c r="K187" s="153" t="s">
        <v>27</v>
      </c>
      <c r="L187" s="153"/>
      <c r="M187" s="598" t="s">
        <v>677</v>
      </c>
      <c r="N187" s="598" t="s">
        <v>687</v>
      </c>
    </row>
    <row r="188" spans="1:23" s="325" customFormat="1" ht="21.75" customHeight="1" x14ac:dyDescent="0.25">
      <c r="A188" s="230">
        <v>1809</v>
      </c>
      <c r="B188" s="152" t="s">
        <v>474</v>
      </c>
      <c r="C188" s="620">
        <v>258</v>
      </c>
      <c r="D188" s="621">
        <v>0.4</v>
      </c>
      <c r="E188" s="621">
        <f t="shared" si="4"/>
        <v>103.2</v>
      </c>
      <c r="F188" s="621">
        <f>E188</f>
        <v>103.2</v>
      </c>
      <c r="G188" s="621">
        <f t="shared" si="5"/>
        <v>0</v>
      </c>
      <c r="H188" s="153">
        <v>14957086</v>
      </c>
      <c r="I188" s="611" t="s">
        <v>475</v>
      </c>
      <c r="J188" s="153" t="s">
        <v>31</v>
      </c>
      <c r="K188" s="153" t="s">
        <v>32</v>
      </c>
      <c r="L188" s="153"/>
      <c r="M188" s="598" t="s">
        <v>685</v>
      </c>
    </row>
    <row r="189" spans="1:23" s="325" customFormat="1" ht="21.75" customHeight="1" x14ac:dyDescent="0.25">
      <c r="A189" s="230">
        <v>1811</v>
      </c>
      <c r="B189" s="152" t="s">
        <v>476</v>
      </c>
      <c r="C189" s="620">
        <v>341</v>
      </c>
      <c r="D189" s="621">
        <v>0.4</v>
      </c>
      <c r="E189" s="621">
        <f t="shared" si="4"/>
        <v>136.4</v>
      </c>
      <c r="F189" s="621">
        <f>135.49+0.91</f>
        <v>136.4</v>
      </c>
      <c r="G189" s="621">
        <f t="shared" si="5"/>
        <v>0</v>
      </c>
      <c r="H189" s="153">
        <v>6384618</v>
      </c>
      <c r="I189" s="592" t="s">
        <v>477</v>
      </c>
      <c r="J189" s="153" t="s">
        <v>31</v>
      </c>
      <c r="K189" s="153" t="s">
        <v>32</v>
      </c>
      <c r="L189" s="153"/>
      <c r="M189" s="598">
        <v>45945</v>
      </c>
      <c r="N189" s="598">
        <v>45758</v>
      </c>
    </row>
    <row r="190" spans="1:23" s="325" customFormat="1" ht="21.75" customHeight="1" x14ac:dyDescent="0.25">
      <c r="A190" s="230">
        <v>1812</v>
      </c>
      <c r="B190" s="152" t="s">
        <v>478</v>
      </c>
      <c r="C190" s="620">
        <v>254</v>
      </c>
      <c r="D190" s="621">
        <v>0.4</v>
      </c>
      <c r="E190" s="621">
        <f t="shared" si="4"/>
        <v>101.60000000000001</v>
      </c>
      <c r="F190" s="621">
        <f>101.34+0.26</f>
        <v>101.60000000000001</v>
      </c>
      <c r="G190" s="621">
        <f t="shared" si="5"/>
        <v>0</v>
      </c>
      <c r="H190" s="153">
        <v>4748659</v>
      </c>
      <c r="I190" s="592" t="s">
        <v>479</v>
      </c>
      <c r="J190" s="153" t="s">
        <v>52</v>
      </c>
      <c r="K190" s="153" t="s">
        <v>53</v>
      </c>
      <c r="L190" s="153">
        <v>98170004</v>
      </c>
      <c r="M190" s="598">
        <v>45945</v>
      </c>
      <c r="N190" s="598">
        <v>45758</v>
      </c>
    </row>
    <row r="191" spans="1:23" s="17" customFormat="1" ht="21.75" customHeight="1" x14ac:dyDescent="0.25">
      <c r="A191" s="235">
        <v>1813</v>
      </c>
      <c r="B191" s="296" t="s">
        <v>602</v>
      </c>
      <c r="C191" s="619">
        <v>227.6</v>
      </c>
      <c r="D191" s="618">
        <v>0.4</v>
      </c>
      <c r="E191" s="617">
        <f t="shared" si="4"/>
        <v>91.04</v>
      </c>
      <c r="F191" s="617"/>
      <c r="G191" s="617">
        <f t="shared" si="5"/>
        <v>91.04</v>
      </c>
      <c r="H191" s="136">
        <v>20230381</v>
      </c>
      <c r="I191" s="315" t="s">
        <v>603</v>
      </c>
      <c r="J191" s="136" t="s">
        <v>52</v>
      </c>
      <c r="K191" s="136" t="s">
        <v>53</v>
      </c>
      <c r="L191" s="136"/>
      <c r="M191" s="140"/>
      <c r="O191" s="5"/>
      <c r="Q191" s="5"/>
      <c r="S191" s="5"/>
      <c r="U191" s="5"/>
      <c r="W191" s="5"/>
    </row>
    <row r="192" spans="1:23" s="325" customFormat="1" ht="21.75" customHeight="1" x14ac:dyDescent="0.25">
      <c r="A192" s="230">
        <v>1816</v>
      </c>
      <c r="B192" s="152" t="s">
        <v>191</v>
      </c>
      <c r="C192" s="620">
        <v>268.3</v>
      </c>
      <c r="D192" s="621">
        <v>0.4</v>
      </c>
      <c r="E192" s="621">
        <f t="shared" si="4"/>
        <v>107.32000000000001</v>
      </c>
      <c r="F192" s="621">
        <f>105.05+2.27</f>
        <v>107.32</v>
      </c>
      <c r="G192" s="621">
        <f t="shared" si="5"/>
        <v>0</v>
      </c>
      <c r="H192" s="153">
        <v>15694259</v>
      </c>
      <c r="I192" s="592" t="s">
        <v>192</v>
      </c>
      <c r="J192" s="153" t="s">
        <v>31</v>
      </c>
      <c r="K192" s="153" t="s">
        <v>32</v>
      </c>
      <c r="L192" s="153"/>
      <c r="M192" s="598">
        <v>45945</v>
      </c>
      <c r="N192" s="598">
        <v>45758</v>
      </c>
    </row>
    <row r="193" spans="1:23" s="17" customFormat="1" ht="21.75" customHeight="1" x14ac:dyDescent="0.25">
      <c r="A193" s="235">
        <v>1817</v>
      </c>
      <c r="B193" s="296" t="s">
        <v>483</v>
      </c>
      <c r="C193" s="619">
        <v>960</v>
      </c>
      <c r="D193" s="618">
        <v>0.4</v>
      </c>
      <c r="E193" s="617">
        <f t="shared" si="4"/>
        <v>384</v>
      </c>
      <c r="F193" s="617"/>
      <c r="G193" s="617">
        <f t="shared" si="5"/>
        <v>384</v>
      </c>
      <c r="H193" s="136">
        <v>6492948</v>
      </c>
      <c r="I193" s="315" t="s">
        <v>484</v>
      </c>
      <c r="J193" s="136" t="s">
        <v>31</v>
      </c>
      <c r="K193" s="136" t="s">
        <v>32</v>
      </c>
      <c r="L193" s="136"/>
      <c r="M193" s="140"/>
      <c r="O193" s="5"/>
      <c r="Q193" s="5"/>
      <c r="S193" s="5"/>
      <c r="U193" s="5"/>
      <c r="W193" s="5"/>
    </row>
    <row r="194" spans="1:23" s="325" customFormat="1" ht="21.75" customHeight="1" x14ac:dyDescent="0.25">
      <c r="A194" s="230">
        <v>1818</v>
      </c>
      <c r="B194" s="152" t="s">
        <v>485</v>
      </c>
      <c r="C194" s="620">
        <v>356.2</v>
      </c>
      <c r="D194" s="621">
        <v>0.4</v>
      </c>
      <c r="E194" s="621">
        <f t="shared" si="4"/>
        <v>142.47999999999999</v>
      </c>
      <c r="F194" s="621">
        <f>E194</f>
        <v>142.47999999999999</v>
      </c>
      <c r="G194" s="621">
        <f t="shared" si="5"/>
        <v>0</v>
      </c>
      <c r="H194" s="153">
        <v>15677827</v>
      </c>
      <c r="I194" s="592" t="s">
        <v>486</v>
      </c>
      <c r="J194" s="153" t="s">
        <v>31</v>
      </c>
      <c r="K194" s="153" t="s">
        <v>32</v>
      </c>
      <c r="L194" s="153"/>
      <c r="M194" s="598">
        <v>45945</v>
      </c>
    </row>
    <row r="195" spans="1:23" s="325" customFormat="1" ht="21.75" customHeight="1" x14ac:dyDescent="0.25">
      <c r="A195" s="230">
        <v>1819</v>
      </c>
      <c r="B195" s="152" t="s">
        <v>487</v>
      </c>
      <c r="C195" s="620">
        <v>278</v>
      </c>
      <c r="D195" s="621">
        <v>0.4</v>
      </c>
      <c r="E195" s="621">
        <f t="shared" si="4"/>
        <v>111.2</v>
      </c>
      <c r="F195" s="621">
        <f>110.35+0.85</f>
        <v>111.19999999999999</v>
      </c>
      <c r="G195" s="621">
        <f t="shared" si="5"/>
        <v>0</v>
      </c>
      <c r="H195" s="153">
        <v>851375</v>
      </c>
      <c r="I195" s="592" t="s">
        <v>488</v>
      </c>
      <c r="J195" s="153" t="s">
        <v>52</v>
      </c>
      <c r="K195" s="153" t="s">
        <v>53</v>
      </c>
      <c r="L195" s="153">
        <v>92819432</v>
      </c>
      <c r="M195" s="598" t="s">
        <v>677</v>
      </c>
      <c r="N195" s="598">
        <v>45758</v>
      </c>
    </row>
    <row r="196" spans="1:23" s="17" customFormat="1" ht="21.75" customHeight="1" x14ac:dyDescent="0.25">
      <c r="A196" s="235">
        <v>1820</v>
      </c>
      <c r="B196" s="296" t="s">
        <v>489</v>
      </c>
      <c r="C196" s="619">
        <v>0</v>
      </c>
      <c r="D196" s="618">
        <v>0.4</v>
      </c>
      <c r="E196" s="617">
        <f t="shared" ref="E196:E223" si="6">C196*D196</f>
        <v>0</v>
      </c>
      <c r="F196" s="617"/>
      <c r="G196" s="617">
        <f t="shared" ref="G196:G223" si="7">E196-F196</f>
        <v>0</v>
      </c>
      <c r="H196" s="136">
        <v>7124544</v>
      </c>
      <c r="I196" s="311" t="s">
        <v>583</v>
      </c>
      <c r="J196" s="136" t="s">
        <v>52</v>
      </c>
      <c r="K196" s="136" t="s">
        <v>53</v>
      </c>
      <c r="L196" s="136"/>
      <c r="M196" s="140"/>
      <c r="O196" s="5"/>
      <c r="Q196" s="5"/>
      <c r="S196" s="5"/>
      <c r="U196" s="5"/>
      <c r="W196" s="5"/>
    </row>
    <row r="197" spans="1:23" s="17" customFormat="1" ht="21.75" customHeight="1" x14ac:dyDescent="0.25">
      <c r="A197" s="235">
        <v>1821</v>
      </c>
      <c r="B197" s="136" t="s">
        <v>491</v>
      </c>
      <c r="C197" s="619">
        <v>414</v>
      </c>
      <c r="D197" s="618">
        <v>0.4</v>
      </c>
      <c r="E197" s="617">
        <f t="shared" si="6"/>
        <v>165.60000000000002</v>
      </c>
      <c r="F197" s="617"/>
      <c r="G197" s="617">
        <f t="shared" si="7"/>
        <v>165.60000000000002</v>
      </c>
      <c r="H197" s="136">
        <v>2454202</v>
      </c>
      <c r="I197" s="311" t="s">
        <v>492</v>
      </c>
      <c r="J197" s="136" t="s">
        <v>155</v>
      </c>
      <c r="K197" s="136" t="s">
        <v>156</v>
      </c>
      <c r="L197" s="136"/>
      <c r="M197" s="140"/>
      <c r="O197" s="5"/>
      <c r="Q197" s="5"/>
      <c r="S197" s="5"/>
      <c r="U197" s="5"/>
      <c r="W197" s="5"/>
    </row>
    <row r="198" spans="1:23" s="17" customFormat="1" ht="21.75" customHeight="1" x14ac:dyDescent="0.25">
      <c r="A198" s="230">
        <v>1822</v>
      </c>
      <c r="B198" s="153" t="s">
        <v>193</v>
      </c>
      <c r="C198" s="620">
        <v>253.8</v>
      </c>
      <c r="D198" s="621">
        <v>0.4</v>
      </c>
      <c r="E198" s="621">
        <f t="shared" si="6"/>
        <v>101.52000000000001</v>
      </c>
      <c r="F198" s="621">
        <f>98.39+3.13</f>
        <v>101.52</v>
      </c>
      <c r="G198" s="621">
        <f t="shared" si="7"/>
        <v>0</v>
      </c>
      <c r="H198" s="153">
        <v>22005737</v>
      </c>
      <c r="I198" s="233" t="s">
        <v>152</v>
      </c>
      <c r="J198" s="153" t="s">
        <v>31</v>
      </c>
      <c r="K198" s="153" t="s">
        <v>32</v>
      </c>
      <c r="L198" s="153"/>
      <c r="M198" s="598" t="s">
        <v>677</v>
      </c>
      <c r="N198" s="325" t="s">
        <v>702</v>
      </c>
      <c r="O198" s="5"/>
      <c r="Q198" s="5"/>
      <c r="S198" s="5"/>
      <c r="U198" s="5"/>
      <c r="W198" s="5"/>
    </row>
    <row r="199" spans="1:23" s="17" customFormat="1" ht="21.75" customHeight="1" x14ac:dyDescent="0.25">
      <c r="A199" s="235">
        <v>1823</v>
      </c>
      <c r="B199" s="136" t="s">
        <v>493</v>
      </c>
      <c r="C199" s="619">
        <v>255</v>
      </c>
      <c r="D199" s="618">
        <v>0.4</v>
      </c>
      <c r="E199" s="617">
        <f t="shared" si="6"/>
        <v>102</v>
      </c>
      <c r="F199" s="617"/>
      <c r="G199" s="617">
        <f t="shared" si="7"/>
        <v>102</v>
      </c>
      <c r="H199" s="136">
        <v>25722393</v>
      </c>
      <c r="I199" s="311" t="s">
        <v>494</v>
      </c>
      <c r="J199" s="136" t="s">
        <v>31</v>
      </c>
      <c r="K199" s="136" t="s">
        <v>32</v>
      </c>
      <c r="L199" s="136"/>
      <c r="M199" s="140"/>
      <c r="O199" s="5"/>
      <c r="Q199" s="5"/>
      <c r="S199" s="5"/>
      <c r="U199" s="5"/>
      <c r="W199" s="5"/>
    </row>
    <row r="200" spans="1:23" s="17" customFormat="1" ht="21.75" customHeight="1" x14ac:dyDescent="0.25">
      <c r="A200" s="235">
        <v>1824</v>
      </c>
      <c r="B200" s="136" t="s">
        <v>195</v>
      </c>
      <c r="C200" s="619">
        <v>226</v>
      </c>
      <c r="D200" s="618">
        <v>0.4</v>
      </c>
      <c r="E200" s="617">
        <f t="shared" si="6"/>
        <v>90.4</v>
      </c>
      <c r="F200" s="617">
        <f>E200</f>
        <v>90.4</v>
      </c>
      <c r="G200" s="617">
        <f t="shared" si="7"/>
        <v>0</v>
      </c>
      <c r="H200" s="136">
        <v>766709</v>
      </c>
      <c r="I200" s="311" t="s">
        <v>196</v>
      </c>
      <c r="J200" s="136" t="s">
        <v>71</v>
      </c>
      <c r="K200" s="136" t="s">
        <v>72</v>
      </c>
      <c r="L200" s="136"/>
      <c r="M200" s="598" t="s">
        <v>680</v>
      </c>
      <c r="O200" s="5"/>
      <c r="Q200" s="5"/>
      <c r="S200" s="5"/>
      <c r="U200" s="5"/>
      <c r="W200" s="5"/>
    </row>
    <row r="201" spans="1:23" s="17" customFormat="1" ht="21.75" customHeight="1" x14ac:dyDescent="0.25">
      <c r="A201" s="235">
        <v>1825</v>
      </c>
      <c r="B201" s="136" t="s">
        <v>495</v>
      </c>
      <c r="C201" s="619">
        <v>242</v>
      </c>
      <c r="D201" s="618">
        <v>0.4</v>
      </c>
      <c r="E201" s="617">
        <f t="shared" si="6"/>
        <v>96.800000000000011</v>
      </c>
      <c r="F201" s="617">
        <f>E201</f>
        <v>96.800000000000011</v>
      </c>
      <c r="G201" s="617">
        <f t="shared" si="7"/>
        <v>0</v>
      </c>
      <c r="H201" s="136">
        <v>7293524</v>
      </c>
      <c r="I201" s="315" t="s">
        <v>496</v>
      </c>
      <c r="J201" s="136" t="s">
        <v>31</v>
      </c>
      <c r="K201" s="136" t="s">
        <v>32</v>
      </c>
      <c r="L201" s="136"/>
      <c r="M201" s="325" t="s">
        <v>678</v>
      </c>
      <c r="O201" s="5"/>
      <c r="Q201" s="5"/>
      <c r="S201" s="5"/>
      <c r="U201" s="5"/>
      <c r="W201" s="5"/>
    </row>
    <row r="202" spans="1:23" s="17" customFormat="1" ht="21.75" customHeight="1" x14ac:dyDescent="0.25">
      <c r="A202" s="230">
        <v>1826</v>
      </c>
      <c r="B202" s="606" t="s">
        <v>88</v>
      </c>
      <c r="C202" s="620">
        <v>232.9</v>
      </c>
      <c r="D202" s="621">
        <v>0.4</v>
      </c>
      <c r="E202" s="621">
        <f t="shared" si="6"/>
        <v>93.160000000000011</v>
      </c>
      <c r="F202" s="621">
        <f>91.85+1.31</f>
        <v>93.16</v>
      </c>
      <c r="G202" s="621">
        <f t="shared" si="7"/>
        <v>0</v>
      </c>
      <c r="H202" s="607">
        <v>381215</v>
      </c>
      <c r="I202" s="608" t="s">
        <v>89</v>
      </c>
      <c r="J202" s="607" t="s">
        <v>90</v>
      </c>
      <c r="K202" s="609" t="s">
        <v>32</v>
      </c>
      <c r="L202" s="610">
        <v>95110746</v>
      </c>
      <c r="M202" s="598">
        <v>45945</v>
      </c>
      <c r="N202" s="325" t="s">
        <v>687</v>
      </c>
      <c r="O202" s="5"/>
      <c r="Q202" s="5"/>
      <c r="S202" s="5"/>
      <c r="U202" s="5"/>
      <c r="W202" s="5"/>
    </row>
    <row r="203" spans="1:23" s="106" customFormat="1" ht="21.75" customHeight="1" x14ac:dyDescent="0.25">
      <c r="A203" s="205">
        <v>1827</v>
      </c>
      <c r="B203" s="209" t="s">
        <v>497</v>
      </c>
      <c r="C203" s="626">
        <v>245</v>
      </c>
      <c r="D203" s="627">
        <v>0.4</v>
      </c>
      <c r="E203" s="627">
        <f t="shared" si="6"/>
        <v>98</v>
      </c>
      <c r="F203" s="627">
        <f>E203</f>
        <v>98</v>
      </c>
      <c r="G203" s="627">
        <f t="shared" si="7"/>
        <v>0</v>
      </c>
      <c r="H203" s="209">
        <v>24218909</v>
      </c>
      <c r="I203" s="210" t="s">
        <v>584</v>
      </c>
      <c r="J203" s="206" t="s">
        <v>90</v>
      </c>
      <c r="K203" s="210" t="s">
        <v>32</v>
      </c>
      <c r="L203" s="209"/>
      <c r="M203" s="615" t="s">
        <v>673</v>
      </c>
    </row>
    <row r="204" spans="1:23" s="17" customFormat="1" ht="21.75" customHeight="1" x14ac:dyDescent="0.25">
      <c r="A204" s="235">
        <v>1830</v>
      </c>
      <c r="B204" s="136" t="s">
        <v>499</v>
      </c>
      <c r="C204" s="619">
        <v>503.8</v>
      </c>
      <c r="D204" s="618">
        <v>0.4</v>
      </c>
      <c r="E204" s="617">
        <f t="shared" si="6"/>
        <v>201.52</v>
      </c>
      <c r="F204" s="617"/>
      <c r="G204" s="617">
        <f t="shared" si="7"/>
        <v>201.52</v>
      </c>
      <c r="H204" s="136">
        <v>22697535</v>
      </c>
      <c r="I204" s="311" t="s">
        <v>500</v>
      </c>
      <c r="J204" s="296" t="s">
        <v>90</v>
      </c>
      <c r="K204" s="311" t="s">
        <v>32</v>
      </c>
      <c r="L204" s="136"/>
      <c r="M204" s="140"/>
      <c r="O204" s="5"/>
      <c r="Q204" s="5"/>
      <c r="S204" s="5"/>
      <c r="U204" s="5"/>
      <c r="W204" s="5"/>
    </row>
    <row r="205" spans="1:23" s="325" customFormat="1" ht="21.75" customHeight="1" x14ac:dyDescent="0.25">
      <c r="A205" s="230">
        <v>3074</v>
      </c>
      <c r="B205" s="152" t="s">
        <v>501</v>
      </c>
      <c r="C205" s="620">
        <v>217.7</v>
      </c>
      <c r="D205" s="621">
        <v>0.4</v>
      </c>
      <c r="E205" s="621">
        <f t="shared" si="6"/>
        <v>87.08</v>
      </c>
      <c r="F205" s="621">
        <f>E205</f>
        <v>87.08</v>
      </c>
      <c r="G205" s="621">
        <f t="shared" si="7"/>
        <v>0</v>
      </c>
      <c r="H205" s="595">
        <v>6327112</v>
      </c>
      <c r="I205" s="233" t="s">
        <v>502</v>
      </c>
      <c r="J205" s="152" t="s">
        <v>90</v>
      </c>
      <c r="K205" s="233" t="s">
        <v>32</v>
      </c>
      <c r="L205" s="595">
        <v>92544491</v>
      </c>
      <c r="M205" s="598" t="s">
        <v>676</v>
      </c>
    </row>
    <row r="206" spans="1:23" s="325" customFormat="1" ht="21.75" customHeight="1" x14ac:dyDescent="0.25">
      <c r="A206" s="230">
        <v>3075</v>
      </c>
      <c r="B206" s="153" t="s">
        <v>503</v>
      </c>
      <c r="C206" s="620">
        <v>339.9</v>
      </c>
      <c r="D206" s="621">
        <v>0.4</v>
      </c>
      <c r="E206" s="621">
        <f t="shared" si="6"/>
        <v>135.96</v>
      </c>
      <c r="F206" s="621">
        <f>135.33+0.63</f>
        <v>135.96</v>
      </c>
      <c r="G206" s="621">
        <f t="shared" si="7"/>
        <v>0</v>
      </c>
      <c r="H206" s="595">
        <v>6207551</v>
      </c>
      <c r="I206" s="592" t="s">
        <v>504</v>
      </c>
      <c r="J206" s="153" t="s">
        <v>31</v>
      </c>
      <c r="K206" s="153" t="s">
        <v>32</v>
      </c>
      <c r="L206" s="152">
        <v>92011889</v>
      </c>
      <c r="M206" s="598">
        <v>45945</v>
      </c>
      <c r="N206" s="598">
        <v>45758</v>
      </c>
    </row>
    <row r="207" spans="1:23" s="325" customFormat="1" ht="21.75" customHeight="1" x14ac:dyDescent="0.25">
      <c r="A207" s="230">
        <v>3250</v>
      </c>
      <c r="B207" s="153" t="s">
        <v>198</v>
      </c>
      <c r="C207" s="620">
        <v>487</v>
      </c>
      <c r="D207" s="621">
        <v>0.4</v>
      </c>
      <c r="E207" s="621">
        <f t="shared" si="6"/>
        <v>194.8</v>
      </c>
      <c r="F207" s="621">
        <f>193.49+1.31</f>
        <v>194.8</v>
      </c>
      <c r="G207" s="621">
        <f t="shared" si="7"/>
        <v>0</v>
      </c>
      <c r="H207" s="593">
        <v>1357047</v>
      </c>
      <c r="I207" s="242" t="s">
        <v>199</v>
      </c>
      <c r="J207" s="153" t="s">
        <v>26</v>
      </c>
      <c r="K207" s="153" t="s">
        <v>27</v>
      </c>
      <c r="L207" s="153">
        <v>91177550</v>
      </c>
      <c r="M207" s="327" t="s">
        <v>679</v>
      </c>
      <c r="N207" s="598">
        <v>45669</v>
      </c>
    </row>
    <row r="208" spans="1:23" s="325" customFormat="1" ht="21.75" customHeight="1" x14ac:dyDescent="0.25">
      <c r="A208" s="230">
        <v>3317</v>
      </c>
      <c r="B208" s="153" t="s">
        <v>505</v>
      </c>
      <c r="C208" s="620">
        <v>339</v>
      </c>
      <c r="D208" s="621">
        <v>0.4</v>
      </c>
      <c r="E208" s="621">
        <f t="shared" si="6"/>
        <v>135.6</v>
      </c>
      <c r="F208" s="621">
        <f t="shared" ref="F208:F214" si="8">E208</f>
        <v>135.6</v>
      </c>
      <c r="G208" s="621">
        <f t="shared" si="7"/>
        <v>0</v>
      </c>
      <c r="H208" s="593">
        <v>2366794</v>
      </c>
      <c r="I208" s="611" t="s">
        <v>506</v>
      </c>
      <c r="J208" s="153" t="s">
        <v>52</v>
      </c>
      <c r="K208" s="153" t="s">
        <v>53</v>
      </c>
      <c r="L208" s="153">
        <v>95138883</v>
      </c>
      <c r="M208" s="598" t="s">
        <v>685</v>
      </c>
    </row>
    <row r="209" spans="1:23" s="325" customFormat="1" ht="21.75" customHeight="1" x14ac:dyDescent="0.25">
      <c r="A209" s="230">
        <v>3323</v>
      </c>
      <c r="B209" s="153" t="s">
        <v>507</v>
      </c>
      <c r="C209" s="620">
        <v>433.8</v>
      </c>
      <c r="D209" s="621">
        <v>0.4</v>
      </c>
      <c r="E209" s="621">
        <f t="shared" si="6"/>
        <v>173.52</v>
      </c>
      <c r="F209" s="621">
        <f t="shared" si="8"/>
        <v>173.52</v>
      </c>
      <c r="G209" s="621">
        <f t="shared" si="7"/>
        <v>0</v>
      </c>
      <c r="H209" s="593">
        <v>683613</v>
      </c>
      <c r="I209" s="242" t="s">
        <v>508</v>
      </c>
      <c r="J209" s="153" t="s">
        <v>31</v>
      </c>
      <c r="K209" s="153" t="s">
        <v>32</v>
      </c>
      <c r="L209" s="153">
        <v>92280327</v>
      </c>
      <c r="M209" s="598" t="s">
        <v>676</v>
      </c>
    </row>
    <row r="210" spans="1:23" s="17" customFormat="1" ht="21.75" customHeight="1" x14ac:dyDescent="0.25">
      <c r="A210" s="235">
        <v>3327</v>
      </c>
      <c r="B210" s="136" t="s">
        <v>509</v>
      </c>
      <c r="C210" s="619">
        <v>428.2</v>
      </c>
      <c r="D210" s="618">
        <v>0.4</v>
      </c>
      <c r="E210" s="617">
        <f t="shared" si="6"/>
        <v>171.28</v>
      </c>
      <c r="F210" s="621">
        <f t="shared" si="8"/>
        <v>171.28</v>
      </c>
      <c r="G210" s="617">
        <f t="shared" si="7"/>
        <v>0</v>
      </c>
      <c r="H210" s="136">
        <v>4919647</v>
      </c>
      <c r="I210" s="311" t="s">
        <v>510</v>
      </c>
      <c r="J210" s="136" t="s">
        <v>52</v>
      </c>
      <c r="K210" s="136" t="s">
        <v>53</v>
      </c>
      <c r="L210" s="136">
        <v>99895505</v>
      </c>
      <c r="M210" s="598" t="s">
        <v>687</v>
      </c>
      <c r="O210" s="5"/>
      <c r="Q210" s="5"/>
      <c r="S210" s="5"/>
      <c r="U210" s="5"/>
      <c r="W210" s="5"/>
    </row>
    <row r="211" spans="1:23" s="17" customFormat="1" ht="21.75" customHeight="1" x14ac:dyDescent="0.25">
      <c r="A211" s="235">
        <v>3345</v>
      </c>
      <c r="B211" s="136" t="s">
        <v>511</v>
      </c>
      <c r="C211" s="619">
        <v>258</v>
      </c>
      <c r="D211" s="618">
        <v>0.4</v>
      </c>
      <c r="E211" s="617">
        <f t="shared" si="6"/>
        <v>103.2</v>
      </c>
      <c r="F211" s="617">
        <f t="shared" si="8"/>
        <v>103.2</v>
      </c>
      <c r="G211" s="617">
        <f t="shared" si="7"/>
        <v>0</v>
      </c>
      <c r="H211" s="136">
        <v>6572395</v>
      </c>
      <c r="I211" s="311" t="s">
        <v>512</v>
      </c>
      <c r="J211" s="136" t="s">
        <v>31</v>
      </c>
      <c r="K211" s="136" t="s">
        <v>32</v>
      </c>
      <c r="L211" s="136">
        <v>99294765</v>
      </c>
      <c r="M211" s="598" t="s">
        <v>685</v>
      </c>
      <c r="O211" s="5"/>
      <c r="Q211" s="5"/>
      <c r="S211" s="5"/>
      <c r="U211" s="5"/>
      <c r="W211" s="5"/>
    </row>
    <row r="212" spans="1:23" s="17" customFormat="1" ht="21.75" customHeight="1" x14ac:dyDescent="0.25">
      <c r="A212" s="235">
        <v>3701</v>
      </c>
      <c r="B212" s="296" t="s">
        <v>513</v>
      </c>
      <c r="C212" s="619">
        <v>260</v>
      </c>
      <c r="D212" s="618">
        <v>0.4</v>
      </c>
      <c r="E212" s="617">
        <f t="shared" si="6"/>
        <v>104</v>
      </c>
      <c r="F212" s="617">
        <f t="shared" si="8"/>
        <v>104</v>
      </c>
      <c r="G212" s="617">
        <f t="shared" si="7"/>
        <v>0</v>
      </c>
      <c r="H212" s="136">
        <v>5146416</v>
      </c>
      <c r="I212" s="311" t="s">
        <v>514</v>
      </c>
      <c r="J212" s="136" t="s">
        <v>31</v>
      </c>
      <c r="K212" s="136" t="s">
        <v>32</v>
      </c>
      <c r="L212" s="136">
        <v>99898838</v>
      </c>
      <c r="M212" s="589">
        <v>45972</v>
      </c>
      <c r="O212" s="5"/>
      <c r="Q212" s="5"/>
      <c r="S212" s="5"/>
      <c r="U212" s="5"/>
      <c r="W212" s="5"/>
    </row>
    <row r="213" spans="1:23" s="325" customFormat="1" ht="21.75" customHeight="1" x14ac:dyDescent="0.25">
      <c r="A213" s="230">
        <v>3710</v>
      </c>
      <c r="B213" s="152" t="s">
        <v>515</v>
      </c>
      <c r="C213" s="620">
        <v>221.6</v>
      </c>
      <c r="D213" s="621">
        <v>0.4</v>
      </c>
      <c r="E213" s="621">
        <f t="shared" si="6"/>
        <v>88.64</v>
      </c>
      <c r="F213" s="621">
        <f t="shared" si="8"/>
        <v>88.64</v>
      </c>
      <c r="G213" s="621">
        <f t="shared" si="7"/>
        <v>0</v>
      </c>
      <c r="H213" s="153">
        <v>22749678</v>
      </c>
      <c r="I213" s="603" t="s">
        <v>516</v>
      </c>
      <c r="J213" s="153" t="s">
        <v>31</v>
      </c>
      <c r="K213" s="153" t="s">
        <v>32</v>
      </c>
      <c r="L213" s="153"/>
      <c r="M213" s="598" t="s">
        <v>676</v>
      </c>
    </row>
    <row r="214" spans="1:23" s="325" customFormat="1" ht="21.75" customHeight="1" x14ac:dyDescent="0.25">
      <c r="A214" s="230">
        <v>3715</v>
      </c>
      <c r="B214" s="152" t="s">
        <v>517</v>
      </c>
      <c r="C214" s="620">
        <v>208.8</v>
      </c>
      <c r="D214" s="621">
        <v>0.4</v>
      </c>
      <c r="E214" s="621">
        <f t="shared" si="6"/>
        <v>83.52000000000001</v>
      </c>
      <c r="F214" s="621">
        <f t="shared" si="8"/>
        <v>83.52000000000001</v>
      </c>
      <c r="G214" s="621">
        <f t="shared" si="7"/>
        <v>0</v>
      </c>
      <c r="H214" s="153">
        <v>6327183</v>
      </c>
      <c r="I214" s="233" t="s">
        <v>518</v>
      </c>
      <c r="J214" s="153" t="s">
        <v>31</v>
      </c>
      <c r="K214" s="153" t="s">
        <v>32</v>
      </c>
      <c r="L214" s="153"/>
      <c r="M214" s="598" t="s">
        <v>676</v>
      </c>
    </row>
    <row r="215" spans="1:23" s="17" customFormat="1" ht="21.75" customHeight="1" x14ac:dyDescent="0.25">
      <c r="A215" s="235">
        <v>3721</v>
      </c>
      <c r="B215" s="296" t="s">
        <v>519</v>
      </c>
      <c r="C215" s="619">
        <v>112.6</v>
      </c>
      <c r="D215" s="618">
        <v>0.4</v>
      </c>
      <c r="E215" s="617">
        <f t="shared" si="6"/>
        <v>45.04</v>
      </c>
      <c r="F215" s="617"/>
      <c r="G215" s="617">
        <f t="shared" si="7"/>
        <v>45.04</v>
      </c>
      <c r="H215" s="136">
        <v>5332235</v>
      </c>
      <c r="I215" s="146" t="s">
        <v>520</v>
      </c>
      <c r="J215" s="296" t="s">
        <v>90</v>
      </c>
      <c r="K215" s="146" t="s">
        <v>32</v>
      </c>
      <c r="L215" s="136"/>
      <c r="M215" s="140"/>
      <c r="O215" s="5"/>
      <c r="Q215" s="5"/>
      <c r="S215" s="5"/>
      <c r="U215" s="5"/>
      <c r="W215" s="5"/>
    </row>
    <row r="216" spans="1:23" s="17" customFormat="1" ht="21.75" customHeight="1" x14ac:dyDescent="0.25">
      <c r="A216" s="235">
        <v>3738</v>
      </c>
      <c r="B216" s="136" t="s">
        <v>521</v>
      </c>
      <c r="C216" s="619">
        <v>272</v>
      </c>
      <c r="D216" s="618">
        <v>0.4</v>
      </c>
      <c r="E216" s="617">
        <f t="shared" si="6"/>
        <v>108.80000000000001</v>
      </c>
      <c r="F216" s="617"/>
      <c r="G216" s="617">
        <f t="shared" si="7"/>
        <v>108.80000000000001</v>
      </c>
      <c r="H216" s="136">
        <v>730741</v>
      </c>
      <c r="I216" s="311" t="s">
        <v>522</v>
      </c>
      <c r="J216" s="136" t="s">
        <v>31</v>
      </c>
      <c r="K216" s="136" t="s">
        <v>32</v>
      </c>
      <c r="L216" s="136">
        <v>99710505</v>
      </c>
      <c r="M216" s="140"/>
      <c r="O216" s="5"/>
      <c r="Q216" s="5"/>
      <c r="S216" s="5"/>
      <c r="U216" s="5"/>
      <c r="W216" s="5"/>
    </row>
    <row r="217" spans="1:23" s="325" customFormat="1" ht="21.75" customHeight="1" x14ac:dyDescent="0.25">
      <c r="A217" s="230">
        <v>3763</v>
      </c>
      <c r="B217" s="153" t="s">
        <v>92</v>
      </c>
      <c r="C217" s="620">
        <v>241</v>
      </c>
      <c r="D217" s="621">
        <v>0.4</v>
      </c>
      <c r="E217" s="621">
        <f t="shared" si="6"/>
        <v>96.4</v>
      </c>
      <c r="F217" s="621">
        <f>94.96+1.44</f>
        <v>96.399999999999991</v>
      </c>
      <c r="G217" s="621">
        <f t="shared" si="7"/>
        <v>0</v>
      </c>
      <c r="H217" s="153">
        <v>19189247</v>
      </c>
      <c r="I217" s="233" t="s">
        <v>93</v>
      </c>
      <c r="J217" s="153" t="s">
        <v>31</v>
      </c>
      <c r="K217" s="153" t="s">
        <v>32</v>
      </c>
      <c r="L217" s="153">
        <v>99846685</v>
      </c>
      <c r="M217" s="327" t="s">
        <v>679</v>
      </c>
      <c r="N217" s="325" t="s">
        <v>703</v>
      </c>
    </row>
    <row r="218" spans="1:23" s="325" customFormat="1" ht="21.75" customHeight="1" x14ac:dyDescent="0.25">
      <c r="A218" s="230">
        <v>3788</v>
      </c>
      <c r="B218" s="153" t="s">
        <v>523</v>
      </c>
      <c r="C218" s="620">
        <v>259.3</v>
      </c>
      <c r="D218" s="621">
        <v>0.4</v>
      </c>
      <c r="E218" s="621">
        <f t="shared" si="6"/>
        <v>103.72000000000001</v>
      </c>
      <c r="F218" s="621">
        <f>103.15+0.57</f>
        <v>103.72</v>
      </c>
      <c r="G218" s="621">
        <f t="shared" si="7"/>
        <v>0</v>
      </c>
      <c r="H218" s="153">
        <v>5146627</v>
      </c>
      <c r="I218" s="233" t="s">
        <v>524</v>
      </c>
      <c r="J218" s="153" t="s">
        <v>31</v>
      </c>
      <c r="K218" s="153" t="s">
        <v>32</v>
      </c>
      <c r="L218" s="153"/>
      <c r="M218" s="590">
        <v>45972</v>
      </c>
      <c r="N218" s="598">
        <v>45728</v>
      </c>
    </row>
    <row r="219" spans="1:23" s="17" customFormat="1" ht="21.75" customHeight="1" x14ac:dyDescent="0.25">
      <c r="A219" s="235">
        <v>3806</v>
      </c>
      <c r="B219" s="136" t="s">
        <v>525</v>
      </c>
      <c r="C219" s="619">
        <v>180.5</v>
      </c>
      <c r="D219" s="618">
        <v>0.4</v>
      </c>
      <c r="E219" s="617">
        <f t="shared" si="6"/>
        <v>72.2</v>
      </c>
      <c r="F219" s="617"/>
      <c r="G219" s="617">
        <f t="shared" si="7"/>
        <v>72.2</v>
      </c>
      <c r="H219" s="136">
        <v>14457167</v>
      </c>
      <c r="I219" s="313">
        <v>3158759994700</v>
      </c>
      <c r="J219" s="136" t="s">
        <v>71</v>
      </c>
      <c r="K219" s="136" t="s">
        <v>72</v>
      </c>
      <c r="L219" s="136">
        <v>91794400</v>
      </c>
      <c r="M219" s="140"/>
      <c r="O219" s="5"/>
      <c r="Q219" s="5"/>
      <c r="S219" s="5"/>
      <c r="U219" s="5"/>
      <c r="W219" s="5"/>
    </row>
    <row r="220" spans="1:23" s="325" customFormat="1" ht="21.75" customHeight="1" x14ac:dyDescent="0.25">
      <c r="A220" s="230">
        <v>3825</v>
      </c>
      <c r="B220" s="153" t="s">
        <v>526</v>
      </c>
      <c r="C220" s="620">
        <v>196</v>
      </c>
      <c r="D220" s="621">
        <v>0.4</v>
      </c>
      <c r="E220" s="621">
        <f t="shared" si="6"/>
        <v>78.400000000000006</v>
      </c>
      <c r="F220" s="621">
        <f>E220</f>
        <v>78.400000000000006</v>
      </c>
      <c r="G220" s="621">
        <f t="shared" si="7"/>
        <v>0</v>
      </c>
      <c r="H220" s="153">
        <v>6327337</v>
      </c>
      <c r="I220" s="603" t="s">
        <v>527</v>
      </c>
      <c r="J220" s="153" t="s">
        <v>31</v>
      </c>
      <c r="K220" s="153" t="s">
        <v>32</v>
      </c>
      <c r="L220" s="153"/>
      <c r="M220" s="598" t="s">
        <v>676</v>
      </c>
    </row>
    <row r="221" spans="1:23" s="17" customFormat="1" ht="21.75" customHeight="1" x14ac:dyDescent="0.25">
      <c r="A221" s="235">
        <v>3826</v>
      </c>
      <c r="B221" s="136" t="s">
        <v>200</v>
      </c>
      <c r="C221" s="619">
        <v>259.3</v>
      </c>
      <c r="D221" s="618">
        <v>0.4</v>
      </c>
      <c r="E221" s="617">
        <f t="shared" si="6"/>
        <v>103.72000000000001</v>
      </c>
      <c r="F221" s="617">
        <f>E221</f>
        <v>103.72000000000001</v>
      </c>
      <c r="G221" s="617">
        <f t="shared" si="7"/>
        <v>0</v>
      </c>
      <c r="H221" s="136">
        <v>4919671</v>
      </c>
      <c r="I221" s="311" t="s">
        <v>201</v>
      </c>
      <c r="J221" s="136" t="s">
        <v>31</v>
      </c>
      <c r="K221" s="136" t="s">
        <v>32</v>
      </c>
      <c r="L221" s="136">
        <v>92516644</v>
      </c>
      <c r="M221" s="598" t="s">
        <v>687</v>
      </c>
      <c r="O221" s="5"/>
      <c r="Q221" s="5"/>
      <c r="S221" s="5"/>
      <c r="U221" s="5"/>
      <c r="W221" s="5"/>
    </row>
    <row r="222" spans="1:23" s="17" customFormat="1" ht="21.75" customHeight="1" x14ac:dyDescent="0.25">
      <c r="A222" s="235">
        <v>3881</v>
      </c>
      <c r="B222" s="140" t="s">
        <v>529</v>
      </c>
      <c r="C222" s="619">
        <v>243.3</v>
      </c>
      <c r="D222" s="618">
        <v>0.4</v>
      </c>
      <c r="E222" s="617">
        <f t="shared" si="6"/>
        <v>97.320000000000007</v>
      </c>
      <c r="F222" s="617">
        <f>92.42+4.9</f>
        <v>97.320000000000007</v>
      </c>
      <c r="G222" s="617">
        <f t="shared" si="7"/>
        <v>0</v>
      </c>
      <c r="H222" s="136">
        <v>5335138</v>
      </c>
      <c r="I222" s="311" t="s">
        <v>530</v>
      </c>
      <c r="J222" s="136" t="s">
        <v>31</v>
      </c>
      <c r="K222" s="136" t="s">
        <v>32</v>
      </c>
      <c r="L222" s="136">
        <v>92936035</v>
      </c>
      <c r="M222" s="598" t="s">
        <v>687</v>
      </c>
      <c r="N222" s="325" t="s">
        <v>703</v>
      </c>
      <c r="O222" s="5"/>
      <c r="Q222" s="5"/>
      <c r="S222" s="5"/>
      <c r="U222" s="5"/>
      <c r="W222" s="5"/>
    </row>
    <row r="223" spans="1:23" s="17" customFormat="1" ht="21.75" customHeight="1" x14ac:dyDescent="0.25">
      <c r="A223" s="235">
        <v>3883</v>
      </c>
      <c r="B223" s="136" t="s">
        <v>531</v>
      </c>
      <c r="C223" s="619">
        <v>142.9</v>
      </c>
      <c r="D223" s="618">
        <v>0.4</v>
      </c>
      <c r="E223" s="617">
        <f t="shared" si="6"/>
        <v>57.160000000000004</v>
      </c>
      <c r="F223" s="617"/>
      <c r="G223" s="617">
        <f t="shared" si="7"/>
        <v>57.160000000000004</v>
      </c>
      <c r="H223" s="136">
        <v>18636502</v>
      </c>
      <c r="I223" s="311" t="s">
        <v>532</v>
      </c>
      <c r="J223" s="136" t="s">
        <v>90</v>
      </c>
      <c r="K223" s="136" t="s">
        <v>32</v>
      </c>
      <c r="L223" s="136" t="s">
        <v>32</v>
      </c>
      <c r="M223" s="140"/>
      <c r="O223" s="5"/>
      <c r="Q223" s="5"/>
      <c r="S223" s="5"/>
      <c r="U223" s="5"/>
      <c r="W223" s="5"/>
    </row>
    <row r="224" spans="1:23" ht="22.9" customHeight="1" x14ac:dyDescent="0.25">
      <c r="A224" s="146"/>
      <c r="B224" s="140"/>
      <c r="C224" s="294">
        <f>SUM(C3:C223)</f>
        <v>76637.200000000026</v>
      </c>
      <c r="D224" s="149"/>
      <c r="E224" s="186">
        <f>SUM(E3:E223)</f>
        <v>30654.880000000008</v>
      </c>
      <c r="F224" s="186">
        <f t="shared" ref="F224:G224" si="9">SUM(F3:F223)</f>
        <v>22972.469999999998</v>
      </c>
      <c r="G224" s="186">
        <f t="shared" si="9"/>
        <v>7682.4100000000026</v>
      </c>
      <c r="H224" s="140"/>
      <c r="I224" s="310"/>
      <c r="J224" s="140"/>
      <c r="K224" s="140"/>
      <c r="L224" s="140"/>
      <c r="M224" s="140"/>
    </row>
    <row r="225" spans="1:22" x14ac:dyDescent="0.25">
      <c r="A225" s="6"/>
      <c r="B225" s="290"/>
      <c r="C225" s="5"/>
      <c r="D225" s="64"/>
      <c r="E225" s="7"/>
      <c r="F225" s="7"/>
      <c r="G225" s="7"/>
      <c r="H225" s="7"/>
      <c r="I225" s="7"/>
      <c r="K225" s="6"/>
      <c r="M225" s="5"/>
    </row>
    <row r="226" spans="1:22" x14ac:dyDescent="0.25">
      <c r="A226" s="6"/>
      <c r="B226" s="290"/>
      <c r="C226" s="10"/>
      <c r="D226" s="10"/>
      <c r="E226" s="6"/>
      <c r="F226" s="6"/>
      <c r="G226" s="6"/>
      <c r="H226" s="107"/>
      <c r="I226" s="6"/>
      <c r="J226" s="7"/>
      <c r="K226" s="6"/>
    </row>
    <row r="227" spans="1:22" x14ac:dyDescent="0.25">
      <c r="L227" s="9"/>
      <c r="M227" s="9"/>
    </row>
    <row r="228" spans="1:22" x14ac:dyDescent="0.25">
      <c r="C228" s="290" t="s">
        <v>15</v>
      </c>
      <c r="E228" s="78"/>
      <c r="F228" s="78"/>
      <c r="G228" s="78"/>
    </row>
    <row r="229" spans="1:22" x14ac:dyDescent="0.25">
      <c r="I229" s="78"/>
    </row>
    <row r="230" spans="1:22" ht="21" x14ac:dyDescent="0.35">
      <c r="A230" s="66"/>
      <c r="B230" s="65"/>
      <c r="C230" s="293"/>
      <c r="D230" s="65"/>
      <c r="E230" s="4"/>
      <c r="F230" s="4"/>
      <c r="G230" s="4"/>
      <c r="H230" s="4"/>
      <c r="I230" s="4"/>
      <c r="J230" s="309"/>
      <c r="K230" s="68"/>
    </row>
    <row r="231" spans="1:22" ht="15.75" x14ac:dyDescent="0.25">
      <c r="A231" s="4"/>
      <c r="B231" s="4"/>
      <c r="C231" s="292"/>
      <c r="D231" s="4"/>
      <c r="E231" s="4"/>
      <c r="F231" s="4"/>
      <c r="G231" s="4"/>
      <c r="H231" s="4"/>
      <c r="I231" s="4"/>
      <c r="J231" s="4"/>
      <c r="K231" s="68"/>
    </row>
    <row r="232" spans="1:22" ht="15.75" x14ac:dyDescent="0.25">
      <c r="A232" s="70"/>
      <c r="B232" s="70"/>
      <c r="C232" s="291"/>
      <c r="D232" s="70"/>
      <c r="E232" s="70"/>
      <c r="F232" s="70"/>
      <c r="G232" s="70"/>
      <c r="H232" s="70"/>
      <c r="I232" s="308"/>
      <c r="J232" s="70"/>
      <c r="K232" s="72"/>
    </row>
    <row r="233" spans="1:22" ht="15.75" x14ac:dyDescent="0.25">
      <c r="A233" s="70"/>
      <c r="B233" s="70"/>
      <c r="C233" s="291"/>
      <c r="D233" s="70"/>
      <c r="E233" s="70"/>
      <c r="F233" s="70"/>
      <c r="G233" s="70"/>
      <c r="H233" s="70"/>
      <c r="I233" s="70"/>
      <c r="J233" s="70"/>
      <c r="K233" s="72"/>
      <c r="V233" s="5" t="s">
        <v>208</v>
      </c>
    </row>
    <row r="234" spans="1:22" ht="15.75" x14ac:dyDescent="0.25">
      <c r="A234" s="70"/>
      <c r="B234" s="70"/>
      <c r="C234" s="291"/>
      <c r="D234" s="70"/>
      <c r="E234" s="70"/>
      <c r="F234" s="70"/>
      <c r="G234" s="70"/>
      <c r="H234" s="70"/>
      <c r="I234" s="70"/>
      <c r="J234" s="70"/>
      <c r="K234" s="72"/>
    </row>
  </sheetData>
  <autoFilter ref="A2:X224" xr:uid="{7ABC5BF1-87BE-4C91-AC91-8AD19CC004AF}"/>
  <conditionalFormatting sqref="A7">
    <cfRule type="duplicateValues" dxfId="54" priority="9"/>
  </conditionalFormatting>
  <conditionalFormatting sqref="A18:A19">
    <cfRule type="duplicateValues" dxfId="53" priority="11"/>
  </conditionalFormatting>
  <conditionalFormatting sqref="A33">
    <cfRule type="duplicateValues" dxfId="52" priority="1"/>
  </conditionalFormatting>
  <conditionalFormatting sqref="A34">
    <cfRule type="duplicateValues" dxfId="51" priority="8"/>
  </conditionalFormatting>
  <conditionalFormatting sqref="A39:A41">
    <cfRule type="duplicateValues" dxfId="50" priority="7"/>
  </conditionalFormatting>
  <conditionalFormatting sqref="A48">
    <cfRule type="duplicateValues" dxfId="49" priority="6"/>
  </conditionalFormatting>
  <conditionalFormatting sqref="A59:A61">
    <cfRule type="duplicateValues" dxfId="48" priority="5"/>
  </conditionalFormatting>
  <conditionalFormatting sqref="A63">
    <cfRule type="duplicateValues" dxfId="47" priority="4"/>
  </conditionalFormatting>
  <conditionalFormatting sqref="A78">
    <cfRule type="duplicateValues" dxfId="46" priority="3"/>
  </conditionalFormatting>
  <conditionalFormatting sqref="A79">
    <cfRule type="duplicateValues" dxfId="45" priority="2"/>
  </conditionalFormatting>
  <conditionalFormatting sqref="A206">
    <cfRule type="duplicateValues" dxfId="44" priority="10"/>
  </conditionalFormatting>
  <pageMargins left="0.7" right="0.7" top="0.75" bottom="0.75" header="0.3" footer="0.3"/>
  <pageSetup paperSize="9" scale="5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D525-BD4C-4183-B955-F7FE3E14B775}">
  <dimension ref="A1:O234"/>
  <sheetViews>
    <sheetView view="pageBreakPreview" zoomScale="93" zoomScaleNormal="100" zoomScaleSheetLayoutView="93" workbookViewId="0">
      <selection activeCell="G4" sqref="G4"/>
    </sheetView>
  </sheetViews>
  <sheetFormatPr defaultColWidth="9" defaultRowHeight="12" x14ac:dyDescent="0.25"/>
  <cols>
    <col min="1" max="1" width="38.28515625" style="5" bestFit="1" customWidth="1"/>
    <col min="2" max="2" width="40.28515625" style="6" customWidth="1"/>
    <col min="3" max="3" width="13.42578125" style="290" customWidth="1"/>
    <col min="4" max="4" width="12" style="5" customWidth="1"/>
    <col min="5" max="7" width="21.28515625" style="5" customWidth="1"/>
    <col min="8" max="8" width="13.28515625" style="5" customWidth="1"/>
    <col min="9" max="9" width="16.42578125" style="5" hidden="1" customWidth="1"/>
    <col min="10" max="10" width="11.7109375" style="6" hidden="1" customWidth="1"/>
    <col min="11" max="11" width="15.85546875" style="7" hidden="1" customWidth="1"/>
    <col min="12" max="12" width="14.85546875" style="6" hidden="1" customWidth="1"/>
    <col min="13" max="13" width="17.42578125" style="6" customWidth="1"/>
    <col min="14" max="14" width="11.28515625" style="6" bestFit="1" customWidth="1"/>
    <col min="15" max="15" width="15.7109375" style="5" customWidth="1"/>
    <col min="16" max="16384" width="9" style="5"/>
  </cols>
  <sheetData>
    <row r="1" spans="1:15" ht="34.5" customHeight="1" x14ac:dyDescent="0.25">
      <c r="A1" s="646" t="s">
        <v>671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</row>
    <row r="2" spans="1:15" ht="30" customHeight="1" x14ac:dyDescent="0.25">
      <c r="A2" s="38" t="s">
        <v>2</v>
      </c>
      <c r="B2" s="39" t="s">
        <v>3</v>
      </c>
      <c r="C2" s="303" t="s">
        <v>4</v>
      </c>
      <c r="D2" s="38" t="s">
        <v>5</v>
      </c>
      <c r="E2" s="302" t="s">
        <v>564</v>
      </c>
      <c r="F2" s="302"/>
      <c r="G2" s="302" t="s">
        <v>19</v>
      </c>
      <c r="H2" s="39" t="s">
        <v>9</v>
      </c>
      <c r="I2" s="39" t="s">
        <v>20</v>
      </c>
      <c r="J2" s="39" t="s">
        <v>21</v>
      </c>
      <c r="K2" s="39" t="s">
        <v>22</v>
      </c>
      <c r="L2" s="39" t="s">
        <v>23</v>
      </c>
      <c r="M2" s="39" t="s">
        <v>10</v>
      </c>
      <c r="N2" s="5"/>
    </row>
    <row r="3" spans="1:15" ht="21.75" customHeight="1" x14ac:dyDescent="0.25">
      <c r="A3" s="301">
        <v>1001</v>
      </c>
      <c r="B3" s="296" t="s">
        <v>95</v>
      </c>
      <c r="C3" s="540">
        <v>212</v>
      </c>
      <c r="D3" s="149">
        <v>0.3</v>
      </c>
      <c r="E3" s="186">
        <f t="shared" ref="E3:E66" si="0">C3*D3</f>
        <v>63.599999999999994</v>
      </c>
      <c r="F3" s="186"/>
      <c r="G3" s="186">
        <f>E3-F3</f>
        <v>63.599999999999994</v>
      </c>
      <c r="H3" s="136">
        <v>2130934</v>
      </c>
      <c r="I3" s="311" t="s">
        <v>96</v>
      </c>
      <c r="J3" s="136" t="s">
        <v>31</v>
      </c>
      <c r="K3" s="136" t="s">
        <v>32</v>
      </c>
      <c r="L3" s="136">
        <v>92911133</v>
      </c>
      <c r="M3" s="321"/>
      <c r="N3" s="5"/>
    </row>
    <row r="4" spans="1:15" s="325" customFormat="1" ht="21.75" customHeight="1" x14ac:dyDescent="0.25">
      <c r="A4" s="616">
        <v>1007</v>
      </c>
      <c r="B4" s="152" t="s">
        <v>213</v>
      </c>
      <c r="C4" s="614">
        <v>1278</v>
      </c>
      <c r="D4" s="232">
        <v>0.3</v>
      </c>
      <c r="E4" s="232">
        <f t="shared" si="0"/>
        <v>383.4</v>
      </c>
      <c r="F4" s="232">
        <f>379.5+3.9</f>
        <v>383.4</v>
      </c>
      <c r="G4" s="232">
        <f t="shared" ref="G4:G67" si="1">E4-F4</f>
        <v>0</v>
      </c>
      <c r="H4" s="233">
        <v>1515504</v>
      </c>
      <c r="I4" s="233" t="s">
        <v>214</v>
      </c>
      <c r="J4" s="153" t="s">
        <v>71</v>
      </c>
      <c r="K4" s="153" t="s">
        <v>72</v>
      </c>
      <c r="L4" s="607">
        <v>91748840</v>
      </c>
      <c r="M4" s="598">
        <v>45912</v>
      </c>
      <c r="N4" s="325" t="s">
        <v>709</v>
      </c>
    </row>
    <row r="5" spans="1:15" s="325" customFormat="1" ht="21.75" customHeight="1" x14ac:dyDescent="0.25">
      <c r="A5" s="616">
        <v>1028</v>
      </c>
      <c r="B5" s="152" t="s">
        <v>215</v>
      </c>
      <c r="C5" s="231">
        <v>245</v>
      </c>
      <c r="D5" s="232">
        <v>0.3</v>
      </c>
      <c r="E5" s="232">
        <f t="shared" si="0"/>
        <v>73.5</v>
      </c>
      <c r="F5" s="232">
        <f>69.99+3.51</f>
        <v>73.5</v>
      </c>
      <c r="G5" s="232">
        <f t="shared" si="1"/>
        <v>0</v>
      </c>
      <c r="H5" s="153">
        <v>802875</v>
      </c>
      <c r="I5" s="233" t="s">
        <v>216</v>
      </c>
      <c r="J5" s="153" t="s">
        <v>31</v>
      </c>
      <c r="K5" s="153" t="s">
        <v>32</v>
      </c>
      <c r="L5" s="153">
        <v>99498677</v>
      </c>
      <c r="M5" s="598" t="s">
        <v>687</v>
      </c>
      <c r="N5" s="17" t="s">
        <v>708</v>
      </c>
    </row>
    <row r="6" spans="1:15" s="325" customFormat="1" ht="21.75" customHeight="1" x14ac:dyDescent="0.25">
      <c r="A6" s="230">
        <v>1033</v>
      </c>
      <c r="B6" s="152" t="s">
        <v>217</v>
      </c>
      <c r="C6" s="231">
        <v>750.3</v>
      </c>
      <c r="D6" s="232">
        <v>0.3</v>
      </c>
      <c r="E6" s="232">
        <f t="shared" si="0"/>
        <v>225.08999999999997</v>
      </c>
      <c r="F6" s="232">
        <f>2.45+222.64</f>
        <v>225.08999999999997</v>
      </c>
      <c r="G6" s="232">
        <f t="shared" si="1"/>
        <v>0</v>
      </c>
      <c r="H6" s="153">
        <v>10132435</v>
      </c>
      <c r="I6" s="233" t="s">
        <v>218</v>
      </c>
      <c r="J6" s="153" t="s">
        <v>52</v>
      </c>
      <c r="K6" s="153" t="s">
        <v>53</v>
      </c>
      <c r="L6" s="153">
        <v>92268168</v>
      </c>
      <c r="M6" s="598" t="s">
        <v>676</v>
      </c>
      <c r="N6" s="598">
        <v>45758</v>
      </c>
      <c r="O6" s="628" t="s">
        <v>689</v>
      </c>
    </row>
    <row r="7" spans="1:15" ht="21.75" customHeight="1" x14ac:dyDescent="0.25">
      <c r="A7" s="235">
        <v>1040</v>
      </c>
      <c r="B7" s="296" t="s">
        <v>11</v>
      </c>
      <c r="C7" s="295">
        <v>234</v>
      </c>
      <c r="D7" s="149">
        <v>0.3</v>
      </c>
      <c r="E7" s="186">
        <f t="shared" si="0"/>
        <v>70.2</v>
      </c>
      <c r="F7" s="186"/>
      <c r="G7" s="186">
        <f t="shared" si="1"/>
        <v>70.2</v>
      </c>
      <c r="H7" s="136">
        <v>25082374</v>
      </c>
      <c r="I7" s="311" t="s">
        <v>220</v>
      </c>
      <c r="J7" s="136" t="s">
        <v>31</v>
      </c>
      <c r="K7" s="136" t="s">
        <v>32</v>
      </c>
      <c r="L7" s="136">
        <v>99816344</v>
      </c>
      <c r="M7" s="321"/>
      <c r="N7" s="5"/>
    </row>
    <row r="8" spans="1:15" ht="21.75" customHeight="1" x14ac:dyDescent="0.25">
      <c r="A8" s="235">
        <v>1044</v>
      </c>
      <c r="B8" s="296" t="s">
        <v>221</v>
      </c>
      <c r="C8" s="295">
        <v>267.5</v>
      </c>
      <c r="D8" s="149">
        <v>0.3</v>
      </c>
      <c r="E8" s="186">
        <f t="shared" si="0"/>
        <v>80.25</v>
      </c>
      <c r="F8" s="186"/>
      <c r="G8" s="186">
        <f t="shared" si="1"/>
        <v>80.25</v>
      </c>
      <c r="H8" s="136">
        <v>81904</v>
      </c>
      <c r="I8" s="311" t="s">
        <v>222</v>
      </c>
      <c r="J8" s="136" t="s">
        <v>31</v>
      </c>
      <c r="K8" s="136" t="s">
        <v>32</v>
      </c>
      <c r="L8" s="136">
        <v>99494120</v>
      </c>
      <c r="M8" s="321"/>
      <c r="N8" s="5"/>
    </row>
    <row r="9" spans="1:15" s="325" customFormat="1" ht="21.75" customHeight="1" x14ac:dyDescent="0.25">
      <c r="A9" s="230">
        <v>1080</v>
      </c>
      <c r="B9" s="152" t="s">
        <v>223</v>
      </c>
      <c r="C9" s="231">
        <v>238.7</v>
      </c>
      <c r="D9" s="232">
        <v>0.3</v>
      </c>
      <c r="E9" s="232">
        <f t="shared" si="0"/>
        <v>71.61</v>
      </c>
      <c r="F9" s="232">
        <f>69.01+2.6</f>
        <v>71.61</v>
      </c>
      <c r="G9" s="232">
        <f t="shared" si="1"/>
        <v>0</v>
      </c>
      <c r="H9" s="153">
        <v>78762</v>
      </c>
      <c r="I9" s="233" t="s">
        <v>224</v>
      </c>
      <c r="J9" s="153" t="s">
        <v>31</v>
      </c>
      <c r="K9" s="153" t="s">
        <v>32</v>
      </c>
      <c r="L9" s="153">
        <v>92440088</v>
      </c>
      <c r="M9" s="598" t="s">
        <v>701</v>
      </c>
      <c r="N9" s="325" t="s">
        <v>703</v>
      </c>
    </row>
    <row r="10" spans="1:15" s="325" customFormat="1" ht="21.75" customHeight="1" x14ac:dyDescent="0.25">
      <c r="A10" s="230">
        <v>1089</v>
      </c>
      <c r="B10" s="613" t="s">
        <v>225</v>
      </c>
      <c r="C10" s="231">
        <v>424.4</v>
      </c>
      <c r="D10" s="232">
        <v>0.3</v>
      </c>
      <c r="E10" s="232">
        <f t="shared" si="0"/>
        <v>127.32</v>
      </c>
      <c r="F10" s="232">
        <f>3.61999999999999+123.7</f>
        <v>127.32</v>
      </c>
      <c r="G10" s="232">
        <f t="shared" si="1"/>
        <v>0</v>
      </c>
      <c r="H10" s="153">
        <v>892683</v>
      </c>
      <c r="I10" s="153" t="s">
        <v>226</v>
      </c>
      <c r="J10" s="153" t="s">
        <v>26</v>
      </c>
      <c r="K10" s="153" t="s">
        <v>27</v>
      </c>
      <c r="L10" s="153">
        <v>99506162</v>
      </c>
      <c r="M10" s="598" t="s">
        <v>676</v>
      </c>
      <c r="N10" s="589">
        <v>45788</v>
      </c>
    </row>
    <row r="11" spans="1:15" s="17" customFormat="1" ht="21.75" customHeight="1" x14ac:dyDescent="0.25">
      <c r="A11" s="235">
        <v>1096</v>
      </c>
      <c r="B11" s="296" t="s">
        <v>227</v>
      </c>
      <c r="C11" s="295">
        <v>253.7</v>
      </c>
      <c r="D11" s="149">
        <v>0.3</v>
      </c>
      <c r="E11" s="186">
        <f t="shared" si="0"/>
        <v>76.11</v>
      </c>
      <c r="F11" s="186"/>
      <c r="G11" s="186">
        <f t="shared" si="1"/>
        <v>76.11</v>
      </c>
      <c r="H11" s="136">
        <v>1959918</v>
      </c>
      <c r="I11" s="136" t="s">
        <v>228</v>
      </c>
      <c r="J11" s="136" t="s">
        <v>71</v>
      </c>
      <c r="K11" s="136" t="s">
        <v>72</v>
      </c>
      <c r="L11" s="136">
        <v>92699781</v>
      </c>
      <c r="M11" s="321"/>
    </row>
    <row r="12" spans="1:15" s="17" customFormat="1" ht="21.75" customHeight="1" x14ac:dyDescent="0.25">
      <c r="A12" s="235">
        <v>1106</v>
      </c>
      <c r="B12" s="296" t="s">
        <v>24</v>
      </c>
      <c r="C12" s="295">
        <v>788</v>
      </c>
      <c r="D12" s="149">
        <v>0.3</v>
      </c>
      <c r="E12" s="186">
        <f t="shared" si="0"/>
        <v>236.39999999999998</v>
      </c>
      <c r="F12" s="186"/>
      <c r="G12" s="186">
        <f t="shared" si="1"/>
        <v>236.39999999999998</v>
      </c>
      <c r="H12" s="136">
        <v>5502751</v>
      </c>
      <c r="I12" s="136" t="s">
        <v>25</v>
      </c>
      <c r="J12" s="136" t="s">
        <v>26</v>
      </c>
      <c r="K12" s="136" t="s">
        <v>27</v>
      </c>
      <c r="L12" s="136">
        <v>99270001</v>
      </c>
      <c r="M12" s="321"/>
    </row>
    <row r="13" spans="1:15" ht="21.75" customHeight="1" x14ac:dyDescent="0.25">
      <c r="A13" s="235">
        <v>1110</v>
      </c>
      <c r="B13" s="296" t="s">
        <v>229</v>
      </c>
      <c r="C13" s="295">
        <v>414</v>
      </c>
      <c r="D13" s="149">
        <v>0.3</v>
      </c>
      <c r="E13" s="186">
        <f t="shared" si="0"/>
        <v>124.19999999999999</v>
      </c>
      <c r="F13" s="186">
        <f>122.85+1.35</f>
        <v>124.19999999999999</v>
      </c>
      <c r="G13" s="186">
        <f t="shared" si="1"/>
        <v>0</v>
      </c>
      <c r="H13" s="136">
        <v>934298</v>
      </c>
      <c r="I13" s="136" t="s">
        <v>230</v>
      </c>
      <c r="J13" s="136" t="s">
        <v>31</v>
      </c>
      <c r="K13" s="136" t="s">
        <v>32</v>
      </c>
      <c r="L13" s="136">
        <v>92811415</v>
      </c>
      <c r="M13" s="598">
        <v>45758</v>
      </c>
      <c r="N13" s="325" t="s">
        <v>703</v>
      </c>
    </row>
    <row r="14" spans="1:15" s="325" customFormat="1" ht="21.75" customHeight="1" x14ac:dyDescent="0.25">
      <c r="A14" s="230">
        <v>1111</v>
      </c>
      <c r="B14" s="152" t="s">
        <v>231</v>
      </c>
      <c r="C14" s="231">
        <v>432.5</v>
      </c>
      <c r="D14" s="232">
        <v>0.3</v>
      </c>
      <c r="E14" s="232">
        <f t="shared" si="0"/>
        <v>129.75</v>
      </c>
      <c r="F14" s="232">
        <f>127.33+2.42</f>
        <v>129.75</v>
      </c>
      <c r="G14" s="232">
        <f t="shared" si="1"/>
        <v>0</v>
      </c>
      <c r="H14" s="153">
        <v>15571992</v>
      </c>
      <c r="I14" s="233" t="s">
        <v>232</v>
      </c>
      <c r="J14" s="153" t="s">
        <v>52</v>
      </c>
      <c r="K14" s="153" t="s">
        <v>53</v>
      </c>
      <c r="L14" s="153">
        <v>92708951</v>
      </c>
      <c r="M14" s="598" t="s">
        <v>687</v>
      </c>
      <c r="N14" s="325" t="s">
        <v>703</v>
      </c>
    </row>
    <row r="15" spans="1:15" ht="21.75" customHeight="1" x14ac:dyDescent="0.25">
      <c r="A15" s="235">
        <v>1119</v>
      </c>
      <c r="B15" s="297" t="s">
        <v>233</v>
      </c>
      <c r="C15" s="295">
        <v>373</v>
      </c>
      <c r="D15" s="149">
        <v>0.3</v>
      </c>
      <c r="E15" s="186">
        <f t="shared" si="0"/>
        <v>111.89999999999999</v>
      </c>
      <c r="F15" s="186"/>
      <c r="G15" s="186">
        <f t="shared" si="1"/>
        <v>111.89999999999999</v>
      </c>
      <c r="H15" s="136">
        <v>24000245</v>
      </c>
      <c r="I15" s="136" t="s">
        <v>234</v>
      </c>
      <c r="J15" s="136" t="s">
        <v>31</v>
      </c>
      <c r="K15" s="136" t="s">
        <v>32</v>
      </c>
      <c r="L15" s="136">
        <v>90911369</v>
      </c>
      <c r="M15" s="321"/>
      <c r="N15" s="5"/>
    </row>
    <row r="16" spans="1:15" s="325" customFormat="1" ht="21.75" customHeight="1" x14ac:dyDescent="0.25">
      <c r="A16" s="230">
        <v>1122</v>
      </c>
      <c r="B16" s="152" t="s">
        <v>98</v>
      </c>
      <c r="C16" s="231">
        <v>242.3</v>
      </c>
      <c r="D16" s="232">
        <v>0.3</v>
      </c>
      <c r="E16" s="232">
        <f t="shared" si="0"/>
        <v>72.69</v>
      </c>
      <c r="F16" s="232">
        <f>68.84+3.85</f>
        <v>72.69</v>
      </c>
      <c r="G16" s="232">
        <f t="shared" si="1"/>
        <v>0</v>
      </c>
      <c r="H16" s="153">
        <v>5219876</v>
      </c>
      <c r="I16" s="153" t="s">
        <v>99</v>
      </c>
      <c r="J16" s="153" t="s">
        <v>31</v>
      </c>
      <c r="K16" s="153" t="s">
        <v>32</v>
      </c>
      <c r="L16" s="153">
        <v>99066779</v>
      </c>
      <c r="M16" s="598" t="s">
        <v>700</v>
      </c>
      <c r="N16" s="325" t="s">
        <v>706</v>
      </c>
    </row>
    <row r="17" spans="1:15" s="325" customFormat="1" ht="21.75" customHeight="1" x14ac:dyDescent="0.25">
      <c r="A17" s="230">
        <v>1135</v>
      </c>
      <c r="B17" s="152" t="s">
        <v>101</v>
      </c>
      <c r="C17" s="231">
        <v>481.1</v>
      </c>
      <c r="D17" s="232">
        <v>0.3</v>
      </c>
      <c r="E17" s="232">
        <f t="shared" si="0"/>
        <v>144.33000000000001</v>
      </c>
      <c r="F17" s="232">
        <f>4.48000000000003+138.6+1.25</f>
        <v>144.33000000000001</v>
      </c>
      <c r="G17" s="232">
        <f t="shared" si="1"/>
        <v>0</v>
      </c>
      <c r="H17" s="153">
        <v>19202954</v>
      </c>
      <c r="I17" s="233" t="s">
        <v>102</v>
      </c>
      <c r="J17" s="153" t="s">
        <v>52</v>
      </c>
      <c r="K17" s="153" t="s">
        <v>53</v>
      </c>
      <c r="L17" s="153">
        <v>92771786</v>
      </c>
      <c r="M17" s="598" t="s">
        <v>676</v>
      </c>
      <c r="N17" s="589">
        <v>45669</v>
      </c>
      <c r="O17" s="325" t="s">
        <v>703</v>
      </c>
    </row>
    <row r="18" spans="1:15" ht="21.75" customHeight="1" x14ac:dyDescent="0.25">
      <c r="A18" s="235">
        <v>1141</v>
      </c>
      <c r="B18" s="296" t="s">
        <v>235</v>
      </c>
      <c r="C18" s="295">
        <v>330</v>
      </c>
      <c r="D18" s="149">
        <v>0.3</v>
      </c>
      <c r="E18" s="186">
        <f t="shared" si="0"/>
        <v>99</v>
      </c>
      <c r="F18" s="186">
        <f>97.29+1.71</f>
        <v>99</v>
      </c>
      <c r="G18" s="186">
        <f t="shared" si="1"/>
        <v>0</v>
      </c>
      <c r="H18" s="136">
        <v>11753992</v>
      </c>
      <c r="I18" s="311" t="s">
        <v>236</v>
      </c>
      <c r="J18" s="136" t="s">
        <v>31</v>
      </c>
      <c r="K18" s="136" t="s">
        <v>32</v>
      </c>
      <c r="L18" s="136">
        <v>99205960</v>
      </c>
      <c r="M18" s="598" t="s">
        <v>685</v>
      </c>
      <c r="N18" s="325" t="s">
        <v>700</v>
      </c>
    </row>
    <row r="19" spans="1:15" ht="21.75" customHeight="1" x14ac:dyDescent="0.25">
      <c r="A19" s="235">
        <v>1154</v>
      </c>
      <c r="B19" s="136" t="s">
        <v>237</v>
      </c>
      <c r="C19" s="295">
        <v>710.8</v>
      </c>
      <c r="D19" s="149">
        <v>0.3</v>
      </c>
      <c r="E19" s="186">
        <f t="shared" si="0"/>
        <v>213.23999999999998</v>
      </c>
      <c r="F19" s="186"/>
      <c r="G19" s="186">
        <f t="shared" si="1"/>
        <v>213.23999999999998</v>
      </c>
      <c r="H19" s="137">
        <v>18654817</v>
      </c>
      <c r="I19" s="311" t="s">
        <v>238</v>
      </c>
      <c r="J19" s="136" t="s">
        <v>31</v>
      </c>
      <c r="K19" s="136" t="s">
        <v>32</v>
      </c>
      <c r="L19" s="136">
        <v>98887846</v>
      </c>
      <c r="M19" s="321"/>
      <c r="N19" s="5"/>
    </row>
    <row r="20" spans="1:15" s="325" customFormat="1" ht="21.75" customHeight="1" x14ac:dyDescent="0.25">
      <c r="A20" s="230">
        <v>1161</v>
      </c>
      <c r="B20" s="152" t="s">
        <v>239</v>
      </c>
      <c r="C20" s="231">
        <v>270</v>
      </c>
      <c r="D20" s="232">
        <v>0.3</v>
      </c>
      <c r="E20" s="232">
        <f t="shared" si="0"/>
        <v>81</v>
      </c>
      <c r="F20" s="232">
        <f>4.46000000000001+76+0.54</f>
        <v>81.000000000000014</v>
      </c>
      <c r="G20" s="232">
        <f t="shared" si="1"/>
        <v>0</v>
      </c>
      <c r="H20" s="153">
        <v>257926</v>
      </c>
      <c r="I20" s="233" t="s">
        <v>240</v>
      </c>
      <c r="J20" s="153" t="s">
        <v>71</v>
      </c>
      <c r="K20" s="153" t="s">
        <v>72</v>
      </c>
      <c r="L20" s="153">
        <v>99589267</v>
      </c>
      <c r="M20" s="598" t="s">
        <v>676</v>
      </c>
      <c r="N20" s="589">
        <v>45972</v>
      </c>
      <c r="O20" s="325" t="s">
        <v>706</v>
      </c>
    </row>
    <row r="21" spans="1:15" s="325" customFormat="1" ht="21.75" customHeight="1" x14ac:dyDescent="0.25">
      <c r="A21" s="230">
        <v>1168</v>
      </c>
      <c r="B21" s="152" t="s">
        <v>241</v>
      </c>
      <c r="C21" s="231">
        <v>432</v>
      </c>
      <c r="D21" s="232">
        <v>0.3</v>
      </c>
      <c r="E21" s="232">
        <f t="shared" si="0"/>
        <v>129.6</v>
      </c>
      <c r="F21" s="232">
        <f>0.940000000000013+128.66</f>
        <v>129.60000000000002</v>
      </c>
      <c r="G21" s="232">
        <f t="shared" si="1"/>
        <v>0</v>
      </c>
      <c r="H21" s="153">
        <v>15498714</v>
      </c>
      <c r="I21" s="233" t="s">
        <v>573</v>
      </c>
      <c r="J21" s="153" t="s">
        <v>31</v>
      </c>
      <c r="K21" s="153" t="s">
        <v>32</v>
      </c>
      <c r="L21" s="153">
        <v>99292524</v>
      </c>
      <c r="M21" s="598" t="s">
        <v>676</v>
      </c>
      <c r="N21" s="598">
        <v>45758</v>
      </c>
      <c r="O21" s="628" t="s">
        <v>688</v>
      </c>
    </row>
    <row r="22" spans="1:15" ht="21.75" customHeight="1" x14ac:dyDescent="0.25">
      <c r="A22" s="235">
        <v>1177</v>
      </c>
      <c r="B22" s="297" t="s">
        <v>243</v>
      </c>
      <c r="C22" s="295">
        <v>252.5</v>
      </c>
      <c r="D22" s="149">
        <v>0.3</v>
      </c>
      <c r="E22" s="186">
        <f t="shared" si="0"/>
        <v>75.75</v>
      </c>
      <c r="F22" s="186"/>
      <c r="G22" s="186">
        <f t="shared" si="1"/>
        <v>75.75</v>
      </c>
      <c r="H22" s="136">
        <v>219353</v>
      </c>
      <c r="I22" s="311" t="s">
        <v>244</v>
      </c>
      <c r="J22" s="136" t="s">
        <v>52</v>
      </c>
      <c r="K22" s="136" t="s">
        <v>53</v>
      </c>
      <c r="L22" s="138">
        <v>99485534</v>
      </c>
      <c r="M22" s="321"/>
      <c r="N22" s="5"/>
    </row>
    <row r="23" spans="1:15" s="325" customFormat="1" ht="21.75" customHeight="1" x14ac:dyDescent="0.25">
      <c r="A23" s="230">
        <v>1178</v>
      </c>
      <c r="B23" s="152" t="s">
        <v>245</v>
      </c>
      <c r="C23" s="231">
        <v>390</v>
      </c>
      <c r="D23" s="232">
        <v>0.3</v>
      </c>
      <c r="E23" s="232">
        <f t="shared" si="0"/>
        <v>117</v>
      </c>
      <c r="F23" s="232">
        <v>114.29</v>
      </c>
      <c r="G23" s="232">
        <f t="shared" si="1"/>
        <v>2.7099999999999937</v>
      </c>
      <c r="H23" s="597">
        <v>970872</v>
      </c>
      <c r="I23" s="597" t="s">
        <v>246</v>
      </c>
      <c r="J23" s="597" t="s">
        <v>26</v>
      </c>
      <c r="K23" s="597" t="s">
        <v>27</v>
      </c>
      <c r="L23" s="597">
        <v>99485535</v>
      </c>
      <c r="M23" s="598">
        <v>45758</v>
      </c>
    </row>
    <row r="24" spans="1:15" s="325" customFormat="1" ht="21.75" customHeight="1" x14ac:dyDescent="0.25">
      <c r="A24" s="230">
        <v>1224</v>
      </c>
      <c r="B24" s="152" t="s">
        <v>247</v>
      </c>
      <c r="C24" s="231">
        <v>558</v>
      </c>
      <c r="D24" s="232">
        <v>0.3</v>
      </c>
      <c r="E24" s="232">
        <f t="shared" si="0"/>
        <v>167.4</v>
      </c>
      <c r="F24" s="232">
        <f>164.25+3.15</f>
        <v>167.4</v>
      </c>
      <c r="G24" s="232">
        <f t="shared" si="1"/>
        <v>0</v>
      </c>
      <c r="H24" s="153">
        <v>24911691</v>
      </c>
      <c r="I24" s="242" t="s">
        <v>248</v>
      </c>
      <c r="J24" s="153" t="s">
        <v>31</v>
      </c>
      <c r="K24" s="153" t="s">
        <v>32</v>
      </c>
      <c r="L24" s="153">
        <v>99192216</v>
      </c>
      <c r="M24" s="598" t="s">
        <v>676</v>
      </c>
      <c r="N24" s="589">
        <v>45788</v>
      </c>
      <c r="O24" s="325" t="s">
        <v>703</v>
      </c>
    </row>
    <row r="25" spans="1:15" s="17" customFormat="1" ht="21.75" customHeight="1" x14ac:dyDescent="0.25">
      <c r="A25" s="235">
        <v>1225</v>
      </c>
      <c r="B25" s="296" t="s">
        <v>249</v>
      </c>
      <c r="C25" s="295">
        <v>442</v>
      </c>
      <c r="D25" s="149">
        <v>0.3</v>
      </c>
      <c r="E25" s="186">
        <f t="shared" si="0"/>
        <v>132.6</v>
      </c>
      <c r="F25" s="186"/>
      <c r="G25" s="186">
        <f t="shared" si="1"/>
        <v>132.6</v>
      </c>
      <c r="H25" s="136">
        <v>9642357</v>
      </c>
      <c r="I25" s="317" t="s">
        <v>250</v>
      </c>
      <c r="J25" s="136" t="s">
        <v>251</v>
      </c>
      <c r="K25" s="136" t="s">
        <v>252</v>
      </c>
      <c r="L25" s="136">
        <v>99777877</v>
      </c>
      <c r="M25" s="321"/>
    </row>
    <row r="26" spans="1:15" s="325" customFormat="1" ht="21.75" customHeight="1" x14ac:dyDescent="0.25">
      <c r="A26" s="230">
        <v>1235</v>
      </c>
      <c r="B26" s="591" t="s">
        <v>253</v>
      </c>
      <c r="C26" s="231">
        <v>522</v>
      </c>
      <c r="D26" s="232">
        <v>0.3</v>
      </c>
      <c r="E26" s="232">
        <f t="shared" si="0"/>
        <v>156.6</v>
      </c>
      <c r="F26" s="232">
        <f>112.1+44.5</f>
        <v>156.6</v>
      </c>
      <c r="G26" s="232">
        <f t="shared" si="1"/>
        <v>0</v>
      </c>
      <c r="H26" s="593">
        <v>1992436</v>
      </c>
      <c r="I26" s="611" t="s">
        <v>254</v>
      </c>
      <c r="J26" s="327" t="s">
        <v>90</v>
      </c>
      <c r="K26" s="153" t="s">
        <v>32</v>
      </c>
      <c r="L26" s="327">
        <v>99484668</v>
      </c>
      <c r="M26" s="598">
        <v>46002</v>
      </c>
      <c r="N26" s="325" t="s">
        <v>703</v>
      </c>
    </row>
    <row r="27" spans="1:15" s="325" customFormat="1" ht="21.75" customHeight="1" x14ac:dyDescent="0.25">
      <c r="A27" s="230">
        <v>1241</v>
      </c>
      <c r="B27" s="152" t="s">
        <v>255</v>
      </c>
      <c r="C27" s="231">
        <v>437.8</v>
      </c>
      <c r="D27" s="232">
        <v>0.3</v>
      </c>
      <c r="E27" s="232">
        <f t="shared" si="0"/>
        <v>131.34</v>
      </c>
      <c r="F27" s="232">
        <f>129.23+2.11</f>
        <v>131.34</v>
      </c>
      <c r="G27" s="232">
        <f t="shared" si="1"/>
        <v>0</v>
      </c>
      <c r="H27" s="153">
        <v>5343254</v>
      </c>
      <c r="I27" s="153" t="s">
        <v>256</v>
      </c>
      <c r="J27" s="153" t="s">
        <v>31</v>
      </c>
      <c r="K27" s="153" t="s">
        <v>32</v>
      </c>
      <c r="L27" s="153">
        <v>98964664</v>
      </c>
      <c r="M27" s="598" t="s">
        <v>701</v>
      </c>
      <c r="N27" s="325" t="s">
        <v>703</v>
      </c>
    </row>
    <row r="28" spans="1:15" s="325" customFormat="1" ht="21.75" customHeight="1" x14ac:dyDescent="0.25">
      <c r="A28" s="230">
        <v>1247</v>
      </c>
      <c r="B28" s="152" t="s">
        <v>103</v>
      </c>
      <c r="C28" s="231">
        <v>432</v>
      </c>
      <c r="D28" s="232">
        <v>0.3</v>
      </c>
      <c r="E28" s="232">
        <f t="shared" si="0"/>
        <v>129.6</v>
      </c>
      <c r="F28" s="232">
        <f>129.5+0.1</f>
        <v>129.6</v>
      </c>
      <c r="G28" s="232">
        <f t="shared" si="1"/>
        <v>0</v>
      </c>
      <c r="H28" s="153">
        <v>4748561</v>
      </c>
      <c r="I28" s="233" t="s">
        <v>104</v>
      </c>
      <c r="J28" s="153" t="s">
        <v>52</v>
      </c>
      <c r="K28" s="153" t="s">
        <v>53</v>
      </c>
      <c r="L28" s="153">
        <v>92345282</v>
      </c>
      <c r="M28" s="598">
        <v>45758</v>
      </c>
      <c r="N28" s="325" t="s">
        <v>703</v>
      </c>
    </row>
    <row r="29" spans="1:15" ht="21.75" customHeight="1" x14ac:dyDescent="0.25">
      <c r="A29" s="235">
        <v>1252</v>
      </c>
      <c r="B29" s="296" t="s">
        <v>258</v>
      </c>
      <c r="C29" s="295">
        <v>347</v>
      </c>
      <c r="D29" s="149">
        <v>0.3</v>
      </c>
      <c r="E29" s="186">
        <f t="shared" si="0"/>
        <v>104.1</v>
      </c>
      <c r="F29" s="186"/>
      <c r="G29" s="186">
        <f t="shared" si="1"/>
        <v>104.1</v>
      </c>
      <c r="H29" s="136">
        <v>2433959</v>
      </c>
      <c r="I29" s="311" t="s">
        <v>259</v>
      </c>
      <c r="J29" s="136" t="s">
        <v>52</v>
      </c>
      <c r="K29" s="136" t="s">
        <v>53</v>
      </c>
      <c r="L29" s="136">
        <v>93555999</v>
      </c>
      <c r="M29" s="321"/>
      <c r="N29" s="5"/>
    </row>
    <row r="30" spans="1:15" ht="21.75" customHeight="1" x14ac:dyDescent="0.25">
      <c r="A30" s="235">
        <v>1258</v>
      </c>
      <c r="B30" s="296" t="s">
        <v>105</v>
      </c>
      <c r="C30" s="295">
        <v>568.70000000000005</v>
      </c>
      <c r="D30" s="149">
        <v>0.3</v>
      </c>
      <c r="E30" s="186">
        <f t="shared" si="0"/>
        <v>170.61</v>
      </c>
      <c r="F30" s="186">
        <f>168.55+2.06</f>
        <v>170.61</v>
      </c>
      <c r="G30" s="186">
        <f t="shared" si="1"/>
        <v>0</v>
      </c>
      <c r="H30" s="136">
        <v>1924174</v>
      </c>
      <c r="I30" s="136" t="s">
        <v>106</v>
      </c>
      <c r="J30" s="136" t="s">
        <v>52</v>
      </c>
      <c r="K30" s="136" t="s">
        <v>53</v>
      </c>
      <c r="L30" s="136">
        <v>99297990</v>
      </c>
      <c r="M30" s="598">
        <v>46002</v>
      </c>
      <c r="N30" s="325" t="s">
        <v>703</v>
      </c>
    </row>
    <row r="31" spans="1:15" s="325" customFormat="1" ht="21.75" customHeight="1" x14ac:dyDescent="0.25">
      <c r="A31" s="230">
        <v>1260</v>
      </c>
      <c r="B31" s="152" t="s">
        <v>260</v>
      </c>
      <c r="C31" s="231">
        <v>504</v>
      </c>
      <c r="D31" s="232">
        <v>0.3</v>
      </c>
      <c r="E31" s="232">
        <f t="shared" si="0"/>
        <v>151.19999999999999</v>
      </c>
      <c r="F31" s="232">
        <f>151.11+0.09</f>
        <v>151.20000000000002</v>
      </c>
      <c r="G31" s="232">
        <f t="shared" si="1"/>
        <v>0</v>
      </c>
      <c r="H31" s="153">
        <v>18363579</v>
      </c>
      <c r="I31" s="602" t="s">
        <v>261</v>
      </c>
      <c r="J31" s="153" t="s">
        <v>52</v>
      </c>
      <c r="K31" s="153" t="s">
        <v>53</v>
      </c>
      <c r="L31" s="153">
        <v>98217444</v>
      </c>
      <c r="M31" s="598">
        <v>45972</v>
      </c>
      <c r="N31" s="325" t="s">
        <v>703</v>
      </c>
    </row>
    <row r="32" spans="1:15" s="325" customFormat="1" ht="21.75" customHeight="1" x14ac:dyDescent="0.25">
      <c r="A32" s="230">
        <v>1261</v>
      </c>
      <c r="B32" s="153" t="s">
        <v>107</v>
      </c>
      <c r="C32" s="231">
        <v>268.39999999999998</v>
      </c>
      <c r="D32" s="232">
        <v>0.3</v>
      </c>
      <c r="E32" s="232">
        <f t="shared" si="0"/>
        <v>80.52</v>
      </c>
      <c r="F32" s="232">
        <f>76.598+3.922</f>
        <v>80.52</v>
      </c>
      <c r="G32" s="232">
        <f t="shared" si="1"/>
        <v>0</v>
      </c>
      <c r="H32" s="153">
        <v>14429332</v>
      </c>
      <c r="I32" s="233" t="s">
        <v>574</v>
      </c>
      <c r="J32" s="153" t="s">
        <v>31</v>
      </c>
      <c r="K32" s="153" t="s">
        <v>32</v>
      </c>
      <c r="L32" s="153">
        <v>92939445</v>
      </c>
      <c r="M32" s="598" t="s">
        <v>701</v>
      </c>
      <c r="N32" s="325" t="s">
        <v>703</v>
      </c>
    </row>
    <row r="33" spans="1:15" s="325" customFormat="1" ht="21.75" customHeight="1" x14ac:dyDescent="0.25">
      <c r="A33" s="230">
        <v>1268</v>
      </c>
      <c r="B33" s="152" t="s">
        <v>109</v>
      </c>
      <c r="C33" s="231">
        <v>358</v>
      </c>
      <c r="D33" s="232">
        <v>0.3</v>
      </c>
      <c r="E33" s="232">
        <f t="shared" si="0"/>
        <v>107.39999999999999</v>
      </c>
      <c r="F33" s="232">
        <f>105.94+1.46</f>
        <v>107.39999999999999</v>
      </c>
      <c r="G33" s="232">
        <f t="shared" si="1"/>
        <v>0</v>
      </c>
      <c r="H33" s="153">
        <v>722058</v>
      </c>
      <c r="I33" s="233" t="s">
        <v>110</v>
      </c>
      <c r="J33" s="153" t="s">
        <v>31</v>
      </c>
      <c r="K33" s="153" t="s">
        <v>32</v>
      </c>
      <c r="L33" s="153">
        <v>92848609</v>
      </c>
      <c r="M33" s="598">
        <v>45758</v>
      </c>
      <c r="N33" s="325" t="s">
        <v>703</v>
      </c>
    </row>
    <row r="34" spans="1:15" s="325" customFormat="1" ht="21.75" customHeight="1" x14ac:dyDescent="0.25">
      <c r="A34" s="230">
        <v>1282</v>
      </c>
      <c r="B34" s="152" t="s">
        <v>111</v>
      </c>
      <c r="C34" s="231">
        <v>486</v>
      </c>
      <c r="D34" s="232">
        <v>0.3</v>
      </c>
      <c r="E34" s="232">
        <f t="shared" si="0"/>
        <v>145.79999999999998</v>
      </c>
      <c r="F34" s="232">
        <f>0.0500000000000149+142.5+3.25</f>
        <v>145.80000000000001</v>
      </c>
      <c r="G34" s="232">
        <f t="shared" si="1"/>
        <v>0</v>
      </c>
      <c r="H34" s="153">
        <v>2997747</v>
      </c>
      <c r="I34" s="233" t="s">
        <v>112</v>
      </c>
      <c r="J34" s="153" t="s">
        <v>71</v>
      </c>
      <c r="K34" s="153" t="s">
        <v>72</v>
      </c>
      <c r="L34" s="153">
        <v>92660969</v>
      </c>
      <c r="M34" s="598" t="s">
        <v>676</v>
      </c>
      <c r="N34" s="589">
        <v>45788</v>
      </c>
      <c r="O34" s="325" t="s">
        <v>703</v>
      </c>
    </row>
    <row r="35" spans="1:15" s="325" customFormat="1" ht="21.75" customHeight="1" x14ac:dyDescent="0.25">
      <c r="A35" s="230">
        <v>1284</v>
      </c>
      <c r="B35" s="152" t="s">
        <v>115</v>
      </c>
      <c r="C35" s="231">
        <v>468</v>
      </c>
      <c r="D35" s="232">
        <v>0.3</v>
      </c>
      <c r="E35" s="232">
        <f t="shared" si="0"/>
        <v>140.4</v>
      </c>
      <c r="F35" s="232">
        <f>E35</f>
        <v>140.4</v>
      </c>
      <c r="G35" s="232">
        <f t="shared" si="1"/>
        <v>0</v>
      </c>
      <c r="H35" s="153">
        <v>1177598</v>
      </c>
      <c r="I35" s="233" t="s">
        <v>116</v>
      </c>
      <c r="J35" s="153" t="s">
        <v>52</v>
      </c>
      <c r="K35" s="153" t="s">
        <v>53</v>
      </c>
      <c r="L35" s="153">
        <v>92825228</v>
      </c>
      <c r="M35" s="325" t="s">
        <v>703</v>
      </c>
    </row>
    <row r="36" spans="1:15" ht="21.75" customHeight="1" x14ac:dyDescent="0.25">
      <c r="A36" s="235">
        <v>1300</v>
      </c>
      <c r="B36" s="300" t="s">
        <v>263</v>
      </c>
      <c r="C36" s="295">
        <v>550.5</v>
      </c>
      <c r="D36" s="149">
        <v>0.3</v>
      </c>
      <c r="E36" s="186">
        <f t="shared" si="0"/>
        <v>165.15</v>
      </c>
      <c r="F36" s="186"/>
      <c r="G36" s="186">
        <f t="shared" si="1"/>
        <v>165.15</v>
      </c>
      <c r="H36" s="139">
        <v>19534277</v>
      </c>
      <c r="I36" s="311" t="s">
        <v>264</v>
      </c>
      <c r="J36" s="136" t="s">
        <v>31</v>
      </c>
      <c r="K36" s="136" t="s">
        <v>32</v>
      </c>
      <c r="L36" s="136">
        <v>99710505</v>
      </c>
      <c r="M36" s="321"/>
      <c r="N36" s="5"/>
    </row>
    <row r="37" spans="1:15" s="325" customFormat="1" ht="21.75" customHeight="1" x14ac:dyDescent="0.25">
      <c r="A37" s="230">
        <v>1306</v>
      </c>
      <c r="B37" s="604" t="s">
        <v>265</v>
      </c>
      <c r="C37" s="231">
        <v>283.89999999999998</v>
      </c>
      <c r="D37" s="232">
        <v>0.3</v>
      </c>
      <c r="E37" s="232">
        <f t="shared" si="0"/>
        <v>85.169999999999987</v>
      </c>
      <c r="F37" s="232">
        <f>2.61999999999999+79.2+3.35</f>
        <v>85.169999999999987</v>
      </c>
      <c r="G37" s="232">
        <f t="shared" si="1"/>
        <v>0</v>
      </c>
      <c r="H37" s="597">
        <v>2006904</v>
      </c>
      <c r="I37" s="592" t="s">
        <v>266</v>
      </c>
      <c r="J37" s="597" t="s">
        <v>31</v>
      </c>
      <c r="K37" s="153" t="s">
        <v>32</v>
      </c>
      <c r="L37" s="597">
        <v>96137717</v>
      </c>
      <c r="M37" s="598" t="s">
        <v>676</v>
      </c>
      <c r="N37" s="589">
        <v>45788</v>
      </c>
      <c r="O37" s="325" t="s">
        <v>703</v>
      </c>
    </row>
    <row r="38" spans="1:15" ht="21.75" customHeight="1" x14ac:dyDescent="0.25">
      <c r="A38" s="235">
        <v>1315</v>
      </c>
      <c r="B38" s="296" t="s">
        <v>267</v>
      </c>
      <c r="C38" s="295">
        <v>246.3</v>
      </c>
      <c r="D38" s="149">
        <v>0.3</v>
      </c>
      <c r="E38" s="186">
        <f t="shared" si="0"/>
        <v>73.89</v>
      </c>
      <c r="F38" s="186"/>
      <c r="G38" s="186">
        <f t="shared" si="1"/>
        <v>73.89</v>
      </c>
      <c r="H38" s="136">
        <v>19528845</v>
      </c>
      <c r="I38" s="311" t="s">
        <v>268</v>
      </c>
      <c r="J38" s="136" t="s">
        <v>31</v>
      </c>
      <c r="K38" s="136" t="s">
        <v>32</v>
      </c>
      <c r="L38" s="136">
        <v>92432606</v>
      </c>
      <c r="M38" s="321"/>
      <c r="N38" s="5"/>
    </row>
    <row r="39" spans="1:15" s="325" customFormat="1" ht="21.75" customHeight="1" x14ac:dyDescent="0.25">
      <c r="A39" s="230">
        <v>1328</v>
      </c>
      <c r="B39" s="152" t="s">
        <v>117</v>
      </c>
      <c r="C39" s="231">
        <v>322</v>
      </c>
      <c r="D39" s="232">
        <v>0.3</v>
      </c>
      <c r="E39" s="232">
        <f t="shared" si="0"/>
        <v>96.6</v>
      </c>
      <c r="F39" s="232">
        <f>95.58+1.02</f>
        <v>96.6</v>
      </c>
      <c r="G39" s="232">
        <f t="shared" si="1"/>
        <v>0</v>
      </c>
      <c r="H39" s="153">
        <v>782833</v>
      </c>
      <c r="I39" s="233" t="s">
        <v>118</v>
      </c>
      <c r="J39" s="153" t="s">
        <v>52</v>
      </c>
      <c r="K39" s="153" t="s">
        <v>53</v>
      </c>
      <c r="L39" s="153">
        <v>92475895</v>
      </c>
      <c r="M39" s="598" t="s">
        <v>687</v>
      </c>
      <c r="N39" s="325" t="s">
        <v>703</v>
      </c>
    </row>
    <row r="40" spans="1:15" s="325" customFormat="1" ht="21.75" customHeight="1" x14ac:dyDescent="0.25">
      <c r="A40" s="230">
        <v>1330</v>
      </c>
      <c r="B40" s="591" t="s">
        <v>119</v>
      </c>
      <c r="C40" s="231">
        <v>464.9</v>
      </c>
      <c r="D40" s="232">
        <v>0.3</v>
      </c>
      <c r="E40" s="232">
        <f t="shared" si="0"/>
        <v>139.47</v>
      </c>
      <c r="F40" s="232">
        <f>137.6+1.87</f>
        <v>139.47</v>
      </c>
      <c r="G40" s="232">
        <f t="shared" si="1"/>
        <v>0</v>
      </c>
      <c r="H40" s="153">
        <v>12194826</v>
      </c>
      <c r="I40" s="233" t="s">
        <v>120</v>
      </c>
      <c r="J40" s="153" t="s">
        <v>121</v>
      </c>
      <c r="K40" s="153" t="s">
        <v>122</v>
      </c>
      <c r="L40" s="153">
        <v>91299100</v>
      </c>
      <c r="M40" s="598">
        <v>45758</v>
      </c>
      <c r="N40" s="589">
        <v>45788</v>
      </c>
    </row>
    <row r="41" spans="1:15" s="325" customFormat="1" ht="21.75" customHeight="1" x14ac:dyDescent="0.25">
      <c r="A41" s="230">
        <v>1331</v>
      </c>
      <c r="B41" s="152" t="s">
        <v>269</v>
      </c>
      <c r="C41" s="231">
        <v>270</v>
      </c>
      <c r="D41" s="232">
        <v>0.3</v>
      </c>
      <c r="E41" s="232">
        <f t="shared" si="0"/>
        <v>81</v>
      </c>
      <c r="F41" s="232">
        <f>E41</f>
        <v>81</v>
      </c>
      <c r="G41" s="232">
        <f t="shared" si="1"/>
        <v>0</v>
      </c>
      <c r="H41" s="153">
        <v>2107763</v>
      </c>
      <c r="I41" s="233" t="s">
        <v>270</v>
      </c>
      <c r="J41" s="153" t="s">
        <v>71</v>
      </c>
      <c r="K41" s="153" t="s">
        <v>72</v>
      </c>
      <c r="L41" s="153">
        <v>93536009</v>
      </c>
      <c r="M41" s="325" t="s">
        <v>708</v>
      </c>
    </row>
    <row r="42" spans="1:15" s="325" customFormat="1" ht="21.75" customHeight="1" x14ac:dyDescent="0.25">
      <c r="A42" s="230">
        <v>1333</v>
      </c>
      <c r="B42" s="152" t="s">
        <v>29</v>
      </c>
      <c r="C42" s="231">
        <v>430</v>
      </c>
      <c r="D42" s="232">
        <v>0.3</v>
      </c>
      <c r="E42" s="232">
        <f t="shared" si="0"/>
        <v>129</v>
      </c>
      <c r="F42" s="232">
        <f>125.35+3.65</f>
        <v>129</v>
      </c>
      <c r="G42" s="232">
        <f t="shared" si="1"/>
        <v>0</v>
      </c>
      <c r="H42" s="153">
        <v>1736679</v>
      </c>
      <c r="I42" s="233" t="s">
        <v>30</v>
      </c>
      <c r="J42" s="153" t="s">
        <v>31</v>
      </c>
      <c r="K42" s="153" t="s">
        <v>32</v>
      </c>
      <c r="L42" s="153">
        <v>99482212</v>
      </c>
      <c r="M42" s="598">
        <v>45972</v>
      </c>
      <c r="N42" s="325" t="s">
        <v>708</v>
      </c>
    </row>
    <row r="43" spans="1:15" s="325" customFormat="1" ht="21.75" customHeight="1" x14ac:dyDescent="0.25">
      <c r="A43" s="230">
        <v>1382</v>
      </c>
      <c r="B43" s="152" t="s">
        <v>34</v>
      </c>
      <c r="C43" s="231">
        <v>490.7</v>
      </c>
      <c r="D43" s="232">
        <v>0.3</v>
      </c>
      <c r="E43" s="232">
        <f t="shared" si="0"/>
        <v>147.20999999999998</v>
      </c>
      <c r="F43" s="232">
        <f>143.85+3.36</f>
        <v>147.21</v>
      </c>
      <c r="G43" s="232">
        <f t="shared" si="1"/>
        <v>0</v>
      </c>
      <c r="H43" s="153">
        <v>886492</v>
      </c>
      <c r="I43" s="233" t="s">
        <v>35</v>
      </c>
      <c r="J43" s="153" t="s">
        <v>31</v>
      </c>
      <c r="K43" s="153" t="s">
        <v>32</v>
      </c>
      <c r="L43" s="153">
        <v>99494166</v>
      </c>
      <c r="M43" s="589">
        <v>45788</v>
      </c>
      <c r="N43" s="325" t="s">
        <v>703</v>
      </c>
    </row>
    <row r="44" spans="1:15" ht="21.75" customHeight="1" x14ac:dyDescent="0.25">
      <c r="A44" s="235">
        <v>1384</v>
      </c>
      <c r="B44" s="296" t="s">
        <v>37</v>
      </c>
      <c r="C44" s="295">
        <v>150.80000000000001</v>
      </c>
      <c r="D44" s="149">
        <v>0.3</v>
      </c>
      <c r="E44" s="186">
        <f t="shared" si="0"/>
        <v>45.24</v>
      </c>
      <c r="F44" s="186"/>
      <c r="G44" s="186">
        <f t="shared" si="1"/>
        <v>45.24</v>
      </c>
      <c r="H44" s="136">
        <v>4426701</v>
      </c>
      <c r="I44" s="311" t="s">
        <v>38</v>
      </c>
      <c r="J44" s="136" t="s">
        <v>31</v>
      </c>
      <c r="K44" s="136" t="s">
        <v>32</v>
      </c>
      <c r="L44" s="136">
        <v>92634991</v>
      </c>
      <c r="M44" s="321"/>
      <c r="N44" s="5"/>
    </row>
    <row r="45" spans="1:15" s="325" customFormat="1" ht="21.75" customHeight="1" x14ac:dyDescent="0.25">
      <c r="A45" s="230">
        <v>1386</v>
      </c>
      <c r="B45" s="152" t="s">
        <v>39</v>
      </c>
      <c r="C45" s="231">
        <v>572.5</v>
      </c>
      <c r="D45" s="232">
        <v>0.3</v>
      </c>
      <c r="E45" s="232">
        <f t="shared" si="0"/>
        <v>171.75</v>
      </c>
      <c r="F45" s="232">
        <f>168.54+3.21</f>
        <v>171.75</v>
      </c>
      <c r="G45" s="232">
        <f t="shared" si="1"/>
        <v>0</v>
      </c>
      <c r="H45" s="153">
        <v>711799</v>
      </c>
      <c r="I45" s="233" t="s">
        <v>40</v>
      </c>
      <c r="J45" s="153" t="s">
        <v>31</v>
      </c>
      <c r="K45" s="153" t="s">
        <v>32</v>
      </c>
      <c r="L45" s="153">
        <v>92394924</v>
      </c>
      <c r="M45" s="325" t="s">
        <v>702</v>
      </c>
      <c r="N45" s="325" t="s">
        <v>703</v>
      </c>
    </row>
    <row r="46" spans="1:15" ht="21.75" customHeight="1" x14ac:dyDescent="0.25">
      <c r="A46" s="235">
        <v>1387</v>
      </c>
      <c r="B46" s="296" t="s">
        <v>271</v>
      </c>
      <c r="C46" s="295">
        <v>478.3</v>
      </c>
      <c r="D46" s="149">
        <v>0.3</v>
      </c>
      <c r="E46" s="186">
        <f t="shared" si="0"/>
        <v>143.49</v>
      </c>
      <c r="F46" s="186"/>
      <c r="G46" s="186">
        <f t="shared" si="1"/>
        <v>143.49</v>
      </c>
      <c r="H46" s="136">
        <v>6759716</v>
      </c>
      <c r="I46" s="311" t="s">
        <v>272</v>
      </c>
      <c r="J46" s="136" t="s">
        <v>71</v>
      </c>
      <c r="K46" s="136" t="s">
        <v>72</v>
      </c>
      <c r="L46" s="136">
        <v>91907675</v>
      </c>
      <c r="M46" s="321"/>
      <c r="N46" s="5"/>
    </row>
    <row r="47" spans="1:15" ht="21.75" customHeight="1" x14ac:dyDescent="0.25">
      <c r="A47" s="235">
        <v>1388</v>
      </c>
      <c r="B47" s="296" t="s">
        <v>273</v>
      </c>
      <c r="C47" s="295">
        <v>272.60000000000002</v>
      </c>
      <c r="D47" s="149">
        <v>0.3</v>
      </c>
      <c r="E47" s="186">
        <f t="shared" si="0"/>
        <v>81.78</v>
      </c>
      <c r="F47" s="186"/>
      <c r="G47" s="186">
        <f t="shared" si="1"/>
        <v>81.78</v>
      </c>
      <c r="H47" s="136">
        <v>18610874</v>
      </c>
      <c r="I47" s="311" t="s">
        <v>274</v>
      </c>
      <c r="J47" s="136" t="s">
        <v>52</v>
      </c>
      <c r="K47" s="136" t="s">
        <v>53</v>
      </c>
      <c r="L47" s="136">
        <v>93955577</v>
      </c>
      <c r="M47" s="321"/>
      <c r="N47" s="5"/>
    </row>
    <row r="48" spans="1:15" s="325" customFormat="1" ht="21.75" customHeight="1" x14ac:dyDescent="0.25">
      <c r="A48" s="230">
        <v>1389</v>
      </c>
      <c r="B48" s="152" t="s">
        <v>275</v>
      </c>
      <c r="C48" s="231">
        <v>720</v>
      </c>
      <c r="D48" s="232">
        <v>0.3</v>
      </c>
      <c r="E48" s="232">
        <f t="shared" si="0"/>
        <v>216</v>
      </c>
      <c r="F48" s="232">
        <f>214.7+1.3</f>
        <v>216</v>
      </c>
      <c r="G48" s="232">
        <f t="shared" si="1"/>
        <v>0</v>
      </c>
      <c r="H48" s="153">
        <v>1036354</v>
      </c>
      <c r="I48" s="233" t="s">
        <v>276</v>
      </c>
      <c r="J48" s="153" t="s">
        <v>52</v>
      </c>
      <c r="K48" s="153" t="s">
        <v>53</v>
      </c>
      <c r="L48" s="153">
        <v>92413881</v>
      </c>
      <c r="M48" s="598" t="s">
        <v>685</v>
      </c>
      <c r="N48" s="325" t="s">
        <v>706</v>
      </c>
    </row>
    <row r="49" spans="1:15" s="325" customFormat="1" ht="21.75" customHeight="1" x14ac:dyDescent="0.25">
      <c r="A49" s="230">
        <v>1394</v>
      </c>
      <c r="B49" s="152" t="s">
        <v>277</v>
      </c>
      <c r="C49" s="231">
        <v>331</v>
      </c>
      <c r="D49" s="232">
        <v>0.3</v>
      </c>
      <c r="E49" s="232">
        <f t="shared" si="0"/>
        <v>99.3</v>
      </c>
      <c r="F49" s="232">
        <f>98.76+0.54</f>
        <v>99.300000000000011</v>
      </c>
      <c r="G49" s="232">
        <f t="shared" si="1"/>
        <v>0</v>
      </c>
      <c r="H49" s="153">
        <v>25656187</v>
      </c>
      <c r="I49" s="153" t="s">
        <v>278</v>
      </c>
      <c r="J49" s="153" t="s">
        <v>31</v>
      </c>
      <c r="K49" s="233" t="s">
        <v>32</v>
      </c>
      <c r="L49" s="153">
        <v>98987848</v>
      </c>
      <c r="M49" s="598" t="s">
        <v>685</v>
      </c>
      <c r="N49" s="589">
        <v>45788</v>
      </c>
    </row>
    <row r="50" spans="1:15" s="325" customFormat="1" ht="21.75" customHeight="1" x14ac:dyDescent="0.25">
      <c r="A50" s="230">
        <v>1396</v>
      </c>
      <c r="B50" s="152" t="s">
        <v>123</v>
      </c>
      <c r="C50" s="231">
        <v>323.60000000000002</v>
      </c>
      <c r="D50" s="232">
        <v>0.3</v>
      </c>
      <c r="E50" s="232">
        <f t="shared" si="0"/>
        <v>97.08</v>
      </c>
      <c r="F50" s="232">
        <f>96.49+0.59</f>
        <v>97.08</v>
      </c>
      <c r="G50" s="232">
        <f t="shared" si="1"/>
        <v>0</v>
      </c>
      <c r="H50" s="153">
        <v>905845</v>
      </c>
      <c r="I50" s="233" t="s">
        <v>124</v>
      </c>
      <c r="J50" s="153" t="s">
        <v>31</v>
      </c>
      <c r="K50" s="153" t="s">
        <v>32</v>
      </c>
      <c r="L50" s="153">
        <v>99696204</v>
      </c>
      <c r="M50" s="598" t="s">
        <v>687</v>
      </c>
      <c r="N50" s="325" t="s">
        <v>703</v>
      </c>
    </row>
    <row r="51" spans="1:15" s="325" customFormat="1" ht="21.75" customHeight="1" x14ac:dyDescent="0.25">
      <c r="A51" s="230">
        <v>1397</v>
      </c>
      <c r="B51" s="152" t="s">
        <v>125</v>
      </c>
      <c r="C51" s="231">
        <v>251</v>
      </c>
      <c r="D51" s="232">
        <v>0.3</v>
      </c>
      <c r="E51" s="232">
        <f t="shared" si="0"/>
        <v>75.3</v>
      </c>
      <c r="F51" s="232">
        <f>1.39000000000001+69.3+4.61</f>
        <v>75.300000000000011</v>
      </c>
      <c r="G51" s="232">
        <f t="shared" si="1"/>
        <v>0</v>
      </c>
      <c r="H51" s="153">
        <v>1292885</v>
      </c>
      <c r="I51" s="233" t="s">
        <v>126</v>
      </c>
      <c r="J51" s="153" t="s">
        <v>127</v>
      </c>
      <c r="K51" s="153" t="s">
        <v>128</v>
      </c>
      <c r="L51" s="153">
        <v>92307552</v>
      </c>
      <c r="M51" s="598" t="s">
        <v>676</v>
      </c>
      <c r="N51" s="598">
        <v>45758</v>
      </c>
      <c r="O51" s="325" t="s">
        <v>703</v>
      </c>
    </row>
    <row r="52" spans="1:15" s="325" customFormat="1" ht="21.75" customHeight="1" x14ac:dyDescent="0.25">
      <c r="A52" s="230">
        <v>1398</v>
      </c>
      <c r="B52" s="152" t="s">
        <v>279</v>
      </c>
      <c r="C52" s="231">
        <v>212.6</v>
      </c>
      <c r="D52" s="232">
        <v>0.3</v>
      </c>
      <c r="E52" s="232">
        <f t="shared" si="0"/>
        <v>63.779999999999994</v>
      </c>
      <c r="F52" s="232">
        <f>0.1+61.75+1.93</f>
        <v>63.78</v>
      </c>
      <c r="G52" s="232">
        <f t="shared" si="1"/>
        <v>0</v>
      </c>
      <c r="H52" s="153">
        <v>1161437</v>
      </c>
      <c r="I52" s="153" t="s">
        <v>280</v>
      </c>
      <c r="J52" s="153" t="s">
        <v>121</v>
      </c>
      <c r="K52" s="153" t="s">
        <v>122</v>
      </c>
      <c r="L52" s="153">
        <v>91135580</v>
      </c>
      <c r="M52" s="598">
        <v>45945</v>
      </c>
      <c r="N52" s="598" t="s">
        <v>685</v>
      </c>
      <c r="O52" s="325" t="s">
        <v>706</v>
      </c>
    </row>
    <row r="53" spans="1:15" s="325" customFormat="1" ht="21.75" customHeight="1" x14ac:dyDescent="0.25">
      <c r="A53" s="230">
        <v>1400</v>
      </c>
      <c r="B53" s="152" t="s">
        <v>281</v>
      </c>
      <c r="C53" s="231">
        <v>436</v>
      </c>
      <c r="D53" s="232">
        <v>0.3</v>
      </c>
      <c r="E53" s="232">
        <f t="shared" si="0"/>
        <v>130.79999999999998</v>
      </c>
      <c r="F53" s="232">
        <f>97.38+30.24+3.18</f>
        <v>130.79999999999998</v>
      </c>
      <c r="G53" s="232">
        <f t="shared" si="1"/>
        <v>0</v>
      </c>
      <c r="H53" s="153">
        <v>7223707</v>
      </c>
      <c r="I53" s="233" t="s">
        <v>282</v>
      </c>
      <c r="J53" s="153" t="s">
        <v>26</v>
      </c>
      <c r="K53" s="153" t="s">
        <v>27</v>
      </c>
      <c r="L53" s="153">
        <v>92616136</v>
      </c>
      <c r="M53" s="598" t="s">
        <v>687</v>
      </c>
      <c r="N53" s="325" t="s">
        <v>703</v>
      </c>
    </row>
    <row r="54" spans="1:15" s="325" customFormat="1" ht="21.75" customHeight="1" x14ac:dyDescent="0.25">
      <c r="A54" s="230">
        <v>1403</v>
      </c>
      <c r="B54" s="152" t="s">
        <v>283</v>
      </c>
      <c r="C54" s="231">
        <v>410.4</v>
      </c>
      <c r="D54" s="232">
        <v>0.3</v>
      </c>
      <c r="E54" s="232">
        <f t="shared" si="0"/>
        <v>123.11999999999999</v>
      </c>
      <c r="F54" s="232">
        <f>120.88+2.24</f>
        <v>123.11999999999999</v>
      </c>
      <c r="G54" s="232">
        <f t="shared" si="1"/>
        <v>0</v>
      </c>
      <c r="H54" s="153">
        <v>499044</v>
      </c>
      <c r="I54" s="153" t="s">
        <v>284</v>
      </c>
      <c r="J54" s="153" t="s">
        <v>31</v>
      </c>
      <c r="K54" s="153" t="s">
        <v>32</v>
      </c>
      <c r="L54" s="153">
        <v>92226988</v>
      </c>
      <c r="M54" s="589">
        <v>45788</v>
      </c>
      <c r="N54" s="325" t="s">
        <v>703</v>
      </c>
    </row>
    <row r="55" spans="1:15" s="325" customFormat="1" ht="21.75" customHeight="1" x14ac:dyDescent="0.25">
      <c r="A55" s="595">
        <v>1406</v>
      </c>
      <c r="B55" s="152" t="s">
        <v>285</v>
      </c>
      <c r="C55" s="231">
        <v>360</v>
      </c>
      <c r="D55" s="232">
        <v>0.3</v>
      </c>
      <c r="E55" s="232">
        <f t="shared" si="0"/>
        <v>108</v>
      </c>
      <c r="F55" s="232">
        <f>105.65+2.35</f>
        <v>108</v>
      </c>
      <c r="G55" s="232">
        <f t="shared" si="1"/>
        <v>0</v>
      </c>
      <c r="H55" s="153">
        <v>880849</v>
      </c>
      <c r="I55" s="233" t="s">
        <v>286</v>
      </c>
      <c r="J55" s="153" t="s">
        <v>71</v>
      </c>
      <c r="K55" s="153" t="s">
        <v>72</v>
      </c>
      <c r="L55" s="153">
        <v>99365157</v>
      </c>
      <c r="M55" s="598">
        <v>45758</v>
      </c>
      <c r="N55" s="325" t="s">
        <v>703</v>
      </c>
    </row>
    <row r="56" spans="1:15" s="325" customFormat="1" ht="21.75" customHeight="1" x14ac:dyDescent="0.25">
      <c r="A56" s="595">
        <v>1408</v>
      </c>
      <c r="B56" s="153" t="s">
        <v>287</v>
      </c>
      <c r="C56" s="231">
        <v>1044</v>
      </c>
      <c r="D56" s="232">
        <v>0.3</v>
      </c>
      <c r="E56" s="232">
        <f t="shared" si="0"/>
        <v>313.2</v>
      </c>
      <c r="F56" s="232">
        <f>309.841+3.359</f>
        <v>313.2</v>
      </c>
      <c r="G56" s="232">
        <f t="shared" si="1"/>
        <v>0</v>
      </c>
      <c r="H56" s="153">
        <v>997465</v>
      </c>
      <c r="I56" s="233" t="s">
        <v>288</v>
      </c>
      <c r="J56" s="153" t="s">
        <v>31</v>
      </c>
      <c r="K56" s="153" t="s">
        <v>32</v>
      </c>
      <c r="L56" s="153">
        <v>99490975</v>
      </c>
      <c r="M56" s="325" t="s">
        <v>702</v>
      </c>
      <c r="N56" s="325" t="s">
        <v>708</v>
      </c>
    </row>
    <row r="57" spans="1:15" s="325" customFormat="1" ht="21.75" customHeight="1" x14ac:dyDescent="0.25">
      <c r="A57" s="595">
        <v>1409</v>
      </c>
      <c r="B57" s="152" t="s">
        <v>289</v>
      </c>
      <c r="C57" s="614">
        <v>397</v>
      </c>
      <c r="D57" s="232">
        <v>0.3</v>
      </c>
      <c r="E57" s="232">
        <f t="shared" si="0"/>
        <v>119.1</v>
      </c>
      <c r="F57" s="232">
        <f>0.700000000000006+118.4</f>
        <v>119.10000000000001</v>
      </c>
      <c r="G57" s="232">
        <f t="shared" si="1"/>
        <v>0</v>
      </c>
      <c r="H57" s="153">
        <v>7279409</v>
      </c>
      <c r="I57" s="233" t="s">
        <v>290</v>
      </c>
      <c r="J57" s="153" t="s">
        <v>31</v>
      </c>
      <c r="K57" s="153" t="s">
        <v>32</v>
      </c>
      <c r="L57" s="153">
        <v>99626634</v>
      </c>
      <c r="M57" s="598" t="s">
        <v>676</v>
      </c>
      <c r="N57" s="325" t="s">
        <v>703</v>
      </c>
    </row>
    <row r="58" spans="1:15" s="325" customFormat="1" ht="21.75" customHeight="1" x14ac:dyDescent="0.25">
      <c r="A58" s="595">
        <v>1410</v>
      </c>
      <c r="B58" s="152" t="s">
        <v>292</v>
      </c>
      <c r="C58" s="605">
        <v>447.7</v>
      </c>
      <c r="D58" s="232">
        <v>0.3</v>
      </c>
      <c r="E58" s="232">
        <f t="shared" si="0"/>
        <v>134.31</v>
      </c>
      <c r="F58" s="232">
        <f>0.4+133.65+0.26</f>
        <v>134.31</v>
      </c>
      <c r="G58" s="232">
        <f t="shared" si="1"/>
        <v>0</v>
      </c>
      <c r="H58" s="153">
        <v>757372</v>
      </c>
      <c r="I58" s="233" t="s">
        <v>293</v>
      </c>
      <c r="J58" s="153" t="s">
        <v>31</v>
      </c>
      <c r="K58" s="153" t="s">
        <v>32</v>
      </c>
      <c r="L58" s="153">
        <v>92018800</v>
      </c>
      <c r="M58" s="589">
        <v>45972</v>
      </c>
      <c r="N58" s="598">
        <v>45728</v>
      </c>
      <c r="O58" s="325" t="s">
        <v>703</v>
      </c>
    </row>
    <row r="59" spans="1:15" ht="21.75" customHeight="1" x14ac:dyDescent="0.25">
      <c r="A59" s="148">
        <v>1411</v>
      </c>
      <c r="B59" s="296" t="s">
        <v>294</v>
      </c>
      <c r="C59" s="295">
        <v>433.9</v>
      </c>
      <c r="D59" s="149">
        <v>0.3</v>
      </c>
      <c r="E59" s="186">
        <f t="shared" si="0"/>
        <v>130.16999999999999</v>
      </c>
      <c r="F59" s="186">
        <f>129.65+0.52</f>
        <v>130.17000000000002</v>
      </c>
      <c r="G59" s="186">
        <f t="shared" si="1"/>
        <v>0</v>
      </c>
      <c r="H59" s="136">
        <v>1650389</v>
      </c>
      <c r="I59" s="311" t="s">
        <v>295</v>
      </c>
      <c r="J59" s="136" t="s">
        <v>31</v>
      </c>
      <c r="K59" s="136" t="s">
        <v>32</v>
      </c>
      <c r="L59" s="136">
        <v>92294150</v>
      </c>
      <c r="M59" s="598">
        <v>45758</v>
      </c>
      <c r="N59" s="325" t="s">
        <v>703</v>
      </c>
    </row>
    <row r="60" spans="1:15" ht="21.75" customHeight="1" x14ac:dyDescent="0.25">
      <c r="A60" s="235">
        <v>1412</v>
      </c>
      <c r="B60" s="296" t="s">
        <v>296</v>
      </c>
      <c r="C60" s="295">
        <v>30</v>
      </c>
      <c r="D60" s="149">
        <v>0.3</v>
      </c>
      <c r="E60" s="186">
        <f t="shared" si="0"/>
        <v>9</v>
      </c>
      <c r="F60" s="186"/>
      <c r="G60" s="186">
        <f t="shared" si="1"/>
        <v>9</v>
      </c>
      <c r="H60" s="136">
        <v>312227</v>
      </c>
      <c r="I60" s="136" t="s">
        <v>297</v>
      </c>
      <c r="J60" s="136" t="s">
        <v>31</v>
      </c>
      <c r="K60" s="136" t="s">
        <v>32</v>
      </c>
      <c r="L60" s="136">
        <v>95414124</v>
      </c>
      <c r="M60" s="321"/>
      <c r="N60" s="5"/>
    </row>
    <row r="61" spans="1:15" s="325" customFormat="1" ht="21.75" customHeight="1" x14ac:dyDescent="0.25">
      <c r="A61" s="230">
        <v>1413</v>
      </c>
      <c r="B61" s="153" t="s">
        <v>298</v>
      </c>
      <c r="C61" s="231">
        <v>268</v>
      </c>
      <c r="D61" s="232">
        <v>0.3</v>
      </c>
      <c r="E61" s="232">
        <f t="shared" si="0"/>
        <v>80.399999999999991</v>
      </c>
      <c r="F61" s="623">
        <f>0.750000000000004+76+3.65</f>
        <v>80.400000000000006</v>
      </c>
      <c r="G61" s="232">
        <f t="shared" si="1"/>
        <v>0</v>
      </c>
      <c r="H61" s="153">
        <v>539906</v>
      </c>
      <c r="I61" s="233" t="s">
        <v>299</v>
      </c>
      <c r="J61" s="153" t="s">
        <v>52</v>
      </c>
      <c r="K61" s="153" t="s">
        <v>53</v>
      </c>
      <c r="L61" s="153"/>
      <c r="M61" s="598" t="s">
        <v>676</v>
      </c>
      <c r="N61" s="589">
        <v>45819</v>
      </c>
      <c r="O61" s="325" t="s">
        <v>703</v>
      </c>
    </row>
    <row r="62" spans="1:15" s="17" customFormat="1" ht="21.75" customHeight="1" x14ac:dyDescent="0.25">
      <c r="A62" s="235">
        <v>1414</v>
      </c>
      <c r="B62" s="296" t="s">
        <v>300</v>
      </c>
      <c r="C62" s="295">
        <v>745.2</v>
      </c>
      <c r="D62" s="149">
        <v>0.3</v>
      </c>
      <c r="E62" s="186">
        <f t="shared" si="0"/>
        <v>223.56</v>
      </c>
      <c r="F62" s="186"/>
      <c r="G62" s="186">
        <f t="shared" si="1"/>
        <v>223.56</v>
      </c>
      <c r="H62" s="136">
        <v>9178238</v>
      </c>
      <c r="I62" s="311" t="s">
        <v>301</v>
      </c>
      <c r="J62" s="136" t="s">
        <v>52</v>
      </c>
      <c r="K62" s="136" t="s">
        <v>53</v>
      </c>
      <c r="L62" s="136">
        <v>91966140</v>
      </c>
      <c r="M62" s="321"/>
    </row>
    <row r="63" spans="1:15" ht="21.75" customHeight="1" x14ac:dyDescent="0.25">
      <c r="A63" s="235">
        <v>1415</v>
      </c>
      <c r="B63" s="296" t="s">
        <v>549</v>
      </c>
      <c r="C63" s="295">
        <v>213.3</v>
      </c>
      <c r="D63" s="149">
        <v>0.3</v>
      </c>
      <c r="E63" s="186">
        <f t="shared" si="0"/>
        <v>63.99</v>
      </c>
      <c r="F63" s="186">
        <f>63.33+0.66</f>
        <v>63.989999999999995</v>
      </c>
      <c r="G63" s="186">
        <f t="shared" si="1"/>
        <v>0</v>
      </c>
      <c r="H63" s="136">
        <v>5334952</v>
      </c>
      <c r="I63" s="323" t="s">
        <v>576</v>
      </c>
      <c r="J63" s="136" t="s">
        <v>31</v>
      </c>
      <c r="K63" s="136" t="s">
        <v>32</v>
      </c>
      <c r="L63" s="136">
        <v>99806280</v>
      </c>
      <c r="M63" s="589">
        <v>45972</v>
      </c>
      <c r="N63" s="325" t="s">
        <v>703</v>
      </c>
    </row>
    <row r="64" spans="1:15" s="325" customFormat="1" ht="21.75" customHeight="1" x14ac:dyDescent="0.25">
      <c r="A64" s="230">
        <v>1417</v>
      </c>
      <c r="B64" s="152" t="s">
        <v>42</v>
      </c>
      <c r="C64" s="231">
        <v>396</v>
      </c>
      <c r="D64" s="232">
        <v>0.3</v>
      </c>
      <c r="E64" s="232">
        <f t="shared" si="0"/>
        <v>118.8</v>
      </c>
      <c r="F64" s="232">
        <f>118.08+0.72</f>
        <v>118.8</v>
      </c>
      <c r="G64" s="232">
        <f t="shared" si="1"/>
        <v>0</v>
      </c>
      <c r="H64" s="153">
        <v>1252579</v>
      </c>
      <c r="I64" s="233" t="s">
        <v>43</v>
      </c>
      <c r="J64" s="153" t="s">
        <v>31</v>
      </c>
      <c r="K64" s="153" t="s">
        <v>32</v>
      </c>
      <c r="L64" s="153">
        <v>98520912</v>
      </c>
      <c r="M64" s="598" t="s">
        <v>685</v>
      </c>
      <c r="N64" s="325" t="s">
        <v>710</v>
      </c>
    </row>
    <row r="65" spans="1:15" s="325" customFormat="1" ht="21.75" customHeight="1" x14ac:dyDescent="0.25">
      <c r="A65" s="230">
        <v>1418</v>
      </c>
      <c r="B65" s="152" t="s">
        <v>304</v>
      </c>
      <c r="C65" s="231">
        <v>321.7</v>
      </c>
      <c r="D65" s="232">
        <v>0.3</v>
      </c>
      <c r="E65" s="232">
        <f t="shared" si="0"/>
        <v>96.509999999999991</v>
      </c>
      <c r="F65" s="232">
        <f>94.52+1.99</f>
        <v>96.509999999999991</v>
      </c>
      <c r="G65" s="232">
        <f t="shared" si="1"/>
        <v>0</v>
      </c>
      <c r="H65" s="153">
        <v>9954378</v>
      </c>
      <c r="I65" s="233" t="s">
        <v>577</v>
      </c>
      <c r="J65" s="153" t="s">
        <v>31</v>
      </c>
      <c r="K65" s="153" t="s">
        <v>32</v>
      </c>
      <c r="L65" s="153">
        <v>99282423</v>
      </c>
      <c r="M65" s="598" t="s">
        <v>678</v>
      </c>
      <c r="N65" s="589">
        <v>45972</v>
      </c>
    </row>
    <row r="66" spans="1:15" ht="21.75" customHeight="1" x14ac:dyDescent="0.25">
      <c r="A66" s="235">
        <v>1419</v>
      </c>
      <c r="B66" s="296" t="s">
        <v>308</v>
      </c>
      <c r="C66" s="295">
        <v>648</v>
      </c>
      <c r="D66" s="149">
        <v>0.3</v>
      </c>
      <c r="E66" s="186">
        <f t="shared" si="0"/>
        <v>194.4</v>
      </c>
      <c r="F66" s="186"/>
      <c r="G66" s="186">
        <f t="shared" si="1"/>
        <v>194.4</v>
      </c>
      <c r="H66" s="136">
        <v>386821</v>
      </c>
      <c r="I66" s="311" t="s">
        <v>309</v>
      </c>
      <c r="J66" s="136" t="s">
        <v>31</v>
      </c>
      <c r="K66" s="136" t="s">
        <v>32</v>
      </c>
      <c r="L66" s="136">
        <v>99181419</v>
      </c>
      <c r="M66" s="321"/>
      <c r="N66" s="5"/>
    </row>
    <row r="67" spans="1:15" ht="21.75" customHeight="1" x14ac:dyDescent="0.25">
      <c r="A67" s="235">
        <v>1420</v>
      </c>
      <c r="B67" s="296" t="s">
        <v>310</v>
      </c>
      <c r="C67" s="295">
        <v>483.8</v>
      </c>
      <c r="D67" s="149">
        <v>0.3</v>
      </c>
      <c r="E67" s="186">
        <f t="shared" ref="E67:E130" si="2">C67*D67</f>
        <v>145.13999999999999</v>
      </c>
      <c r="F67" s="186"/>
      <c r="G67" s="186">
        <f t="shared" si="1"/>
        <v>145.13999999999999</v>
      </c>
      <c r="H67" s="136">
        <v>5460297</v>
      </c>
      <c r="I67" s="311" t="s">
        <v>311</v>
      </c>
      <c r="J67" s="136" t="s">
        <v>31</v>
      </c>
      <c r="K67" s="136" t="s">
        <v>32</v>
      </c>
      <c r="L67" s="136">
        <v>95898899</v>
      </c>
      <c r="M67" s="321"/>
      <c r="N67" s="5"/>
    </row>
    <row r="68" spans="1:15" s="325" customFormat="1" ht="21.75" customHeight="1" x14ac:dyDescent="0.25">
      <c r="A68" s="230">
        <v>1421</v>
      </c>
      <c r="B68" s="152" t="s">
        <v>129</v>
      </c>
      <c r="C68" s="231">
        <v>522</v>
      </c>
      <c r="D68" s="232">
        <v>0.3</v>
      </c>
      <c r="E68" s="232">
        <f t="shared" si="2"/>
        <v>156.6</v>
      </c>
      <c r="F68" s="232">
        <f>0.999999999999995+152+3.6</f>
        <v>156.6</v>
      </c>
      <c r="G68" s="232">
        <f t="shared" ref="G68:G131" si="3">E68-F68</f>
        <v>0</v>
      </c>
      <c r="H68" s="153">
        <v>15314262</v>
      </c>
      <c r="I68" s="233" t="s">
        <v>130</v>
      </c>
      <c r="J68" s="153" t="s">
        <v>31</v>
      </c>
      <c r="K68" s="153" t="s">
        <v>32</v>
      </c>
      <c r="L68" s="153">
        <v>90333361</v>
      </c>
      <c r="M68" s="598" t="s">
        <v>676</v>
      </c>
      <c r="N68" s="598" t="s">
        <v>687</v>
      </c>
      <c r="O68" s="325" t="s">
        <v>703</v>
      </c>
    </row>
    <row r="69" spans="1:15" ht="21.75" customHeight="1" x14ac:dyDescent="0.25">
      <c r="A69" s="235">
        <v>1423</v>
      </c>
      <c r="B69" s="296" t="s">
        <v>131</v>
      </c>
      <c r="C69" s="295">
        <v>486</v>
      </c>
      <c r="D69" s="149">
        <v>0.3</v>
      </c>
      <c r="E69" s="186">
        <f t="shared" si="2"/>
        <v>145.79999999999998</v>
      </c>
      <c r="F69" s="186"/>
      <c r="G69" s="186">
        <f t="shared" si="3"/>
        <v>145.79999999999998</v>
      </c>
      <c r="H69" s="136">
        <v>5044397</v>
      </c>
      <c r="I69" s="311" t="s">
        <v>132</v>
      </c>
      <c r="J69" s="136" t="s">
        <v>31</v>
      </c>
      <c r="K69" s="136" t="s">
        <v>32</v>
      </c>
      <c r="L69" s="136">
        <v>99580550</v>
      </c>
      <c r="M69" s="321"/>
      <c r="N69" s="5"/>
    </row>
    <row r="70" spans="1:15" s="325" customFormat="1" ht="21.75" customHeight="1" x14ac:dyDescent="0.25">
      <c r="A70" s="230">
        <v>1425</v>
      </c>
      <c r="B70" s="152" t="s">
        <v>312</v>
      </c>
      <c r="C70" s="231">
        <v>461.5</v>
      </c>
      <c r="D70" s="232">
        <v>0.3</v>
      </c>
      <c r="E70" s="232">
        <f t="shared" si="2"/>
        <v>138.44999999999999</v>
      </c>
      <c r="F70" s="232">
        <f>137.46+0.99</f>
        <v>138.45000000000002</v>
      </c>
      <c r="G70" s="232">
        <f t="shared" si="3"/>
        <v>0</v>
      </c>
      <c r="H70" s="153">
        <v>5614623</v>
      </c>
      <c r="I70" s="233" t="s">
        <v>313</v>
      </c>
      <c r="J70" s="153" t="s">
        <v>31</v>
      </c>
      <c r="K70" s="153" t="s">
        <v>32</v>
      </c>
      <c r="L70" s="153">
        <v>99583112</v>
      </c>
      <c r="M70" s="598">
        <v>45758</v>
      </c>
      <c r="N70" s="589">
        <v>45788</v>
      </c>
    </row>
    <row r="71" spans="1:15" s="325" customFormat="1" ht="21.75" customHeight="1" x14ac:dyDescent="0.25">
      <c r="A71" s="595">
        <v>1426</v>
      </c>
      <c r="B71" s="152" t="s">
        <v>314</v>
      </c>
      <c r="C71" s="231">
        <v>477.2</v>
      </c>
      <c r="D71" s="232">
        <v>0.3</v>
      </c>
      <c r="E71" s="232">
        <f t="shared" si="2"/>
        <v>143.16</v>
      </c>
      <c r="F71" s="232">
        <f>4.34+138.6+0.22</f>
        <v>143.16</v>
      </c>
      <c r="G71" s="232">
        <f t="shared" si="3"/>
        <v>0</v>
      </c>
      <c r="H71" s="153">
        <v>2160707</v>
      </c>
      <c r="I71" s="233" t="s">
        <v>315</v>
      </c>
      <c r="J71" s="153" t="s">
        <v>71</v>
      </c>
      <c r="K71" s="153" t="s">
        <v>72</v>
      </c>
      <c r="L71" s="153">
        <v>92280327</v>
      </c>
      <c r="M71" s="598" t="s">
        <v>676</v>
      </c>
      <c r="N71" s="589">
        <v>46002</v>
      </c>
      <c r="O71" s="325" t="s">
        <v>703</v>
      </c>
    </row>
    <row r="72" spans="1:15" s="325" customFormat="1" ht="21.75" customHeight="1" x14ac:dyDescent="0.25">
      <c r="A72" s="230">
        <v>1427</v>
      </c>
      <c r="B72" s="152" t="s">
        <v>134</v>
      </c>
      <c r="C72" s="231">
        <v>236.1</v>
      </c>
      <c r="D72" s="232">
        <v>0.3</v>
      </c>
      <c r="E72" s="232">
        <f t="shared" si="2"/>
        <v>70.83</v>
      </c>
      <c r="F72" s="232">
        <f>2.83+64.35+3.65</f>
        <v>70.83</v>
      </c>
      <c r="G72" s="232">
        <f t="shared" si="3"/>
        <v>0</v>
      </c>
      <c r="H72" s="153">
        <v>24171637</v>
      </c>
      <c r="I72" s="233" t="s">
        <v>135</v>
      </c>
      <c r="J72" s="153" t="s">
        <v>31</v>
      </c>
      <c r="K72" s="153" t="s">
        <v>32</v>
      </c>
      <c r="L72" s="153">
        <v>97030409</v>
      </c>
      <c r="M72" s="598" t="s">
        <v>676</v>
      </c>
      <c r="N72" s="589">
        <v>45972</v>
      </c>
      <c r="O72" s="325" t="s">
        <v>703</v>
      </c>
    </row>
    <row r="73" spans="1:15" s="325" customFormat="1" ht="21.75" customHeight="1" x14ac:dyDescent="0.25">
      <c r="A73" s="230">
        <v>1428</v>
      </c>
      <c r="B73" s="152" t="s">
        <v>316</v>
      </c>
      <c r="C73" s="231">
        <v>244.6</v>
      </c>
      <c r="D73" s="232">
        <v>0.3</v>
      </c>
      <c r="E73" s="232">
        <f t="shared" si="2"/>
        <v>73.38</v>
      </c>
      <c r="F73" s="232">
        <f>68.84+4.54</f>
        <v>73.38000000000001</v>
      </c>
      <c r="G73" s="232">
        <f t="shared" si="3"/>
        <v>0</v>
      </c>
      <c r="H73" s="153">
        <v>921364</v>
      </c>
      <c r="I73" s="622" t="s">
        <v>317</v>
      </c>
      <c r="J73" s="153" t="s">
        <v>90</v>
      </c>
      <c r="K73" s="153" t="s">
        <v>32</v>
      </c>
      <c r="L73" s="153">
        <v>92599597</v>
      </c>
      <c r="M73" s="598" t="s">
        <v>687</v>
      </c>
      <c r="N73" s="325" t="s">
        <v>703</v>
      </c>
    </row>
    <row r="74" spans="1:15" s="325" customFormat="1" ht="21.75" customHeight="1" x14ac:dyDescent="0.25">
      <c r="A74" s="230">
        <v>1430</v>
      </c>
      <c r="B74" s="152" t="s">
        <v>136</v>
      </c>
      <c r="C74" s="231">
        <v>252</v>
      </c>
      <c r="D74" s="232">
        <v>0.3</v>
      </c>
      <c r="E74" s="232">
        <f t="shared" si="2"/>
        <v>75.599999999999994</v>
      </c>
      <c r="F74" s="232">
        <f>71.03+4.57</f>
        <v>75.599999999999994</v>
      </c>
      <c r="G74" s="232">
        <f t="shared" si="3"/>
        <v>0</v>
      </c>
      <c r="H74" s="153">
        <v>564698</v>
      </c>
      <c r="I74" s="233" t="s">
        <v>137</v>
      </c>
      <c r="J74" s="153" t="s">
        <v>31</v>
      </c>
      <c r="K74" s="153" t="s">
        <v>32</v>
      </c>
      <c r="L74" s="153">
        <v>99189793</v>
      </c>
      <c r="M74" s="598">
        <v>45758</v>
      </c>
      <c r="N74" s="325" t="s">
        <v>706</v>
      </c>
    </row>
    <row r="75" spans="1:15" ht="21.75" customHeight="1" x14ac:dyDescent="0.25">
      <c r="A75" s="235">
        <v>1432</v>
      </c>
      <c r="B75" s="296" t="s">
        <v>318</v>
      </c>
      <c r="C75" s="295">
        <v>594</v>
      </c>
      <c r="D75" s="149">
        <v>0.3</v>
      </c>
      <c r="E75" s="186">
        <f t="shared" si="2"/>
        <v>178.2</v>
      </c>
      <c r="F75" s="186"/>
      <c r="G75" s="186">
        <f t="shared" si="3"/>
        <v>178.2</v>
      </c>
      <c r="H75" s="136">
        <v>5004855</v>
      </c>
      <c r="I75" s="311" t="s">
        <v>319</v>
      </c>
      <c r="J75" s="136" t="s">
        <v>52</v>
      </c>
      <c r="K75" s="136" t="s">
        <v>53</v>
      </c>
      <c r="L75" s="136">
        <v>99899962</v>
      </c>
      <c r="M75" s="321"/>
      <c r="N75" s="5"/>
    </row>
    <row r="76" spans="1:15" s="325" customFormat="1" ht="21.75" customHeight="1" x14ac:dyDescent="0.25">
      <c r="A76" s="230">
        <v>1433</v>
      </c>
      <c r="B76" s="152" t="s">
        <v>320</v>
      </c>
      <c r="C76" s="231">
        <v>594</v>
      </c>
      <c r="D76" s="232">
        <v>0.3</v>
      </c>
      <c r="E76" s="232">
        <f t="shared" si="2"/>
        <v>178.2</v>
      </c>
      <c r="F76" s="232">
        <f>177.75+0.45</f>
        <v>178.2</v>
      </c>
      <c r="G76" s="232">
        <f t="shared" si="3"/>
        <v>0</v>
      </c>
      <c r="H76" s="153">
        <v>285841</v>
      </c>
      <c r="I76" s="233" t="s">
        <v>321</v>
      </c>
      <c r="J76" s="153" t="s">
        <v>31</v>
      </c>
      <c r="K76" s="153" t="s">
        <v>32</v>
      </c>
      <c r="L76" s="153">
        <v>92958552</v>
      </c>
      <c r="M76" s="598" t="s">
        <v>700</v>
      </c>
      <c r="N76" s="325" t="s">
        <v>706</v>
      </c>
    </row>
    <row r="77" spans="1:15" ht="21.75" customHeight="1" x14ac:dyDescent="0.25">
      <c r="A77" s="148">
        <v>1434</v>
      </c>
      <c r="B77" s="296" t="s">
        <v>138</v>
      </c>
      <c r="C77" s="295">
        <v>285.7</v>
      </c>
      <c r="D77" s="149">
        <v>0.3</v>
      </c>
      <c r="E77" s="186">
        <f t="shared" si="2"/>
        <v>85.71</v>
      </c>
      <c r="F77" s="186">
        <v>82.81</v>
      </c>
      <c r="G77" s="186">
        <f t="shared" si="3"/>
        <v>2.8999999999999915</v>
      </c>
      <c r="H77" s="136">
        <v>19197503</v>
      </c>
      <c r="I77" s="311" t="s">
        <v>139</v>
      </c>
      <c r="J77" s="136" t="s">
        <v>31</v>
      </c>
      <c r="K77" s="136" t="s">
        <v>32</v>
      </c>
      <c r="L77" s="136">
        <v>92466605</v>
      </c>
      <c r="M77" s="325" t="s">
        <v>703</v>
      </c>
      <c r="N77" s="5"/>
    </row>
    <row r="78" spans="1:15" s="325" customFormat="1" ht="21.75" customHeight="1" x14ac:dyDescent="0.25">
      <c r="A78" s="595">
        <v>1435</v>
      </c>
      <c r="B78" s="152" t="s">
        <v>45</v>
      </c>
      <c r="C78" s="231">
        <v>792</v>
      </c>
      <c r="D78" s="232">
        <v>0.3</v>
      </c>
      <c r="E78" s="232">
        <f t="shared" si="2"/>
        <v>237.6</v>
      </c>
      <c r="F78" s="232">
        <f>236.35+1.25</f>
        <v>237.6</v>
      </c>
      <c r="G78" s="232">
        <f t="shared" si="3"/>
        <v>0</v>
      </c>
      <c r="H78" s="153">
        <v>1305522</v>
      </c>
      <c r="I78" s="233" t="s">
        <v>46</v>
      </c>
      <c r="J78" s="153" t="s">
        <v>31</v>
      </c>
      <c r="K78" s="153" t="s">
        <v>32</v>
      </c>
      <c r="L78" s="153">
        <v>93246263</v>
      </c>
      <c r="M78" s="589">
        <v>45972</v>
      </c>
      <c r="N78" s="325" t="s">
        <v>703</v>
      </c>
    </row>
    <row r="79" spans="1:15" s="325" customFormat="1" ht="21.75" customHeight="1" x14ac:dyDescent="0.25">
      <c r="A79" s="595">
        <v>1437</v>
      </c>
      <c r="B79" s="152" t="s">
        <v>143</v>
      </c>
      <c r="C79" s="231">
        <v>512</v>
      </c>
      <c r="D79" s="232">
        <v>0.3</v>
      </c>
      <c r="E79" s="232">
        <f t="shared" si="2"/>
        <v>153.6</v>
      </c>
      <c r="F79" s="232">
        <f>152.89+0.71</f>
        <v>153.6</v>
      </c>
      <c r="G79" s="232">
        <f t="shared" si="3"/>
        <v>0</v>
      </c>
      <c r="H79" s="153">
        <v>9685144</v>
      </c>
      <c r="I79" s="233" t="s">
        <v>144</v>
      </c>
      <c r="J79" s="153" t="s">
        <v>127</v>
      </c>
      <c r="K79" s="153" t="s">
        <v>128</v>
      </c>
      <c r="L79" s="153">
        <v>96907302</v>
      </c>
      <c r="M79" s="598" t="s">
        <v>687</v>
      </c>
      <c r="N79" s="325" t="s">
        <v>703</v>
      </c>
    </row>
    <row r="80" spans="1:15" s="325" customFormat="1" ht="21.75" customHeight="1" x14ac:dyDescent="0.25">
      <c r="A80" s="230">
        <v>1438</v>
      </c>
      <c r="B80" s="152" t="s">
        <v>145</v>
      </c>
      <c r="C80" s="231">
        <v>792</v>
      </c>
      <c r="D80" s="232">
        <v>0.3</v>
      </c>
      <c r="E80" s="232">
        <f t="shared" si="2"/>
        <v>237.6</v>
      </c>
      <c r="F80" s="232">
        <f>4.73000000000001+232.75+0.12</f>
        <v>237.60000000000002</v>
      </c>
      <c r="G80" s="232">
        <f t="shared" si="3"/>
        <v>0</v>
      </c>
      <c r="H80" s="153">
        <v>656621</v>
      </c>
      <c r="I80" s="233" t="s">
        <v>146</v>
      </c>
      <c r="J80" s="153" t="s">
        <v>26</v>
      </c>
      <c r="K80" s="153" t="s">
        <v>27</v>
      </c>
      <c r="L80" s="153">
        <v>92509804</v>
      </c>
      <c r="M80" s="598" t="s">
        <v>676</v>
      </c>
      <c r="N80" s="598">
        <v>45758</v>
      </c>
      <c r="O80" s="325" t="s">
        <v>703</v>
      </c>
    </row>
    <row r="81" spans="1:15" s="325" customFormat="1" ht="21.75" customHeight="1" x14ac:dyDescent="0.25">
      <c r="A81" s="230">
        <v>1439</v>
      </c>
      <c r="B81" s="152" t="s">
        <v>323</v>
      </c>
      <c r="C81" s="231">
        <v>385</v>
      </c>
      <c r="D81" s="232">
        <v>0.3</v>
      </c>
      <c r="E81" s="232">
        <f t="shared" si="2"/>
        <v>115.5</v>
      </c>
      <c r="F81" s="232">
        <f>1.29+113.85+0.36</f>
        <v>115.5</v>
      </c>
      <c r="G81" s="232">
        <f t="shared" si="3"/>
        <v>0</v>
      </c>
      <c r="H81" s="153">
        <v>18880548</v>
      </c>
      <c r="I81" s="233" t="s">
        <v>324</v>
      </c>
      <c r="J81" s="153" t="s">
        <v>31</v>
      </c>
      <c r="K81" s="153" t="s">
        <v>32</v>
      </c>
      <c r="L81" s="153">
        <v>98901515</v>
      </c>
      <c r="M81" s="598">
        <v>45945</v>
      </c>
      <c r="N81" s="589">
        <v>45972</v>
      </c>
      <c r="O81" s="325" t="s">
        <v>703</v>
      </c>
    </row>
    <row r="82" spans="1:15" s="325" customFormat="1" ht="21.75" customHeight="1" x14ac:dyDescent="0.25">
      <c r="A82" s="230">
        <v>1441</v>
      </c>
      <c r="B82" s="152" t="s">
        <v>325</v>
      </c>
      <c r="C82" s="231">
        <v>432</v>
      </c>
      <c r="D82" s="232">
        <v>0.3</v>
      </c>
      <c r="E82" s="232">
        <f t="shared" si="2"/>
        <v>129.6</v>
      </c>
      <c r="F82" s="232">
        <f>1.92999999999999+123.75+3.92</f>
        <v>129.6</v>
      </c>
      <c r="G82" s="232">
        <f t="shared" si="3"/>
        <v>0</v>
      </c>
      <c r="H82" s="153">
        <v>7285624</v>
      </c>
      <c r="I82" s="233" t="s">
        <v>326</v>
      </c>
      <c r="J82" s="153" t="s">
        <v>121</v>
      </c>
      <c r="K82" s="153"/>
      <c r="L82" s="153">
        <v>93587666</v>
      </c>
      <c r="M82" s="598" t="s">
        <v>676</v>
      </c>
      <c r="N82" s="598">
        <v>45972</v>
      </c>
      <c r="O82" s="325" t="s">
        <v>709</v>
      </c>
    </row>
    <row r="83" spans="1:15" ht="21.75" customHeight="1" x14ac:dyDescent="0.25">
      <c r="A83" s="235">
        <v>1444</v>
      </c>
      <c r="B83" s="296" t="s">
        <v>327</v>
      </c>
      <c r="C83" s="295">
        <v>612</v>
      </c>
      <c r="D83" s="149">
        <v>0.3</v>
      </c>
      <c r="E83" s="186">
        <f t="shared" si="2"/>
        <v>183.6</v>
      </c>
      <c r="F83" s="186"/>
      <c r="G83" s="186">
        <f t="shared" si="3"/>
        <v>183.6</v>
      </c>
      <c r="H83" s="136">
        <v>13487202</v>
      </c>
      <c r="I83" s="311" t="s">
        <v>328</v>
      </c>
      <c r="J83" s="136" t="s">
        <v>31</v>
      </c>
      <c r="K83" s="136" t="s">
        <v>32</v>
      </c>
      <c r="L83" s="136">
        <v>92244429</v>
      </c>
      <c r="M83" s="321"/>
      <c r="N83" s="5"/>
    </row>
    <row r="84" spans="1:15" s="325" customFormat="1" ht="21.75" customHeight="1" x14ac:dyDescent="0.25">
      <c r="A84" s="596">
        <v>1448</v>
      </c>
      <c r="B84" s="152" t="s">
        <v>147</v>
      </c>
      <c r="C84" s="231">
        <v>336.4</v>
      </c>
      <c r="D84" s="232">
        <v>0.3</v>
      </c>
      <c r="E84" s="232">
        <f t="shared" si="2"/>
        <v>100.91999999999999</v>
      </c>
      <c r="F84" s="232">
        <f>69.7+30.24+0.98</f>
        <v>100.92</v>
      </c>
      <c r="G84" s="232">
        <f t="shared" si="3"/>
        <v>0</v>
      </c>
      <c r="H84" s="597">
        <v>26433121</v>
      </c>
      <c r="I84" s="597" t="s">
        <v>148</v>
      </c>
      <c r="J84" s="597" t="s">
        <v>31</v>
      </c>
      <c r="K84" s="153" t="s">
        <v>32</v>
      </c>
      <c r="L84" s="597">
        <v>93229244</v>
      </c>
      <c r="M84" s="598">
        <v>45758</v>
      </c>
      <c r="N84" s="325" t="s">
        <v>703</v>
      </c>
    </row>
    <row r="85" spans="1:15" ht="21.75" customHeight="1" x14ac:dyDescent="0.25">
      <c r="A85" s="235">
        <v>1451</v>
      </c>
      <c r="B85" s="296" t="s">
        <v>329</v>
      </c>
      <c r="C85" s="295">
        <v>279.3</v>
      </c>
      <c r="D85" s="149">
        <v>0.3</v>
      </c>
      <c r="E85" s="186">
        <f t="shared" si="2"/>
        <v>83.79</v>
      </c>
      <c r="F85" s="186"/>
      <c r="G85" s="186">
        <f t="shared" si="3"/>
        <v>83.79</v>
      </c>
      <c r="H85" s="136">
        <v>20337612</v>
      </c>
      <c r="I85" s="311" t="s">
        <v>330</v>
      </c>
      <c r="J85" s="136" t="s">
        <v>31</v>
      </c>
      <c r="K85" s="136" t="s">
        <v>32</v>
      </c>
      <c r="L85" s="136">
        <v>98829667</v>
      </c>
      <c r="M85" s="321"/>
      <c r="N85" s="5"/>
    </row>
    <row r="86" spans="1:15" s="325" customFormat="1" ht="21.75" customHeight="1" x14ac:dyDescent="0.25">
      <c r="A86" s="230">
        <v>1453</v>
      </c>
      <c r="B86" s="152" t="s">
        <v>331</v>
      </c>
      <c r="C86" s="231">
        <v>264.3</v>
      </c>
      <c r="D86" s="232">
        <v>0.3</v>
      </c>
      <c r="E86" s="232">
        <f t="shared" si="2"/>
        <v>79.290000000000006</v>
      </c>
      <c r="F86" s="232">
        <f>0.139999999999998+79.15</f>
        <v>79.290000000000006</v>
      </c>
      <c r="G86" s="232">
        <f t="shared" si="3"/>
        <v>0</v>
      </c>
      <c r="H86" s="153">
        <v>5460259</v>
      </c>
      <c r="I86" s="233" t="s">
        <v>332</v>
      </c>
      <c r="J86" s="153" t="s">
        <v>155</v>
      </c>
      <c r="K86" s="153" t="s">
        <v>156</v>
      </c>
      <c r="L86" s="153">
        <v>90199947</v>
      </c>
      <c r="M86" s="598" t="s">
        <v>676</v>
      </c>
      <c r="N86" s="325" t="s">
        <v>703</v>
      </c>
    </row>
    <row r="87" spans="1:15" s="325" customFormat="1" ht="21.75" customHeight="1" x14ac:dyDescent="0.25">
      <c r="A87" s="230">
        <v>1455</v>
      </c>
      <c r="B87" s="152" t="s">
        <v>333</v>
      </c>
      <c r="C87" s="231">
        <v>500.2</v>
      </c>
      <c r="D87" s="232">
        <v>0.3</v>
      </c>
      <c r="E87" s="232">
        <f t="shared" si="2"/>
        <v>150.06</v>
      </c>
      <c r="F87" s="232">
        <f>146.8+3.26</f>
        <v>150.06</v>
      </c>
      <c r="G87" s="232">
        <f t="shared" si="3"/>
        <v>0</v>
      </c>
      <c r="H87" s="153">
        <v>9954383</v>
      </c>
      <c r="I87" s="233" t="s">
        <v>334</v>
      </c>
      <c r="J87" s="153" t="s">
        <v>31</v>
      </c>
      <c r="K87" s="153" t="s">
        <v>32</v>
      </c>
      <c r="L87" s="153">
        <v>93270751</v>
      </c>
      <c r="M87" s="598">
        <v>45758</v>
      </c>
      <c r="N87" s="589">
        <v>45759</v>
      </c>
    </row>
    <row r="88" spans="1:15" s="325" customFormat="1" ht="21.75" customHeight="1" x14ac:dyDescent="0.25">
      <c r="A88" s="230">
        <v>1462</v>
      </c>
      <c r="B88" s="152" t="s">
        <v>48</v>
      </c>
      <c r="C88" s="231">
        <v>251.3</v>
      </c>
      <c r="D88" s="232">
        <v>0.3</v>
      </c>
      <c r="E88" s="232">
        <f t="shared" si="2"/>
        <v>75.39</v>
      </c>
      <c r="F88" s="232">
        <f>E88</f>
        <v>75.39</v>
      </c>
      <c r="G88" s="232">
        <f t="shared" si="3"/>
        <v>0</v>
      </c>
      <c r="H88" s="153">
        <v>9664038</v>
      </c>
      <c r="I88" s="153" t="s">
        <v>49</v>
      </c>
      <c r="J88" s="153" t="s">
        <v>31</v>
      </c>
      <c r="K88" s="153" t="s">
        <v>32</v>
      </c>
      <c r="L88" s="153">
        <v>92989674</v>
      </c>
      <c r="M88" s="589">
        <v>45788</v>
      </c>
      <c r="N88" s="628" t="s">
        <v>691</v>
      </c>
    </row>
    <row r="89" spans="1:15" ht="21.75" customHeight="1" x14ac:dyDescent="0.25">
      <c r="A89" s="230">
        <v>1463</v>
      </c>
      <c r="B89" s="152" t="s">
        <v>50</v>
      </c>
      <c r="C89" s="231">
        <v>432</v>
      </c>
      <c r="D89" s="232">
        <v>0.3</v>
      </c>
      <c r="E89" s="232">
        <f t="shared" si="2"/>
        <v>129.6</v>
      </c>
      <c r="F89" s="232">
        <f>126.35+3.25</f>
        <v>129.6</v>
      </c>
      <c r="G89" s="232">
        <f t="shared" si="3"/>
        <v>0</v>
      </c>
      <c r="H89" s="153">
        <v>3798072</v>
      </c>
      <c r="I89" s="233" t="s">
        <v>51</v>
      </c>
      <c r="J89" s="153" t="s">
        <v>52</v>
      </c>
      <c r="K89" s="153" t="s">
        <v>53</v>
      </c>
      <c r="L89" s="153">
        <v>99480608</v>
      </c>
      <c r="M89" s="598">
        <v>45669</v>
      </c>
      <c r="N89" s="325" t="s">
        <v>703</v>
      </c>
    </row>
    <row r="90" spans="1:15" s="325" customFormat="1" ht="21.75" customHeight="1" x14ac:dyDescent="0.25">
      <c r="A90" s="230">
        <v>1464</v>
      </c>
      <c r="B90" s="152" t="s">
        <v>335</v>
      </c>
      <c r="C90" s="231">
        <v>504</v>
      </c>
      <c r="D90" s="232">
        <v>0.3</v>
      </c>
      <c r="E90" s="232">
        <f t="shared" si="2"/>
        <v>151.19999999999999</v>
      </c>
      <c r="F90" s="232">
        <f>E90</f>
        <v>151.19999999999999</v>
      </c>
      <c r="G90" s="232">
        <f t="shared" si="3"/>
        <v>0</v>
      </c>
      <c r="H90" s="153">
        <v>6352996</v>
      </c>
      <c r="I90" s="233" t="s">
        <v>336</v>
      </c>
      <c r="J90" s="153" t="s">
        <v>52</v>
      </c>
      <c r="K90" s="153" t="s">
        <v>53</v>
      </c>
      <c r="L90" s="153">
        <v>92463267</v>
      </c>
      <c r="M90" s="589">
        <v>45972</v>
      </c>
    </row>
    <row r="91" spans="1:15" ht="21.75" customHeight="1" x14ac:dyDescent="0.25">
      <c r="A91" s="235">
        <v>1467</v>
      </c>
      <c r="B91" s="136" t="s">
        <v>337</v>
      </c>
      <c r="C91" s="295">
        <v>389.4</v>
      </c>
      <c r="D91" s="149">
        <v>0.3</v>
      </c>
      <c r="E91" s="186">
        <f t="shared" si="2"/>
        <v>116.82</v>
      </c>
      <c r="F91" s="186"/>
      <c r="G91" s="186">
        <f t="shared" si="3"/>
        <v>116.82</v>
      </c>
      <c r="H91" s="136">
        <v>4279933</v>
      </c>
      <c r="I91" s="311" t="s">
        <v>338</v>
      </c>
      <c r="J91" s="136" t="s">
        <v>52</v>
      </c>
      <c r="K91" s="136" t="s">
        <v>53</v>
      </c>
      <c r="L91" s="136">
        <v>98510166</v>
      </c>
      <c r="M91" s="321"/>
      <c r="N91" s="5"/>
    </row>
    <row r="92" spans="1:15" s="325" customFormat="1" ht="21.75" customHeight="1" x14ac:dyDescent="0.25">
      <c r="A92" s="230">
        <v>1468</v>
      </c>
      <c r="B92" s="613" t="s">
        <v>149</v>
      </c>
      <c r="C92" s="231">
        <v>498.2</v>
      </c>
      <c r="D92" s="232">
        <v>0.3</v>
      </c>
      <c r="E92" s="232">
        <f t="shared" si="2"/>
        <v>149.45999999999998</v>
      </c>
      <c r="F92" s="232">
        <f>145.83+3.63</f>
        <v>149.46</v>
      </c>
      <c r="G92" s="232">
        <f t="shared" si="3"/>
        <v>0</v>
      </c>
      <c r="H92" s="153">
        <v>6996485</v>
      </c>
      <c r="I92" s="233" t="s">
        <v>150</v>
      </c>
      <c r="J92" s="153" t="s">
        <v>31</v>
      </c>
      <c r="K92" s="153" t="s">
        <v>32</v>
      </c>
      <c r="L92" s="153">
        <v>92947741</v>
      </c>
      <c r="M92" s="598" t="s">
        <v>681</v>
      </c>
      <c r="N92" s="325" t="s">
        <v>703</v>
      </c>
    </row>
    <row r="93" spans="1:15" s="325" customFormat="1" ht="21.75" customHeight="1" x14ac:dyDescent="0.25">
      <c r="A93" s="230">
        <v>1472</v>
      </c>
      <c r="B93" s="152" t="s">
        <v>554</v>
      </c>
      <c r="C93" s="231">
        <v>439.2</v>
      </c>
      <c r="D93" s="232">
        <v>0.3</v>
      </c>
      <c r="E93" s="232">
        <f t="shared" si="2"/>
        <v>131.76</v>
      </c>
      <c r="F93" s="232">
        <f>131.07+0.69</f>
        <v>131.76</v>
      </c>
      <c r="G93" s="232">
        <f t="shared" si="3"/>
        <v>0</v>
      </c>
      <c r="H93" s="153">
        <v>12987814</v>
      </c>
      <c r="I93" s="233" t="s">
        <v>578</v>
      </c>
      <c r="J93" s="153" t="s">
        <v>26</v>
      </c>
      <c r="K93" s="153" t="s">
        <v>27</v>
      </c>
      <c r="L93" s="153">
        <v>99365173</v>
      </c>
      <c r="M93" s="598" t="s">
        <v>687</v>
      </c>
      <c r="N93" s="325" t="s">
        <v>703</v>
      </c>
    </row>
    <row r="94" spans="1:15" ht="21.75" customHeight="1" x14ac:dyDescent="0.25">
      <c r="A94" s="235">
        <v>1473</v>
      </c>
      <c r="B94" s="296" t="s">
        <v>341</v>
      </c>
      <c r="C94" s="295">
        <v>415</v>
      </c>
      <c r="D94" s="149">
        <v>0.3</v>
      </c>
      <c r="E94" s="186">
        <f t="shared" si="2"/>
        <v>124.5</v>
      </c>
      <c r="F94" s="186"/>
      <c r="G94" s="186">
        <f t="shared" si="3"/>
        <v>124.5</v>
      </c>
      <c r="H94" s="136">
        <v>18722784</v>
      </c>
      <c r="I94" s="136" t="s">
        <v>342</v>
      </c>
      <c r="J94" s="136" t="s">
        <v>52</v>
      </c>
      <c r="K94" s="136" t="s">
        <v>53</v>
      </c>
      <c r="L94" s="136">
        <v>98900644</v>
      </c>
      <c r="M94" s="321"/>
      <c r="N94" s="5"/>
    </row>
    <row r="95" spans="1:15" ht="21.75" customHeight="1" x14ac:dyDescent="0.25">
      <c r="A95" s="235">
        <v>1475</v>
      </c>
      <c r="B95" s="297" t="s">
        <v>151</v>
      </c>
      <c r="C95" s="295">
        <v>241.3</v>
      </c>
      <c r="D95" s="149">
        <v>0.3</v>
      </c>
      <c r="E95" s="186">
        <f t="shared" si="2"/>
        <v>72.39</v>
      </c>
      <c r="F95" s="186">
        <f>70.53+1.86</f>
        <v>72.39</v>
      </c>
      <c r="G95" s="186">
        <f t="shared" si="3"/>
        <v>0</v>
      </c>
      <c r="H95" s="136">
        <v>4584011</v>
      </c>
      <c r="I95" s="311" t="s">
        <v>152</v>
      </c>
      <c r="J95" s="136" t="s">
        <v>31</v>
      </c>
      <c r="K95" s="136" t="s">
        <v>32</v>
      </c>
      <c r="L95" s="136">
        <v>98822862</v>
      </c>
      <c r="M95" s="325" t="s">
        <v>702</v>
      </c>
      <c r="N95" s="325" t="s">
        <v>703</v>
      </c>
    </row>
    <row r="96" spans="1:15" s="325" customFormat="1" ht="21.75" customHeight="1" x14ac:dyDescent="0.25">
      <c r="A96" s="230">
        <v>1476</v>
      </c>
      <c r="B96" s="153" t="s">
        <v>343</v>
      </c>
      <c r="C96" s="231">
        <v>259.3</v>
      </c>
      <c r="D96" s="232">
        <v>0.3</v>
      </c>
      <c r="E96" s="232">
        <f t="shared" si="2"/>
        <v>77.790000000000006</v>
      </c>
      <c r="F96" s="232">
        <f>4.15000000000001+69.3+4.34</f>
        <v>77.790000000000006</v>
      </c>
      <c r="G96" s="232">
        <f t="shared" si="3"/>
        <v>0</v>
      </c>
      <c r="H96" s="153">
        <v>5486858</v>
      </c>
      <c r="I96" s="233" t="s">
        <v>344</v>
      </c>
      <c r="J96" s="153" t="s">
        <v>26</v>
      </c>
      <c r="K96" s="153" t="s">
        <v>27</v>
      </c>
      <c r="L96" s="153">
        <v>99019634</v>
      </c>
      <c r="M96" s="598" t="s">
        <v>676</v>
      </c>
      <c r="N96" s="589">
        <v>45788</v>
      </c>
      <c r="O96" s="325" t="s">
        <v>703</v>
      </c>
    </row>
    <row r="97" spans="1:15" ht="21.75" customHeight="1" x14ac:dyDescent="0.25">
      <c r="A97" s="235">
        <v>1477</v>
      </c>
      <c r="B97" s="296" t="s">
        <v>345</v>
      </c>
      <c r="C97" s="295">
        <v>240.1</v>
      </c>
      <c r="D97" s="149">
        <v>0.3</v>
      </c>
      <c r="E97" s="186">
        <f t="shared" si="2"/>
        <v>72.03</v>
      </c>
      <c r="F97" s="186"/>
      <c r="G97" s="186">
        <f t="shared" si="3"/>
        <v>72.03</v>
      </c>
      <c r="H97" s="136">
        <v>18656494</v>
      </c>
      <c r="I97" s="136" t="s">
        <v>346</v>
      </c>
      <c r="J97" s="136" t="s">
        <v>31</v>
      </c>
      <c r="K97" s="136" t="s">
        <v>32</v>
      </c>
      <c r="L97" s="136">
        <v>92610234</v>
      </c>
      <c r="M97" s="321"/>
      <c r="N97" s="5"/>
    </row>
    <row r="98" spans="1:15" s="325" customFormat="1" ht="21.75" customHeight="1" x14ac:dyDescent="0.25">
      <c r="A98" s="230">
        <v>1480</v>
      </c>
      <c r="B98" s="152" t="s">
        <v>347</v>
      </c>
      <c r="C98" s="231">
        <v>270</v>
      </c>
      <c r="D98" s="232">
        <v>0.3</v>
      </c>
      <c r="E98" s="232">
        <f t="shared" si="2"/>
        <v>81</v>
      </c>
      <c r="F98" s="232">
        <f>76.97+4.03</f>
        <v>81</v>
      </c>
      <c r="G98" s="232">
        <f t="shared" si="3"/>
        <v>0</v>
      </c>
      <c r="H98" s="153">
        <v>19820777</v>
      </c>
      <c r="I98" s="153" t="s">
        <v>348</v>
      </c>
      <c r="J98" s="153" t="s">
        <v>31</v>
      </c>
      <c r="K98" s="153" t="s">
        <v>32</v>
      </c>
      <c r="L98" s="153">
        <v>92525031</v>
      </c>
      <c r="M98" s="598">
        <v>45758</v>
      </c>
      <c r="N98" s="325" t="s">
        <v>706</v>
      </c>
    </row>
    <row r="99" spans="1:15" s="325" customFormat="1" ht="21.75" customHeight="1" x14ac:dyDescent="0.25">
      <c r="A99" s="230">
        <v>1482</v>
      </c>
      <c r="B99" s="152" t="s">
        <v>349</v>
      </c>
      <c r="C99" s="231">
        <v>426</v>
      </c>
      <c r="D99" s="232">
        <v>0.3</v>
      </c>
      <c r="E99" s="232">
        <f t="shared" si="2"/>
        <v>127.8</v>
      </c>
      <c r="F99" s="232">
        <f>123.06+4.74</f>
        <v>127.8</v>
      </c>
      <c r="G99" s="232">
        <f t="shared" si="3"/>
        <v>0</v>
      </c>
      <c r="H99" s="153">
        <v>4024306</v>
      </c>
      <c r="I99" s="233" t="s">
        <v>350</v>
      </c>
      <c r="J99" s="153" t="s">
        <v>52</v>
      </c>
      <c r="K99" s="153" t="s">
        <v>53</v>
      </c>
      <c r="L99" s="153">
        <v>94453330</v>
      </c>
      <c r="M99" s="598">
        <v>45912</v>
      </c>
      <c r="N99" s="325" t="s">
        <v>708</v>
      </c>
    </row>
    <row r="100" spans="1:15" s="17" customFormat="1" ht="26.25" customHeight="1" x14ac:dyDescent="0.25">
      <c r="A100" s="230">
        <v>1485</v>
      </c>
      <c r="B100" s="152" t="s">
        <v>352</v>
      </c>
      <c r="C100" s="231">
        <v>267</v>
      </c>
      <c r="D100" s="232">
        <v>0.3</v>
      </c>
      <c r="E100" s="232">
        <f t="shared" si="2"/>
        <v>80.099999999999994</v>
      </c>
      <c r="F100" s="232">
        <f>0.0799999999999899+76.65+3.37</f>
        <v>80.099999999999994</v>
      </c>
      <c r="G100" s="232">
        <f t="shared" si="3"/>
        <v>0</v>
      </c>
      <c r="H100" s="153">
        <v>18585573</v>
      </c>
      <c r="I100" s="233" t="s">
        <v>353</v>
      </c>
      <c r="J100" s="153" t="s">
        <v>31</v>
      </c>
      <c r="K100" s="153" t="s">
        <v>32</v>
      </c>
      <c r="L100" s="153">
        <v>92695802</v>
      </c>
      <c r="M100" s="598" t="s">
        <v>678</v>
      </c>
      <c r="N100" s="589">
        <v>45972</v>
      </c>
      <c r="O100" s="325" t="s">
        <v>703</v>
      </c>
    </row>
    <row r="101" spans="1:15" s="325" customFormat="1" ht="21.75" customHeight="1" x14ac:dyDescent="0.25">
      <c r="A101" s="230">
        <v>1700</v>
      </c>
      <c r="B101" s="152" t="s">
        <v>356</v>
      </c>
      <c r="C101" s="231">
        <v>522</v>
      </c>
      <c r="D101" s="232">
        <v>0.3</v>
      </c>
      <c r="E101" s="232">
        <f t="shared" si="2"/>
        <v>156.6</v>
      </c>
      <c r="F101" s="232">
        <f>E101</f>
        <v>156.6</v>
      </c>
      <c r="G101" s="232">
        <f t="shared" si="3"/>
        <v>0</v>
      </c>
      <c r="H101" s="153">
        <v>6332437</v>
      </c>
      <c r="I101" s="233" t="s">
        <v>357</v>
      </c>
      <c r="J101" s="153" t="s">
        <v>31</v>
      </c>
      <c r="K101" s="153" t="s">
        <v>32</v>
      </c>
      <c r="L101" s="153">
        <v>99284449</v>
      </c>
      <c r="M101" s="639" t="s">
        <v>701</v>
      </c>
    </row>
    <row r="102" spans="1:15" s="17" customFormat="1" ht="21.75" customHeight="1" x14ac:dyDescent="0.25">
      <c r="A102" s="235">
        <v>1702</v>
      </c>
      <c r="B102" s="296" t="s">
        <v>359</v>
      </c>
      <c r="C102" s="295">
        <v>398.8</v>
      </c>
      <c r="D102" s="149">
        <v>0.3</v>
      </c>
      <c r="E102" s="186">
        <f t="shared" si="2"/>
        <v>119.64</v>
      </c>
      <c r="F102" s="186"/>
      <c r="G102" s="186">
        <f t="shared" si="3"/>
        <v>119.64</v>
      </c>
      <c r="H102" s="136">
        <v>1572875</v>
      </c>
      <c r="I102" s="313" t="s">
        <v>360</v>
      </c>
      <c r="J102" s="136" t="s">
        <v>52</v>
      </c>
      <c r="K102" s="136" t="s">
        <v>53</v>
      </c>
      <c r="L102" s="136">
        <v>99899341</v>
      </c>
      <c r="M102" s="321"/>
    </row>
    <row r="103" spans="1:15" s="325" customFormat="1" ht="21.75" customHeight="1" x14ac:dyDescent="0.25">
      <c r="A103" s="230">
        <v>1704</v>
      </c>
      <c r="B103" s="152" t="s">
        <v>361</v>
      </c>
      <c r="C103" s="231">
        <v>331</v>
      </c>
      <c r="D103" s="232">
        <v>0.3</v>
      </c>
      <c r="E103" s="232">
        <f t="shared" si="2"/>
        <v>99.3</v>
      </c>
      <c r="F103" s="232">
        <f>1.19+98.11</f>
        <v>99.3</v>
      </c>
      <c r="G103" s="232">
        <f t="shared" si="3"/>
        <v>0</v>
      </c>
      <c r="H103" s="153">
        <v>19235157</v>
      </c>
      <c r="I103" s="233" t="s">
        <v>362</v>
      </c>
      <c r="J103" s="153" t="s">
        <v>31</v>
      </c>
      <c r="K103" s="153" t="s">
        <v>32</v>
      </c>
      <c r="L103" s="153"/>
      <c r="M103" s="598" t="s">
        <v>676</v>
      </c>
      <c r="N103" s="625" t="s">
        <v>684</v>
      </c>
      <c r="O103" s="628" t="s">
        <v>686</v>
      </c>
    </row>
    <row r="104" spans="1:15" s="325" customFormat="1" ht="21.75" customHeight="1" x14ac:dyDescent="0.25">
      <c r="A104" s="230">
        <v>1706</v>
      </c>
      <c r="B104" s="152" t="s">
        <v>153</v>
      </c>
      <c r="C104" s="231">
        <v>233.9</v>
      </c>
      <c r="D104" s="232">
        <v>0.3</v>
      </c>
      <c r="E104" s="232">
        <f t="shared" si="2"/>
        <v>70.17</v>
      </c>
      <c r="F104" s="232">
        <f>0.100000000000003+69.3+0.77</f>
        <v>70.17</v>
      </c>
      <c r="G104" s="232">
        <f t="shared" si="3"/>
        <v>0</v>
      </c>
      <c r="H104" s="153">
        <v>2520947</v>
      </c>
      <c r="I104" s="327" t="s">
        <v>154</v>
      </c>
      <c r="J104" s="153" t="s">
        <v>155</v>
      </c>
      <c r="K104" s="327" t="s">
        <v>156</v>
      </c>
      <c r="L104" s="153">
        <v>92246641</v>
      </c>
      <c r="M104" s="598" t="s">
        <v>676</v>
      </c>
      <c r="N104" s="598">
        <v>45758</v>
      </c>
      <c r="O104" s="325" t="s">
        <v>703</v>
      </c>
    </row>
    <row r="105" spans="1:15" s="17" customFormat="1" ht="21.75" customHeight="1" x14ac:dyDescent="0.25">
      <c r="A105" s="235">
        <v>1708</v>
      </c>
      <c r="B105" s="296" t="s">
        <v>363</v>
      </c>
      <c r="C105" s="295">
        <v>744.1</v>
      </c>
      <c r="D105" s="149">
        <v>0.3</v>
      </c>
      <c r="E105" s="186">
        <f t="shared" si="2"/>
        <v>223.23</v>
      </c>
      <c r="F105" s="186"/>
      <c r="G105" s="186">
        <f t="shared" si="3"/>
        <v>223.23</v>
      </c>
      <c r="H105" s="136">
        <v>1331691</v>
      </c>
      <c r="I105" s="311" t="s">
        <v>364</v>
      </c>
      <c r="J105" s="136" t="s">
        <v>31</v>
      </c>
      <c r="K105" s="136" t="s">
        <v>32</v>
      </c>
      <c r="L105" s="136"/>
      <c r="M105" s="321"/>
    </row>
    <row r="106" spans="1:15" s="325" customFormat="1" ht="21.75" customHeight="1" x14ac:dyDescent="0.25">
      <c r="A106" s="230">
        <v>1709</v>
      </c>
      <c r="B106" s="152" t="s">
        <v>365</v>
      </c>
      <c r="C106" s="231">
        <v>269.39999999999998</v>
      </c>
      <c r="D106" s="232">
        <v>0.3</v>
      </c>
      <c r="E106" s="232">
        <f t="shared" si="2"/>
        <v>80.819999999999993</v>
      </c>
      <c r="F106" s="232">
        <f>E106</f>
        <v>80.819999999999993</v>
      </c>
      <c r="G106" s="232">
        <f t="shared" si="3"/>
        <v>0</v>
      </c>
      <c r="H106" s="153">
        <v>2406629</v>
      </c>
      <c r="I106" s="233" t="s">
        <v>580</v>
      </c>
      <c r="J106" s="153" t="s">
        <v>121</v>
      </c>
      <c r="K106" s="153" t="s">
        <v>122</v>
      </c>
      <c r="L106" s="153">
        <v>92771786</v>
      </c>
      <c r="M106" s="325" t="s">
        <v>706</v>
      </c>
    </row>
    <row r="107" spans="1:15" s="325" customFormat="1" ht="21.75" customHeight="1" x14ac:dyDescent="0.25">
      <c r="A107" s="230">
        <v>1711</v>
      </c>
      <c r="B107" s="152" t="s">
        <v>55</v>
      </c>
      <c r="C107" s="231">
        <v>382.7</v>
      </c>
      <c r="D107" s="232">
        <v>0.3</v>
      </c>
      <c r="E107" s="232">
        <f t="shared" si="2"/>
        <v>114.80999999999999</v>
      </c>
      <c r="F107" s="232">
        <f>111.24+3.57</f>
        <v>114.80999999999999</v>
      </c>
      <c r="G107" s="232">
        <f t="shared" si="3"/>
        <v>0</v>
      </c>
      <c r="H107" s="153">
        <v>638353</v>
      </c>
      <c r="I107" s="242" t="s">
        <v>56</v>
      </c>
      <c r="J107" s="153" t="s">
        <v>31</v>
      </c>
      <c r="K107" s="153" t="s">
        <v>32</v>
      </c>
      <c r="L107" s="153">
        <v>99292727</v>
      </c>
      <c r="M107" s="589">
        <v>45972</v>
      </c>
      <c r="N107" s="325" t="s">
        <v>708</v>
      </c>
    </row>
    <row r="108" spans="1:15" s="325" customFormat="1" ht="21.75" customHeight="1" x14ac:dyDescent="0.25">
      <c r="A108" s="230">
        <v>1712</v>
      </c>
      <c r="B108" s="152" t="s">
        <v>57</v>
      </c>
      <c r="C108" s="231">
        <v>268.5</v>
      </c>
      <c r="D108" s="232">
        <v>0.3</v>
      </c>
      <c r="E108" s="232">
        <f t="shared" si="2"/>
        <v>80.55</v>
      </c>
      <c r="F108" s="232">
        <f>79.99+0.56</f>
        <v>80.55</v>
      </c>
      <c r="G108" s="232">
        <f t="shared" si="3"/>
        <v>0</v>
      </c>
      <c r="H108" s="153">
        <v>788958</v>
      </c>
      <c r="I108" s="242" t="s">
        <v>58</v>
      </c>
      <c r="J108" s="153" t="s">
        <v>31</v>
      </c>
      <c r="K108" s="153" t="s">
        <v>32</v>
      </c>
      <c r="L108" s="153"/>
      <c r="M108" s="598" t="s">
        <v>687</v>
      </c>
      <c r="N108" s="325" t="s">
        <v>703</v>
      </c>
    </row>
    <row r="109" spans="1:15" s="17" customFormat="1" ht="21.75" customHeight="1" x14ac:dyDescent="0.25">
      <c r="A109" s="235">
        <v>1713</v>
      </c>
      <c r="B109" s="296" t="s">
        <v>157</v>
      </c>
      <c r="C109" s="295">
        <v>288</v>
      </c>
      <c r="D109" s="149">
        <v>0.3</v>
      </c>
      <c r="E109" s="186">
        <f t="shared" si="2"/>
        <v>86.399999999999991</v>
      </c>
      <c r="F109" s="186">
        <f>E109</f>
        <v>86.399999999999991</v>
      </c>
      <c r="G109" s="186">
        <f t="shared" si="3"/>
        <v>0</v>
      </c>
      <c r="H109" s="136">
        <v>19890467</v>
      </c>
      <c r="I109" s="313" t="s">
        <v>158</v>
      </c>
      <c r="J109" s="136" t="s">
        <v>52</v>
      </c>
      <c r="K109" s="136" t="s">
        <v>53</v>
      </c>
      <c r="L109" s="136"/>
      <c r="M109" s="325" t="s">
        <v>703</v>
      </c>
    </row>
    <row r="110" spans="1:15" s="325" customFormat="1" ht="21.75" customHeight="1" x14ac:dyDescent="0.25">
      <c r="A110" s="230">
        <v>1714</v>
      </c>
      <c r="B110" s="152" t="s">
        <v>59</v>
      </c>
      <c r="C110" s="231">
        <v>270</v>
      </c>
      <c r="D110" s="232">
        <v>0.3</v>
      </c>
      <c r="E110" s="232">
        <f t="shared" si="2"/>
        <v>81</v>
      </c>
      <c r="F110" s="232">
        <f>77.25+3.75</f>
        <v>81</v>
      </c>
      <c r="G110" s="232">
        <f t="shared" si="3"/>
        <v>0</v>
      </c>
      <c r="H110" s="153">
        <v>6285703</v>
      </c>
      <c r="I110" s="242" t="s">
        <v>60</v>
      </c>
      <c r="J110" s="153" t="s">
        <v>31</v>
      </c>
      <c r="K110" s="153" t="s">
        <v>32</v>
      </c>
      <c r="L110" s="153"/>
      <c r="M110" s="598">
        <v>46002</v>
      </c>
      <c r="N110" s="325" t="s">
        <v>703</v>
      </c>
    </row>
    <row r="111" spans="1:15" s="17" customFormat="1" ht="21.75" customHeight="1" x14ac:dyDescent="0.25">
      <c r="A111" s="235">
        <v>1715</v>
      </c>
      <c r="B111" s="296" t="s">
        <v>62</v>
      </c>
      <c r="C111" s="295">
        <v>198</v>
      </c>
      <c r="D111" s="149">
        <v>0.3</v>
      </c>
      <c r="E111" s="186">
        <f t="shared" si="2"/>
        <v>59.4</v>
      </c>
      <c r="F111" s="186">
        <f>E111</f>
        <v>59.4</v>
      </c>
      <c r="G111" s="186">
        <f t="shared" si="3"/>
        <v>0</v>
      </c>
      <c r="H111" s="136">
        <v>6511663</v>
      </c>
      <c r="I111" s="313" t="s">
        <v>63</v>
      </c>
      <c r="J111" s="136" t="s">
        <v>31</v>
      </c>
      <c r="K111" s="136" t="s">
        <v>32</v>
      </c>
      <c r="L111" s="136"/>
      <c r="M111" s="325" t="s">
        <v>703</v>
      </c>
    </row>
    <row r="112" spans="1:15" s="325" customFormat="1" ht="21.75" customHeight="1" x14ac:dyDescent="0.25">
      <c r="A112" s="230">
        <v>1716</v>
      </c>
      <c r="B112" s="152" t="s">
        <v>368</v>
      </c>
      <c r="C112" s="231">
        <v>569</v>
      </c>
      <c r="D112" s="232">
        <v>0.3</v>
      </c>
      <c r="E112" s="232">
        <f t="shared" si="2"/>
        <v>170.7</v>
      </c>
      <c r="F112" s="232">
        <f>1.85000000000001+168.3+0.55</f>
        <v>170.70000000000005</v>
      </c>
      <c r="G112" s="232">
        <f t="shared" si="3"/>
        <v>0</v>
      </c>
      <c r="H112" s="153">
        <v>24147445</v>
      </c>
      <c r="I112" s="327" t="s">
        <v>369</v>
      </c>
      <c r="J112" s="153" t="s">
        <v>31</v>
      </c>
      <c r="K112" s="153" t="s">
        <v>32</v>
      </c>
      <c r="L112" s="153">
        <v>92772114</v>
      </c>
      <c r="M112" s="598" t="s">
        <v>676</v>
      </c>
      <c r="N112" s="589">
        <v>45788</v>
      </c>
      <c r="O112" s="325" t="s">
        <v>358</v>
      </c>
    </row>
    <row r="113" spans="1:15" s="17" customFormat="1" ht="21.75" customHeight="1" x14ac:dyDescent="0.25">
      <c r="A113" s="235">
        <v>1717</v>
      </c>
      <c r="B113" s="296" t="s">
        <v>370</v>
      </c>
      <c r="C113" s="295">
        <v>243</v>
      </c>
      <c r="D113" s="149">
        <v>0.3</v>
      </c>
      <c r="E113" s="186">
        <f t="shared" si="2"/>
        <v>72.899999999999991</v>
      </c>
      <c r="F113" s="186">
        <v>68.190000000000012</v>
      </c>
      <c r="G113" s="186">
        <f t="shared" si="3"/>
        <v>4.7099999999999795</v>
      </c>
      <c r="H113" s="136">
        <v>3248965</v>
      </c>
      <c r="I113" s="313" t="s">
        <v>371</v>
      </c>
      <c r="J113" s="136" t="s">
        <v>31</v>
      </c>
      <c r="K113" s="136" t="s">
        <v>32</v>
      </c>
      <c r="L113" s="136">
        <v>92476390</v>
      </c>
      <c r="M113" s="325" t="s">
        <v>702</v>
      </c>
    </row>
    <row r="114" spans="1:15" s="325" customFormat="1" ht="21.75" customHeight="1" x14ac:dyDescent="0.25">
      <c r="A114" s="230">
        <v>1718</v>
      </c>
      <c r="B114" s="152" t="s">
        <v>159</v>
      </c>
      <c r="C114" s="231">
        <v>270</v>
      </c>
      <c r="D114" s="232">
        <v>0.3</v>
      </c>
      <c r="E114" s="232">
        <f t="shared" si="2"/>
        <v>81</v>
      </c>
      <c r="F114" s="232">
        <f>1.77000000000001+76+3.23</f>
        <v>81.000000000000014</v>
      </c>
      <c r="G114" s="232">
        <f t="shared" si="3"/>
        <v>0</v>
      </c>
      <c r="H114" s="153">
        <v>18656137</v>
      </c>
      <c r="I114" s="594" t="s">
        <v>160</v>
      </c>
      <c r="J114" s="153" t="s">
        <v>155</v>
      </c>
      <c r="K114" s="153" t="s">
        <v>156</v>
      </c>
      <c r="L114" s="153"/>
      <c r="M114" s="598" t="s">
        <v>676</v>
      </c>
      <c r="N114" s="589">
        <v>45788</v>
      </c>
      <c r="O114" s="325" t="s">
        <v>703</v>
      </c>
    </row>
    <row r="115" spans="1:15" s="17" customFormat="1" ht="21.75" customHeight="1" x14ac:dyDescent="0.25">
      <c r="A115" s="235">
        <v>1720</v>
      </c>
      <c r="B115" s="296" t="s">
        <v>372</v>
      </c>
      <c r="C115" s="295">
        <v>253</v>
      </c>
      <c r="D115" s="149">
        <v>0.3</v>
      </c>
      <c r="E115" s="186">
        <f t="shared" si="2"/>
        <v>75.899999999999991</v>
      </c>
      <c r="F115" s="186"/>
      <c r="G115" s="186">
        <f t="shared" si="3"/>
        <v>75.899999999999991</v>
      </c>
      <c r="H115" s="136">
        <v>6812881</v>
      </c>
      <c r="I115" s="313" t="s">
        <v>373</v>
      </c>
      <c r="J115" s="136" t="s">
        <v>52</v>
      </c>
      <c r="K115" s="136" t="s">
        <v>53</v>
      </c>
      <c r="L115" s="136"/>
      <c r="M115" s="321"/>
    </row>
    <row r="116" spans="1:15" s="325" customFormat="1" ht="21.75" customHeight="1" x14ac:dyDescent="0.25">
      <c r="A116" s="230">
        <v>1722</v>
      </c>
      <c r="B116" s="152" t="s">
        <v>374</v>
      </c>
      <c r="C116" s="231">
        <v>290</v>
      </c>
      <c r="D116" s="232">
        <v>0.3</v>
      </c>
      <c r="E116" s="232">
        <f t="shared" si="2"/>
        <v>87</v>
      </c>
      <c r="F116" s="232">
        <v>87.03</v>
      </c>
      <c r="G116" s="232">
        <f t="shared" si="3"/>
        <v>-3.0000000000001137E-2</v>
      </c>
      <c r="H116" s="153">
        <v>12979647</v>
      </c>
      <c r="I116" s="242" t="s">
        <v>375</v>
      </c>
      <c r="J116" s="153" t="s">
        <v>376</v>
      </c>
      <c r="K116" s="153" t="s">
        <v>307</v>
      </c>
      <c r="L116" s="153">
        <v>98899002</v>
      </c>
      <c r="M116" s="598">
        <v>46002</v>
      </c>
    </row>
    <row r="117" spans="1:15" s="17" customFormat="1" ht="21.75" customHeight="1" x14ac:dyDescent="0.25">
      <c r="A117" s="235">
        <v>1723</v>
      </c>
      <c r="B117" s="296" t="s">
        <v>65</v>
      </c>
      <c r="C117" s="295">
        <v>280.60000000000002</v>
      </c>
      <c r="D117" s="149">
        <v>0.3</v>
      </c>
      <c r="E117" s="186">
        <f t="shared" si="2"/>
        <v>84.18</v>
      </c>
      <c r="F117" s="186"/>
      <c r="G117" s="186">
        <f t="shared" si="3"/>
        <v>84.18</v>
      </c>
      <c r="H117" s="136">
        <v>6631224</v>
      </c>
      <c r="I117" s="311" t="s">
        <v>66</v>
      </c>
      <c r="J117" s="136" t="s">
        <v>31</v>
      </c>
      <c r="K117" s="136" t="s">
        <v>32</v>
      </c>
      <c r="L117" s="136">
        <v>92666839</v>
      </c>
      <c r="M117" s="321"/>
    </row>
    <row r="118" spans="1:15" s="17" customFormat="1" ht="21.75" customHeight="1" x14ac:dyDescent="0.25">
      <c r="A118" s="235">
        <v>1724</v>
      </c>
      <c r="B118" s="296" t="s">
        <v>67</v>
      </c>
      <c r="C118" s="295">
        <v>255</v>
      </c>
      <c r="D118" s="149">
        <v>0.3</v>
      </c>
      <c r="E118" s="186">
        <f t="shared" si="2"/>
        <v>76.5</v>
      </c>
      <c r="F118" s="186">
        <f>73.18+3.32</f>
        <v>76.5</v>
      </c>
      <c r="G118" s="186">
        <f t="shared" si="3"/>
        <v>0</v>
      </c>
      <c r="H118" s="136">
        <v>10795143</v>
      </c>
      <c r="I118" s="140" t="s">
        <v>68</v>
      </c>
      <c r="J118" s="136" t="s">
        <v>26</v>
      </c>
      <c r="K118" s="136" t="s">
        <v>27</v>
      </c>
      <c r="L118" s="136">
        <v>99494166</v>
      </c>
      <c r="M118" s="589">
        <v>45788</v>
      </c>
      <c r="N118" s="325" t="s">
        <v>703</v>
      </c>
    </row>
    <row r="119" spans="1:15" s="17" customFormat="1" ht="21.75" customHeight="1" x14ac:dyDescent="0.25">
      <c r="A119" s="235">
        <v>1725</v>
      </c>
      <c r="B119" s="296" t="s">
        <v>377</v>
      </c>
      <c r="C119" s="295">
        <v>463.7</v>
      </c>
      <c r="D119" s="149">
        <v>0.3</v>
      </c>
      <c r="E119" s="186">
        <f t="shared" si="2"/>
        <v>139.10999999999999</v>
      </c>
      <c r="F119" s="186"/>
      <c r="G119" s="186">
        <f t="shared" si="3"/>
        <v>139.10999999999999</v>
      </c>
      <c r="H119" s="136">
        <v>2223414</v>
      </c>
      <c r="I119" s="313" t="s">
        <v>378</v>
      </c>
      <c r="J119" s="136" t="s">
        <v>52</v>
      </c>
      <c r="K119" s="136" t="s">
        <v>53</v>
      </c>
      <c r="L119" s="136"/>
      <c r="M119" s="321"/>
    </row>
    <row r="120" spans="1:15" s="325" customFormat="1" ht="21.75" customHeight="1" x14ac:dyDescent="0.25">
      <c r="A120" s="230">
        <v>1726</v>
      </c>
      <c r="B120" s="152" t="s">
        <v>379</v>
      </c>
      <c r="C120" s="601">
        <v>414.6</v>
      </c>
      <c r="D120" s="232">
        <v>0.3</v>
      </c>
      <c r="E120" s="232">
        <f t="shared" si="2"/>
        <v>124.38</v>
      </c>
      <c r="F120" s="232">
        <f>123.87+0.51</f>
        <v>124.38000000000001</v>
      </c>
      <c r="G120" s="232">
        <f t="shared" si="3"/>
        <v>0</v>
      </c>
      <c r="H120" s="153">
        <v>5440535</v>
      </c>
      <c r="I120" s="242" t="s">
        <v>380</v>
      </c>
      <c r="J120" s="153" t="s">
        <v>31</v>
      </c>
      <c r="K120" s="153" t="s">
        <v>32</v>
      </c>
      <c r="L120" s="153">
        <v>92023947</v>
      </c>
      <c r="M120" s="325" t="s">
        <v>702</v>
      </c>
      <c r="N120" s="325" t="s">
        <v>706</v>
      </c>
    </row>
    <row r="121" spans="1:15" s="325" customFormat="1" ht="21.75" customHeight="1" x14ac:dyDescent="0.25">
      <c r="A121" s="230">
        <v>1728</v>
      </c>
      <c r="B121" s="152" t="s">
        <v>13</v>
      </c>
      <c r="C121" s="231">
        <v>288</v>
      </c>
      <c r="D121" s="232">
        <v>0.3</v>
      </c>
      <c r="E121" s="232">
        <f t="shared" si="2"/>
        <v>86.399999999999991</v>
      </c>
      <c r="F121" s="232">
        <f>1.7+80.75+3.95</f>
        <v>86.4</v>
      </c>
      <c r="G121" s="232">
        <f t="shared" si="3"/>
        <v>0</v>
      </c>
      <c r="H121" s="153">
        <v>8977778</v>
      </c>
      <c r="I121" s="233" t="s">
        <v>381</v>
      </c>
      <c r="J121" s="153" t="s">
        <v>31</v>
      </c>
      <c r="K121" s="153" t="s">
        <v>32</v>
      </c>
      <c r="L121" s="153"/>
      <c r="M121" s="598" t="s">
        <v>676</v>
      </c>
      <c r="N121" s="598" t="s">
        <v>687</v>
      </c>
      <c r="O121" s="325" t="s">
        <v>703</v>
      </c>
    </row>
    <row r="122" spans="1:15" s="325" customFormat="1" ht="21.75" customHeight="1" x14ac:dyDescent="0.25">
      <c r="A122" s="230">
        <v>1729</v>
      </c>
      <c r="B122" s="152" t="s">
        <v>382</v>
      </c>
      <c r="C122" s="231">
        <v>233.5</v>
      </c>
      <c r="D122" s="232">
        <v>0.3</v>
      </c>
      <c r="E122" s="232">
        <f t="shared" si="2"/>
        <v>70.05</v>
      </c>
      <c r="F122" s="232">
        <f>68.64+1.41</f>
        <v>70.05</v>
      </c>
      <c r="G122" s="232">
        <f t="shared" si="3"/>
        <v>0</v>
      </c>
      <c r="H122" s="153">
        <v>22975081</v>
      </c>
      <c r="I122" s="233" t="s">
        <v>383</v>
      </c>
      <c r="J122" s="153" t="s">
        <v>31</v>
      </c>
      <c r="K122" s="153" t="s">
        <v>32</v>
      </c>
      <c r="L122" s="153"/>
      <c r="M122" s="598">
        <v>45758</v>
      </c>
      <c r="N122" s="325" t="s">
        <v>706</v>
      </c>
    </row>
    <row r="123" spans="1:15" s="325" customFormat="1" ht="21.75" customHeight="1" x14ac:dyDescent="0.25">
      <c r="A123" s="230">
        <v>1730</v>
      </c>
      <c r="B123" s="152" t="s">
        <v>162</v>
      </c>
      <c r="C123" s="231">
        <v>316.7</v>
      </c>
      <c r="D123" s="232">
        <v>0.3</v>
      </c>
      <c r="E123" s="232">
        <f t="shared" si="2"/>
        <v>95.009999999999991</v>
      </c>
      <c r="F123" s="232">
        <f>92.57+2.44</f>
        <v>95.009999999999991</v>
      </c>
      <c r="G123" s="232">
        <f t="shared" si="3"/>
        <v>0</v>
      </c>
      <c r="H123" s="153">
        <v>18458405</v>
      </c>
      <c r="I123" s="242" t="s">
        <v>163</v>
      </c>
      <c r="J123" s="153" t="s">
        <v>31</v>
      </c>
      <c r="K123" s="153" t="s">
        <v>32</v>
      </c>
      <c r="L123" s="153">
        <v>98566660</v>
      </c>
      <c r="M123" s="598" t="s">
        <v>687</v>
      </c>
      <c r="N123" s="325" t="s">
        <v>703</v>
      </c>
    </row>
    <row r="124" spans="1:15" s="325" customFormat="1" ht="21.75" customHeight="1" x14ac:dyDescent="0.25">
      <c r="A124" s="230">
        <v>1731</v>
      </c>
      <c r="B124" s="152" t="s">
        <v>384</v>
      </c>
      <c r="C124" s="231">
        <v>280.2</v>
      </c>
      <c r="D124" s="232">
        <v>0.3</v>
      </c>
      <c r="E124" s="232">
        <f t="shared" si="2"/>
        <v>84.059999999999988</v>
      </c>
      <c r="F124" s="232">
        <f>81.83+2.23</f>
        <v>84.06</v>
      </c>
      <c r="G124" s="232">
        <f t="shared" si="3"/>
        <v>0</v>
      </c>
      <c r="H124" s="153">
        <v>604651</v>
      </c>
      <c r="I124" s="242" t="s">
        <v>385</v>
      </c>
      <c r="J124" s="153" t="s">
        <v>31</v>
      </c>
      <c r="K124" s="153" t="s">
        <v>32</v>
      </c>
      <c r="L124" s="153">
        <v>92587799</v>
      </c>
      <c r="M124" s="598">
        <v>45758</v>
      </c>
      <c r="N124" s="325" t="s">
        <v>703</v>
      </c>
    </row>
    <row r="125" spans="1:15" s="325" customFormat="1" ht="21.75" customHeight="1" x14ac:dyDescent="0.25">
      <c r="A125" s="230">
        <v>1733</v>
      </c>
      <c r="B125" s="152" t="s">
        <v>386</v>
      </c>
      <c r="C125" s="231">
        <v>282.8</v>
      </c>
      <c r="D125" s="232">
        <v>0.3</v>
      </c>
      <c r="E125" s="232">
        <f t="shared" si="2"/>
        <v>84.84</v>
      </c>
      <c r="F125" s="232">
        <f>80.81+4.03</f>
        <v>84.84</v>
      </c>
      <c r="G125" s="232">
        <f t="shared" si="3"/>
        <v>0</v>
      </c>
      <c r="H125" s="153">
        <v>24598302</v>
      </c>
      <c r="I125" s="599" t="s">
        <v>387</v>
      </c>
      <c r="J125" s="153" t="s">
        <v>52</v>
      </c>
      <c r="K125" s="153" t="s">
        <v>53</v>
      </c>
      <c r="L125" s="153"/>
      <c r="M125" s="589">
        <v>45788</v>
      </c>
      <c r="N125" s="325" t="s">
        <v>703</v>
      </c>
    </row>
    <row r="126" spans="1:15" s="17" customFormat="1" ht="21.75" customHeight="1" x14ac:dyDescent="0.25">
      <c r="A126" s="235">
        <v>1734</v>
      </c>
      <c r="B126" s="296" t="s">
        <v>388</v>
      </c>
      <c r="C126" s="295">
        <v>280.10000000000002</v>
      </c>
      <c r="D126" s="149">
        <v>0.3</v>
      </c>
      <c r="E126" s="186">
        <f t="shared" si="2"/>
        <v>84.03</v>
      </c>
      <c r="F126" s="186"/>
      <c r="G126" s="186">
        <f t="shared" si="3"/>
        <v>84.03</v>
      </c>
      <c r="H126" s="136">
        <v>1105552</v>
      </c>
      <c r="I126" s="311" t="s">
        <v>389</v>
      </c>
      <c r="J126" s="136" t="s">
        <v>52</v>
      </c>
      <c r="K126" s="136" t="s">
        <v>53</v>
      </c>
      <c r="L126" s="136">
        <v>99484517</v>
      </c>
      <c r="M126" s="321"/>
    </row>
    <row r="127" spans="1:15" s="325" customFormat="1" ht="21.75" customHeight="1" x14ac:dyDescent="0.25">
      <c r="A127" s="230">
        <v>1736</v>
      </c>
      <c r="B127" s="152" t="s">
        <v>164</v>
      </c>
      <c r="C127" s="231">
        <v>250.4</v>
      </c>
      <c r="D127" s="232">
        <v>0.3</v>
      </c>
      <c r="E127" s="232">
        <f t="shared" si="2"/>
        <v>75.12</v>
      </c>
      <c r="F127" s="232">
        <f>72.3+2.82</f>
        <v>75.11999999999999</v>
      </c>
      <c r="G127" s="232">
        <f t="shared" si="3"/>
        <v>0</v>
      </c>
      <c r="H127" s="153">
        <v>960639</v>
      </c>
      <c r="I127" s="242" t="s">
        <v>165</v>
      </c>
      <c r="J127" s="153" t="s">
        <v>31</v>
      </c>
      <c r="K127" s="153" t="s">
        <v>32</v>
      </c>
      <c r="L127" s="153"/>
      <c r="M127" s="598" t="s">
        <v>700</v>
      </c>
      <c r="N127" s="325" t="s">
        <v>706</v>
      </c>
    </row>
    <row r="128" spans="1:15" s="325" customFormat="1" ht="21.75" customHeight="1" x14ac:dyDescent="0.25">
      <c r="A128" s="230">
        <v>1737</v>
      </c>
      <c r="B128" s="153" t="s">
        <v>390</v>
      </c>
      <c r="C128" s="231">
        <v>257.7</v>
      </c>
      <c r="D128" s="232">
        <v>0.3</v>
      </c>
      <c r="E128" s="232">
        <f t="shared" si="2"/>
        <v>77.309999999999988</v>
      </c>
      <c r="F128" s="232">
        <f>2.76999999999999+74.25+0.29</f>
        <v>77.31</v>
      </c>
      <c r="G128" s="232">
        <f t="shared" si="3"/>
        <v>0</v>
      </c>
      <c r="H128" s="153">
        <v>5566367</v>
      </c>
      <c r="I128" s="242" t="s">
        <v>391</v>
      </c>
      <c r="J128" s="153" t="s">
        <v>31</v>
      </c>
      <c r="K128" s="153" t="s">
        <v>32</v>
      </c>
      <c r="L128" s="153">
        <v>98517790</v>
      </c>
      <c r="M128" s="598" t="s">
        <v>676</v>
      </c>
      <c r="N128" s="589">
        <v>45972</v>
      </c>
      <c r="O128" s="325" t="s">
        <v>703</v>
      </c>
    </row>
    <row r="129" spans="1:15" s="17" customFormat="1" ht="21.75" customHeight="1" x14ac:dyDescent="0.25">
      <c r="A129" s="235">
        <v>1738</v>
      </c>
      <c r="B129" s="296" t="s">
        <v>166</v>
      </c>
      <c r="C129" s="295">
        <v>270</v>
      </c>
      <c r="D129" s="149">
        <v>0.3</v>
      </c>
      <c r="E129" s="186">
        <f t="shared" si="2"/>
        <v>81</v>
      </c>
      <c r="F129" s="186"/>
      <c r="G129" s="186">
        <f t="shared" si="3"/>
        <v>81</v>
      </c>
      <c r="H129" s="136">
        <v>23187863</v>
      </c>
      <c r="I129" s="313" t="s">
        <v>581</v>
      </c>
      <c r="J129" s="136" t="s">
        <v>52</v>
      </c>
      <c r="K129" s="136" t="s">
        <v>53</v>
      </c>
      <c r="L129" s="136">
        <v>99464736</v>
      </c>
      <c r="M129" s="321"/>
    </row>
    <row r="130" spans="1:15" s="325" customFormat="1" ht="21.75" customHeight="1" x14ac:dyDescent="0.25">
      <c r="A130" s="230">
        <v>1740</v>
      </c>
      <c r="B130" s="152" t="s">
        <v>392</v>
      </c>
      <c r="C130" s="231">
        <v>362.5</v>
      </c>
      <c r="D130" s="232">
        <v>0.3</v>
      </c>
      <c r="E130" s="232">
        <f t="shared" si="2"/>
        <v>108.75</v>
      </c>
      <c r="F130" s="232">
        <v>105.69</v>
      </c>
      <c r="G130" s="232">
        <f t="shared" si="3"/>
        <v>3.0600000000000023</v>
      </c>
      <c r="H130" s="153">
        <v>750305</v>
      </c>
      <c r="I130" s="242" t="s">
        <v>393</v>
      </c>
      <c r="J130" s="153" t="s">
        <v>31</v>
      </c>
      <c r="K130" s="153" t="s">
        <v>32</v>
      </c>
      <c r="L130" s="153"/>
      <c r="M130" s="598">
        <v>45758</v>
      </c>
    </row>
    <row r="131" spans="1:15" s="325" customFormat="1" ht="21.75" customHeight="1" x14ac:dyDescent="0.25">
      <c r="A131" s="230">
        <v>1741</v>
      </c>
      <c r="B131" s="152" t="s">
        <v>394</v>
      </c>
      <c r="C131" s="231">
        <v>873.3</v>
      </c>
      <c r="D131" s="232">
        <v>0.3</v>
      </c>
      <c r="E131" s="232">
        <f t="shared" ref="E131:E194" si="4">C131*D131</f>
        <v>261.98999999999995</v>
      </c>
      <c r="F131" s="232">
        <f>1.35+256.5+4.14</f>
        <v>261.99</v>
      </c>
      <c r="G131" s="232">
        <f t="shared" si="3"/>
        <v>0</v>
      </c>
      <c r="H131" s="153">
        <v>3439836</v>
      </c>
      <c r="I131" s="242" t="s">
        <v>395</v>
      </c>
      <c r="J131" s="153" t="s">
        <v>31</v>
      </c>
      <c r="K131" s="153" t="s">
        <v>32</v>
      </c>
      <c r="L131" s="153">
        <v>99070188</v>
      </c>
      <c r="M131" s="598" t="s">
        <v>677</v>
      </c>
      <c r="N131" s="589">
        <v>45788</v>
      </c>
      <c r="O131" s="325" t="s">
        <v>703</v>
      </c>
    </row>
    <row r="132" spans="1:15" s="325" customFormat="1" ht="21.75" customHeight="1" x14ac:dyDescent="0.25">
      <c r="A132" s="230">
        <v>1742</v>
      </c>
      <c r="B132" s="152" t="s">
        <v>396</v>
      </c>
      <c r="C132" s="231">
        <v>306</v>
      </c>
      <c r="D132" s="232">
        <v>0.3</v>
      </c>
      <c r="E132" s="232">
        <f t="shared" si="4"/>
        <v>91.8</v>
      </c>
      <c r="F132" s="232">
        <f>1.50000000000001+90.25+0.05</f>
        <v>91.800000000000011</v>
      </c>
      <c r="G132" s="232">
        <f t="shared" ref="G132:G195" si="5">E132-F132</f>
        <v>0</v>
      </c>
      <c r="H132" s="153">
        <v>7534942</v>
      </c>
      <c r="I132" s="242" t="s">
        <v>397</v>
      </c>
      <c r="J132" s="153" t="s">
        <v>31</v>
      </c>
      <c r="K132" s="153" t="s">
        <v>32</v>
      </c>
      <c r="L132" s="153"/>
      <c r="M132" s="598" t="s">
        <v>676</v>
      </c>
      <c r="N132" s="598">
        <v>45758</v>
      </c>
      <c r="O132" s="325" t="s">
        <v>703</v>
      </c>
    </row>
    <row r="133" spans="1:15" s="325" customFormat="1" ht="21.75" customHeight="1" x14ac:dyDescent="0.25">
      <c r="A133" s="230">
        <v>1743</v>
      </c>
      <c r="B133" s="152" t="s">
        <v>398</v>
      </c>
      <c r="C133" s="231">
        <v>750.6</v>
      </c>
      <c r="D133" s="232">
        <v>0.3</v>
      </c>
      <c r="E133" s="232">
        <f t="shared" si="4"/>
        <v>225.18</v>
      </c>
      <c r="F133" s="232">
        <f>1.2+222.75+1.23</f>
        <v>225.17999999999998</v>
      </c>
      <c r="G133" s="232">
        <f t="shared" si="5"/>
        <v>0</v>
      </c>
      <c r="H133" s="153">
        <v>14028717</v>
      </c>
      <c r="I133" s="233" t="s">
        <v>399</v>
      </c>
      <c r="J133" s="153" t="s">
        <v>155</v>
      </c>
      <c r="K133" s="153" t="s">
        <v>156</v>
      </c>
      <c r="L133" s="153">
        <v>98500770</v>
      </c>
      <c r="M133" s="598" t="s">
        <v>676</v>
      </c>
      <c r="N133" s="598">
        <v>45758</v>
      </c>
      <c r="O133" s="589">
        <v>45759</v>
      </c>
    </row>
    <row r="134" spans="1:15" s="325" customFormat="1" ht="21.75" customHeight="1" x14ac:dyDescent="0.25">
      <c r="A134" s="230">
        <v>1744</v>
      </c>
      <c r="B134" s="152" t="s">
        <v>400</v>
      </c>
      <c r="C134" s="231">
        <v>265.7</v>
      </c>
      <c r="D134" s="232">
        <v>0.3</v>
      </c>
      <c r="E134" s="232">
        <f t="shared" si="4"/>
        <v>79.709999999999994</v>
      </c>
      <c r="F134" s="232">
        <f>79.66+0.05</f>
        <v>79.709999999999994</v>
      </c>
      <c r="G134" s="232">
        <f t="shared" si="5"/>
        <v>0</v>
      </c>
      <c r="H134" s="153">
        <v>6653046</v>
      </c>
      <c r="I134" s="327" t="s">
        <v>401</v>
      </c>
      <c r="J134" s="153" t="s">
        <v>52</v>
      </c>
      <c r="K134" s="153" t="s">
        <v>53</v>
      </c>
      <c r="L134" s="153">
        <v>98183585</v>
      </c>
      <c r="M134" s="598" t="s">
        <v>687</v>
      </c>
      <c r="N134" s="325" t="s">
        <v>703</v>
      </c>
    </row>
    <row r="135" spans="1:15" s="325" customFormat="1" ht="21.75" customHeight="1" x14ac:dyDescent="0.25">
      <c r="A135" s="230">
        <v>1745</v>
      </c>
      <c r="B135" s="152" t="s">
        <v>402</v>
      </c>
      <c r="C135" s="231">
        <v>231.5</v>
      </c>
      <c r="D135" s="232">
        <v>0.3</v>
      </c>
      <c r="E135" s="232">
        <f t="shared" si="4"/>
        <v>69.45</v>
      </c>
      <c r="F135" s="232">
        <f>66.08+3.37</f>
        <v>69.45</v>
      </c>
      <c r="G135" s="232">
        <f t="shared" si="5"/>
        <v>0</v>
      </c>
      <c r="H135" s="153">
        <v>781826</v>
      </c>
      <c r="I135" s="233" t="s">
        <v>403</v>
      </c>
      <c r="J135" s="153" t="s">
        <v>52</v>
      </c>
      <c r="K135" s="153" t="s">
        <v>53</v>
      </c>
      <c r="L135" s="153"/>
      <c r="M135" s="598" t="s">
        <v>701</v>
      </c>
      <c r="N135" s="325" t="s">
        <v>703</v>
      </c>
    </row>
    <row r="136" spans="1:15" s="325" customFormat="1" ht="21.75" customHeight="1" x14ac:dyDescent="0.25">
      <c r="A136" s="230">
        <v>1748</v>
      </c>
      <c r="B136" s="152" t="s">
        <v>169</v>
      </c>
      <c r="C136" s="231">
        <v>252</v>
      </c>
      <c r="D136" s="232">
        <v>0.3</v>
      </c>
      <c r="E136" s="232">
        <f t="shared" si="4"/>
        <v>75.599999999999994</v>
      </c>
      <c r="F136" s="232">
        <f>7.94000000000002+67.66</f>
        <v>75.600000000000023</v>
      </c>
      <c r="G136" s="232">
        <f t="shared" si="5"/>
        <v>0</v>
      </c>
      <c r="H136" s="153">
        <v>1354182</v>
      </c>
      <c r="I136" s="242" t="s">
        <v>170</v>
      </c>
      <c r="J136" s="153" t="s">
        <v>31</v>
      </c>
      <c r="K136" s="153" t="s">
        <v>32</v>
      </c>
      <c r="L136" s="153">
        <v>98953022</v>
      </c>
      <c r="M136" s="598" t="s">
        <v>678</v>
      </c>
      <c r="N136" s="325" t="s">
        <v>703</v>
      </c>
    </row>
    <row r="137" spans="1:15" s="325" customFormat="1" ht="21.75" customHeight="1" x14ac:dyDescent="0.25">
      <c r="A137" s="230">
        <v>1749</v>
      </c>
      <c r="B137" s="152" t="s">
        <v>404</v>
      </c>
      <c r="C137" s="231">
        <v>270</v>
      </c>
      <c r="D137" s="232">
        <v>0.3</v>
      </c>
      <c r="E137" s="232">
        <f t="shared" si="4"/>
        <v>81</v>
      </c>
      <c r="F137" s="232">
        <f>E137</f>
        <v>81</v>
      </c>
      <c r="G137" s="232">
        <f t="shared" si="5"/>
        <v>0</v>
      </c>
      <c r="H137" s="153">
        <v>1304923</v>
      </c>
      <c r="I137" s="233" t="s">
        <v>405</v>
      </c>
      <c r="J137" s="153" t="s">
        <v>52</v>
      </c>
      <c r="K137" s="153" t="s">
        <v>53</v>
      </c>
      <c r="L137" s="153">
        <v>97384393</v>
      </c>
      <c r="M137" s="598">
        <v>45758</v>
      </c>
      <c r="N137" s="628" t="s">
        <v>690</v>
      </c>
    </row>
    <row r="138" spans="1:15" s="325" customFormat="1" ht="21.75" customHeight="1" x14ac:dyDescent="0.25">
      <c r="A138" s="230">
        <v>1750</v>
      </c>
      <c r="B138" s="152" t="s">
        <v>406</v>
      </c>
      <c r="C138" s="231">
        <v>305</v>
      </c>
      <c r="D138" s="232">
        <v>0.3</v>
      </c>
      <c r="E138" s="232">
        <f t="shared" si="4"/>
        <v>91.5</v>
      </c>
      <c r="F138" s="232">
        <f>3.53+84.15+3.82</f>
        <v>91.5</v>
      </c>
      <c r="G138" s="232">
        <f t="shared" si="5"/>
        <v>0</v>
      </c>
      <c r="H138" s="153">
        <v>18638806</v>
      </c>
      <c r="I138" s="233" t="s">
        <v>407</v>
      </c>
      <c r="J138" s="153" t="s">
        <v>71</v>
      </c>
      <c r="K138" s="153" t="s">
        <v>72</v>
      </c>
      <c r="L138" s="153">
        <v>98595777</v>
      </c>
      <c r="M138" s="598" t="s">
        <v>676</v>
      </c>
      <c r="N138" s="325" t="s">
        <v>699</v>
      </c>
      <c r="O138" s="325" t="s">
        <v>703</v>
      </c>
    </row>
    <row r="139" spans="1:15" s="325" customFormat="1" ht="21.75" customHeight="1" x14ac:dyDescent="0.25">
      <c r="A139" s="230">
        <v>1752</v>
      </c>
      <c r="B139" s="152" t="s">
        <v>171</v>
      </c>
      <c r="C139" s="231">
        <v>284.7</v>
      </c>
      <c r="D139" s="232">
        <v>0.3</v>
      </c>
      <c r="E139" s="232">
        <f t="shared" si="4"/>
        <v>85.41</v>
      </c>
      <c r="F139" s="232">
        <v>84.97</v>
      </c>
      <c r="G139" s="232">
        <f t="shared" si="5"/>
        <v>0.43999999999999773</v>
      </c>
      <c r="H139" s="153">
        <v>2808921</v>
      </c>
      <c r="I139" s="233" t="s">
        <v>139</v>
      </c>
      <c r="J139" s="153" t="s">
        <v>31</v>
      </c>
      <c r="K139" s="153" t="s">
        <v>32</v>
      </c>
      <c r="L139" s="153">
        <v>92740803</v>
      </c>
      <c r="M139" s="325" t="s">
        <v>703</v>
      </c>
    </row>
    <row r="140" spans="1:15" s="325" customFormat="1" ht="21.75" customHeight="1" x14ac:dyDescent="0.25">
      <c r="A140" s="230">
        <v>1753</v>
      </c>
      <c r="B140" s="152" t="s">
        <v>408</v>
      </c>
      <c r="C140" s="231">
        <v>270</v>
      </c>
      <c r="D140" s="232">
        <v>0.3</v>
      </c>
      <c r="E140" s="232">
        <f t="shared" si="4"/>
        <v>81</v>
      </c>
      <c r="F140" s="232">
        <f>0.609999999999996+79.2+1.19</f>
        <v>81</v>
      </c>
      <c r="G140" s="232">
        <f t="shared" si="5"/>
        <v>0</v>
      </c>
      <c r="H140" s="153">
        <v>6496182</v>
      </c>
      <c r="I140" s="612" t="s">
        <v>409</v>
      </c>
      <c r="J140" s="153" t="s">
        <v>251</v>
      </c>
      <c r="K140" s="153" t="s">
        <v>252</v>
      </c>
      <c r="L140" s="153">
        <v>98595777</v>
      </c>
      <c r="M140" s="598" t="s">
        <v>676</v>
      </c>
      <c r="N140" s="589">
        <v>46002</v>
      </c>
      <c r="O140" s="325" t="s">
        <v>703</v>
      </c>
    </row>
    <row r="141" spans="1:15" s="17" customFormat="1" ht="21.75" customHeight="1" x14ac:dyDescent="0.25">
      <c r="A141" s="235">
        <v>1754</v>
      </c>
      <c r="B141" s="296" t="s">
        <v>410</v>
      </c>
      <c r="C141" s="295">
        <v>846.6</v>
      </c>
      <c r="D141" s="149">
        <v>0.3</v>
      </c>
      <c r="E141" s="186">
        <f t="shared" si="4"/>
        <v>253.98</v>
      </c>
      <c r="F141" s="186"/>
      <c r="G141" s="186">
        <f t="shared" si="5"/>
        <v>253.98</v>
      </c>
      <c r="H141" s="136">
        <v>1523934</v>
      </c>
      <c r="I141" s="311" t="s">
        <v>411</v>
      </c>
      <c r="J141" s="136" t="s">
        <v>71</v>
      </c>
      <c r="K141" s="136" t="s">
        <v>72</v>
      </c>
      <c r="L141" s="136"/>
      <c r="M141" s="321"/>
    </row>
    <row r="142" spans="1:15" s="325" customFormat="1" ht="21.75" customHeight="1" x14ac:dyDescent="0.25">
      <c r="A142" s="230">
        <v>1755</v>
      </c>
      <c r="B142" s="152" t="s">
        <v>69</v>
      </c>
      <c r="C142" s="231">
        <v>504</v>
      </c>
      <c r="D142" s="232">
        <v>0.3</v>
      </c>
      <c r="E142" s="232">
        <f t="shared" si="4"/>
        <v>151.19999999999999</v>
      </c>
      <c r="F142" s="232">
        <f>146.99+4.21</f>
        <v>151.20000000000002</v>
      </c>
      <c r="G142" s="232">
        <f t="shared" si="5"/>
        <v>0</v>
      </c>
      <c r="H142" s="153">
        <v>10592143</v>
      </c>
      <c r="I142" s="233" t="s">
        <v>70</v>
      </c>
      <c r="J142" s="153" t="s">
        <v>71</v>
      </c>
      <c r="K142" s="153" t="s">
        <v>72</v>
      </c>
      <c r="L142" s="153"/>
      <c r="M142" s="639" t="s">
        <v>701</v>
      </c>
      <c r="N142" s="325" t="s">
        <v>709</v>
      </c>
    </row>
    <row r="143" spans="1:15" s="17" customFormat="1" ht="21.75" customHeight="1" x14ac:dyDescent="0.25">
      <c r="A143" s="235">
        <v>1756</v>
      </c>
      <c r="B143" s="296" t="s">
        <v>412</v>
      </c>
      <c r="C143" s="295">
        <v>157.5</v>
      </c>
      <c r="D143" s="149">
        <v>0.3</v>
      </c>
      <c r="E143" s="186">
        <f t="shared" si="4"/>
        <v>47.25</v>
      </c>
      <c r="F143" s="186"/>
      <c r="G143" s="186">
        <f t="shared" si="5"/>
        <v>47.25</v>
      </c>
      <c r="H143" s="136">
        <v>381412</v>
      </c>
      <c r="I143" s="311" t="s">
        <v>413</v>
      </c>
      <c r="J143" s="136" t="s">
        <v>31</v>
      </c>
      <c r="K143" s="136" t="s">
        <v>32</v>
      </c>
      <c r="L143" s="136">
        <v>99293035</v>
      </c>
      <c r="M143" s="321"/>
    </row>
    <row r="144" spans="1:15" s="325" customFormat="1" ht="21.75" customHeight="1" x14ac:dyDescent="0.25">
      <c r="A144" s="230">
        <v>1758</v>
      </c>
      <c r="B144" s="152" t="s">
        <v>74</v>
      </c>
      <c r="C144" s="231">
        <v>486</v>
      </c>
      <c r="D144" s="232">
        <v>0.3</v>
      </c>
      <c r="E144" s="232">
        <f t="shared" si="4"/>
        <v>145.79999999999998</v>
      </c>
      <c r="F144" s="232">
        <f>4.27000000000001+138.6+2.93</f>
        <v>145.80000000000001</v>
      </c>
      <c r="G144" s="232">
        <f t="shared" si="5"/>
        <v>0</v>
      </c>
      <c r="H144" s="153">
        <v>2443662</v>
      </c>
      <c r="I144" s="233" t="s">
        <v>75</v>
      </c>
      <c r="J144" s="153" t="s">
        <v>31</v>
      </c>
      <c r="K144" s="153" t="s">
        <v>32</v>
      </c>
      <c r="L144" s="153">
        <v>99608818</v>
      </c>
      <c r="M144" s="598" t="s">
        <v>676</v>
      </c>
      <c r="N144" s="590">
        <v>45758</v>
      </c>
      <c r="O144" s="325" t="s">
        <v>703</v>
      </c>
    </row>
    <row r="145" spans="1:15" s="17" customFormat="1" ht="21.75" customHeight="1" x14ac:dyDescent="0.25">
      <c r="A145" s="235">
        <v>1759</v>
      </c>
      <c r="B145" s="296" t="s">
        <v>415</v>
      </c>
      <c r="C145" s="295">
        <v>249.6</v>
      </c>
      <c r="D145" s="149">
        <v>0.3</v>
      </c>
      <c r="E145" s="186">
        <f t="shared" si="4"/>
        <v>74.88</v>
      </c>
      <c r="F145" s="186"/>
      <c r="G145" s="186">
        <f t="shared" si="5"/>
        <v>74.88</v>
      </c>
      <c r="H145" s="136">
        <v>5029866</v>
      </c>
      <c r="I145" s="311" t="s">
        <v>416</v>
      </c>
      <c r="J145" s="136" t="s">
        <v>31</v>
      </c>
      <c r="K145" s="136" t="s">
        <v>32</v>
      </c>
      <c r="L145" s="136"/>
      <c r="M145" s="321"/>
    </row>
    <row r="146" spans="1:15" s="325" customFormat="1" ht="21.75" customHeight="1" x14ac:dyDescent="0.25">
      <c r="A146" s="230">
        <v>1760</v>
      </c>
      <c r="B146" s="152" t="s">
        <v>418</v>
      </c>
      <c r="C146" s="231">
        <v>245</v>
      </c>
      <c r="D146" s="232">
        <v>0.3</v>
      </c>
      <c r="E146" s="232">
        <f t="shared" si="4"/>
        <v>73.5</v>
      </c>
      <c r="F146" s="232">
        <f>2.14000000000001+71.36</f>
        <v>73.500000000000014</v>
      </c>
      <c r="G146" s="232">
        <f t="shared" si="5"/>
        <v>0</v>
      </c>
      <c r="H146" s="153">
        <v>3847339</v>
      </c>
      <c r="I146" s="233" t="s">
        <v>419</v>
      </c>
      <c r="J146" s="153" t="s">
        <v>31</v>
      </c>
      <c r="K146" s="153" t="s">
        <v>32</v>
      </c>
      <c r="L146" s="153"/>
      <c r="M146" s="598" t="s">
        <v>676</v>
      </c>
      <c r="N146" s="325" t="s">
        <v>703</v>
      </c>
    </row>
    <row r="147" spans="1:15" s="17" customFormat="1" ht="21.75" customHeight="1" x14ac:dyDescent="0.25">
      <c r="A147" s="235">
        <v>1763</v>
      </c>
      <c r="B147" s="296" t="s">
        <v>420</v>
      </c>
      <c r="C147" s="295">
        <v>226.1</v>
      </c>
      <c r="D147" s="149">
        <v>0.3</v>
      </c>
      <c r="E147" s="186">
        <f t="shared" si="4"/>
        <v>67.83</v>
      </c>
      <c r="F147" s="186"/>
      <c r="G147" s="186">
        <f t="shared" si="5"/>
        <v>67.83</v>
      </c>
      <c r="H147" s="136">
        <v>5384098</v>
      </c>
      <c r="I147" s="311" t="s">
        <v>421</v>
      </c>
      <c r="J147" s="136" t="s">
        <v>31</v>
      </c>
      <c r="K147" s="136" t="s">
        <v>32</v>
      </c>
      <c r="L147" s="136">
        <v>99199287</v>
      </c>
      <c r="M147" s="321"/>
    </row>
    <row r="148" spans="1:15" s="325" customFormat="1" ht="21.75" customHeight="1" x14ac:dyDescent="0.25">
      <c r="A148" s="230">
        <v>1764</v>
      </c>
      <c r="B148" s="152" t="s">
        <v>422</v>
      </c>
      <c r="C148" s="231">
        <v>346.4</v>
      </c>
      <c r="D148" s="232">
        <v>0.3</v>
      </c>
      <c r="E148" s="232">
        <f t="shared" si="4"/>
        <v>103.91999999999999</v>
      </c>
      <c r="F148" s="232">
        <f>99.98</f>
        <v>99.98</v>
      </c>
      <c r="G148" s="232">
        <f t="shared" si="5"/>
        <v>3.9399999999999835</v>
      </c>
      <c r="H148" s="153">
        <v>6923798</v>
      </c>
      <c r="I148" s="242">
        <v>1023524004017</v>
      </c>
      <c r="J148" s="153" t="s">
        <v>26</v>
      </c>
      <c r="K148" s="153" t="s">
        <v>27</v>
      </c>
      <c r="L148" s="153">
        <v>93955557</v>
      </c>
      <c r="M148" s="589">
        <v>45788</v>
      </c>
    </row>
    <row r="149" spans="1:15" s="325" customFormat="1" ht="21.75" customHeight="1" x14ac:dyDescent="0.25">
      <c r="A149" s="230">
        <v>1766</v>
      </c>
      <c r="B149" s="152" t="s">
        <v>423</v>
      </c>
      <c r="C149" s="231">
        <v>486</v>
      </c>
      <c r="D149" s="232">
        <v>0.3</v>
      </c>
      <c r="E149" s="232">
        <f t="shared" si="4"/>
        <v>145.79999999999998</v>
      </c>
      <c r="F149" s="232">
        <f>2.65000000000001+142.5+0.65</f>
        <v>145.80000000000001</v>
      </c>
      <c r="G149" s="232">
        <f t="shared" si="5"/>
        <v>0</v>
      </c>
      <c r="H149" s="153">
        <v>19548574</v>
      </c>
      <c r="I149" s="233" t="s">
        <v>424</v>
      </c>
      <c r="J149" s="153" t="s">
        <v>31</v>
      </c>
      <c r="K149" s="153" t="s">
        <v>32</v>
      </c>
      <c r="L149" s="153">
        <v>92924743</v>
      </c>
      <c r="M149" s="598" t="s">
        <v>676</v>
      </c>
      <c r="N149" s="589">
        <v>45972</v>
      </c>
      <c r="O149" s="325" t="s">
        <v>706</v>
      </c>
    </row>
    <row r="150" spans="1:15" s="325" customFormat="1" ht="21.75" customHeight="1" x14ac:dyDescent="0.25">
      <c r="A150" s="230">
        <v>1768</v>
      </c>
      <c r="B150" s="152" t="s">
        <v>172</v>
      </c>
      <c r="C150" s="231">
        <v>268.7</v>
      </c>
      <c r="D150" s="232">
        <v>0.3</v>
      </c>
      <c r="E150" s="232">
        <f t="shared" si="4"/>
        <v>80.61</v>
      </c>
      <c r="F150" s="232">
        <f>77.87+2.74</f>
        <v>80.61</v>
      </c>
      <c r="G150" s="232">
        <f t="shared" si="5"/>
        <v>0</v>
      </c>
      <c r="H150" s="153">
        <v>13899464</v>
      </c>
      <c r="I150" s="327" t="s">
        <v>173</v>
      </c>
      <c r="J150" s="153" t="s">
        <v>31</v>
      </c>
      <c r="K150" s="153" t="s">
        <v>32</v>
      </c>
      <c r="L150" s="153">
        <v>99166449</v>
      </c>
      <c r="M150" s="598" t="s">
        <v>687</v>
      </c>
      <c r="N150" s="325" t="s">
        <v>703</v>
      </c>
    </row>
    <row r="151" spans="1:15" s="17" customFormat="1" ht="21.75" customHeight="1" x14ac:dyDescent="0.25">
      <c r="A151" s="235">
        <v>1769</v>
      </c>
      <c r="B151" s="296" t="s">
        <v>425</v>
      </c>
      <c r="C151" s="295">
        <v>252.3</v>
      </c>
      <c r="D151" s="149">
        <v>0.3</v>
      </c>
      <c r="E151" s="186">
        <f t="shared" si="4"/>
        <v>75.69</v>
      </c>
      <c r="F151" s="186"/>
      <c r="G151" s="186">
        <f t="shared" si="5"/>
        <v>75.69</v>
      </c>
      <c r="H151" s="136">
        <v>19322478</v>
      </c>
      <c r="I151" s="311" t="s">
        <v>426</v>
      </c>
      <c r="J151" s="136" t="s">
        <v>31</v>
      </c>
      <c r="K151" s="136" t="s">
        <v>32</v>
      </c>
      <c r="L151" s="136">
        <v>99180404</v>
      </c>
      <c r="M151" s="321"/>
    </row>
    <row r="152" spans="1:15" s="17" customFormat="1" ht="21.75" customHeight="1" x14ac:dyDescent="0.25">
      <c r="A152" s="235">
        <v>1770</v>
      </c>
      <c r="B152" s="296" t="s">
        <v>427</v>
      </c>
      <c r="C152" s="295">
        <v>240.8</v>
      </c>
      <c r="D152" s="149">
        <v>0.3</v>
      </c>
      <c r="E152" s="186">
        <f t="shared" si="4"/>
        <v>72.239999999999995</v>
      </c>
      <c r="F152" s="186"/>
      <c r="G152" s="186">
        <f t="shared" si="5"/>
        <v>72.239999999999995</v>
      </c>
      <c r="H152" s="136">
        <v>24534799</v>
      </c>
      <c r="I152" s="311" t="s">
        <v>428</v>
      </c>
      <c r="J152" s="136" t="s">
        <v>26</v>
      </c>
      <c r="K152" s="136" t="s">
        <v>27</v>
      </c>
      <c r="L152" s="136"/>
      <c r="M152" s="321"/>
    </row>
    <row r="153" spans="1:15" s="17" customFormat="1" ht="21.75" customHeight="1" x14ac:dyDescent="0.25">
      <c r="A153" s="235">
        <v>1771</v>
      </c>
      <c r="B153" s="296" t="s">
        <v>174</v>
      </c>
      <c r="C153" s="295">
        <v>266.8</v>
      </c>
      <c r="D153" s="149">
        <v>0.3</v>
      </c>
      <c r="E153" s="186">
        <f t="shared" si="4"/>
        <v>80.040000000000006</v>
      </c>
      <c r="F153" s="186"/>
      <c r="G153" s="186">
        <f t="shared" si="5"/>
        <v>80.040000000000006</v>
      </c>
      <c r="H153" s="136">
        <v>5044401</v>
      </c>
      <c r="I153" s="311" t="s">
        <v>132</v>
      </c>
      <c r="J153" s="136" t="s">
        <v>31</v>
      </c>
      <c r="K153" s="136" t="s">
        <v>32</v>
      </c>
      <c r="L153" s="136">
        <v>93556616</v>
      </c>
      <c r="M153" s="321"/>
    </row>
    <row r="154" spans="1:15" s="325" customFormat="1" ht="21.75" customHeight="1" x14ac:dyDescent="0.25">
      <c r="A154" s="230">
        <v>1772</v>
      </c>
      <c r="B154" s="152" t="s">
        <v>429</v>
      </c>
      <c r="C154" s="231">
        <v>548.20000000000005</v>
      </c>
      <c r="D154" s="232">
        <v>0.3</v>
      </c>
      <c r="E154" s="232">
        <f t="shared" si="4"/>
        <v>164.46</v>
      </c>
      <c r="F154" s="232">
        <f>156.2+8.26</f>
        <v>164.45999999999998</v>
      </c>
      <c r="G154" s="232">
        <f t="shared" si="5"/>
        <v>0</v>
      </c>
      <c r="H154" s="153">
        <v>5217694</v>
      </c>
      <c r="I154" s="233" t="s">
        <v>430</v>
      </c>
      <c r="J154" s="153" t="s">
        <v>52</v>
      </c>
      <c r="K154" s="153" t="s">
        <v>53</v>
      </c>
      <c r="L154" s="153"/>
      <c r="M154" s="598" t="s">
        <v>700</v>
      </c>
      <c r="N154" s="325" t="s">
        <v>703</v>
      </c>
    </row>
    <row r="155" spans="1:15" s="17" customFormat="1" ht="21.75" customHeight="1" x14ac:dyDescent="0.25">
      <c r="A155" s="235">
        <v>1773</v>
      </c>
      <c r="B155" s="296" t="s">
        <v>432</v>
      </c>
      <c r="C155" s="295">
        <v>113.7</v>
      </c>
      <c r="D155" s="149">
        <v>0.3</v>
      </c>
      <c r="E155" s="186">
        <f>C155*D155</f>
        <v>34.11</v>
      </c>
      <c r="F155" s="186"/>
      <c r="G155" s="186">
        <f t="shared" si="5"/>
        <v>34.11</v>
      </c>
      <c r="H155" s="136">
        <v>20562603</v>
      </c>
      <c r="I155" s="311" t="s">
        <v>433</v>
      </c>
      <c r="J155" s="136" t="s">
        <v>52</v>
      </c>
      <c r="K155" s="136" t="s">
        <v>53</v>
      </c>
      <c r="L155" s="136">
        <v>92755626</v>
      </c>
      <c r="M155" s="321"/>
    </row>
    <row r="156" spans="1:15" s="325" customFormat="1" ht="21.75" customHeight="1" x14ac:dyDescent="0.25">
      <c r="A156" s="230">
        <v>1774</v>
      </c>
      <c r="B156" s="152" t="s">
        <v>175</v>
      </c>
      <c r="C156" s="231">
        <v>270</v>
      </c>
      <c r="D156" s="232">
        <v>0.3</v>
      </c>
      <c r="E156" s="232">
        <f t="shared" si="4"/>
        <v>81</v>
      </c>
      <c r="F156" s="232">
        <f>78.31+2.69</f>
        <v>81</v>
      </c>
      <c r="G156" s="232">
        <f t="shared" si="5"/>
        <v>0</v>
      </c>
      <c r="H156" s="153">
        <v>20865047</v>
      </c>
      <c r="I156" s="233" t="s">
        <v>176</v>
      </c>
      <c r="J156" s="153" t="s">
        <v>31</v>
      </c>
      <c r="K156" s="153" t="s">
        <v>32</v>
      </c>
      <c r="L156" s="153">
        <v>98825083</v>
      </c>
      <c r="M156" s="589">
        <v>45972</v>
      </c>
      <c r="N156" s="325" t="s">
        <v>708</v>
      </c>
    </row>
    <row r="157" spans="1:15" s="325" customFormat="1" ht="21.75" customHeight="1" x14ac:dyDescent="0.25">
      <c r="A157" s="230">
        <v>1775</v>
      </c>
      <c r="B157" s="152" t="s">
        <v>434</v>
      </c>
      <c r="C157" s="231">
        <v>426.5</v>
      </c>
      <c r="D157" s="232">
        <v>0.3</v>
      </c>
      <c r="E157" s="232">
        <f t="shared" si="4"/>
        <v>127.94999999999999</v>
      </c>
      <c r="F157" s="232">
        <v>124.66999999999999</v>
      </c>
      <c r="G157" s="232">
        <f t="shared" si="5"/>
        <v>3.2800000000000011</v>
      </c>
      <c r="H157" s="153">
        <v>18659223</v>
      </c>
      <c r="I157" s="594" t="s">
        <v>435</v>
      </c>
      <c r="J157" s="153" t="s">
        <v>31</v>
      </c>
      <c r="K157" s="153" t="s">
        <v>32</v>
      </c>
      <c r="L157" s="153">
        <v>93980028</v>
      </c>
      <c r="M157" s="598" t="s">
        <v>684</v>
      </c>
    </row>
    <row r="158" spans="1:15" s="17" customFormat="1" ht="21.75" customHeight="1" x14ac:dyDescent="0.25">
      <c r="A158" s="235">
        <v>1776</v>
      </c>
      <c r="B158" s="296" t="s">
        <v>436</v>
      </c>
      <c r="C158" s="295">
        <v>231.6</v>
      </c>
      <c r="D158" s="149">
        <v>0.3</v>
      </c>
      <c r="E158" s="186">
        <f t="shared" si="4"/>
        <v>69.47999999999999</v>
      </c>
      <c r="F158" s="186"/>
      <c r="G158" s="186">
        <f t="shared" si="5"/>
        <v>69.47999999999999</v>
      </c>
      <c r="H158" s="136">
        <v>30837376</v>
      </c>
      <c r="I158" s="316" t="s">
        <v>437</v>
      </c>
      <c r="J158" s="136" t="s">
        <v>31</v>
      </c>
      <c r="K158" s="136" t="s">
        <v>32</v>
      </c>
      <c r="L158" s="136">
        <v>92445594</v>
      </c>
      <c r="M158" s="321"/>
    </row>
    <row r="159" spans="1:15" s="17" customFormat="1" ht="21.75" customHeight="1" x14ac:dyDescent="0.25">
      <c r="A159" s="235">
        <v>1777</v>
      </c>
      <c r="B159" s="296" t="s">
        <v>438</v>
      </c>
      <c r="C159" s="295">
        <v>540</v>
      </c>
      <c r="D159" s="149">
        <v>0.3</v>
      </c>
      <c r="E159" s="186">
        <f t="shared" si="4"/>
        <v>162</v>
      </c>
      <c r="F159" s="186"/>
      <c r="G159" s="186">
        <f t="shared" si="5"/>
        <v>162</v>
      </c>
      <c r="H159" s="136">
        <v>15107764</v>
      </c>
      <c r="I159" s="316" t="s">
        <v>439</v>
      </c>
      <c r="J159" s="136" t="s">
        <v>121</v>
      </c>
      <c r="K159" s="136" t="s">
        <v>122</v>
      </c>
      <c r="L159" s="136"/>
      <c r="M159" s="321"/>
    </row>
    <row r="160" spans="1:15" s="325" customFormat="1" ht="21.75" customHeight="1" x14ac:dyDescent="0.25">
      <c r="A160" s="230">
        <v>1778</v>
      </c>
      <c r="B160" s="152" t="s">
        <v>440</v>
      </c>
      <c r="C160" s="231">
        <v>270</v>
      </c>
      <c r="D160" s="232">
        <v>0.3</v>
      </c>
      <c r="E160" s="232">
        <f t="shared" si="4"/>
        <v>81</v>
      </c>
      <c r="F160" s="232">
        <f>77.04+3.96</f>
        <v>81</v>
      </c>
      <c r="G160" s="232">
        <f t="shared" si="5"/>
        <v>0</v>
      </c>
      <c r="H160" s="153">
        <v>24984002</v>
      </c>
      <c r="I160" s="233" t="s">
        <v>441</v>
      </c>
      <c r="J160" s="153" t="s">
        <v>31</v>
      </c>
      <c r="K160" s="153" t="s">
        <v>32</v>
      </c>
      <c r="L160" s="153">
        <v>99033018</v>
      </c>
      <c r="M160" s="589">
        <v>45788</v>
      </c>
      <c r="N160" s="325" t="s">
        <v>703</v>
      </c>
    </row>
    <row r="161" spans="1:15" s="325" customFormat="1" ht="21.75" customHeight="1" x14ac:dyDescent="0.25">
      <c r="A161" s="230">
        <v>1780</v>
      </c>
      <c r="B161" s="152" t="s">
        <v>442</v>
      </c>
      <c r="C161" s="231">
        <v>640.29999999999995</v>
      </c>
      <c r="D161" s="232">
        <v>0.3</v>
      </c>
      <c r="E161" s="232">
        <f t="shared" si="4"/>
        <v>192.08999999999997</v>
      </c>
      <c r="F161" s="232">
        <f>E161</f>
        <v>192.08999999999997</v>
      </c>
      <c r="G161" s="232">
        <f t="shared" si="5"/>
        <v>0</v>
      </c>
      <c r="H161" s="153">
        <v>6228066</v>
      </c>
      <c r="I161" s="233" t="s">
        <v>443</v>
      </c>
      <c r="J161" s="153" t="s">
        <v>31</v>
      </c>
      <c r="K161" s="153" t="s">
        <v>32</v>
      </c>
      <c r="L161" s="153">
        <v>91709355</v>
      </c>
      <c r="M161" s="589" t="s">
        <v>15</v>
      </c>
    </row>
    <row r="162" spans="1:15" s="17" customFormat="1" ht="21.75" customHeight="1" x14ac:dyDescent="0.25">
      <c r="A162" s="235">
        <v>1781</v>
      </c>
      <c r="B162" s="296" t="s">
        <v>444</v>
      </c>
      <c r="C162" s="295">
        <v>252</v>
      </c>
      <c r="D162" s="149">
        <v>0.3</v>
      </c>
      <c r="E162" s="186">
        <f t="shared" si="4"/>
        <v>75.599999999999994</v>
      </c>
      <c r="F162" s="186"/>
      <c r="G162" s="186">
        <f t="shared" si="5"/>
        <v>75.599999999999994</v>
      </c>
      <c r="H162" s="136">
        <v>7287174</v>
      </c>
      <c r="I162" s="311" t="s">
        <v>445</v>
      </c>
      <c r="J162" s="136" t="s">
        <v>52</v>
      </c>
      <c r="K162" s="136" t="s">
        <v>53</v>
      </c>
      <c r="L162" s="136">
        <v>99673747</v>
      </c>
      <c r="M162" s="321"/>
    </row>
    <row r="163" spans="1:15" s="17" customFormat="1" ht="21.75" customHeight="1" x14ac:dyDescent="0.25">
      <c r="A163" s="230">
        <v>1782</v>
      </c>
      <c r="B163" s="152" t="s">
        <v>446</v>
      </c>
      <c r="C163" s="231">
        <v>209.2</v>
      </c>
      <c r="D163" s="232">
        <v>0.3</v>
      </c>
      <c r="E163" s="232">
        <f t="shared" si="4"/>
        <v>62.759999999999991</v>
      </c>
      <c r="F163" s="232">
        <f>60.09+2.67</f>
        <v>62.760000000000005</v>
      </c>
      <c r="G163" s="232">
        <f t="shared" si="5"/>
        <v>0</v>
      </c>
      <c r="H163" s="153">
        <v>19818711</v>
      </c>
      <c r="I163" s="233" t="s">
        <v>447</v>
      </c>
      <c r="J163" s="153" t="s">
        <v>31</v>
      </c>
      <c r="K163" s="153" t="s">
        <v>32</v>
      </c>
      <c r="L163" s="153">
        <v>92204006</v>
      </c>
      <c r="M163" s="598">
        <v>45669</v>
      </c>
      <c r="N163" s="325" t="s">
        <v>703</v>
      </c>
    </row>
    <row r="164" spans="1:15" s="325" customFormat="1" ht="21.75" customHeight="1" x14ac:dyDescent="0.25">
      <c r="A164" s="230">
        <v>1783</v>
      </c>
      <c r="B164" s="152" t="s">
        <v>177</v>
      </c>
      <c r="C164" s="231">
        <v>221</v>
      </c>
      <c r="D164" s="232">
        <v>0.3</v>
      </c>
      <c r="E164" s="232">
        <f t="shared" si="4"/>
        <v>66.3</v>
      </c>
      <c r="F164" s="232">
        <f>E164</f>
        <v>66.3</v>
      </c>
      <c r="G164" s="232">
        <f t="shared" si="5"/>
        <v>0</v>
      </c>
      <c r="H164" s="153">
        <v>1500187</v>
      </c>
      <c r="I164" s="233" t="s">
        <v>178</v>
      </c>
      <c r="J164" s="153" t="s">
        <v>31</v>
      </c>
      <c r="K164" s="153" t="s">
        <v>32</v>
      </c>
      <c r="L164" s="153">
        <v>91159122</v>
      </c>
      <c r="M164" s="325" t="s">
        <v>703</v>
      </c>
    </row>
    <row r="165" spans="1:15" s="325" customFormat="1" ht="21.75" customHeight="1" x14ac:dyDescent="0.25">
      <c r="A165" s="230">
        <v>1784</v>
      </c>
      <c r="B165" s="152" t="s">
        <v>448</v>
      </c>
      <c r="C165" s="231">
        <v>360</v>
      </c>
      <c r="D165" s="232">
        <v>0.3</v>
      </c>
      <c r="E165" s="232">
        <f t="shared" si="4"/>
        <v>108</v>
      </c>
      <c r="F165" s="232">
        <f>107.43+0.57</f>
        <v>108</v>
      </c>
      <c r="G165" s="232">
        <f t="shared" si="5"/>
        <v>0</v>
      </c>
      <c r="H165" s="153">
        <v>19534652</v>
      </c>
      <c r="I165" s="242" t="s">
        <v>449</v>
      </c>
      <c r="J165" s="153" t="s">
        <v>52</v>
      </c>
      <c r="K165" s="153" t="s">
        <v>53</v>
      </c>
      <c r="L165" s="153">
        <v>99296177</v>
      </c>
      <c r="M165" s="598" t="s">
        <v>700</v>
      </c>
      <c r="N165" s="325" t="s">
        <v>708</v>
      </c>
    </row>
    <row r="166" spans="1:15" s="17" customFormat="1" ht="21.75" customHeight="1" x14ac:dyDescent="0.25">
      <c r="A166" s="235">
        <v>1785</v>
      </c>
      <c r="B166" s="296" t="s">
        <v>179</v>
      </c>
      <c r="C166" s="295">
        <v>266</v>
      </c>
      <c r="D166" s="149">
        <v>0.3</v>
      </c>
      <c r="E166" s="186">
        <f t="shared" si="4"/>
        <v>79.8</v>
      </c>
      <c r="F166" s="186"/>
      <c r="G166" s="186">
        <f t="shared" si="5"/>
        <v>79.8</v>
      </c>
      <c r="H166" s="136">
        <v>7374743</v>
      </c>
      <c r="I166" s="311" t="s">
        <v>180</v>
      </c>
      <c r="J166" s="136" t="s">
        <v>31</v>
      </c>
      <c r="K166" s="136" t="s">
        <v>32</v>
      </c>
      <c r="L166" s="136">
        <v>93875087</v>
      </c>
      <c r="M166" s="321"/>
    </row>
    <row r="167" spans="1:15" s="325" customFormat="1" ht="21.75" customHeight="1" x14ac:dyDescent="0.25">
      <c r="A167" s="230">
        <v>1786</v>
      </c>
      <c r="B167" s="152" t="s">
        <v>181</v>
      </c>
      <c r="C167" s="231">
        <v>232.5</v>
      </c>
      <c r="D167" s="232">
        <v>0.3</v>
      </c>
      <c r="E167" s="232">
        <f t="shared" si="4"/>
        <v>69.75</v>
      </c>
      <c r="F167" s="232">
        <f>66.69+3.06</f>
        <v>69.75</v>
      </c>
      <c r="G167" s="232">
        <f t="shared" si="5"/>
        <v>0</v>
      </c>
      <c r="H167" s="153">
        <v>5614637</v>
      </c>
      <c r="I167" s="233" t="s">
        <v>182</v>
      </c>
      <c r="J167" s="153" t="s">
        <v>31</v>
      </c>
      <c r="K167" s="153" t="s">
        <v>32</v>
      </c>
      <c r="L167" s="153">
        <v>92924645</v>
      </c>
      <c r="M167" s="598">
        <v>45758</v>
      </c>
      <c r="N167" s="589">
        <v>45788</v>
      </c>
    </row>
    <row r="168" spans="1:15" s="17" customFormat="1" ht="21.75" customHeight="1" x14ac:dyDescent="0.25">
      <c r="A168" s="235">
        <v>1787</v>
      </c>
      <c r="B168" s="296" t="s">
        <v>77</v>
      </c>
      <c r="C168" s="295">
        <v>268.5</v>
      </c>
      <c r="D168" s="149">
        <v>0.3</v>
      </c>
      <c r="E168" s="186">
        <f t="shared" si="4"/>
        <v>80.55</v>
      </c>
      <c r="F168" s="186"/>
      <c r="G168" s="186">
        <f t="shared" si="5"/>
        <v>80.55</v>
      </c>
      <c r="H168" s="136">
        <v>22980157</v>
      </c>
      <c r="I168" s="311" t="s">
        <v>78</v>
      </c>
      <c r="J168" s="136" t="s">
        <v>31</v>
      </c>
      <c r="K168" s="136" t="s">
        <v>32</v>
      </c>
      <c r="L168" s="136">
        <v>91490491</v>
      </c>
      <c r="M168" s="321"/>
    </row>
    <row r="169" spans="1:15" s="17" customFormat="1" ht="21.75" customHeight="1" x14ac:dyDescent="0.25">
      <c r="A169" s="235">
        <v>1788</v>
      </c>
      <c r="B169" s="296" t="s">
        <v>450</v>
      </c>
      <c r="C169" s="295">
        <v>262.7</v>
      </c>
      <c r="D169" s="149">
        <v>0.3</v>
      </c>
      <c r="E169" s="186">
        <f t="shared" si="4"/>
        <v>78.809999999999988</v>
      </c>
      <c r="F169" s="186"/>
      <c r="G169" s="186">
        <f t="shared" si="5"/>
        <v>78.809999999999988</v>
      </c>
      <c r="H169" s="136">
        <v>25632707</v>
      </c>
      <c r="I169" s="311" t="s">
        <v>451</v>
      </c>
      <c r="J169" s="136" t="s">
        <v>31</v>
      </c>
      <c r="K169" s="136" t="s">
        <v>32</v>
      </c>
      <c r="L169" s="136"/>
      <c r="M169" s="321"/>
    </row>
    <row r="170" spans="1:15" s="325" customFormat="1" ht="21.75" customHeight="1" x14ac:dyDescent="0.25">
      <c r="A170" s="230">
        <v>1789</v>
      </c>
      <c r="B170" s="152" t="s">
        <v>452</v>
      </c>
      <c r="C170" s="231">
        <v>283</v>
      </c>
      <c r="D170" s="232">
        <v>0.3</v>
      </c>
      <c r="E170" s="232">
        <f t="shared" si="4"/>
        <v>84.899999999999991</v>
      </c>
      <c r="F170" s="231">
        <f>83.89+1.01</f>
        <v>84.9</v>
      </c>
      <c r="G170" s="232">
        <f t="shared" si="5"/>
        <v>0</v>
      </c>
      <c r="H170" s="153">
        <v>6687053</v>
      </c>
      <c r="I170" s="233" t="s">
        <v>453</v>
      </c>
      <c r="J170" s="153" t="s">
        <v>31</v>
      </c>
      <c r="K170" s="153" t="s">
        <v>32</v>
      </c>
      <c r="L170" s="153"/>
      <c r="M170" s="589">
        <v>45788</v>
      </c>
      <c r="N170" s="325" t="s">
        <v>703</v>
      </c>
    </row>
    <row r="171" spans="1:15" s="17" customFormat="1" ht="21.75" customHeight="1" x14ac:dyDescent="0.25">
      <c r="A171" s="235">
        <v>1790</v>
      </c>
      <c r="B171" s="296" t="s">
        <v>454</v>
      </c>
      <c r="C171" s="295">
        <v>196.4</v>
      </c>
      <c r="D171" s="149">
        <v>0.3</v>
      </c>
      <c r="E171" s="186">
        <f t="shared" si="4"/>
        <v>58.92</v>
      </c>
      <c r="F171" s="186"/>
      <c r="G171" s="186">
        <f t="shared" si="5"/>
        <v>58.92</v>
      </c>
      <c r="H171" s="136">
        <v>22971771</v>
      </c>
      <c r="I171" s="311" t="s">
        <v>455</v>
      </c>
      <c r="J171" s="136" t="s">
        <v>31</v>
      </c>
      <c r="K171" s="136" t="s">
        <v>32</v>
      </c>
      <c r="L171" s="136">
        <v>90976223</v>
      </c>
      <c r="M171" s="321"/>
    </row>
    <row r="172" spans="1:15" s="325" customFormat="1" ht="21.75" customHeight="1" x14ac:dyDescent="0.25">
      <c r="A172" s="230">
        <v>1791</v>
      </c>
      <c r="B172" s="152" t="s">
        <v>80</v>
      </c>
      <c r="C172" s="231">
        <v>206.4</v>
      </c>
      <c r="D172" s="232">
        <v>0.3</v>
      </c>
      <c r="E172" s="232">
        <f t="shared" si="4"/>
        <v>61.92</v>
      </c>
      <c r="F172" s="232">
        <f>1.88999999999999+59.4+0.63</f>
        <v>61.919999999999995</v>
      </c>
      <c r="G172" s="232">
        <f t="shared" si="5"/>
        <v>0</v>
      </c>
      <c r="H172" s="153">
        <v>5335073</v>
      </c>
      <c r="I172" s="233" t="s">
        <v>81</v>
      </c>
      <c r="J172" s="153" t="s">
        <v>31</v>
      </c>
      <c r="K172" s="153" t="s">
        <v>32</v>
      </c>
      <c r="L172" s="153">
        <v>99806280</v>
      </c>
      <c r="M172" s="598" t="s">
        <v>676</v>
      </c>
      <c r="N172" s="589">
        <v>46002</v>
      </c>
      <c r="O172" s="325" t="s">
        <v>703</v>
      </c>
    </row>
    <row r="173" spans="1:15" s="325" customFormat="1" ht="21.75" customHeight="1" x14ac:dyDescent="0.25">
      <c r="A173" s="230">
        <v>1793</v>
      </c>
      <c r="B173" s="152" t="s">
        <v>456</v>
      </c>
      <c r="C173" s="231">
        <v>396.3</v>
      </c>
      <c r="D173" s="232">
        <v>0.3</v>
      </c>
      <c r="E173" s="232">
        <f t="shared" si="4"/>
        <v>118.89</v>
      </c>
      <c r="F173" s="232">
        <f>116.43+2.46</f>
        <v>118.89</v>
      </c>
      <c r="G173" s="232">
        <f t="shared" si="5"/>
        <v>0</v>
      </c>
      <c r="H173" s="153">
        <v>1629686</v>
      </c>
      <c r="I173" s="233" t="s">
        <v>457</v>
      </c>
      <c r="J173" s="153" t="s">
        <v>31</v>
      </c>
      <c r="K173" s="153" t="s">
        <v>32</v>
      </c>
      <c r="L173" s="153"/>
      <c r="M173" s="598">
        <v>45758</v>
      </c>
      <c r="N173" s="325" t="s">
        <v>703</v>
      </c>
    </row>
    <row r="174" spans="1:15" s="325" customFormat="1" ht="21.75" customHeight="1" x14ac:dyDescent="0.25">
      <c r="A174" s="230">
        <v>1794</v>
      </c>
      <c r="B174" s="152" t="s">
        <v>82</v>
      </c>
      <c r="C174" s="231">
        <v>288</v>
      </c>
      <c r="D174" s="232">
        <v>0.3</v>
      </c>
      <c r="E174" s="232">
        <f t="shared" si="4"/>
        <v>86.399999999999991</v>
      </c>
      <c r="F174" s="232">
        <f>81.94+4.46</f>
        <v>86.399999999999991</v>
      </c>
      <c r="G174" s="232">
        <f t="shared" si="5"/>
        <v>0</v>
      </c>
      <c r="H174" s="153">
        <v>6122928</v>
      </c>
      <c r="I174" s="233" t="s">
        <v>83</v>
      </c>
      <c r="J174" s="153" t="s">
        <v>31</v>
      </c>
      <c r="K174" s="153" t="s">
        <v>32</v>
      </c>
      <c r="L174" s="153"/>
      <c r="M174" s="589">
        <v>45788</v>
      </c>
      <c r="N174" s="325" t="s">
        <v>706</v>
      </c>
    </row>
    <row r="175" spans="1:15" s="325" customFormat="1" ht="21.75" customHeight="1" x14ac:dyDescent="0.25">
      <c r="A175" s="230">
        <v>1795</v>
      </c>
      <c r="B175" s="152" t="s">
        <v>458</v>
      </c>
      <c r="C175" s="231">
        <v>359.1</v>
      </c>
      <c r="D175" s="232">
        <v>0.3</v>
      </c>
      <c r="E175" s="232">
        <f t="shared" si="4"/>
        <v>107.73</v>
      </c>
      <c r="F175" s="232">
        <v>104.60999999999999</v>
      </c>
      <c r="G175" s="232">
        <f t="shared" si="5"/>
        <v>3.1200000000000188</v>
      </c>
      <c r="H175" s="153">
        <v>6496299</v>
      </c>
      <c r="I175" s="233" t="s">
        <v>459</v>
      </c>
      <c r="J175" s="153" t="s">
        <v>121</v>
      </c>
      <c r="K175" s="153" t="s">
        <v>122</v>
      </c>
      <c r="L175" s="153"/>
      <c r="M175" s="598" t="s">
        <v>687</v>
      </c>
    </row>
    <row r="176" spans="1:15" s="325" customFormat="1" ht="21.75" customHeight="1" x14ac:dyDescent="0.25">
      <c r="A176" s="230">
        <v>1796</v>
      </c>
      <c r="B176" s="152" t="s">
        <v>460</v>
      </c>
      <c r="C176" s="231">
        <v>265.2</v>
      </c>
      <c r="D176" s="232">
        <v>0.3</v>
      </c>
      <c r="E176" s="232">
        <f t="shared" si="4"/>
        <v>79.559999999999988</v>
      </c>
      <c r="F176" s="232">
        <f>69.78+9.78</f>
        <v>79.56</v>
      </c>
      <c r="G176" s="232">
        <f t="shared" si="5"/>
        <v>0</v>
      </c>
      <c r="H176" s="153">
        <v>7140382</v>
      </c>
      <c r="I176" s="592" t="s">
        <v>461</v>
      </c>
      <c r="J176" s="153" t="s">
        <v>31</v>
      </c>
      <c r="K176" s="153" t="s">
        <v>32</v>
      </c>
      <c r="L176" s="153"/>
      <c r="M176" s="589">
        <v>46002</v>
      </c>
      <c r="N176" s="325" t="s">
        <v>703</v>
      </c>
    </row>
    <row r="177" spans="1:14" s="325" customFormat="1" ht="21.75" customHeight="1" x14ac:dyDescent="0.25">
      <c r="A177" s="230">
        <v>1797</v>
      </c>
      <c r="B177" s="152" t="s">
        <v>463</v>
      </c>
      <c r="C177" s="231">
        <v>270</v>
      </c>
      <c r="D177" s="232">
        <v>0.3</v>
      </c>
      <c r="E177" s="232">
        <f t="shared" si="4"/>
        <v>81</v>
      </c>
      <c r="F177" s="232">
        <v>80.25</v>
      </c>
      <c r="G177" s="232">
        <f t="shared" si="5"/>
        <v>0.75</v>
      </c>
      <c r="H177" s="153">
        <v>3677869</v>
      </c>
      <c r="I177" s="233" t="s">
        <v>464</v>
      </c>
      <c r="J177" s="153" t="s">
        <v>31</v>
      </c>
      <c r="K177" s="153" t="s">
        <v>32</v>
      </c>
      <c r="L177" s="153">
        <v>72522066</v>
      </c>
      <c r="M177" s="598">
        <v>45669</v>
      </c>
    </row>
    <row r="178" spans="1:14" s="325" customFormat="1" ht="21.75" customHeight="1" x14ac:dyDescent="0.25">
      <c r="A178" s="230">
        <v>1798</v>
      </c>
      <c r="B178" s="152" t="s">
        <v>84</v>
      </c>
      <c r="C178" s="231">
        <v>283.5</v>
      </c>
      <c r="D178" s="232">
        <v>0.3</v>
      </c>
      <c r="E178" s="232">
        <f t="shared" si="4"/>
        <v>85.05</v>
      </c>
      <c r="F178" s="232">
        <f>83.79+1.26</f>
        <v>85.050000000000011</v>
      </c>
      <c r="G178" s="232">
        <f t="shared" si="5"/>
        <v>0</v>
      </c>
      <c r="H178" s="153">
        <v>5314229</v>
      </c>
      <c r="I178" s="611" t="s">
        <v>85</v>
      </c>
      <c r="J178" s="153" t="s">
        <v>52</v>
      </c>
      <c r="K178" s="153" t="s">
        <v>53</v>
      </c>
      <c r="L178" s="153"/>
      <c r="M178" s="589">
        <v>45972</v>
      </c>
      <c r="N178" s="325" t="s">
        <v>703</v>
      </c>
    </row>
    <row r="179" spans="1:14" s="325" customFormat="1" ht="21.75" customHeight="1" x14ac:dyDescent="0.25">
      <c r="A179" s="230">
        <v>1799</v>
      </c>
      <c r="B179" s="152" t="s">
        <v>183</v>
      </c>
      <c r="C179" s="231">
        <v>235.7</v>
      </c>
      <c r="D179" s="232">
        <v>0.3</v>
      </c>
      <c r="E179" s="232">
        <f t="shared" si="4"/>
        <v>70.709999999999994</v>
      </c>
      <c r="F179" s="232">
        <f>68.18+0.25</f>
        <v>68.430000000000007</v>
      </c>
      <c r="G179" s="232">
        <f t="shared" si="5"/>
        <v>2.2799999999999869</v>
      </c>
      <c r="H179" s="153">
        <v>5219843</v>
      </c>
      <c r="I179" s="233" t="s">
        <v>184</v>
      </c>
      <c r="J179" s="153" t="s">
        <v>31</v>
      </c>
      <c r="K179" s="153" t="s">
        <v>32</v>
      </c>
      <c r="L179" s="153"/>
      <c r="M179" s="598" t="s">
        <v>700</v>
      </c>
      <c r="N179" s="325" t="s">
        <v>706</v>
      </c>
    </row>
    <row r="180" spans="1:14" s="325" customFormat="1" ht="21.75" customHeight="1" x14ac:dyDescent="0.25">
      <c r="A180" s="230">
        <v>1800</v>
      </c>
      <c r="B180" s="152" t="s">
        <v>185</v>
      </c>
      <c r="C180" s="231">
        <v>270</v>
      </c>
      <c r="D180" s="232">
        <v>0.3</v>
      </c>
      <c r="E180" s="232">
        <f t="shared" si="4"/>
        <v>81</v>
      </c>
      <c r="F180" s="232">
        <f>78.15+2.85</f>
        <v>81</v>
      </c>
      <c r="G180" s="232">
        <f t="shared" si="5"/>
        <v>0</v>
      </c>
      <c r="H180" s="153">
        <v>7293505</v>
      </c>
      <c r="I180" s="592" t="s">
        <v>186</v>
      </c>
      <c r="J180" s="153" t="s">
        <v>31</v>
      </c>
      <c r="K180" s="153" t="s">
        <v>32</v>
      </c>
      <c r="L180" s="153">
        <v>99189910</v>
      </c>
      <c r="M180" s="598" t="s">
        <v>700</v>
      </c>
      <c r="N180" s="325" t="s">
        <v>703</v>
      </c>
    </row>
    <row r="181" spans="1:14" s="325" customFormat="1" ht="21.75" customHeight="1" x14ac:dyDescent="0.25">
      <c r="A181" s="230">
        <v>1801</v>
      </c>
      <c r="B181" s="152" t="s">
        <v>187</v>
      </c>
      <c r="C181" s="231">
        <v>287</v>
      </c>
      <c r="D181" s="232">
        <v>0.3</v>
      </c>
      <c r="E181" s="232">
        <f t="shared" si="4"/>
        <v>86.1</v>
      </c>
      <c r="F181" s="232">
        <f>82.043+4.057</f>
        <v>86.100000000000009</v>
      </c>
      <c r="G181" s="232">
        <f t="shared" si="5"/>
        <v>0</v>
      </c>
      <c r="H181" s="153">
        <v>655141</v>
      </c>
      <c r="I181" s="233" t="s">
        <v>188</v>
      </c>
      <c r="J181" s="153" t="s">
        <v>155</v>
      </c>
      <c r="K181" s="153" t="s">
        <v>156</v>
      </c>
      <c r="L181" s="153"/>
      <c r="M181" s="598" t="s">
        <v>684</v>
      </c>
      <c r="N181" s="325" t="s">
        <v>703</v>
      </c>
    </row>
    <row r="182" spans="1:14" s="325" customFormat="1" ht="21.75" customHeight="1" x14ac:dyDescent="0.25">
      <c r="A182" s="230">
        <v>1802</v>
      </c>
      <c r="B182" s="152" t="s">
        <v>465</v>
      </c>
      <c r="C182" s="231">
        <v>242.9</v>
      </c>
      <c r="D182" s="232">
        <v>0.3</v>
      </c>
      <c r="E182" s="232">
        <f t="shared" si="4"/>
        <v>72.87</v>
      </c>
      <c r="F182" s="232">
        <f>71.49+1.38</f>
        <v>72.86999999999999</v>
      </c>
      <c r="G182" s="232">
        <f t="shared" si="5"/>
        <v>0</v>
      </c>
      <c r="H182" s="153">
        <v>14760225</v>
      </c>
      <c r="I182" s="592" t="s">
        <v>466</v>
      </c>
      <c r="J182" s="153" t="s">
        <v>31</v>
      </c>
      <c r="K182" s="153" t="s">
        <v>32</v>
      </c>
      <c r="L182" s="153"/>
      <c r="M182" s="598" t="s">
        <v>687</v>
      </c>
      <c r="N182" s="325" t="s">
        <v>703</v>
      </c>
    </row>
    <row r="183" spans="1:14" s="17" customFormat="1" ht="21.75" customHeight="1" x14ac:dyDescent="0.25">
      <c r="A183" s="235">
        <v>1803</v>
      </c>
      <c r="B183" s="296" t="s">
        <v>467</v>
      </c>
      <c r="C183" s="295">
        <v>437.3</v>
      </c>
      <c r="D183" s="149">
        <v>0.3</v>
      </c>
      <c r="E183" s="186">
        <f t="shared" si="4"/>
        <v>131.19</v>
      </c>
      <c r="F183" s="186"/>
      <c r="G183" s="186">
        <f t="shared" si="5"/>
        <v>131.19</v>
      </c>
      <c r="H183" s="136">
        <v>5502798</v>
      </c>
      <c r="I183" s="314" t="s">
        <v>468</v>
      </c>
      <c r="J183" s="136" t="s">
        <v>52</v>
      </c>
      <c r="K183" s="136" t="s">
        <v>53</v>
      </c>
      <c r="L183" s="136"/>
      <c r="M183" s="321"/>
    </row>
    <row r="184" spans="1:14" s="17" customFormat="1" ht="21.75" customHeight="1" x14ac:dyDescent="0.25">
      <c r="A184" s="230">
        <v>1804</v>
      </c>
      <c r="B184" s="152" t="s">
        <v>469</v>
      </c>
      <c r="C184" s="231">
        <v>235.9</v>
      </c>
      <c r="D184" s="232">
        <v>0.3</v>
      </c>
      <c r="E184" s="232">
        <f t="shared" si="4"/>
        <v>70.77</v>
      </c>
      <c r="F184" s="232">
        <f>68.63+2.14</f>
        <v>70.77</v>
      </c>
      <c r="G184" s="232">
        <f t="shared" si="5"/>
        <v>0</v>
      </c>
      <c r="H184" s="153">
        <v>19623766</v>
      </c>
      <c r="I184" s="611" t="s">
        <v>470</v>
      </c>
      <c r="J184" s="153" t="s">
        <v>52</v>
      </c>
      <c r="K184" s="153" t="s">
        <v>53</v>
      </c>
      <c r="L184" s="153"/>
      <c r="M184" s="598">
        <v>45972</v>
      </c>
      <c r="N184" s="325" t="s">
        <v>703</v>
      </c>
    </row>
    <row r="185" spans="1:14" s="17" customFormat="1" ht="21.75" customHeight="1" x14ac:dyDescent="0.25">
      <c r="A185" s="235">
        <v>1805</v>
      </c>
      <c r="B185" s="296" t="s">
        <v>471</v>
      </c>
      <c r="C185" s="295">
        <v>370</v>
      </c>
      <c r="D185" s="149">
        <v>0.3</v>
      </c>
      <c r="E185" s="186">
        <f t="shared" si="4"/>
        <v>111</v>
      </c>
      <c r="F185" s="186"/>
      <c r="G185" s="186">
        <f t="shared" si="5"/>
        <v>111</v>
      </c>
      <c r="H185" s="136">
        <v>1648586</v>
      </c>
      <c r="I185" s="314" t="s">
        <v>472</v>
      </c>
      <c r="J185" s="136" t="s">
        <v>31</v>
      </c>
      <c r="K185" s="136" t="s">
        <v>32</v>
      </c>
      <c r="L185" s="136">
        <v>96030388</v>
      </c>
      <c r="M185" s="321"/>
    </row>
    <row r="186" spans="1:14" s="325" customFormat="1" ht="21.75" customHeight="1" x14ac:dyDescent="0.25">
      <c r="A186" s="230">
        <v>1808</v>
      </c>
      <c r="B186" s="152" t="s">
        <v>86</v>
      </c>
      <c r="C186" s="231">
        <v>260.7</v>
      </c>
      <c r="D186" s="232">
        <v>0.3</v>
      </c>
      <c r="E186" s="232">
        <f t="shared" si="4"/>
        <v>78.209999999999994</v>
      </c>
      <c r="F186" s="232">
        <f>75.89+2.32</f>
        <v>78.209999999999994</v>
      </c>
      <c r="G186" s="232">
        <f t="shared" si="5"/>
        <v>0</v>
      </c>
      <c r="H186" s="153">
        <v>611136</v>
      </c>
      <c r="I186" s="242" t="s">
        <v>87</v>
      </c>
      <c r="J186" s="153" t="s">
        <v>26</v>
      </c>
      <c r="K186" s="153" t="s">
        <v>27</v>
      </c>
      <c r="L186" s="153"/>
      <c r="M186" s="598" t="s">
        <v>687</v>
      </c>
      <c r="N186" s="325" t="s">
        <v>703</v>
      </c>
    </row>
    <row r="187" spans="1:14" s="17" customFormat="1" ht="21.75" customHeight="1" x14ac:dyDescent="0.25">
      <c r="A187" s="235">
        <v>1809</v>
      </c>
      <c r="B187" s="296" t="s">
        <v>474</v>
      </c>
      <c r="C187" s="295">
        <v>270</v>
      </c>
      <c r="D187" s="149">
        <v>0.3</v>
      </c>
      <c r="E187" s="186">
        <f t="shared" si="4"/>
        <v>81</v>
      </c>
      <c r="F187" s="186">
        <f>E187</f>
        <v>81</v>
      </c>
      <c r="G187" s="186">
        <f t="shared" si="5"/>
        <v>0</v>
      </c>
      <c r="H187" s="136">
        <v>14957086</v>
      </c>
      <c r="I187" s="314" t="s">
        <v>475</v>
      </c>
      <c r="J187" s="136" t="s">
        <v>31</v>
      </c>
      <c r="K187" s="136" t="s">
        <v>32</v>
      </c>
      <c r="L187" s="136"/>
      <c r="M187" s="325" t="s">
        <v>710</v>
      </c>
    </row>
    <row r="188" spans="1:14" s="325" customFormat="1" ht="21.75" customHeight="1" x14ac:dyDescent="0.25">
      <c r="A188" s="230">
        <v>1811</v>
      </c>
      <c r="B188" s="152" t="s">
        <v>476</v>
      </c>
      <c r="C188" s="231">
        <v>352.5</v>
      </c>
      <c r="D188" s="232">
        <v>0.3</v>
      </c>
      <c r="E188" s="232">
        <f t="shared" si="4"/>
        <v>105.75</v>
      </c>
      <c r="F188" s="232">
        <f>103.59+2.16</f>
        <v>105.75</v>
      </c>
      <c r="G188" s="232">
        <f t="shared" si="5"/>
        <v>0</v>
      </c>
      <c r="H188" s="153">
        <v>6384618</v>
      </c>
      <c r="I188" s="592" t="s">
        <v>477</v>
      </c>
      <c r="J188" s="153" t="s">
        <v>31</v>
      </c>
      <c r="K188" s="153" t="s">
        <v>32</v>
      </c>
      <c r="L188" s="153"/>
      <c r="M188" s="598">
        <v>45758</v>
      </c>
      <c r="N188" s="325" t="s">
        <v>703</v>
      </c>
    </row>
    <row r="189" spans="1:14" s="325" customFormat="1" ht="21.75" customHeight="1" x14ac:dyDescent="0.25">
      <c r="A189" s="230">
        <v>1812</v>
      </c>
      <c r="B189" s="152" t="s">
        <v>478</v>
      </c>
      <c r="C189" s="231">
        <v>270</v>
      </c>
      <c r="D189" s="232">
        <v>0.3</v>
      </c>
      <c r="E189" s="232">
        <f t="shared" si="4"/>
        <v>81</v>
      </c>
      <c r="F189" s="232">
        <f>78.94+2.06</f>
        <v>81</v>
      </c>
      <c r="G189" s="232">
        <f t="shared" si="5"/>
        <v>0</v>
      </c>
      <c r="H189" s="153">
        <v>4748659</v>
      </c>
      <c r="I189" s="592" t="s">
        <v>479</v>
      </c>
      <c r="J189" s="153" t="s">
        <v>52</v>
      </c>
      <c r="K189" s="153" t="s">
        <v>53</v>
      </c>
      <c r="L189" s="153">
        <v>98170004</v>
      </c>
      <c r="M189" s="598">
        <v>45758</v>
      </c>
      <c r="N189" s="325" t="s">
        <v>703</v>
      </c>
    </row>
    <row r="190" spans="1:14" s="17" customFormat="1" ht="21.75" customHeight="1" x14ac:dyDescent="0.25">
      <c r="A190" s="235">
        <v>1813</v>
      </c>
      <c r="B190" s="296" t="s">
        <v>602</v>
      </c>
      <c r="C190" s="295">
        <v>241.2</v>
      </c>
      <c r="D190" s="149">
        <v>0.3</v>
      </c>
      <c r="E190" s="186">
        <f t="shared" si="4"/>
        <v>72.36</v>
      </c>
      <c r="F190" s="186"/>
      <c r="G190" s="186">
        <f t="shared" si="5"/>
        <v>72.36</v>
      </c>
      <c r="H190" s="136">
        <v>20230381</v>
      </c>
      <c r="I190" s="315" t="s">
        <v>603</v>
      </c>
      <c r="J190" s="136" t="s">
        <v>52</v>
      </c>
      <c r="K190" s="136" t="s">
        <v>53</v>
      </c>
      <c r="L190" s="136"/>
      <c r="M190" s="321"/>
    </row>
    <row r="191" spans="1:14" s="325" customFormat="1" ht="21.75" customHeight="1" x14ac:dyDescent="0.25">
      <c r="A191" s="230">
        <v>1816</v>
      </c>
      <c r="B191" s="152" t="s">
        <v>191</v>
      </c>
      <c r="C191" s="231">
        <v>283</v>
      </c>
      <c r="D191" s="232">
        <v>0.3</v>
      </c>
      <c r="E191" s="232">
        <f t="shared" si="4"/>
        <v>84.899999999999991</v>
      </c>
      <c r="F191" s="232">
        <f>81.88+3.02</f>
        <v>84.899999999999991</v>
      </c>
      <c r="G191" s="232">
        <f t="shared" si="5"/>
        <v>0</v>
      </c>
      <c r="H191" s="153">
        <v>15694259</v>
      </c>
      <c r="I191" s="592" t="s">
        <v>192</v>
      </c>
      <c r="J191" s="153" t="s">
        <v>31</v>
      </c>
      <c r="K191" s="153" t="s">
        <v>32</v>
      </c>
      <c r="L191" s="153"/>
      <c r="M191" s="598">
        <v>45758</v>
      </c>
      <c r="N191" s="325" t="s">
        <v>703</v>
      </c>
    </row>
    <row r="192" spans="1:14" s="17" customFormat="1" ht="21.75" customHeight="1" x14ac:dyDescent="0.25">
      <c r="A192" s="235">
        <v>1817</v>
      </c>
      <c r="B192" s="296" t="s">
        <v>483</v>
      </c>
      <c r="C192" s="295">
        <v>832</v>
      </c>
      <c r="D192" s="149">
        <v>0.3</v>
      </c>
      <c r="E192" s="186">
        <f t="shared" si="4"/>
        <v>249.6</v>
      </c>
      <c r="F192" s="186"/>
      <c r="G192" s="186">
        <f t="shared" si="5"/>
        <v>249.6</v>
      </c>
      <c r="H192" s="136">
        <v>6492948</v>
      </c>
      <c r="I192" s="315" t="s">
        <v>484</v>
      </c>
      <c r="J192" s="136" t="s">
        <v>31</v>
      </c>
      <c r="K192" s="136" t="s">
        <v>32</v>
      </c>
      <c r="L192" s="136"/>
      <c r="M192" s="321"/>
    </row>
    <row r="193" spans="1:15" s="325" customFormat="1" ht="21.75" customHeight="1" x14ac:dyDescent="0.25">
      <c r="A193" s="230">
        <v>1818</v>
      </c>
      <c r="B193" s="152" t="s">
        <v>485</v>
      </c>
      <c r="C193" s="231">
        <v>297.60000000000002</v>
      </c>
      <c r="D193" s="232">
        <v>0.3</v>
      </c>
      <c r="E193" s="232">
        <f t="shared" si="4"/>
        <v>89.28</v>
      </c>
      <c r="F193" s="232">
        <f>0.05+89.1+0.13</f>
        <v>89.279999999999987</v>
      </c>
      <c r="G193" s="232">
        <f t="shared" si="5"/>
        <v>0</v>
      </c>
      <c r="H193" s="153">
        <v>15677827</v>
      </c>
      <c r="I193" s="592" t="s">
        <v>486</v>
      </c>
      <c r="J193" s="153" t="s">
        <v>31</v>
      </c>
      <c r="K193" s="153" t="s">
        <v>32</v>
      </c>
      <c r="L193" s="153"/>
      <c r="M193" s="598">
        <v>45945</v>
      </c>
      <c r="N193" s="598">
        <v>45758</v>
      </c>
      <c r="O193" s="325" t="s">
        <v>703</v>
      </c>
    </row>
    <row r="194" spans="1:15" s="17" customFormat="1" ht="21.75" customHeight="1" x14ac:dyDescent="0.25">
      <c r="A194" s="235">
        <v>1819</v>
      </c>
      <c r="B194" s="296" t="s">
        <v>487</v>
      </c>
      <c r="C194" s="295">
        <v>288</v>
      </c>
      <c r="D194" s="149">
        <v>0.3</v>
      </c>
      <c r="E194" s="186">
        <f t="shared" si="4"/>
        <v>86.399999999999991</v>
      </c>
      <c r="F194" s="186">
        <v>84.65</v>
      </c>
      <c r="G194" s="186">
        <f t="shared" si="5"/>
        <v>1.7499999999999858</v>
      </c>
      <c r="H194" s="136">
        <v>851375</v>
      </c>
      <c r="I194" s="315" t="s">
        <v>488</v>
      </c>
      <c r="J194" s="136" t="s">
        <v>52</v>
      </c>
      <c r="K194" s="136" t="s">
        <v>53</v>
      </c>
      <c r="L194" s="136">
        <v>92819432</v>
      </c>
      <c r="M194" s="598">
        <v>45758</v>
      </c>
    </row>
    <row r="195" spans="1:15" s="17" customFormat="1" ht="21.75" customHeight="1" x14ac:dyDescent="0.25">
      <c r="A195" s="235">
        <v>1820</v>
      </c>
      <c r="B195" s="296" t="s">
        <v>489</v>
      </c>
      <c r="C195" s="295">
        <v>15</v>
      </c>
      <c r="D195" s="149">
        <v>0.3</v>
      </c>
      <c r="E195" s="186">
        <f t="shared" ref="E195:E223" si="6">C195*D195</f>
        <v>4.5</v>
      </c>
      <c r="F195" s="186"/>
      <c r="G195" s="186">
        <f t="shared" si="5"/>
        <v>4.5</v>
      </c>
      <c r="H195" s="136">
        <v>7124544</v>
      </c>
      <c r="I195" s="311" t="s">
        <v>583</v>
      </c>
      <c r="J195" s="136" t="s">
        <v>52</v>
      </c>
      <c r="K195" s="136" t="s">
        <v>53</v>
      </c>
      <c r="L195" s="136"/>
      <c r="M195" s="321"/>
    </row>
    <row r="196" spans="1:15" s="17" customFormat="1" ht="21.75" customHeight="1" x14ac:dyDescent="0.25">
      <c r="A196" s="235">
        <v>1821</v>
      </c>
      <c r="B196" s="136" t="s">
        <v>491</v>
      </c>
      <c r="C196" s="295">
        <v>479.9</v>
      </c>
      <c r="D196" s="149">
        <v>0.3</v>
      </c>
      <c r="E196" s="186">
        <f t="shared" si="6"/>
        <v>143.97</v>
      </c>
      <c r="F196" s="186"/>
      <c r="G196" s="186">
        <f t="shared" ref="G196:G223" si="7">E196-F196</f>
        <v>143.97</v>
      </c>
      <c r="H196" s="136">
        <v>2454202</v>
      </c>
      <c r="I196" s="311" t="s">
        <v>492</v>
      </c>
      <c r="J196" s="136" t="s">
        <v>155</v>
      </c>
      <c r="K196" s="136" t="s">
        <v>156</v>
      </c>
      <c r="L196" s="136"/>
      <c r="M196" s="321"/>
    </row>
    <row r="197" spans="1:15" s="325" customFormat="1" ht="21.75" customHeight="1" x14ac:dyDescent="0.25">
      <c r="A197" s="230">
        <v>1822</v>
      </c>
      <c r="B197" s="153" t="s">
        <v>193</v>
      </c>
      <c r="C197" s="231">
        <v>226.8</v>
      </c>
      <c r="D197" s="232">
        <v>0.3</v>
      </c>
      <c r="E197" s="232">
        <f t="shared" si="6"/>
        <v>68.040000000000006</v>
      </c>
      <c r="F197" s="232">
        <f>66.22+1.82</f>
        <v>68.039999999999992</v>
      </c>
      <c r="G197" s="232">
        <f t="shared" si="7"/>
        <v>0</v>
      </c>
      <c r="H197" s="153">
        <v>22005737</v>
      </c>
      <c r="I197" s="233" t="s">
        <v>152</v>
      </c>
      <c r="J197" s="153" t="s">
        <v>31</v>
      </c>
      <c r="K197" s="153" t="s">
        <v>32</v>
      </c>
      <c r="L197" s="153"/>
      <c r="M197" s="325" t="s">
        <v>702</v>
      </c>
      <c r="N197" s="325" t="s">
        <v>706</v>
      </c>
    </row>
    <row r="198" spans="1:15" s="17" customFormat="1" ht="21.75" customHeight="1" x14ac:dyDescent="0.25">
      <c r="A198" s="235">
        <v>1823</v>
      </c>
      <c r="B198" s="136" t="s">
        <v>493</v>
      </c>
      <c r="C198" s="295">
        <v>15</v>
      </c>
      <c r="D198" s="149">
        <v>0.3</v>
      </c>
      <c r="E198" s="186">
        <f t="shared" si="6"/>
        <v>4.5</v>
      </c>
      <c r="F198" s="186"/>
      <c r="G198" s="186">
        <f t="shared" si="7"/>
        <v>4.5</v>
      </c>
      <c r="H198" s="136">
        <v>25722393</v>
      </c>
      <c r="I198" s="311" t="s">
        <v>494</v>
      </c>
      <c r="J198" s="136" t="s">
        <v>31</v>
      </c>
      <c r="K198" s="136" t="s">
        <v>32</v>
      </c>
      <c r="L198" s="136"/>
      <c r="M198" s="321"/>
    </row>
    <row r="199" spans="1:15" s="325" customFormat="1" ht="21.75" customHeight="1" x14ac:dyDescent="0.25">
      <c r="A199" s="230">
        <v>1824</v>
      </c>
      <c r="B199" s="153" t="s">
        <v>195</v>
      </c>
      <c r="C199" s="231">
        <v>213.6</v>
      </c>
      <c r="D199" s="232">
        <v>0.3</v>
      </c>
      <c r="E199" s="232">
        <f t="shared" si="6"/>
        <v>64.08</v>
      </c>
      <c r="F199" s="232">
        <f>62.05+2.03</f>
        <v>64.08</v>
      </c>
      <c r="G199" s="232">
        <f t="shared" si="7"/>
        <v>0</v>
      </c>
      <c r="H199" s="153">
        <v>766709</v>
      </c>
      <c r="I199" s="233" t="s">
        <v>196</v>
      </c>
      <c r="J199" s="153" t="s">
        <v>71</v>
      </c>
      <c r="K199" s="153" t="s">
        <v>72</v>
      </c>
      <c r="L199" s="153"/>
      <c r="M199" s="598" t="s">
        <v>680</v>
      </c>
      <c r="N199" s="325" t="s">
        <v>703</v>
      </c>
    </row>
    <row r="200" spans="1:15" s="325" customFormat="1" ht="21.75" customHeight="1" x14ac:dyDescent="0.25">
      <c r="A200" s="230">
        <v>1825</v>
      </c>
      <c r="B200" s="153" t="s">
        <v>495</v>
      </c>
      <c r="C200" s="231">
        <v>270</v>
      </c>
      <c r="D200" s="232">
        <v>0.3</v>
      </c>
      <c r="E200" s="232">
        <f t="shared" si="6"/>
        <v>81</v>
      </c>
      <c r="F200" s="232">
        <f>0.12+80.3+0.58</f>
        <v>81</v>
      </c>
      <c r="G200" s="232">
        <f t="shared" si="7"/>
        <v>0</v>
      </c>
      <c r="H200" s="153">
        <v>7293524</v>
      </c>
      <c r="I200" s="592" t="s">
        <v>496</v>
      </c>
      <c r="J200" s="153" t="s">
        <v>31</v>
      </c>
      <c r="K200" s="153" t="s">
        <v>32</v>
      </c>
      <c r="L200" s="153"/>
      <c r="M200" s="325" t="s">
        <v>678</v>
      </c>
      <c r="N200" s="598" t="s">
        <v>700</v>
      </c>
      <c r="O200" s="325" t="s">
        <v>703</v>
      </c>
    </row>
    <row r="201" spans="1:15" s="325" customFormat="1" ht="21.75" customHeight="1" x14ac:dyDescent="0.25">
      <c r="A201" s="230">
        <v>1826</v>
      </c>
      <c r="B201" s="606" t="s">
        <v>88</v>
      </c>
      <c r="C201" s="231">
        <v>222.1</v>
      </c>
      <c r="D201" s="232">
        <v>0.3</v>
      </c>
      <c r="E201" s="232">
        <f t="shared" si="6"/>
        <v>66.63</v>
      </c>
      <c r="F201" s="232">
        <f>65.19+1.44</f>
        <v>66.63</v>
      </c>
      <c r="G201" s="232">
        <f t="shared" si="7"/>
        <v>0</v>
      </c>
      <c r="H201" s="607">
        <v>381215</v>
      </c>
      <c r="I201" s="608" t="s">
        <v>89</v>
      </c>
      <c r="J201" s="607" t="s">
        <v>90</v>
      </c>
      <c r="K201" s="609" t="s">
        <v>32</v>
      </c>
      <c r="L201" s="610">
        <v>95110746</v>
      </c>
      <c r="M201" s="325" t="s">
        <v>687</v>
      </c>
      <c r="N201" s="325" t="s">
        <v>703</v>
      </c>
    </row>
    <row r="202" spans="1:15" s="17" customFormat="1" ht="21.75" customHeight="1" x14ac:dyDescent="0.25">
      <c r="A202" s="235">
        <v>1827</v>
      </c>
      <c r="B202" s="136" t="s">
        <v>497</v>
      </c>
      <c r="C202" s="295">
        <v>268</v>
      </c>
      <c r="D202" s="149">
        <v>0.3</v>
      </c>
      <c r="E202" s="186">
        <f t="shared" si="6"/>
        <v>80.399999999999991</v>
      </c>
      <c r="F202" s="186"/>
      <c r="G202" s="186">
        <f t="shared" si="7"/>
        <v>80.399999999999991</v>
      </c>
      <c r="H202" s="136">
        <v>24218909</v>
      </c>
      <c r="I202" s="311" t="s">
        <v>584</v>
      </c>
      <c r="J202" s="296" t="s">
        <v>90</v>
      </c>
      <c r="K202" s="311" t="s">
        <v>32</v>
      </c>
      <c r="L202" s="136"/>
      <c r="M202" s="321"/>
    </row>
    <row r="203" spans="1:15" s="17" customFormat="1" ht="21.75" customHeight="1" x14ac:dyDescent="0.25">
      <c r="A203" s="235">
        <v>1830</v>
      </c>
      <c r="B203" s="136" t="s">
        <v>499</v>
      </c>
      <c r="C203" s="295">
        <v>467.7</v>
      </c>
      <c r="D203" s="149">
        <v>0.3</v>
      </c>
      <c r="E203" s="186">
        <f t="shared" si="6"/>
        <v>140.31</v>
      </c>
      <c r="F203" s="186"/>
      <c r="G203" s="186">
        <f t="shared" si="7"/>
        <v>140.31</v>
      </c>
      <c r="H203" s="136">
        <v>22697535</v>
      </c>
      <c r="I203" s="311" t="s">
        <v>500</v>
      </c>
      <c r="J203" s="296" t="s">
        <v>90</v>
      </c>
      <c r="K203" s="311" t="s">
        <v>32</v>
      </c>
      <c r="L203" s="136"/>
      <c r="M203" s="321"/>
    </row>
    <row r="204" spans="1:15" s="17" customFormat="1" ht="21.75" customHeight="1" x14ac:dyDescent="0.25">
      <c r="A204" s="235">
        <v>1831</v>
      </c>
      <c r="B204" s="136" t="s">
        <v>675</v>
      </c>
      <c r="C204" s="295">
        <v>110.2</v>
      </c>
      <c r="D204" s="149">
        <v>0.3</v>
      </c>
      <c r="E204" s="186">
        <f t="shared" si="6"/>
        <v>33.06</v>
      </c>
      <c r="F204" s="186"/>
      <c r="G204" s="186">
        <f t="shared" si="7"/>
        <v>33.06</v>
      </c>
      <c r="H204" s="136">
        <v>7374738</v>
      </c>
      <c r="I204" s="311">
        <v>406003456440018</v>
      </c>
      <c r="J204" s="296" t="s">
        <v>90</v>
      </c>
      <c r="K204" s="311"/>
      <c r="L204" s="136">
        <v>92341240</v>
      </c>
      <c r="M204" s="321"/>
    </row>
    <row r="205" spans="1:15" s="325" customFormat="1" ht="21.75" customHeight="1" x14ac:dyDescent="0.25">
      <c r="A205" s="230">
        <v>3074</v>
      </c>
      <c r="B205" s="152" t="s">
        <v>501</v>
      </c>
      <c r="C205" s="231">
        <v>234</v>
      </c>
      <c r="D205" s="232">
        <v>0.3</v>
      </c>
      <c r="E205" s="232">
        <f t="shared" si="6"/>
        <v>70.2</v>
      </c>
      <c r="F205" s="232">
        <f>1.81+64.35+4.04</f>
        <v>70.2</v>
      </c>
      <c r="G205" s="232">
        <f t="shared" si="7"/>
        <v>0</v>
      </c>
      <c r="H205" s="595">
        <v>6327112</v>
      </c>
      <c r="I205" s="233" t="s">
        <v>502</v>
      </c>
      <c r="J205" s="152" t="s">
        <v>90</v>
      </c>
      <c r="K205" s="233" t="s">
        <v>32</v>
      </c>
      <c r="L205" s="595">
        <v>92544491</v>
      </c>
      <c r="M205" s="598" t="s">
        <v>676</v>
      </c>
      <c r="N205" s="598" t="s">
        <v>700</v>
      </c>
      <c r="O205" s="325" t="s">
        <v>703</v>
      </c>
    </row>
    <row r="206" spans="1:15" s="325" customFormat="1" ht="21.75" customHeight="1" x14ac:dyDescent="0.25">
      <c r="A206" s="230">
        <v>3075</v>
      </c>
      <c r="B206" s="153" t="s">
        <v>503</v>
      </c>
      <c r="C206" s="231">
        <v>388.5</v>
      </c>
      <c r="D206" s="232">
        <v>0.3</v>
      </c>
      <c r="E206" s="232">
        <f t="shared" si="6"/>
        <v>116.55</v>
      </c>
      <c r="F206" s="232">
        <f>113.22+3.33</f>
        <v>116.55</v>
      </c>
      <c r="G206" s="232">
        <f t="shared" si="7"/>
        <v>0</v>
      </c>
      <c r="H206" s="595">
        <v>6207551</v>
      </c>
      <c r="I206" s="592" t="s">
        <v>504</v>
      </c>
      <c r="J206" s="153" t="s">
        <v>31</v>
      </c>
      <c r="K206" s="153" t="s">
        <v>32</v>
      </c>
      <c r="L206" s="152">
        <v>92011889</v>
      </c>
      <c r="M206" s="598">
        <v>45758</v>
      </c>
      <c r="N206" s="325" t="s">
        <v>703</v>
      </c>
    </row>
    <row r="207" spans="1:15" ht="21.75" customHeight="1" x14ac:dyDescent="0.25">
      <c r="A207" s="235">
        <v>3250</v>
      </c>
      <c r="B207" s="136" t="s">
        <v>198</v>
      </c>
      <c r="C207" s="295">
        <v>521.29999999999995</v>
      </c>
      <c r="D207" s="149">
        <v>0.3</v>
      </c>
      <c r="E207" s="186">
        <f t="shared" si="6"/>
        <v>156.38999999999999</v>
      </c>
      <c r="F207" s="186">
        <f>152.14+4.25</f>
        <v>156.38999999999999</v>
      </c>
      <c r="G207" s="186">
        <f t="shared" si="7"/>
        <v>0</v>
      </c>
      <c r="H207" s="139">
        <v>1357047</v>
      </c>
      <c r="I207" s="313" t="s">
        <v>199</v>
      </c>
      <c r="J207" s="136" t="s">
        <v>26</v>
      </c>
      <c r="K207" s="136" t="s">
        <v>27</v>
      </c>
      <c r="L207" s="136">
        <v>91177550</v>
      </c>
      <c r="M207" s="598">
        <v>45669</v>
      </c>
      <c r="N207" s="325" t="s">
        <v>703</v>
      </c>
    </row>
    <row r="208" spans="1:15" s="325" customFormat="1" ht="21.75" customHeight="1" x14ac:dyDescent="0.25">
      <c r="A208" s="230">
        <v>3317</v>
      </c>
      <c r="B208" s="153" t="s">
        <v>505</v>
      </c>
      <c r="C208" s="231">
        <v>360</v>
      </c>
      <c r="D208" s="232">
        <v>0.3</v>
      </c>
      <c r="E208" s="232">
        <f t="shared" si="6"/>
        <v>108</v>
      </c>
      <c r="F208" s="232">
        <f>54.94+53.06</f>
        <v>108</v>
      </c>
      <c r="G208" s="232">
        <f t="shared" si="7"/>
        <v>0</v>
      </c>
      <c r="H208" s="593">
        <v>2366794</v>
      </c>
      <c r="I208" s="611" t="s">
        <v>506</v>
      </c>
      <c r="J208" s="153" t="s">
        <v>52</v>
      </c>
      <c r="K208" s="153" t="s">
        <v>53</v>
      </c>
      <c r="L208" s="153">
        <v>95138883</v>
      </c>
      <c r="M208" s="598" t="s">
        <v>685</v>
      </c>
      <c r="N208" s="325" t="s">
        <v>703</v>
      </c>
    </row>
    <row r="209" spans="1:15" s="325" customFormat="1" ht="21.75" customHeight="1" x14ac:dyDescent="0.25">
      <c r="A209" s="230">
        <v>3323</v>
      </c>
      <c r="B209" s="153" t="s">
        <v>507</v>
      </c>
      <c r="C209" s="231">
        <v>477.7</v>
      </c>
      <c r="D209" s="232">
        <v>0.3</v>
      </c>
      <c r="E209" s="232">
        <f t="shared" si="6"/>
        <v>143.31</v>
      </c>
      <c r="F209" s="232">
        <f>4.27999999999999+138.6+0.43</f>
        <v>143.31</v>
      </c>
      <c r="G209" s="232">
        <f t="shared" si="7"/>
        <v>0</v>
      </c>
      <c r="H209" s="593">
        <v>683613</v>
      </c>
      <c r="I209" s="242" t="s">
        <v>508</v>
      </c>
      <c r="J209" s="153" t="s">
        <v>31</v>
      </c>
      <c r="K209" s="153" t="s">
        <v>32</v>
      </c>
      <c r="L209" s="153">
        <v>92280327</v>
      </c>
      <c r="M209" s="598" t="s">
        <v>676</v>
      </c>
      <c r="N209" s="589">
        <v>46002</v>
      </c>
      <c r="O209" s="325" t="s">
        <v>703</v>
      </c>
    </row>
    <row r="210" spans="1:15" s="325" customFormat="1" ht="21.75" customHeight="1" x14ac:dyDescent="0.25">
      <c r="A210" s="230">
        <v>3327</v>
      </c>
      <c r="B210" s="153" t="s">
        <v>509</v>
      </c>
      <c r="C210" s="231">
        <v>440.2</v>
      </c>
      <c r="D210" s="232">
        <v>0.3</v>
      </c>
      <c r="E210" s="232">
        <f t="shared" si="6"/>
        <v>132.06</v>
      </c>
      <c r="F210" s="232">
        <f>0.719999999999999+131.34</f>
        <v>132.06</v>
      </c>
      <c r="G210" s="232">
        <f t="shared" si="7"/>
        <v>0</v>
      </c>
      <c r="H210" s="153">
        <v>4919647</v>
      </c>
      <c r="I210" s="233" t="s">
        <v>510</v>
      </c>
      <c r="J210" s="153" t="s">
        <v>52</v>
      </c>
      <c r="K210" s="153" t="s">
        <v>53</v>
      </c>
      <c r="L210" s="153">
        <v>99895505</v>
      </c>
      <c r="M210" s="598" t="s">
        <v>687</v>
      </c>
      <c r="N210" s="325" t="s">
        <v>708</v>
      </c>
    </row>
    <row r="211" spans="1:15" s="325" customFormat="1" ht="21.75" customHeight="1" x14ac:dyDescent="0.25">
      <c r="A211" s="230">
        <v>3345</v>
      </c>
      <c r="B211" s="153" t="s">
        <v>511</v>
      </c>
      <c r="C211" s="231">
        <v>270</v>
      </c>
      <c r="D211" s="232">
        <v>0.3</v>
      </c>
      <c r="E211" s="232">
        <f t="shared" si="6"/>
        <v>81</v>
      </c>
      <c r="F211" s="232">
        <f>77.82+3.18</f>
        <v>81</v>
      </c>
      <c r="G211" s="232">
        <f t="shared" si="7"/>
        <v>0</v>
      </c>
      <c r="H211" s="153">
        <v>6572395</v>
      </c>
      <c r="I211" s="233" t="s">
        <v>512</v>
      </c>
      <c r="J211" s="153" t="s">
        <v>31</v>
      </c>
      <c r="K211" s="153" t="s">
        <v>32</v>
      </c>
      <c r="L211" s="153">
        <v>99294765</v>
      </c>
      <c r="M211" s="598" t="s">
        <v>685</v>
      </c>
      <c r="N211" s="325" t="s">
        <v>703</v>
      </c>
    </row>
    <row r="212" spans="1:15" s="325" customFormat="1" ht="21.75" customHeight="1" x14ac:dyDescent="0.25">
      <c r="A212" s="230">
        <v>3701</v>
      </c>
      <c r="B212" s="152" t="s">
        <v>513</v>
      </c>
      <c r="C212" s="231">
        <v>266.8</v>
      </c>
      <c r="D212" s="232">
        <v>0.3</v>
      </c>
      <c r="E212" s="232">
        <f t="shared" si="6"/>
        <v>80.040000000000006</v>
      </c>
      <c r="F212" s="232">
        <f>0.570000000000009+79.2+0.27</f>
        <v>80.040000000000006</v>
      </c>
      <c r="G212" s="232">
        <f t="shared" si="7"/>
        <v>0</v>
      </c>
      <c r="H212" s="153">
        <v>5146416</v>
      </c>
      <c r="I212" s="233" t="s">
        <v>514</v>
      </c>
      <c r="J212" s="153" t="s">
        <v>31</v>
      </c>
      <c r="K212" s="153" t="s">
        <v>32</v>
      </c>
      <c r="L212" s="153">
        <v>99898838</v>
      </c>
      <c r="M212" s="598">
        <v>45972</v>
      </c>
      <c r="N212" s="598">
        <v>45728</v>
      </c>
      <c r="O212" s="325" t="s">
        <v>703</v>
      </c>
    </row>
    <row r="213" spans="1:15" s="325" customFormat="1" ht="21.75" customHeight="1" x14ac:dyDescent="0.25">
      <c r="A213" s="230">
        <v>3710</v>
      </c>
      <c r="B213" s="152" t="s">
        <v>515</v>
      </c>
      <c r="C213" s="231">
        <v>234</v>
      </c>
      <c r="D213" s="232">
        <v>0.3</v>
      </c>
      <c r="E213" s="232">
        <f t="shared" si="6"/>
        <v>70.2</v>
      </c>
      <c r="F213" s="232">
        <f>3.49000000000001+64.35+2.36</f>
        <v>70.2</v>
      </c>
      <c r="G213" s="232">
        <f t="shared" si="7"/>
        <v>0</v>
      </c>
      <c r="H213" s="153">
        <v>22749678</v>
      </c>
      <c r="I213" s="603" t="s">
        <v>516</v>
      </c>
      <c r="J213" s="153" t="s">
        <v>31</v>
      </c>
      <c r="K213" s="153" t="s">
        <v>32</v>
      </c>
      <c r="L213" s="153"/>
      <c r="M213" s="598" t="s">
        <v>676</v>
      </c>
      <c r="N213" s="598" t="s">
        <v>700</v>
      </c>
      <c r="O213" s="325" t="s">
        <v>703</v>
      </c>
    </row>
    <row r="214" spans="1:15" s="325" customFormat="1" ht="21.75" customHeight="1" x14ac:dyDescent="0.25">
      <c r="A214" s="230">
        <v>3715</v>
      </c>
      <c r="B214" s="152" t="s">
        <v>517</v>
      </c>
      <c r="C214" s="231">
        <v>213</v>
      </c>
      <c r="D214" s="232">
        <v>0.3</v>
      </c>
      <c r="E214" s="232">
        <f t="shared" si="6"/>
        <v>63.9</v>
      </c>
      <c r="F214" s="623">
        <v>1.2799999999999905</v>
      </c>
      <c r="G214" s="232">
        <f t="shared" si="7"/>
        <v>62.620000000000005</v>
      </c>
      <c r="H214" s="153">
        <v>6327183</v>
      </c>
      <c r="I214" s="233" t="s">
        <v>518</v>
      </c>
      <c r="J214" s="153" t="s">
        <v>31</v>
      </c>
      <c r="K214" s="153" t="s">
        <v>32</v>
      </c>
      <c r="L214" s="153"/>
      <c r="M214" s="598" t="s">
        <v>676</v>
      </c>
    </row>
    <row r="215" spans="1:15" s="17" customFormat="1" ht="21.75" customHeight="1" x14ac:dyDescent="0.25">
      <c r="A215" s="235">
        <v>3721</v>
      </c>
      <c r="B215" s="296" t="s">
        <v>519</v>
      </c>
      <c r="C215" s="295">
        <v>145.80000000000001</v>
      </c>
      <c r="D215" s="149">
        <v>0.3</v>
      </c>
      <c r="E215" s="186">
        <f t="shared" si="6"/>
        <v>43.74</v>
      </c>
      <c r="F215" s="186"/>
      <c r="G215" s="186">
        <f t="shared" si="7"/>
        <v>43.74</v>
      </c>
      <c r="H215" s="136">
        <v>5332235</v>
      </c>
      <c r="I215" s="146" t="s">
        <v>520</v>
      </c>
      <c r="J215" s="296" t="s">
        <v>90</v>
      </c>
      <c r="K215" s="146" t="s">
        <v>32</v>
      </c>
      <c r="L215" s="136"/>
      <c r="M215" s="321"/>
    </row>
    <row r="216" spans="1:15" s="17" customFormat="1" ht="21.75" customHeight="1" x14ac:dyDescent="0.25">
      <c r="A216" s="235">
        <v>3738</v>
      </c>
      <c r="B216" s="136" t="s">
        <v>521</v>
      </c>
      <c r="C216" s="295">
        <v>278.5</v>
      </c>
      <c r="D216" s="149">
        <v>0.3</v>
      </c>
      <c r="E216" s="186">
        <f t="shared" si="6"/>
        <v>83.55</v>
      </c>
      <c r="F216" s="186"/>
      <c r="G216" s="186">
        <f t="shared" si="7"/>
        <v>83.55</v>
      </c>
      <c r="H216" s="136">
        <v>730741</v>
      </c>
      <c r="I216" s="311" t="s">
        <v>522</v>
      </c>
      <c r="J216" s="136" t="s">
        <v>31</v>
      </c>
      <c r="K216" s="136" t="s">
        <v>32</v>
      </c>
      <c r="L216" s="136">
        <v>99710505</v>
      </c>
      <c r="M216" s="321"/>
    </row>
    <row r="217" spans="1:15" s="17" customFormat="1" ht="21.75" customHeight="1" x14ac:dyDescent="0.25">
      <c r="A217" s="235">
        <v>3763</v>
      </c>
      <c r="B217" s="136" t="s">
        <v>92</v>
      </c>
      <c r="C217" s="295">
        <v>248.6</v>
      </c>
      <c r="D217" s="149">
        <v>0.3</v>
      </c>
      <c r="E217" s="186">
        <f t="shared" si="6"/>
        <v>74.58</v>
      </c>
      <c r="F217" s="186">
        <f>E217</f>
        <v>74.58</v>
      </c>
      <c r="G217" s="186">
        <f t="shared" si="7"/>
        <v>0</v>
      </c>
      <c r="H217" s="136">
        <v>19189247</v>
      </c>
      <c r="I217" s="311" t="s">
        <v>93</v>
      </c>
      <c r="J217" s="136" t="s">
        <v>31</v>
      </c>
      <c r="K217" s="136" t="s">
        <v>32</v>
      </c>
      <c r="L217" s="136">
        <v>99846685</v>
      </c>
      <c r="M217" s="325" t="s">
        <v>703</v>
      </c>
    </row>
    <row r="218" spans="1:15" s="325" customFormat="1" ht="21.75" customHeight="1" x14ac:dyDescent="0.25">
      <c r="A218" s="230">
        <v>3788</v>
      </c>
      <c r="B218" s="153" t="s">
        <v>523</v>
      </c>
      <c r="C218" s="231">
        <v>266</v>
      </c>
      <c r="D218" s="232">
        <v>0.3</v>
      </c>
      <c r="E218" s="232">
        <f t="shared" si="6"/>
        <v>79.8</v>
      </c>
      <c r="F218" s="232">
        <f>78.63+1.17</f>
        <v>79.8</v>
      </c>
      <c r="G218" s="232">
        <f t="shared" si="7"/>
        <v>0</v>
      </c>
      <c r="H218" s="153">
        <v>5146627</v>
      </c>
      <c r="I218" s="233" t="s">
        <v>524</v>
      </c>
      <c r="J218" s="153" t="s">
        <v>31</v>
      </c>
      <c r="K218" s="153" t="s">
        <v>32</v>
      </c>
      <c r="L218" s="153"/>
      <c r="M218" s="598">
        <v>45728</v>
      </c>
      <c r="N218" s="325" t="s">
        <v>703</v>
      </c>
    </row>
    <row r="219" spans="1:15" s="17" customFormat="1" ht="21.75" customHeight="1" x14ac:dyDescent="0.25">
      <c r="A219" s="235">
        <v>3806</v>
      </c>
      <c r="B219" s="136" t="s">
        <v>525</v>
      </c>
      <c r="C219" s="295">
        <v>216</v>
      </c>
      <c r="D219" s="149">
        <v>0.3</v>
      </c>
      <c r="E219" s="186">
        <f t="shared" si="6"/>
        <v>64.8</v>
      </c>
      <c r="F219" s="186"/>
      <c r="G219" s="186">
        <f t="shared" si="7"/>
        <v>64.8</v>
      </c>
      <c r="H219" s="136">
        <v>14457167</v>
      </c>
      <c r="I219" s="313">
        <v>3158759994700</v>
      </c>
      <c r="J219" s="136" t="s">
        <v>71</v>
      </c>
      <c r="K219" s="136" t="s">
        <v>72</v>
      </c>
      <c r="L219" s="136">
        <v>91794400</v>
      </c>
      <c r="M219" s="321"/>
    </row>
    <row r="220" spans="1:15" s="325" customFormat="1" ht="21.75" customHeight="1" x14ac:dyDescent="0.25">
      <c r="A220" s="230">
        <v>3825</v>
      </c>
      <c r="B220" s="153" t="s">
        <v>526</v>
      </c>
      <c r="C220" s="231">
        <v>198</v>
      </c>
      <c r="D220" s="232">
        <v>0.3</v>
      </c>
      <c r="E220" s="232">
        <f t="shared" si="6"/>
        <v>59.4</v>
      </c>
      <c r="F220" s="232">
        <f>1.98999999999999+54.45+2.96</f>
        <v>59.399999999999991</v>
      </c>
      <c r="G220" s="232">
        <f t="shared" si="7"/>
        <v>0</v>
      </c>
      <c r="H220" s="153">
        <v>6327337</v>
      </c>
      <c r="I220" s="603" t="s">
        <v>527</v>
      </c>
      <c r="J220" s="153" t="s">
        <v>31</v>
      </c>
      <c r="K220" s="153" t="s">
        <v>32</v>
      </c>
      <c r="L220" s="153"/>
      <c r="M220" s="598" t="s">
        <v>676</v>
      </c>
      <c r="N220" s="598" t="s">
        <v>700</v>
      </c>
      <c r="O220" s="325" t="s">
        <v>703</v>
      </c>
    </row>
    <row r="221" spans="1:15" s="325" customFormat="1" ht="21.75" customHeight="1" x14ac:dyDescent="0.25">
      <c r="A221" s="230">
        <v>3826</v>
      </c>
      <c r="B221" s="153" t="s">
        <v>200</v>
      </c>
      <c r="C221" s="231">
        <v>276.89999999999998</v>
      </c>
      <c r="D221" s="232">
        <v>0.3</v>
      </c>
      <c r="E221" s="232">
        <f t="shared" si="6"/>
        <v>83.07</v>
      </c>
      <c r="F221" s="232">
        <f>80.57+2.5</f>
        <v>83.07</v>
      </c>
      <c r="G221" s="232">
        <f t="shared" si="7"/>
        <v>0</v>
      </c>
      <c r="H221" s="153">
        <v>4919671</v>
      </c>
      <c r="I221" s="233" t="s">
        <v>201</v>
      </c>
      <c r="J221" s="153" t="s">
        <v>31</v>
      </c>
      <c r="K221" s="153" t="s">
        <v>32</v>
      </c>
      <c r="L221" s="153">
        <v>92516644</v>
      </c>
      <c r="M221" s="598" t="s">
        <v>687</v>
      </c>
      <c r="N221" s="325" t="s">
        <v>708</v>
      </c>
    </row>
    <row r="222" spans="1:15" s="17" customFormat="1" ht="21.75" customHeight="1" x14ac:dyDescent="0.25">
      <c r="A222" s="235">
        <v>3881</v>
      </c>
      <c r="B222" s="140" t="s">
        <v>529</v>
      </c>
      <c r="C222" s="295">
        <v>250.8</v>
      </c>
      <c r="D222" s="149">
        <v>0.3</v>
      </c>
      <c r="E222" s="186">
        <f t="shared" si="6"/>
        <v>75.239999999999995</v>
      </c>
      <c r="F222" s="186">
        <f>E222</f>
        <v>75.239999999999995</v>
      </c>
      <c r="G222" s="186">
        <f t="shared" si="7"/>
        <v>0</v>
      </c>
      <c r="H222" s="136">
        <v>5335138</v>
      </c>
      <c r="I222" s="311" t="s">
        <v>530</v>
      </c>
      <c r="J222" s="136" t="s">
        <v>31</v>
      </c>
      <c r="K222" s="136" t="s">
        <v>32</v>
      </c>
      <c r="L222" s="136">
        <v>92936035</v>
      </c>
      <c r="M222" s="325" t="s">
        <v>703</v>
      </c>
    </row>
    <row r="223" spans="1:15" s="17" customFormat="1" ht="21.75" customHeight="1" x14ac:dyDescent="0.25">
      <c r="A223" s="235">
        <v>3883</v>
      </c>
      <c r="B223" s="136" t="s">
        <v>531</v>
      </c>
      <c r="C223" s="295">
        <v>183.4</v>
      </c>
      <c r="D223" s="149">
        <v>0.3</v>
      </c>
      <c r="E223" s="186">
        <f t="shared" si="6"/>
        <v>55.02</v>
      </c>
      <c r="F223" s="186"/>
      <c r="G223" s="186">
        <f t="shared" si="7"/>
        <v>55.02</v>
      </c>
      <c r="H223" s="136">
        <v>18636502</v>
      </c>
      <c r="I223" s="311" t="s">
        <v>532</v>
      </c>
      <c r="J223" s="136" t="s">
        <v>90</v>
      </c>
      <c r="K223" s="136" t="s">
        <v>32</v>
      </c>
      <c r="L223" s="136" t="s">
        <v>32</v>
      </c>
      <c r="M223" s="140"/>
    </row>
    <row r="224" spans="1:15" ht="13.5" x14ac:dyDescent="0.25">
      <c r="A224" s="146"/>
      <c r="B224" s="140"/>
      <c r="C224" s="294">
        <f>SUM(C3:C223)</f>
        <v>79851.999999999985</v>
      </c>
      <c r="D224" s="149">
        <f>SUM(D3:D223)</f>
        <v>66.299999999999727</v>
      </c>
      <c r="E224" s="186">
        <f>SUM(E3:E223)</f>
        <v>23955.600000000009</v>
      </c>
      <c r="F224" s="186">
        <f t="shared" ref="F224:G224" si="8">SUM(F3:F223)</f>
        <v>17377.260000000006</v>
      </c>
      <c r="G224" s="186">
        <f t="shared" si="8"/>
        <v>6578.3399999999992</v>
      </c>
      <c r="H224" s="140"/>
      <c r="I224" s="310"/>
      <c r="J224" s="140"/>
      <c r="K224" s="140"/>
      <c r="L224" s="140"/>
      <c r="M224" s="140"/>
      <c r="N224" s="5"/>
    </row>
    <row r="225" spans="1:14" x14ac:dyDescent="0.25">
      <c r="A225" s="6"/>
      <c r="B225" s="290"/>
      <c r="C225" s="5"/>
      <c r="D225" s="64"/>
      <c r="E225" s="7"/>
      <c r="F225" s="7"/>
      <c r="G225" s="7"/>
      <c r="H225" s="7"/>
      <c r="I225" s="7"/>
      <c r="K225" s="6"/>
      <c r="M225" s="5"/>
      <c r="N225" s="5"/>
    </row>
    <row r="226" spans="1:14" x14ac:dyDescent="0.25">
      <c r="A226" s="6"/>
      <c r="B226" s="290"/>
      <c r="C226" s="10"/>
      <c r="D226" s="10"/>
      <c r="E226" s="6"/>
      <c r="F226" s="6"/>
      <c r="G226" s="6"/>
      <c r="H226" s="107"/>
      <c r="I226" s="6"/>
      <c r="J226" s="7"/>
      <c r="K226" s="6"/>
      <c r="N226" s="5"/>
    </row>
    <row r="227" spans="1:14" x14ac:dyDescent="0.25">
      <c r="L227" s="9"/>
      <c r="M227" s="9"/>
    </row>
    <row r="228" spans="1:14" x14ac:dyDescent="0.25">
      <c r="C228" s="290" t="s">
        <v>15</v>
      </c>
      <c r="E228" s="78"/>
      <c r="F228" s="78"/>
      <c r="G228" s="78"/>
    </row>
    <row r="229" spans="1:14" x14ac:dyDescent="0.25">
      <c r="I229" s="78"/>
    </row>
    <row r="230" spans="1:14" ht="21" x14ac:dyDescent="0.35">
      <c r="A230" s="66"/>
      <c r="B230" s="65"/>
      <c r="C230" s="293"/>
      <c r="D230" s="65"/>
      <c r="E230" s="4"/>
      <c r="F230" s="4"/>
      <c r="G230" s="4"/>
      <c r="H230" s="4"/>
      <c r="I230" s="4"/>
      <c r="J230" s="309"/>
      <c r="K230" s="68"/>
    </row>
    <row r="231" spans="1:14" ht="15.75" x14ac:dyDescent="0.25">
      <c r="A231" s="4"/>
      <c r="B231" s="4"/>
      <c r="C231" s="292"/>
      <c r="D231" s="4"/>
      <c r="E231" s="4"/>
      <c r="F231" s="4"/>
      <c r="G231" s="4"/>
      <c r="H231" s="4"/>
      <c r="I231" s="4"/>
      <c r="J231" s="4"/>
      <c r="K231" s="68"/>
    </row>
    <row r="232" spans="1:14" ht="15.75" x14ac:dyDescent="0.25">
      <c r="A232" s="70"/>
      <c r="B232" s="70"/>
      <c r="C232" s="291"/>
      <c r="D232" s="70"/>
      <c r="E232" s="70"/>
      <c r="F232" s="70"/>
      <c r="G232" s="70"/>
      <c r="H232" s="70"/>
      <c r="I232" s="308"/>
      <c r="J232" s="70"/>
      <c r="K232" s="72"/>
    </row>
    <row r="233" spans="1:14" ht="15.75" x14ac:dyDescent="0.25">
      <c r="A233" s="70"/>
      <c r="B233" s="70"/>
      <c r="C233" s="291"/>
      <c r="D233" s="70"/>
      <c r="E233" s="70"/>
      <c r="F233" s="70"/>
      <c r="G233" s="70"/>
      <c r="H233" s="70"/>
      <c r="I233" s="70"/>
      <c r="J233" s="70"/>
      <c r="K233" s="72"/>
    </row>
    <row r="234" spans="1:14" ht="15.75" x14ac:dyDescent="0.25">
      <c r="A234" s="70"/>
      <c r="B234" s="70"/>
      <c r="C234" s="291"/>
      <c r="D234" s="70"/>
      <c r="E234" s="70"/>
      <c r="F234" s="70"/>
      <c r="G234" s="70"/>
      <c r="H234" s="70"/>
      <c r="I234" s="70"/>
      <c r="J234" s="70"/>
      <c r="K234" s="72"/>
    </row>
  </sheetData>
  <conditionalFormatting sqref="A7">
    <cfRule type="duplicateValues" dxfId="43" priority="9"/>
  </conditionalFormatting>
  <conditionalFormatting sqref="A18:A19">
    <cfRule type="duplicateValues" dxfId="42" priority="11"/>
  </conditionalFormatting>
  <conditionalFormatting sqref="A33">
    <cfRule type="duplicateValues" dxfId="41" priority="1"/>
  </conditionalFormatting>
  <conditionalFormatting sqref="A34">
    <cfRule type="duplicateValues" dxfId="40" priority="8"/>
  </conditionalFormatting>
  <conditionalFormatting sqref="A39:A41">
    <cfRule type="duplicateValues" dxfId="39" priority="7"/>
  </conditionalFormatting>
  <conditionalFormatting sqref="A48">
    <cfRule type="duplicateValues" dxfId="38" priority="6"/>
  </conditionalFormatting>
  <conditionalFormatting sqref="A59:A61">
    <cfRule type="duplicateValues" dxfId="37" priority="5"/>
  </conditionalFormatting>
  <conditionalFormatting sqref="A63">
    <cfRule type="duplicateValues" dxfId="36" priority="4"/>
  </conditionalFormatting>
  <conditionalFormatting sqref="A78">
    <cfRule type="duplicateValues" dxfId="35" priority="3"/>
  </conditionalFormatting>
  <conditionalFormatting sqref="A79">
    <cfRule type="duplicateValues" dxfId="34" priority="2"/>
  </conditionalFormatting>
  <conditionalFormatting sqref="A206">
    <cfRule type="duplicateValues" dxfId="33" priority="10"/>
  </conditionalFormatting>
  <pageMargins left="0.7" right="0.7" top="0.75" bottom="0.75" header="0.3" footer="0.3"/>
  <pageSetup scale="5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DCFD-BE33-4AC1-8202-BEFE4FA647DD}">
  <dimension ref="A1:N237"/>
  <sheetViews>
    <sheetView view="pageBreakPreview" zoomScale="112" zoomScaleNormal="100" zoomScaleSheetLayoutView="112" workbookViewId="0">
      <selection activeCell="G2" sqref="G2"/>
    </sheetView>
  </sheetViews>
  <sheetFormatPr defaultColWidth="9" defaultRowHeight="12" x14ac:dyDescent="0.25"/>
  <cols>
    <col min="1" max="1" width="36.7109375" style="5" bestFit="1" customWidth="1"/>
    <col min="2" max="2" width="40.28515625" style="6" customWidth="1"/>
    <col min="3" max="3" width="13.42578125" style="290" customWidth="1"/>
    <col min="4" max="4" width="12" style="5" customWidth="1"/>
    <col min="5" max="7" width="21.28515625" style="5" customWidth="1"/>
    <col min="8" max="8" width="13.28515625" style="5" customWidth="1"/>
    <col min="9" max="9" width="15.42578125" style="5" hidden="1" customWidth="1"/>
    <col min="10" max="10" width="11.7109375" style="6" hidden="1" customWidth="1"/>
    <col min="11" max="11" width="15.85546875" style="7" hidden="1" customWidth="1"/>
    <col min="12" max="12" width="14.85546875" style="6" hidden="1" customWidth="1"/>
    <col min="13" max="13" width="17.85546875" style="5" customWidth="1"/>
    <col min="14" max="16384" width="9" style="5"/>
  </cols>
  <sheetData>
    <row r="1" spans="1:14" ht="34.5" customHeight="1" x14ac:dyDescent="0.25">
      <c r="A1" s="646" t="s">
        <v>698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</row>
    <row r="2" spans="1:14" ht="30" customHeight="1" x14ac:dyDescent="0.25">
      <c r="A2" s="38" t="s">
        <v>2</v>
      </c>
      <c r="B2" s="39" t="s">
        <v>3</v>
      </c>
      <c r="C2" s="303" t="s">
        <v>4</v>
      </c>
      <c r="D2" s="38" t="s">
        <v>5</v>
      </c>
      <c r="E2" s="302" t="s">
        <v>564</v>
      </c>
      <c r="F2" s="302"/>
      <c r="G2" s="302" t="s">
        <v>19</v>
      </c>
      <c r="H2" s="39" t="s">
        <v>9</v>
      </c>
      <c r="I2" s="39" t="s">
        <v>9</v>
      </c>
      <c r="J2" s="39" t="s">
        <v>9</v>
      </c>
      <c r="K2" s="39" t="s">
        <v>9</v>
      </c>
      <c r="L2" s="39" t="s">
        <v>9</v>
      </c>
      <c r="M2" s="39" t="s">
        <v>626</v>
      </c>
    </row>
    <row r="3" spans="1:14" ht="21.75" customHeight="1" x14ac:dyDescent="0.25">
      <c r="A3" s="301">
        <v>1001</v>
      </c>
      <c r="B3" s="296" t="s">
        <v>95</v>
      </c>
      <c r="C3" s="540">
        <v>92</v>
      </c>
      <c r="D3" s="149">
        <v>0.3</v>
      </c>
      <c r="E3" s="186">
        <f t="shared" ref="E3:E66" si="0">C3*D3</f>
        <v>27.599999999999998</v>
      </c>
      <c r="F3" s="186"/>
      <c r="G3" s="186">
        <f t="shared" ref="G3:G66" si="1">E3-F3</f>
        <v>27.599999999999998</v>
      </c>
      <c r="H3" s="136">
        <v>2130934</v>
      </c>
      <c r="I3" s="311" t="s">
        <v>96</v>
      </c>
      <c r="J3" s="136" t="s">
        <v>31</v>
      </c>
      <c r="K3" s="136" t="s">
        <v>32</v>
      </c>
      <c r="L3" s="136">
        <v>92911133</v>
      </c>
    </row>
    <row r="4" spans="1:14" s="325" customFormat="1" ht="21.75" customHeight="1" x14ac:dyDescent="0.25">
      <c r="A4" s="616">
        <v>1007</v>
      </c>
      <c r="B4" s="152" t="s">
        <v>213</v>
      </c>
      <c r="C4" s="614">
        <v>1039.9000000000001</v>
      </c>
      <c r="D4" s="232">
        <v>0.3</v>
      </c>
      <c r="E4" s="232">
        <f t="shared" si="0"/>
        <v>311.97000000000003</v>
      </c>
      <c r="F4" s="232">
        <f>307.95</f>
        <v>307.95</v>
      </c>
      <c r="G4" s="232">
        <f t="shared" si="1"/>
        <v>4.0200000000000387</v>
      </c>
      <c r="H4" s="233">
        <v>1515504</v>
      </c>
      <c r="I4" s="233" t="s">
        <v>214</v>
      </c>
      <c r="J4" s="153" t="s">
        <v>71</v>
      </c>
      <c r="K4" s="153" t="s">
        <v>72</v>
      </c>
      <c r="L4" s="607">
        <v>91748840</v>
      </c>
      <c r="M4" s="325" t="s">
        <v>709</v>
      </c>
    </row>
    <row r="5" spans="1:14" s="325" customFormat="1" ht="21.75" customHeight="1" x14ac:dyDescent="0.25">
      <c r="A5" s="616">
        <v>1028</v>
      </c>
      <c r="B5" s="152" t="s">
        <v>215</v>
      </c>
      <c r="C5" s="231">
        <v>191.1</v>
      </c>
      <c r="D5" s="232">
        <v>0.3</v>
      </c>
      <c r="E5" s="232">
        <f t="shared" si="0"/>
        <v>57.33</v>
      </c>
      <c r="F5" s="232">
        <v>53.489999999999995</v>
      </c>
      <c r="G5" s="232">
        <f t="shared" si="1"/>
        <v>3.8400000000000034</v>
      </c>
      <c r="H5" s="153">
        <v>802875</v>
      </c>
      <c r="I5" s="233" t="s">
        <v>216</v>
      </c>
      <c r="J5" s="153" t="s">
        <v>31</v>
      </c>
      <c r="K5" s="153" t="s">
        <v>32</v>
      </c>
      <c r="L5" s="153">
        <v>99498677</v>
      </c>
      <c r="M5" s="325" t="s">
        <v>708</v>
      </c>
    </row>
    <row r="6" spans="1:14" s="325" customFormat="1" ht="21.75" customHeight="1" x14ac:dyDescent="0.25">
      <c r="A6" s="230">
        <v>1033</v>
      </c>
      <c r="B6" s="152" t="s">
        <v>217</v>
      </c>
      <c r="C6" s="231">
        <v>671</v>
      </c>
      <c r="D6" s="232">
        <v>0.3</v>
      </c>
      <c r="E6" s="232">
        <f t="shared" si="0"/>
        <v>201.29999999999998</v>
      </c>
      <c r="F6" s="232">
        <f>0.11+198</f>
        <v>198.11</v>
      </c>
      <c r="G6" s="232">
        <f t="shared" si="1"/>
        <v>3.1899999999999693</v>
      </c>
      <c r="H6" s="153">
        <v>10132435</v>
      </c>
      <c r="I6" s="233" t="s">
        <v>218</v>
      </c>
      <c r="J6" s="153" t="s">
        <v>52</v>
      </c>
      <c r="K6" s="153" t="s">
        <v>53</v>
      </c>
      <c r="L6" s="153">
        <v>92268168</v>
      </c>
      <c r="M6" s="628" t="s">
        <v>689</v>
      </c>
      <c r="N6" s="589">
        <v>45759</v>
      </c>
    </row>
    <row r="7" spans="1:14" ht="21.75" customHeight="1" x14ac:dyDescent="0.25">
      <c r="A7" s="235">
        <v>1040</v>
      </c>
      <c r="B7" s="296" t="s">
        <v>11</v>
      </c>
      <c r="C7" s="295">
        <v>176.4</v>
      </c>
      <c r="D7" s="149">
        <v>0.3</v>
      </c>
      <c r="E7" s="186">
        <f t="shared" si="0"/>
        <v>52.92</v>
      </c>
      <c r="F7" s="186"/>
      <c r="G7" s="186">
        <f t="shared" si="1"/>
        <v>52.92</v>
      </c>
      <c r="H7" s="136">
        <v>25082374</v>
      </c>
      <c r="I7" s="311" t="s">
        <v>220</v>
      </c>
      <c r="J7" s="136" t="s">
        <v>31</v>
      </c>
      <c r="K7" s="136" t="s">
        <v>32</v>
      </c>
      <c r="L7" s="136">
        <v>99816344</v>
      </c>
    </row>
    <row r="8" spans="1:14" ht="21.75" customHeight="1" x14ac:dyDescent="0.25">
      <c r="A8" s="235">
        <v>1044</v>
      </c>
      <c r="B8" s="296" t="s">
        <v>221</v>
      </c>
      <c r="C8" s="295">
        <v>223.3</v>
      </c>
      <c r="D8" s="149">
        <v>0.3</v>
      </c>
      <c r="E8" s="186">
        <f t="shared" si="0"/>
        <v>66.989999999999995</v>
      </c>
      <c r="F8" s="186"/>
      <c r="G8" s="186">
        <f t="shared" si="1"/>
        <v>66.989999999999995</v>
      </c>
      <c r="H8" s="136">
        <v>81904</v>
      </c>
      <c r="I8" s="311" t="s">
        <v>222</v>
      </c>
      <c r="J8" s="136" t="s">
        <v>31</v>
      </c>
      <c r="K8" s="136" t="s">
        <v>32</v>
      </c>
      <c r="L8" s="136">
        <v>99494120</v>
      </c>
    </row>
    <row r="9" spans="1:14" s="325" customFormat="1" ht="21.75" customHeight="1" x14ac:dyDescent="0.25">
      <c r="A9" s="230">
        <v>1080</v>
      </c>
      <c r="B9" s="152" t="s">
        <v>223</v>
      </c>
      <c r="C9" s="231">
        <v>187.8</v>
      </c>
      <c r="D9" s="232">
        <v>0.3</v>
      </c>
      <c r="E9" s="232">
        <f t="shared" si="0"/>
        <v>56.34</v>
      </c>
      <c r="F9" s="232">
        <v>55.800000000000004</v>
      </c>
      <c r="G9" s="232">
        <f t="shared" si="1"/>
        <v>0.53999999999999915</v>
      </c>
      <c r="H9" s="153">
        <v>78762</v>
      </c>
      <c r="I9" s="233" t="s">
        <v>224</v>
      </c>
      <c r="J9" s="153" t="s">
        <v>31</v>
      </c>
      <c r="K9" s="153" t="s">
        <v>32</v>
      </c>
      <c r="L9" s="153">
        <v>92440088</v>
      </c>
      <c r="M9" s="325" t="s">
        <v>703</v>
      </c>
    </row>
    <row r="10" spans="1:14" s="325" customFormat="1" ht="21.75" customHeight="1" x14ac:dyDescent="0.25">
      <c r="A10" s="230">
        <v>1089</v>
      </c>
      <c r="B10" s="613" t="s">
        <v>225</v>
      </c>
      <c r="C10" s="231">
        <v>344.3</v>
      </c>
      <c r="D10" s="232">
        <v>0.3</v>
      </c>
      <c r="E10" s="232">
        <f t="shared" si="0"/>
        <v>103.29</v>
      </c>
      <c r="F10" s="232">
        <f>0.4+99.75</f>
        <v>100.15</v>
      </c>
      <c r="G10" s="232">
        <f t="shared" si="1"/>
        <v>3.1400000000000006</v>
      </c>
      <c r="H10" s="153">
        <v>892683</v>
      </c>
      <c r="I10" s="153" t="s">
        <v>226</v>
      </c>
      <c r="J10" s="153" t="s">
        <v>26</v>
      </c>
      <c r="K10" s="153" t="s">
        <v>27</v>
      </c>
      <c r="L10" s="153">
        <v>99506162</v>
      </c>
      <c r="M10" s="589">
        <v>45788</v>
      </c>
      <c r="N10" s="325" t="s">
        <v>703</v>
      </c>
    </row>
    <row r="11" spans="1:14" s="17" customFormat="1" ht="21.75" customHeight="1" x14ac:dyDescent="0.25">
      <c r="A11" s="235">
        <v>1096</v>
      </c>
      <c r="B11" s="296" t="s">
        <v>227</v>
      </c>
      <c r="C11" s="295">
        <v>248.7</v>
      </c>
      <c r="D11" s="149">
        <v>0.3</v>
      </c>
      <c r="E11" s="186">
        <f t="shared" si="0"/>
        <v>74.61</v>
      </c>
      <c r="F11" s="186"/>
      <c r="G11" s="186">
        <f t="shared" si="1"/>
        <v>74.61</v>
      </c>
      <c r="H11" s="136">
        <v>1959918</v>
      </c>
      <c r="I11" s="136" t="s">
        <v>228</v>
      </c>
      <c r="J11" s="136" t="s">
        <v>71</v>
      </c>
      <c r="K11" s="136" t="s">
        <v>72</v>
      </c>
      <c r="L11" s="136">
        <v>92699781</v>
      </c>
    </row>
    <row r="12" spans="1:14" s="17" customFormat="1" ht="21.75" customHeight="1" x14ac:dyDescent="0.25">
      <c r="A12" s="235">
        <v>1106</v>
      </c>
      <c r="B12" s="296" t="s">
        <v>24</v>
      </c>
      <c r="C12" s="295">
        <v>652</v>
      </c>
      <c r="D12" s="149">
        <v>0.3</v>
      </c>
      <c r="E12" s="186">
        <f t="shared" si="0"/>
        <v>195.6</v>
      </c>
      <c r="F12" s="186"/>
      <c r="G12" s="186">
        <f t="shared" si="1"/>
        <v>195.6</v>
      </c>
      <c r="H12" s="136">
        <v>5502751</v>
      </c>
      <c r="I12" s="136" t="s">
        <v>25</v>
      </c>
      <c r="J12" s="136" t="s">
        <v>26</v>
      </c>
      <c r="K12" s="136" t="s">
        <v>27</v>
      </c>
      <c r="L12" s="136">
        <v>99270001</v>
      </c>
    </row>
    <row r="13" spans="1:14" s="325" customFormat="1" ht="21.75" customHeight="1" x14ac:dyDescent="0.25">
      <c r="A13" s="230">
        <v>1110</v>
      </c>
      <c r="B13" s="152" t="s">
        <v>229</v>
      </c>
      <c r="C13" s="231">
        <v>345</v>
      </c>
      <c r="D13" s="232">
        <v>0.3</v>
      </c>
      <c r="E13" s="232">
        <f t="shared" si="0"/>
        <v>103.5</v>
      </c>
      <c r="F13" s="232">
        <v>102.6</v>
      </c>
      <c r="G13" s="232">
        <f t="shared" si="1"/>
        <v>0.90000000000000568</v>
      </c>
      <c r="H13" s="153">
        <v>934298</v>
      </c>
      <c r="I13" s="153" t="s">
        <v>230</v>
      </c>
      <c r="J13" s="153" t="s">
        <v>31</v>
      </c>
      <c r="K13" s="153" t="s">
        <v>32</v>
      </c>
      <c r="L13" s="153">
        <v>92811415</v>
      </c>
      <c r="M13" s="325" t="s">
        <v>703</v>
      </c>
    </row>
    <row r="14" spans="1:14" s="325" customFormat="1" ht="21.75" customHeight="1" x14ac:dyDescent="0.25">
      <c r="A14" s="230">
        <v>1111</v>
      </c>
      <c r="B14" s="152" t="s">
        <v>231</v>
      </c>
      <c r="C14" s="231">
        <v>297</v>
      </c>
      <c r="D14" s="232">
        <v>0.3</v>
      </c>
      <c r="E14" s="232">
        <f t="shared" si="0"/>
        <v>89.1</v>
      </c>
      <c r="F14" s="232">
        <v>86.68</v>
      </c>
      <c r="G14" s="232">
        <f t="shared" si="1"/>
        <v>2.4199999999999875</v>
      </c>
      <c r="H14" s="153">
        <v>15571992</v>
      </c>
      <c r="I14" s="233" t="s">
        <v>232</v>
      </c>
      <c r="J14" s="153" t="s">
        <v>52</v>
      </c>
      <c r="K14" s="153" t="s">
        <v>53</v>
      </c>
      <c r="L14" s="153">
        <v>92708951</v>
      </c>
      <c r="M14" s="325" t="s">
        <v>703</v>
      </c>
    </row>
    <row r="15" spans="1:14" ht="21.75" customHeight="1" x14ac:dyDescent="0.25">
      <c r="A15" s="235">
        <v>1119</v>
      </c>
      <c r="B15" s="297" t="s">
        <v>233</v>
      </c>
      <c r="C15" s="295">
        <v>294</v>
      </c>
      <c r="D15" s="149">
        <v>0.3</v>
      </c>
      <c r="E15" s="186">
        <f t="shared" si="0"/>
        <v>88.2</v>
      </c>
      <c r="F15" s="186"/>
      <c r="G15" s="186">
        <f t="shared" si="1"/>
        <v>88.2</v>
      </c>
      <c r="H15" s="136">
        <v>24000245</v>
      </c>
      <c r="I15" s="136" t="s">
        <v>234</v>
      </c>
      <c r="J15" s="136" t="s">
        <v>31</v>
      </c>
      <c r="K15" s="136" t="s">
        <v>32</v>
      </c>
      <c r="L15" s="136">
        <v>90911369</v>
      </c>
    </row>
    <row r="16" spans="1:14" ht="21.75" customHeight="1" x14ac:dyDescent="0.25">
      <c r="A16" s="230">
        <v>1122</v>
      </c>
      <c r="B16" s="152" t="s">
        <v>98</v>
      </c>
      <c r="C16" s="231">
        <v>203.3</v>
      </c>
      <c r="D16" s="232">
        <v>0.3</v>
      </c>
      <c r="E16" s="232">
        <f t="shared" si="0"/>
        <v>60.99</v>
      </c>
      <c r="F16" s="232">
        <v>60.5</v>
      </c>
      <c r="G16" s="232">
        <f t="shared" si="1"/>
        <v>0.49000000000000199</v>
      </c>
      <c r="H16" s="153">
        <v>5219876</v>
      </c>
      <c r="I16" s="153" t="s">
        <v>99</v>
      </c>
      <c r="J16" s="153" t="s">
        <v>31</v>
      </c>
      <c r="K16" s="153" t="s">
        <v>32</v>
      </c>
      <c r="L16" s="153">
        <v>99066779</v>
      </c>
      <c r="M16" s="325" t="s">
        <v>706</v>
      </c>
    </row>
    <row r="17" spans="1:14" ht="21.75" customHeight="1" x14ac:dyDescent="0.25">
      <c r="A17" s="230">
        <v>1135</v>
      </c>
      <c r="B17" s="152" t="s">
        <v>101</v>
      </c>
      <c r="C17" s="231">
        <v>386.9</v>
      </c>
      <c r="D17" s="232">
        <v>0.3</v>
      </c>
      <c r="E17" s="232">
        <f t="shared" si="0"/>
        <v>116.07</v>
      </c>
      <c r="F17" s="232">
        <v>112.60000000000001</v>
      </c>
      <c r="G17" s="232">
        <f t="shared" si="1"/>
        <v>3.4699999999999847</v>
      </c>
      <c r="H17" s="153">
        <v>19202954</v>
      </c>
      <c r="I17" s="233" t="s">
        <v>102</v>
      </c>
      <c r="J17" s="153" t="s">
        <v>52</v>
      </c>
      <c r="K17" s="153" t="s">
        <v>53</v>
      </c>
      <c r="L17" s="153">
        <v>92771786</v>
      </c>
      <c r="M17" s="325" t="s">
        <v>703</v>
      </c>
    </row>
    <row r="18" spans="1:14" s="325" customFormat="1" ht="21.75" customHeight="1" x14ac:dyDescent="0.25">
      <c r="A18" s="230">
        <v>1141</v>
      </c>
      <c r="B18" s="152" t="s">
        <v>235</v>
      </c>
      <c r="C18" s="231">
        <v>306</v>
      </c>
      <c r="D18" s="232">
        <v>0.3</v>
      </c>
      <c r="E18" s="232">
        <f t="shared" si="0"/>
        <v>91.8</v>
      </c>
      <c r="F18" s="232">
        <v>87.390000000000015</v>
      </c>
      <c r="G18" s="232">
        <f t="shared" si="1"/>
        <v>4.4099999999999824</v>
      </c>
      <c r="H18" s="153">
        <v>11753992</v>
      </c>
      <c r="I18" s="233" t="s">
        <v>236</v>
      </c>
      <c r="J18" s="153" t="s">
        <v>31</v>
      </c>
      <c r="K18" s="153" t="s">
        <v>32</v>
      </c>
      <c r="L18" s="153">
        <v>99205960</v>
      </c>
      <c r="M18" s="325" t="s">
        <v>700</v>
      </c>
    </row>
    <row r="19" spans="1:14" ht="21.75" customHeight="1" x14ac:dyDescent="0.25">
      <c r="A19" s="235">
        <v>1154</v>
      </c>
      <c r="B19" s="136" t="s">
        <v>237</v>
      </c>
      <c r="C19" s="295">
        <v>598.29999999999995</v>
      </c>
      <c r="D19" s="149">
        <v>0.3</v>
      </c>
      <c r="E19" s="186">
        <f t="shared" si="0"/>
        <v>179.48999999999998</v>
      </c>
      <c r="F19" s="186"/>
      <c r="G19" s="186">
        <f t="shared" si="1"/>
        <v>179.48999999999998</v>
      </c>
      <c r="H19" s="137">
        <v>18654817</v>
      </c>
      <c r="I19" s="311" t="s">
        <v>238</v>
      </c>
      <c r="J19" s="136" t="s">
        <v>31</v>
      </c>
      <c r="K19" s="136" t="s">
        <v>32</v>
      </c>
      <c r="L19" s="136">
        <v>98887846</v>
      </c>
    </row>
    <row r="20" spans="1:14" ht="21.75" customHeight="1" x14ac:dyDescent="0.25">
      <c r="A20" s="230">
        <v>1161</v>
      </c>
      <c r="B20" s="152" t="s">
        <v>239</v>
      </c>
      <c r="C20" s="231">
        <v>225</v>
      </c>
      <c r="D20" s="232">
        <v>0.3</v>
      </c>
      <c r="E20" s="232">
        <f t="shared" si="0"/>
        <v>67.5</v>
      </c>
      <c r="F20" s="232">
        <v>65.960000000000008</v>
      </c>
      <c r="G20" s="232">
        <f t="shared" si="1"/>
        <v>1.539999999999992</v>
      </c>
      <c r="H20" s="153">
        <v>257926</v>
      </c>
      <c r="I20" s="233" t="s">
        <v>240</v>
      </c>
      <c r="J20" s="153" t="s">
        <v>71</v>
      </c>
      <c r="K20" s="153" t="s">
        <v>72</v>
      </c>
      <c r="L20" s="153">
        <v>99589267</v>
      </c>
      <c r="M20" s="325" t="s">
        <v>706</v>
      </c>
    </row>
    <row r="21" spans="1:14" ht="21.75" customHeight="1" x14ac:dyDescent="0.25">
      <c r="A21" s="230">
        <v>1168</v>
      </c>
      <c r="B21" s="152" t="s">
        <v>241</v>
      </c>
      <c r="C21" s="231">
        <v>360</v>
      </c>
      <c r="D21" s="232">
        <v>0.3</v>
      </c>
      <c r="E21" s="232">
        <f t="shared" si="0"/>
        <v>108</v>
      </c>
      <c r="F21" s="232">
        <f>0.04+103.95</f>
        <v>103.99000000000001</v>
      </c>
      <c r="G21" s="232">
        <f t="shared" si="1"/>
        <v>4.0099999999999909</v>
      </c>
      <c r="H21" s="153">
        <v>15498714</v>
      </c>
      <c r="I21" s="233" t="s">
        <v>573</v>
      </c>
      <c r="J21" s="153" t="s">
        <v>31</v>
      </c>
      <c r="K21" s="153" t="s">
        <v>32</v>
      </c>
      <c r="L21" s="153">
        <v>99292524</v>
      </c>
      <c r="M21" s="325" t="s">
        <v>688</v>
      </c>
      <c r="N21" s="325" t="s">
        <v>703</v>
      </c>
    </row>
    <row r="22" spans="1:14" ht="21.75" customHeight="1" x14ac:dyDescent="0.25">
      <c r="A22" s="235">
        <v>1177</v>
      </c>
      <c r="B22" s="297" t="s">
        <v>243</v>
      </c>
      <c r="C22" s="295">
        <v>194.1</v>
      </c>
      <c r="D22" s="149">
        <v>0.3</v>
      </c>
      <c r="E22" s="186">
        <f t="shared" si="0"/>
        <v>58.23</v>
      </c>
      <c r="F22" s="186"/>
      <c r="G22" s="186">
        <f t="shared" si="1"/>
        <v>58.23</v>
      </c>
      <c r="H22" s="136">
        <v>219353</v>
      </c>
      <c r="I22" s="311" t="s">
        <v>244</v>
      </c>
      <c r="J22" s="136" t="s">
        <v>52</v>
      </c>
      <c r="K22" s="136" t="s">
        <v>53</v>
      </c>
      <c r="L22" s="138">
        <v>99485534</v>
      </c>
    </row>
    <row r="23" spans="1:14" s="325" customFormat="1" ht="21.75" customHeight="1" x14ac:dyDescent="0.25">
      <c r="A23" s="230">
        <v>1224</v>
      </c>
      <c r="B23" s="152" t="s">
        <v>247</v>
      </c>
      <c r="C23" s="231">
        <v>465</v>
      </c>
      <c r="D23" s="232">
        <v>0.3</v>
      </c>
      <c r="E23" s="232">
        <f t="shared" si="0"/>
        <v>139.5</v>
      </c>
      <c r="F23" s="232">
        <v>139.35</v>
      </c>
      <c r="G23" s="232">
        <f t="shared" si="1"/>
        <v>0.15000000000000568</v>
      </c>
      <c r="H23" s="153">
        <v>24911691</v>
      </c>
      <c r="I23" s="242" t="s">
        <v>248</v>
      </c>
      <c r="J23" s="153" t="s">
        <v>31</v>
      </c>
      <c r="K23" s="153" t="s">
        <v>32</v>
      </c>
      <c r="L23" s="153">
        <v>99192216</v>
      </c>
      <c r="M23" s="325" t="s">
        <v>703</v>
      </c>
    </row>
    <row r="24" spans="1:14" s="17" customFormat="1" ht="21.75" customHeight="1" x14ac:dyDescent="0.25">
      <c r="A24" s="235">
        <v>1225</v>
      </c>
      <c r="B24" s="296" t="s">
        <v>249</v>
      </c>
      <c r="C24" s="295">
        <v>381</v>
      </c>
      <c r="D24" s="149">
        <v>0.3</v>
      </c>
      <c r="E24" s="186">
        <f t="shared" si="0"/>
        <v>114.3</v>
      </c>
      <c r="F24" s="186"/>
      <c r="G24" s="186">
        <f t="shared" si="1"/>
        <v>114.3</v>
      </c>
      <c r="H24" s="136">
        <v>9642357</v>
      </c>
      <c r="I24" s="317" t="s">
        <v>250</v>
      </c>
      <c r="J24" s="136" t="s">
        <v>251</v>
      </c>
      <c r="K24" s="136" t="s">
        <v>252</v>
      </c>
      <c r="L24" s="136">
        <v>99777877</v>
      </c>
    </row>
    <row r="25" spans="1:14" s="325" customFormat="1" ht="21.75" customHeight="1" x14ac:dyDescent="0.25">
      <c r="A25" s="230">
        <v>1235</v>
      </c>
      <c r="B25" s="591" t="s">
        <v>253</v>
      </c>
      <c r="C25" s="231">
        <v>435</v>
      </c>
      <c r="D25" s="232">
        <v>0.3</v>
      </c>
      <c r="E25" s="232">
        <f t="shared" si="0"/>
        <v>130.5</v>
      </c>
      <c r="F25" s="232">
        <v>128.75</v>
      </c>
      <c r="G25" s="232">
        <f t="shared" si="1"/>
        <v>1.75</v>
      </c>
      <c r="H25" s="593">
        <v>1992436</v>
      </c>
      <c r="I25" s="611" t="s">
        <v>254</v>
      </c>
      <c r="J25" s="327" t="s">
        <v>90</v>
      </c>
      <c r="K25" s="153" t="s">
        <v>32</v>
      </c>
      <c r="L25" s="327">
        <v>99484668</v>
      </c>
      <c r="M25" s="325" t="s">
        <v>703</v>
      </c>
    </row>
    <row r="26" spans="1:14" s="325" customFormat="1" ht="21.75" customHeight="1" x14ac:dyDescent="0.25">
      <c r="A26" s="230">
        <v>1241</v>
      </c>
      <c r="B26" s="152" t="s">
        <v>255</v>
      </c>
      <c r="C26" s="231">
        <v>375.6</v>
      </c>
      <c r="D26" s="232">
        <v>0.3</v>
      </c>
      <c r="E26" s="232">
        <f t="shared" si="0"/>
        <v>112.68</v>
      </c>
      <c r="F26" s="232">
        <v>111.74</v>
      </c>
      <c r="G26" s="232">
        <f t="shared" si="1"/>
        <v>0.94000000000001194</v>
      </c>
      <c r="H26" s="153">
        <v>5343254</v>
      </c>
      <c r="I26" s="153" t="s">
        <v>256</v>
      </c>
      <c r="J26" s="153" t="s">
        <v>31</v>
      </c>
      <c r="K26" s="153" t="s">
        <v>32</v>
      </c>
      <c r="L26" s="153">
        <v>98964664</v>
      </c>
      <c r="M26" s="325" t="s">
        <v>703</v>
      </c>
    </row>
    <row r="27" spans="1:14" s="325" customFormat="1" ht="21.75" customHeight="1" x14ac:dyDescent="0.25">
      <c r="A27" s="230">
        <v>1247</v>
      </c>
      <c r="B27" s="152" t="s">
        <v>103</v>
      </c>
      <c r="C27" s="231">
        <v>360</v>
      </c>
      <c r="D27" s="232">
        <v>0.3</v>
      </c>
      <c r="E27" s="232">
        <f t="shared" si="0"/>
        <v>108</v>
      </c>
      <c r="F27" s="232">
        <v>103.85</v>
      </c>
      <c r="G27" s="232">
        <f t="shared" si="1"/>
        <v>4.1500000000000057</v>
      </c>
      <c r="H27" s="153">
        <v>4748561</v>
      </c>
      <c r="I27" s="233" t="s">
        <v>104</v>
      </c>
      <c r="J27" s="153" t="s">
        <v>52</v>
      </c>
      <c r="K27" s="153" t="s">
        <v>53</v>
      </c>
      <c r="L27" s="153">
        <v>92345282</v>
      </c>
      <c r="M27" s="325" t="s">
        <v>703</v>
      </c>
    </row>
    <row r="28" spans="1:14" ht="21.75" customHeight="1" x14ac:dyDescent="0.25">
      <c r="A28" s="235">
        <v>1252</v>
      </c>
      <c r="B28" s="296" t="s">
        <v>258</v>
      </c>
      <c r="C28" s="295">
        <v>320.8</v>
      </c>
      <c r="D28" s="149">
        <v>0.3</v>
      </c>
      <c r="E28" s="186">
        <f t="shared" si="0"/>
        <v>96.24</v>
      </c>
      <c r="F28" s="186"/>
      <c r="G28" s="186">
        <f t="shared" si="1"/>
        <v>96.24</v>
      </c>
      <c r="H28" s="136">
        <v>2433959</v>
      </c>
      <c r="I28" s="311" t="s">
        <v>259</v>
      </c>
      <c r="J28" s="136" t="s">
        <v>52</v>
      </c>
      <c r="K28" s="136" t="s">
        <v>53</v>
      </c>
      <c r="L28" s="136">
        <v>93555999</v>
      </c>
    </row>
    <row r="29" spans="1:14" s="325" customFormat="1" ht="21.75" customHeight="1" x14ac:dyDescent="0.25">
      <c r="A29" s="230">
        <v>1258</v>
      </c>
      <c r="B29" s="152" t="s">
        <v>105</v>
      </c>
      <c r="C29" s="231">
        <v>477</v>
      </c>
      <c r="D29" s="232">
        <v>0.3</v>
      </c>
      <c r="E29" s="232">
        <f t="shared" si="0"/>
        <v>143.1</v>
      </c>
      <c r="F29" s="232">
        <v>140.44</v>
      </c>
      <c r="G29" s="232">
        <f t="shared" si="1"/>
        <v>2.6599999999999966</v>
      </c>
      <c r="H29" s="153">
        <v>1924174</v>
      </c>
      <c r="I29" s="153" t="s">
        <v>106</v>
      </c>
      <c r="J29" s="153" t="s">
        <v>52</v>
      </c>
      <c r="K29" s="153" t="s">
        <v>53</v>
      </c>
      <c r="L29" s="153">
        <v>99297990</v>
      </c>
      <c r="M29" s="325" t="s">
        <v>703</v>
      </c>
    </row>
    <row r="30" spans="1:14" s="325" customFormat="1" ht="21.75" customHeight="1" x14ac:dyDescent="0.25">
      <c r="A30" s="230">
        <v>1260</v>
      </c>
      <c r="B30" s="152" t="s">
        <v>260</v>
      </c>
      <c r="C30" s="231">
        <v>420</v>
      </c>
      <c r="D30" s="232">
        <v>0.3</v>
      </c>
      <c r="E30" s="232">
        <f t="shared" si="0"/>
        <v>126</v>
      </c>
      <c r="F30" s="232">
        <v>124.01</v>
      </c>
      <c r="G30" s="232">
        <f t="shared" si="1"/>
        <v>1.9899999999999949</v>
      </c>
      <c r="H30" s="153">
        <v>18363579</v>
      </c>
      <c r="I30" s="602" t="s">
        <v>261</v>
      </c>
      <c r="J30" s="153" t="s">
        <v>52</v>
      </c>
      <c r="K30" s="153" t="s">
        <v>53</v>
      </c>
      <c r="L30" s="153">
        <v>98217444</v>
      </c>
      <c r="M30" s="325" t="s">
        <v>703</v>
      </c>
    </row>
    <row r="31" spans="1:14" s="325" customFormat="1" ht="21.75" customHeight="1" x14ac:dyDescent="0.25">
      <c r="A31" s="230">
        <v>1261</v>
      </c>
      <c r="B31" s="153" t="s">
        <v>107</v>
      </c>
      <c r="C31" s="231">
        <v>197.1</v>
      </c>
      <c r="D31" s="232">
        <v>0.3</v>
      </c>
      <c r="E31" s="232">
        <f t="shared" si="0"/>
        <v>59.129999999999995</v>
      </c>
      <c r="F31" s="232">
        <v>55.478000000000002</v>
      </c>
      <c r="G31" s="232">
        <f t="shared" si="1"/>
        <v>3.6519999999999939</v>
      </c>
      <c r="H31" s="153">
        <v>14429332</v>
      </c>
      <c r="I31" s="233" t="s">
        <v>574</v>
      </c>
      <c r="J31" s="153" t="s">
        <v>31</v>
      </c>
      <c r="K31" s="153" t="s">
        <v>32</v>
      </c>
      <c r="L31" s="153">
        <v>92939445</v>
      </c>
      <c r="M31" s="325" t="s">
        <v>703</v>
      </c>
    </row>
    <row r="32" spans="1:14" s="325" customFormat="1" ht="21.75" customHeight="1" x14ac:dyDescent="0.25">
      <c r="A32" s="230">
        <v>1268</v>
      </c>
      <c r="B32" s="152" t="s">
        <v>109</v>
      </c>
      <c r="C32" s="231">
        <v>287</v>
      </c>
      <c r="D32" s="232">
        <v>0.3</v>
      </c>
      <c r="E32" s="232">
        <f t="shared" si="0"/>
        <v>86.1</v>
      </c>
      <c r="F32" s="232">
        <v>82.69</v>
      </c>
      <c r="G32" s="232">
        <f t="shared" si="1"/>
        <v>3.4099999999999966</v>
      </c>
      <c r="H32" s="153">
        <v>722058</v>
      </c>
      <c r="I32" s="233" t="s">
        <v>110</v>
      </c>
      <c r="J32" s="153" t="s">
        <v>31</v>
      </c>
      <c r="K32" s="153" t="s">
        <v>32</v>
      </c>
      <c r="L32" s="153">
        <v>92848609</v>
      </c>
      <c r="M32" s="325" t="s">
        <v>703</v>
      </c>
    </row>
    <row r="33" spans="1:13" s="633" customFormat="1" ht="21.75" customHeight="1" x14ac:dyDescent="0.25">
      <c r="A33" s="638">
        <v>1281</v>
      </c>
      <c r="B33" s="637"/>
      <c r="C33" s="636">
        <v>26</v>
      </c>
      <c r="D33" s="149">
        <v>0.3</v>
      </c>
      <c r="E33" s="186">
        <f t="shared" si="0"/>
        <v>7.8</v>
      </c>
      <c r="F33" s="186"/>
      <c r="G33" s="186">
        <f t="shared" si="1"/>
        <v>7.8</v>
      </c>
      <c r="H33" s="634"/>
      <c r="I33" s="635"/>
      <c r="J33" s="634"/>
      <c r="K33" s="634"/>
      <c r="L33" s="634"/>
    </row>
    <row r="34" spans="1:13" s="325" customFormat="1" ht="21.75" customHeight="1" x14ac:dyDescent="0.25">
      <c r="A34" s="230">
        <v>1282</v>
      </c>
      <c r="B34" s="152" t="s">
        <v>111</v>
      </c>
      <c r="C34" s="231">
        <v>405</v>
      </c>
      <c r="D34" s="232">
        <v>0.3</v>
      </c>
      <c r="E34" s="232">
        <f t="shared" si="0"/>
        <v>121.5</v>
      </c>
      <c r="F34" s="232">
        <v>120.24999999999999</v>
      </c>
      <c r="G34" s="232">
        <f t="shared" si="1"/>
        <v>1.2500000000000142</v>
      </c>
      <c r="H34" s="153">
        <v>2997747</v>
      </c>
      <c r="I34" s="233" t="s">
        <v>112</v>
      </c>
      <c r="J34" s="153" t="s">
        <v>71</v>
      </c>
      <c r="K34" s="153" t="s">
        <v>72</v>
      </c>
      <c r="L34" s="153">
        <v>92660969</v>
      </c>
      <c r="M34" s="325" t="s">
        <v>703</v>
      </c>
    </row>
    <row r="35" spans="1:13" s="325" customFormat="1" ht="21.75" customHeight="1" x14ac:dyDescent="0.25">
      <c r="A35" s="230">
        <v>1284</v>
      </c>
      <c r="B35" s="152" t="s">
        <v>115</v>
      </c>
      <c r="C35" s="231">
        <v>390</v>
      </c>
      <c r="D35" s="232">
        <v>0.3</v>
      </c>
      <c r="E35" s="232">
        <f t="shared" si="0"/>
        <v>117</v>
      </c>
      <c r="F35" s="232">
        <f>114.8</f>
        <v>114.8</v>
      </c>
      <c r="G35" s="232">
        <f t="shared" si="1"/>
        <v>2.2000000000000028</v>
      </c>
      <c r="H35" s="153">
        <v>1177598</v>
      </c>
      <c r="I35" s="233" t="s">
        <v>116</v>
      </c>
      <c r="J35" s="153" t="s">
        <v>52</v>
      </c>
      <c r="K35" s="153" t="s">
        <v>53</v>
      </c>
      <c r="L35" s="153">
        <v>92825228</v>
      </c>
      <c r="M35" s="325" t="s">
        <v>703</v>
      </c>
    </row>
    <row r="36" spans="1:13" ht="21.75" customHeight="1" x14ac:dyDescent="0.25">
      <c r="A36" s="235">
        <v>1300</v>
      </c>
      <c r="B36" s="300" t="s">
        <v>263</v>
      </c>
      <c r="C36" s="295">
        <v>397.5</v>
      </c>
      <c r="D36" s="149">
        <v>0.3</v>
      </c>
      <c r="E36" s="186">
        <f t="shared" si="0"/>
        <v>119.25</v>
      </c>
      <c r="F36" s="186"/>
      <c r="G36" s="186">
        <f t="shared" si="1"/>
        <v>119.25</v>
      </c>
      <c r="H36" s="139">
        <v>19534277</v>
      </c>
      <c r="I36" s="311" t="s">
        <v>264</v>
      </c>
      <c r="J36" s="136" t="s">
        <v>31</v>
      </c>
      <c r="K36" s="136" t="s">
        <v>32</v>
      </c>
      <c r="L36" s="136">
        <v>99710505</v>
      </c>
    </row>
    <row r="37" spans="1:13" s="325" customFormat="1" ht="21.75" customHeight="1" x14ac:dyDescent="0.25">
      <c r="A37" s="230">
        <v>1306</v>
      </c>
      <c r="B37" s="604" t="s">
        <v>265</v>
      </c>
      <c r="C37" s="231">
        <v>240</v>
      </c>
      <c r="D37" s="232">
        <v>0.3</v>
      </c>
      <c r="E37" s="232">
        <f t="shared" si="0"/>
        <v>72</v>
      </c>
      <c r="F37" s="232">
        <v>70.900000000000006</v>
      </c>
      <c r="G37" s="232">
        <f t="shared" si="1"/>
        <v>1.0999999999999943</v>
      </c>
      <c r="H37" s="597">
        <v>2006904</v>
      </c>
      <c r="I37" s="592" t="s">
        <v>266</v>
      </c>
      <c r="J37" s="597" t="s">
        <v>31</v>
      </c>
      <c r="K37" s="153" t="s">
        <v>32</v>
      </c>
      <c r="L37" s="597">
        <v>96137717</v>
      </c>
      <c r="M37" s="325" t="s">
        <v>703</v>
      </c>
    </row>
    <row r="38" spans="1:13" ht="21.75" customHeight="1" x14ac:dyDescent="0.25">
      <c r="A38" s="235">
        <v>1315</v>
      </c>
      <c r="B38" s="296" t="s">
        <v>267</v>
      </c>
      <c r="C38" s="295">
        <v>207.9</v>
      </c>
      <c r="D38" s="149">
        <v>0.3</v>
      </c>
      <c r="E38" s="186">
        <f t="shared" si="0"/>
        <v>62.37</v>
      </c>
      <c r="F38" s="186"/>
      <c r="G38" s="186">
        <f t="shared" si="1"/>
        <v>62.37</v>
      </c>
      <c r="H38" s="136">
        <v>19528845</v>
      </c>
      <c r="I38" s="311" t="s">
        <v>268</v>
      </c>
      <c r="J38" s="136" t="s">
        <v>31</v>
      </c>
      <c r="K38" s="136" t="s">
        <v>32</v>
      </c>
      <c r="L38" s="136">
        <v>92432606</v>
      </c>
    </row>
    <row r="39" spans="1:13" s="325" customFormat="1" ht="21.75" customHeight="1" x14ac:dyDescent="0.25">
      <c r="A39" s="230">
        <v>1328</v>
      </c>
      <c r="B39" s="152" t="s">
        <v>117</v>
      </c>
      <c r="C39" s="231">
        <v>267.60000000000002</v>
      </c>
      <c r="D39" s="232">
        <v>0.3</v>
      </c>
      <c r="E39" s="232">
        <f t="shared" si="0"/>
        <v>80.28</v>
      </c>
      <c r="F39" s="232">
        <v>79.72999999999999</v>
      </c>
      <c r="G39" s="232">
        <f t="shared" si="1"/>
        <v>0.55000000000001137</v>
      </c>
      <c r="H39" s="153">
        <v>782833</v>
      </c>
      <c r="I39" s="233" t="s">
        <v>118</v>
      </c>
      <c r="J39" s="153" t="s">
        <v>52</v>
      </c>
      <c r="K39" s="153" t="s">
        <v>53</v>
      </c>
      <c r="L39" s="153">
        <v>92475895</v>
      </c>
      <c r="M39" s="325" t="s">
        <v>703</v>
      </c>
    </row>
    <row r="40" spans="1:13" s="325" customFormat="1" ht="21.75" customHeight="1" x14ac:dyDescent="0.25">
      <c r="A40" s="230">
        <v>1330</v>
      </c>
      <c r="B40" s="591" t="s">
        <v>119</v>
      </c>
      <c r="C40" s="231">
        <v>395.5</v>
      </c>
      <c r="D40" s="232">
        <v>0.3</v>
      </c>
      <c r="E40" s="232">
        <f t="shared" si="0"/>
        <v>118.64999999999999</v>
      </c>
      <c r="F40" s="232">
        <f>116.88</f>
        <v>116.88</v>
      </c>
      <c r="G40" s="232">
        <f t="shared" si="1"/>
        <v>1.769999999999996</v>
      </c>
      <c r="H40" s="153">
        <v>12194826</v>
      </c>
      <c r="I40" s="233" t="s">
        <v>120</v>
      </c>
      <c r="J40" s="153" t="s">
        <v>121</v>
      </c>
      <c r="K40" s="153" t="s">
        <v>122</v>
      </c>
      <c r="L40" s="153">
        <v>91299100</v>
      </c>
      <c r="M40" s="589">
        <v>45788</v>
      </c>
    </row>
    <row r="41" spans="1:13" s="325" customFormat="1" ht="21.75" customHeight="1" x14ac:dyDescent="0.25">
      <c r="A41" s="230">
        <v>1331</v>
      </c>
      <c r="B41" s="152" t="s">
        <v>269</v>
      </c>
      <c r="C41" s="231">
        <v>225</v>
      </c>
      <c r="D41" s="232">
        <v>0.3</v>
      </c>
      <c r="E41" s="232">
        <f t="shared" si="0"/>
        <v>67.5</v>
      </c>
      <c r="F41" s="232">
        <v>64.099999999999994</v>
      </c>
      <c r="G41" s="232">
        <f t="shared" si="1"/>
        <v>3.4000000000000057</v>
      </c>
      <c r="H41" s="153">
        <v>2107763</v>
      </c>
      <c r="I41" s="233" t="s">
        <v>270</v>
      </c>
      <c r="J41" s="153" t="s">
        <v>71</v>
      </c>
      <c r="K41" s="153" t="s">
        <v>72</v>
      </c>
      <c r="L41" s="153">
        <v>93536009</v>
      </c>
      <c r="M41" s="325" t="s">
        <v>708</v>
      </c>
    </row>
    <row r="42" spans="1:13" ht="21.75" customHeight="1" x14ac:dyDescent="0.25">
      <c r="A42" s="235">
        <v>1333</v>
      </c>
      <c r="B42" s="296" t="s">
        <v>29</v>
      </c>
      <c r="C42" s="295">
        <v>346.5</v>
      </c>
      <c r="D42" s="149">
        <v>0.3</v>
      </c>
      <c r="E42" s="186">
        <f t="shared" si="0"/>
        <v>103.95</v>
      </c>
      <c r="F42" s="186"/>
      <c r="G42" s="186">
        <f t="shared" si="1"/>
        <v>103.95</v>
      </c>
      <c r="H42" s="136">
        <v>1736679</v>
      </c>
      <c r="I42" s="311" t="s">
        <v>30</v>
      </c>
      <c r="J42" s="136" t="s">
        <v>31</v>
      </c>
      <c r="K42" s="136" t="s">
        <v>32</v>
      </c>
      <c r="L42" s="136">
        <v>99482212</v>
      </c>
      <c r="M42" s="325" t="s">
        <v>708</v>
      </c>
    </row>
    <row r="43" spans="1:13" s="325" customFormat="1" ht="21.75" customHeight="1" x14ac:dyDescent="0.25">
      <c r="A43" s="230">
        <v>1382</v>
      </c>
      <c r="B43" s="152" t="s">
        <v>34</v>
      </c>
      <c r="C43" s="231">
        <v>393.2</v>
      </c>
      <c r="D43" s="232">
        <v>0.3</v>
      </c>
      <c r="E43" s="232">
        <f t="shared" si="0"/>
        <v>117.96</v>
      </c>
      <c r="F43" s="232">
        <v>115.44</v>
      </c>
      <c r="G43" s="232">
        <f t="shared" si="1"/>
        <v>2.519999999999996</v>
      </c>
      <c r="H43" s="153">
        <v>886492</v>
      </c>
      <c r="I43" s="233" t="s">
        <v>35</v>
      </c>
      <c r="J43" s="153" t="s">
        <v>31</v>
      </c>
      <c r="K43" s="153" t="s">
        <v>32</v>
      </c>
      <c r="L43" s="153">
        <v>99494166</v>
      </c>
      <c r="M43" s="325" t="s">
        <v>703</v>
      </c>
    </row>
    <row r="44" spans="1:13" ht="21.75" customHeight="1" x14ac:dyDescent="0.25">
      <c r="A44" s="235">
        <v>1384</v>
      </c>
      <c r="B44" s="296" t="s">
        <v>37</v>
      </c>
      <c r="C44" s="295">
        <v>66</v>
      </c>
      <c r="D44" s="149">
        <v>0.3</v>
      </c>
      <c r="E44" s="186">
        <f t="shared" si="0"/>
        <v>19.8</v>
      </c>
      <c r="F44" s="186"/>
      <c r="G44" s="186">
        <f t="shared" si="1"/>
        <v>19.8</v>
      </c>
      <c r="H44" s="136">
        <v>4426701</v>
      </c>
      <c r="I44" s="311" t="s">
        <v>38</v>
      </c>
      <c r="J44" s="136" t="s">
        <v>31</v>
      </c>
      <c r="K44" s="136" t="s">
        <v>32</v>
      </c>
      <c r="L44" s="136">
        <v>92634991</v>
      </c>
    </row>
    <row r="45" spans="1:13" s="325" customFormat="1" ht="21.75" customHeight="1" x14ac:dyDescent="0.25">
      <c r="A45" s="230">
        <v>1386</v>
      </c>
      <c r="B45" s="152" t="s">
        <v>39</v>
      </c>
      <c r="C45" s="231">
        <v>480</v>
      </c>
      <c r="D45" s="232">
        <v>0.3</v>
      </c>
      <c r="E45" s="232">
        <f t="shared" si="0"/>
        <v>144</v>
      </c>
      <c r="F45" s="232">
        <v>140.34</v>
      </c>
      <c r="G45" s="232">
        <f t="shared" si="1"/>
        <v>3.6599999999999966</v>
      </c>
      <c r="H45" s="153">
        <v>711799</v>
      </c>
      <c r="I45" s="233" t="s">
        <v>40</v>
      </c>
      <c r="J45" s="153" t="s">
        <v>31</v>
      </c>
      <c r="K45" s="153" t="s">
        <v>32</v>
      </c>
      <c r="L45" s="153">
        <v>92394924</v>
      </c>
      <c r="M45" s="325" t="s">
        <v>703</v>
      </c>
    </row>
    <row r="46" spans="1:13" ht="21.75" customHeight="1" x14ac:dyDescent="0.25">
      <c r="A46" s="235">
        <v>1387</v>
      </c>
      <c r="B46" s="296" t="s">
        <v>271</v>
      </c>
      <c r="C46" s="295">
        <v>387.8</v>
      </c>
      <c r="D46" s="149">
        <v>0.3</v>
      </c>
      <c r="E46" s="186">
        <f t="shared" si="0"/>
        <v>116.34</v>
      </c>
      <c r="F46" s="186"/>
      <c r="G46" s="186">
        <f t="shared" si="1"/>
        <v>116.34</v>
      </c>
      <c r="H46" s="136">
        <v>6759716</v>
      </c>
      <c r="I46" s="311" t="s">
        <v>272</v>
      </c>
      <c r="J46" s="136" t="s">
        <v>71</v>
      </c>
      <c r="K46" s="136" t="s">
        <v>72</v>
      </c>
      <c r="L46" s="136">
        <v>91907675</v>
      </c>
    </row>
    <row r="47" spans="1:13" ht="21.75" customHeight="1" x14ac:dyDescent="0.25">
      <c r="A47" s="235">
        <v>1388</v>
      </c>
      <c r="B47" s="296" t="s">
        <v>273</v>
      </c>
      <c r="C47" s="295">
        <v>228.5</v>
      </c>
      <c r="D47" s="149">
        <v>0.3</v>
      </c>
      <c r="E47" s="186">
        <f t="shared" si="0"/>
        <v>68.55</v>
      </c>
      <c r="F47" s="186"/>
      <c r="G47" s="186">
        <f t="shared" si="1"/>
        <v>68.55</v>
      </c>
      <c r="H47" s="136">
        <v>18610874</v>
      </c>
      <c r="I47" s="311" t="s">
        <v>274</v>
      </c>
      <c r="J47" s="136" t="s">
        <v>52</v>
      </c>
      <c r="K47" s="136" t="s">
        <v>53</v>
      </c>
      <c r="L47" s="136">
        <v>93955577</v>
      </c>
    </row>
    <row r="48" spans="1:13" ht="21.75" customHeight="1" x14ac:dyDescent="0.25">
      <c r="A48" s="230">
        <v>1389</v>
      </c>
      <c r="B48" s="152" t="s">
        <v>275</v>
      </c>
      <c r="C48" s="231">
        <v>600</v>
      </c>
      <c r="D48" s="232">
        <v>0.3</v>
      </c>
      <c r="E48" s="232">
        <f t="shared" si="0"/>
        <v>180</v>
      </c>
      <c r="F48" s="232">
        <v>179.2</v>
      </c>
      <c r="G48" s="232">
        <f t="shared" si="1"/>
        <v>0.80000000000001137</v>
      </c>
      <c r="H48" s="153">
        <v>1036354</v>
      </c>
      <c r="I48" s="233" t="s">
        <v>276</v>
      </c>
      <c r="J48" s="153" t="s">
        <v>52</v>
      </c>
      <c r="K48" s="153" t="s">
        <v>53</v>
      </c>
      <c r="L48" s="153">
        <v>92413881</v>
      </c>
      <c r="M48" s="325" t="s">
        <v>706</v>
      </c>
    </row>
    <row r="49" spans="1:13" s="325" customFormat="1" ht="21.75" customHeight="1" x14ac:dyDescent="0.25">
      <c r="A49" s="230">
        <v>1394</v>
      </c>
      <c r="B49" s="152" t="s">
        <v>277</v>
      </c>
      <c r="C49" s="231">
        <v>253</v>
      </c>
      <c r="D49" s="232">
        <v>0.3</v>
      </c>
      <c r="E49" s="232">
        <f t="shared" si="0"/>
        <v>75.899999999999991</v>
      </c>
      <c r="F49" s="232">
        <v>75.460000000000008</v>
      </c>
      <c r="G49" s="232">
        <f t="shared" si="1"/>
        <v>0.43999999999998352</v>
      </c>
      <c r="H49" s="153">
        <v>25656187</v>
      </c>
      <c r="I49" s="153" t="s">
        <v>278</v>
      </c>
      <c r="J49" s="153" t="s">
        <v>31</v>
      </c>
      <c r="K49" s="233" t="s">
        <v>32</v>
      </c>
      <c r="L49" s="153">
        <v>98987848</v>
      </c>
      <c r="M49" s="589">
        <v>45788</v>
      </c>
    </row>
    <row r="50" spans="1:13" s="325" customFormat="1" ht="21.75" customHeight="1" x14ac:dyDescent="0.25">
      <c r="A50" s="230">
        <v>1396</v>
      </c>
      <c r="B50" s="152" t="s">
        <v>123</v>
      </c>
      <c r="C50" s="231">
        <v>266.39999999999998</v>
      </c>
      <c r="D50" s="232">
        <v>0.3</v>
      </c>
      <c r="E50" s="232">
        <f t="shared" si="0"/>
        <v>79.919999999999987</v>
      </c>
      <c r="F50" s="232">
        <v>75.41</v>
      </c>
      <c r="G50" s="232">
        <f t="shared" si="1"/>
        <v>4.5099999999999909</v>
      </c>
      <c r="H50" s="153">
        <v>905845</v>
      </c>
      <c r="I50" s="233" t="s">
        <v>124</v>
      </c>
      <c r="J50" s="153" t="s">
        <v>31</v>
      </c>
      <c r="K50" s="153" t="s">
        <v>32</v>
      </c>
      <c r="L50" s="153">
        <v>99696204</v>
      </c>
      <c r="M50" s="325" t="s">
        <v>703</v>
      </c>
    </row>
    <row r="51" spans="1:13" s="325" customFormat="1" ht="21.75" customHeight="1" x14ac:dyDescent="0.25">
      <c r="A51" s="230">
        <v>1397</v>
      </c>
      <c r="B51" s="152" t="s">
        <v>125</v>
      </c>
      <c r="C51" s="231">
        <v>222.7</v>
      </c>
      <c r="D51" s="232">
        <v>0.3</v>
      </c>
      <c r="E51" s="232">
        <f t="shared" si="0"/>
        <v>66.809999999999988</v>
      </c>
      <c r="F51" s="232">
        <v>64.69</v>
      </c>
      <c r="G51" s="232">
        <f t="shared" si="1"/>
        <v>2.1199999999999903</v>
      </c>
      <c r="H51" s="153">
        <v>1292885</v>
      </c>
      <c r="I51" s="233" t="s">
        <v>126</v>
      </c>
      <c r="J51" s="153" t="s">
        <v>127</v>
      </c>
      <c r="K51" s="153" t="s">
        <v>128</v>
      </c>
      <c r="L51" s="153">
        <v>92307552</v>
      </c>
      <c r="M51" s="325" t="s">
        <v>703</v>
      </c>
    </row>
    <row r="52" spans="1:13" ht="21.75" customHeight="1" x14ac:dyDescent="0.25">
      <c r="A52" s="235">
        <v>1398</v>
      </c>
      <c r="B52" s="296" t="s">
        <v>279</v>
      </c>
      <c r="C52" s="295">
        <v>173.5</v>
      </c>
      <c r="D52" s="149">
        <v>0.3</v>
      </c>
      <c r="E52" s="186">
        <f t="shared" si="0"/>
        <v>52.05</v>
      </c>
      <c r="F52" s="186">
        <v>50.32</v>
      </c>
      <c r="G52" s="186">
        <f t="shared" si="1"/>
        <v>1.7299999999999969</v>
      </c>
      <c r="H52" s="136">
        <v>1161437</v>
      </c>
      <c r="I52" s="136" t="s">
        <v>280</v>
      </c>
      <c r="J52" s="136" t="s">
        <v>121</v>
      </c>
      <c r="K52" s="136" t="s">
        <v>122</v>
      </c>
      <c r="L52" s="136">
        <v>91135580</v>
      </c>
      <c r="M52" s="325" t="s">
        <v>706</v>
      </c>
    </row>
    <row r="53" spans="1:13" s="325" customFormat="1" ht="21.75" customHeight="1" x14ac:dyDescent="0.25">
      <c r="A53" s="230">
        <v>1400</v>
      </c>
      <c r="B53" s="152" t="s">
        <v>281</v>
      </c>
      <c r="C53" s="231">
        <v>354</v>
      </c>
      <c r="D53" s="232">
        <v>0.3</v>
      </c>
      <c r="E53" s="232">
        <f t="shared" si="0"/>
        <v>106.2</v>
      </c>
      <c r="F53" s="232">
        <v>105.72000000000001</v>
      </c>
      <c r="G53" s="232">
        <f t="shared" si="1"/>
        <v>0.47999999999998977</v>
      </c>
      <c r="H53" s="153">
        <v>7223707</v>
      </c>
      <c r="I53" s="233" t="s">
        <v>282</v>
      </c>
      <c r="J53" s="153" t="s">
        <v>26</v>
      </c>
      <c r="K53" s="153" t="s">
        <v>27</v>
      </c>
      <c r="L53" s="153">
        <v>92616136</v>
      </c>
      <c r="M53" s="325" t="s">
        <v>703</v>
      </c>
    </row>
    <row r="54" spans="1:13" s="325" customFormat="1" ht="21.75" customHeight="1" x14ac:dyDescent="0.25">
      <c r="A54" s="230">
        <v>1403</v>
      </c>
      <c r="B54" s="152" t="s">
        <v>283</v>
      </c>
      <c r="C54" s="231">
        <v>344</v>
      </c>
      <c r="D54" s="232">
        <v>0.3</v>
      </c>
      <c r="E54" s="232">
        <f t="shared" si="0"/>
        <v>103.2</v>
      </c>
      <c r="F54" s="232">
        <v>101.71000000000001</v>
      </c>
      <c r="G54" s="232">
        <f t="shared" si="1"/>
        <v>1.4899999999999949</v>
      </c>
      <c r="H54" s="153">
        <v>499044</v>
      </c>
      <c r="I54" s="153" t="s">
        <v>284</v>
      </c>
      <c r="J54" s="153" t="s">
        <v>31</v>
      </c>
      <c r="K54" s="153" t="s">
        <v>32</v>
      </c>
      <c r="L54" s="153">
        <v>92226988</v>
      </c>
      <c r="M54" s="325" t="s">
        <v>703</v>
      </c>
    </row>
    <row r="55" spans="1:13" s="325" customFormat="1" ht="21.75" customHeight="1" x14ac:dyDescent="0.25">
      <c r="A55" s="595">
        <v>1406</v>
      </c>
      <c r="B55" s="152" t="s">
        <v>285</v>
      </c>
      <c r="C55" s="231">
        <v>291.89999999999998</v>
      </c>
      <c r="D55" s="232">
        <v>0.3</v>
      </c>
      <c r="E55" s="232">
        <f t="shared" si="0"/>
        <v>87.57</v>
      </c>
      <c r="F55" s="232">
        <v>86.75</v>
      </c>
      <c r="G55" s="232">
        <f t="shared" si="1"/>
        <v>0.81999999999999318</v>
      </c>
      <c r="H55" s="153">
        <v>880849</v>
      </c>
      <c r="I55" s="233" t="s">
        <v>286</v>
      </c>
      <c r="J55" s="153" t="s">
        <v>71</v>
      </c>
      <c r="K55" s="153" t="s">
        <v>72</v>
      </c>
      <c r="L55" s="153">
        <v>99365157</v>
      </c>
      <c r="M55" s="325" t="s">
        <v>703</v>
      </c>
    </row>
    <row r="56" spans="1:13" s="325" customFormat="1" ht="21.75" customHeight="1" x14ac:dyDescent="0.25">
      <c r="A56" s="595">
        <v>1408</v>
      </c>
      <c r="B56" s="153" t="s">
        <v>287</v>
      </c>
      <c r="C56" s="231">
        <v>849</v>
      </c>
      <c r="D56" s="232">
        <v>0.3</v>
      </c>
      <c r="E56" s="232">
        <f t="shared" si="0"/>
        <v>254.7</v>
      </c>
      <c r="F56" s="232">
        <v>254.041</v>
      </c>
      <c r="G56" s="232">
        <f t="shared" si="1"/>
        <v>0.65899999999999181</v>
      </c>
      <c r="H56" s="153">
        <v>997465</v>
      </c>
      <c r="I56" s="233" t="s">
        <v>288</v>
      </c>
      <c r="J56" s="153" t="s">
        <v>31</v>
      </c>
      <c r="K56" s="153" t="s">
        <v>32</v>
      </c>
      <c r="L56" s="153">
        <v>99490975</v>
      </c>
      <c r="M56" s="325" t="s">
        <v>708</v>
      </c>
    </row>
    <row r="57" spans="1:13" s="325" customFormat="1" ht="21.75" customHeight="1" x14ac:dyDescent="0.25">
      <c r="A57" s="595">
        <v>1409</v>
      </c>
      <c r="B57" s="152" t="s">
        <v>289</v>
      </c>
      <c r="C57" s="614">
        <v>305.5</v>
      </c>
      <c r="D57" s="232">
        <v>0.3</v>
      </c>
      <c r="E57" s="232">
        <f t="shared" si="0"/>
        <v>91.649999999999991</v>
      </c>
      <c r="F57" s="232">
        <v>90.59999999999998</v>
      </c>
      <c r="G57" s="232">
        <f t="shared" si="1"/>
        <v>1.0500000000000114</v>
      </c>
      <c r="H57" s="153">
        <v>7279409</v>
      </c>
      <c r="I57" s="233" t="s">
        <v>290</v>
      </c>
      <c r="J57" s="153" t="s">
        <v>31</v>
      </c>
      <c r="K57" s="153" t="s">
        <v>32</v>
      </c>
      <c r="L57" s="153">
        <v>99626634</v>
      </c>
      <c r="M57" s="325" t="s">
        <v>703</v>
      </c>
    </row>
    <row r="58" spans="1:13" s="325" customFormat="1" ht="21.75" customHeight="1" x14ac:dyDescent="0.25">
      <c r="A58" s="595">
        <v>1410</v>
      </c>
      <c r="B58" s="152" t="s">
        <v>292</v>
      </c>
      <c r="C58" s="605">
        <v>375</v>
      </c>
      <c r="D58" s="232">
        <v>0.3</v>
      </c>
      <c r="E58" s="232">
        <f t="shared" si="0"/>
        <v>112.5</v>
      </c>
      <c r="F58" s="232">
        <v>108.64</v>
      </c>
      <c r="G58" s="232">
        <f t="shared" si="1"/>
        <v>3.8599999999999994</v>
      </c>
      <c r="H58" s="153">
        <v>757372</v>
      </c>
      <c r="I58" s="233" t="s">
        <v>293</v>
      </c>
      <c r="J58" s="153" t="s">
        <v>31</v>
      </c>
      <c r="K58" s="153" t="s">
        <v>32</v>
      </c>
      <c r="L58" s="153">
        <v>92018800</v>
      </c>
      <c r="M58" s="325" t="s">
        <v>703</v>
      </c>
    </row>
    <row r="59" spans="1:13" s="325" customFormat="1" ht="21.75" customHeight="1" x14ac:dyDescent="0.25">
      <c r="A59" s="595">
        <v>1411</v>
      </c>
      <c r="B59" s="152" t="s">
        <v>294</v>
      </c>
      <c r="C59" s="231">
        <v>370.9</v>
      </c>
      <c r="D59" s="232">
        <v>0.3</v>
      </c>
      <c r="E59" s="232">
        <f t="shared" si="0"/>
        <v>111.27</v>
      </c>
      <c r="F59" s="232">
        <v>108.38</v>
      </c>
      <c r="G59" s="232">
        <f t="shared" si="1"/>
        <v>2.8900000000000006</v>
      </c>
      <c r="H59" s="153">
        <v>1650389</v>
      </c>
      <c r="I59" s="233" t="s">
        <v>295</v>
      </c>
      <c r="J59" s="153" t="s">
        <v>31</v>
      </c>
      <c r="K59" s="153" t="s">
        <v>32</v>
      </c>
      <c r="L59" s="153">
        <v>92294150</v>
      </c>
      <c r="M59" s="325" t="s">
        <v>703</v>
      </c>
    </row>
    <row r="60" spans="1:13" ht="21.75" customHeight="1" x14ac:dyDescent="0.25">
      <c r="A60" s="235">
        <v>1412</v>
      </c>
      <c r="B60" s="296" t="s">
        <v>296</v>
      </c>
      <c r="C60" s="295">
        <v>0</v>
      </c>
      <c r="D60" s="149">
        <v>0.3</v>
      </c>
      <c r="E60" s="186">
        <f t="shared" si="0"/>
        <v>0</v>
      </c>
      <c r="F60" s="186"/>
      <c r="G60" s="186">
        <f t="shared" si="1"/>
        <v>0</v>
      </c>
      <c r="H60" s="136">
        <v>312227</v>
      </c>
      <c r="I60" s="136" t="s">
        <v>297</v>
      </c>
      <c r="J60" s="136" t="s">
        <v>31</v>
      </c>
      <c r="K60" s="136" t="s">
        <v>32</v>
      </c>
      <c r="L60" s="136">
        <v>95414124</v>
      </c>
    </row>
    <row r="61" spans="1:13" s="325" customFormat="1" ht="21.75" customHeight="1" x14ac:dyDescent="0.25">
      <c r="A61" s="230">
        <v>1413</v>
      </c>
      <c r="B61" s="153" t="s">
        <v>298</v>
      </c>
      <c r="C61" s="231">
        <v>219</v>
      </c>
      <c r="D61" s="232">
        <v>0.3</v>
      </c>
      <c r="E61" s="232">
        <f t="shared" si="0"/>
        <v>65.7</v>
      </c>
      <c r="F61" s="232">
        <v>62.85</v>
      </c>
      <c r="G61" s="232">
        <f t="shared" si="1"/>
        <v>2.8500000000000014</v>
      </c>
      <c r="H61" s="153">
        <v>539906</v>
      </c>
      <c r="I61" s="233" t="s">
        <v>299</v>
      </c>
      <c r="J61" s="153" t="s">
        <v>52</v>
      </c>
      <c r="K61" s="153" t="s">
        <v>53</v>
      </c>
      <c r="L61" s="153"/>
      <c r="M61" s="325" t="s">
        <v>703</v>
      </c>
    </row>
    <row r="62" spans="1:13" s="17" customFormat="1" ht="21.75" customHeight="1" x14ac:dyDescent="0.25">
      <c r="A62" s="235">
        <v>1414</v>
      </c>
      <c r="B62" s="296" t="s">
        <v>300</v>
      </c>
      <c r="C62" s="295">
        <v>44.6</v>
      </c>
      <c r="D62" s="149">
        <v>0.3</v>
      </c>
      <c r="E62" s="186">
        <f t="shared" si="0"/>
        <v>13.38</v>
      </c>
      <c r="F62" s="186"/>
      <c r="G62" s="186">
        <f t="shared" si="1"/>
        <v>13.38</v>
      </c>
      <c r="H62" s="136">
        <v>9178238</v>
      </c>
      <c r="I62" s="311" t="s">
        <v>301</v>
      </c>
      <c r="J62" s="136" t="s">
        <v>52</v>
      </c>
      <c r="K62" s="136" t="s">
        <v>53</v>
      </c>
      <c r="L62" s="136">
        <v>91966140</v>
      </c>
    </row>
    <row r="63" spans="1:13" ht="21.75" customHeight="1" x14ac:dyDescent="0.25">
      <c r="A63" s="235">
        <v>1415</v>
      </c>
      <c r="B63" s="296" t="s">
        <v>549</v>
      </c>
      <c r="C63" s="295">
        <v>178.2</v>
      </c>
      <c r="D63" s="149">
        <v>0.3</v>
      </c>
      <c r="E63" s="186">
        <f t="shared" si="0"/>
        <v>53.459999999999994</v>
      </c>
      <c r="F63" s="186">
        <v>48.84</v>
      </c>
      <c r="G63" s="186">
        <f t="shared" si="1"/>
        <v>4.6199999999999903</v>
      </c>
      <c r="H63" s="136">
        <v>5334952</v>
      </c>
      <c r="I63" s="323" t="s">
        <v>576</v>
      </c>
      <c r="J63" s="136" t="s">
        <v>31</v>
      </c>
      <c r="K63" s="136" t="s">
        <v>32</v>
      </c>
      <c r="L63" s="136">
        <v>99806280</v>
      </c>
      <c r="M63" s="325" t="s">
        <v>703</v>
      </c>
    </row>
    <row r="64" spans="1:13" ht="21.75" customHeight="1" x14ac:dyDescent="0.25">
      <c r="A64" s="235">
        <v>1417</v>
      </c>
      <c r="B64" s="296" t="s">
        <v>42</v>
      </c>
      <c r="C64" s="295">
        <v>308</v>
      </c>
      <c r="D64" s="149">
        <v>0.3</v>
      </c>
      <c r="E64" s="186">
        <f t="shared" si="0"/>
        <v>92.399999999999991</v>
      </c>
      <c r="F64" s="186">
        <v>89.53</v>
      </c>
      <c r="G64" s="186">
        <f t="shared" si="1"/>
        <v>2.8699999999999903</v>
      </c>
      <c r="H64" s="136">
        <v>1252579</v>
      </c>
      <c r="I64" s="311" t="s">
        <v>43</v>
      </c>
      <c r="J64" s="136" t="s">
        <v>31</v>
      </c>
      <c r="K64" s="136" t="s">
        <v>32</v>
      </c>
      <c r="L64" s="136">
        <v>98520912</v>
      </c>
      <c r="M64" s="325" t="s">
        <v>710</v>
      </c>
    </row>
    <row r="65" spans="1:13" s="325" customFormat="1" ht="21.75" customHeight="1" x14ac:dyDescent="0.25">
      <c r="A65" s="230">
        <v>1418</v>
      </c>
      <c r="B65" s="152" t="s">
        <v>304</v>
      </c>
      <c r="C65" s="231">
        <v>190.4</v>
      </c>
      <c r="D65" s="232">
        <v>0.3</v>
      </c>
      <c r="E65" s="232">
        <f t="shared" si="0"/>
        <v>57.12</v>
      </c>
      <c r="F65" s="232">
        <f>E65</f>
        <v>57.12</v>
      </c>
      <c r="G65" s="232">
        <f t="shared" si="1"/>
        <v>0</v>
      </c>
      <c r="H65" s="153">
        <v>9954378</v>
      </c>
      <c r="I65" s="233" t="s">
        <v>577</v>
      </c>
      <c r="J65" s="153" t="s">
        <v>31</v>
      </c>
      <c r="K65" s="153" t="s">
        <v>32</v>
      </c>
      <c r="L65" s="153">
        <v>99282423</v>
      </c>
      <c r="M65" s="589">
        <v>45788</v>
      </c>
    </row>
    <row r="66" spans="1:13" ht="21.75" customHeight="1" x14ac:dyDescent="0.25">
      <c r="A66" s="235">
        <v>1419</v>
      </c>
      <c r="B66" s="296" t="s">
        <v>308</v>
      </c>
      <c r="C66" s="295">
        <v>540</v>
      </c>
      <c r="D66" s="149">
        <v>0.3</v>
      </c>
      <c r="E66" s="186">
        <f t="shared" si="0"/>
        <v>162</v>
      </c>
      <c r="F66" s="186"/>
      <c r="G66" s="186">
        <f t="shared" si="1"/>
        <v>162</v>
      </c>
      <c r="H66" s="136">
        <v>386821</v>
      </c>
      <c r="I66" s="311" t="s">
        <v>309</v>
      </c>
      <c r="J66" s="136" t="s">
        <v>31</v>
      </c>
      <c r="K66" s="136" t="s">
        <v>32</v>
      </c>
      <c r="L66" s="136">
        <v>99181419</v>
      </c>
    </row>
    <row r="67" spans="1:13" ht="21.75" customHeight="1" x14ac:dyDescent="0.25">
      <c r="A67" s="235">
        <v>1420</v>
      </c>
      <c r="B67" s="296" t="s">
        <v>310</v>
      </c>
      <c r="C67" s="295">
        <v>378</v>
      </c>
      <c r="D67" s="149">
        <v>0.3</v>
      </c>
      <c r="E67" s="186">
        <f t="shared" ref="E67:E130" si="2">C67*D67</f>
        <v>113.39999999999999</v>
      </c>
      <c r="F67" s="186"/>
      <c r="G67" s="186">
        <f t="shared" ref="G67:G130" si="3">E67-F67</f>
        <v>113.39999999999999</v>
      </c>
      <c r="H67" s="136">
        <v>5460297</v>
      </c>
      <c r="I67" s="311" t="s">
        <v>311</v>
      </c>
      <c r="J67" s="136" t="s">
        <v>31</v>
      </c>
      <c r="K67" s="136" t="s">
        <v>32</v>
      </c>
      <c r="L67" s="136">
        <v>95898899</v>
      </c>
    </row>
    <row r="68" spans="1:13" s="325" customFormat="1" ht="21.75" customHeight="1" x14ac:dyDescent="0.25">
      <c r="A68" s="230">
        <v>1421</v>
      </c>
      <c r="B68" s="152" t="s">
        <v>129</v>
      </c>
      <c r="C68" s="231">
        <v>435</v>
      </c>
      <c r="D68" s="232">
        <v>0.3</v>
      </c>
      <c r="E68" s="232">
        <f t="shared" si="2"/>
        <v>130.5</v>
      </c>
      <c r="F68" s="232">
        <v>130.05000000000001</v>
      </c>
      <c r="G68" s="232">
        <f t="shared" si="3"/>
        <v>0.44999999999998863</v>
      </c>
      <c r="H68" s="153">
        <v>15314262</v>
      </c>
      <c r="I68" s="233" t="s">
        <v>130</v>
      </c>
      <c r="J68" s="153" t="s">
        <v>31</v>
      </c>
      <c r="K68" s="153" t="s">
        <v>32</v>
      </c>
      <c r="L68" s="153">
        <v>90333361</v>
      </c>
      <c r="M68" s="325" t="s">
        <v>703</v>
      </c>
    </row>
    <row r="69" spans="1:13" ht="21.75" customHeight="1" x14ac:dyDescent="0.25">
      <c r="A69" s="235">
        <v>1423</v>
      </c>
      <c r="B69" s="296" t="s">
        <v>131</v>
      </c>
      <c r="C69" s="295">
        <v>405</v>
      </c>
      <c r="D69" s="149">
        <v>0.3</v>
      </c>
      <c r="E69" s="186">
        <f t="shared" si="2"/>
        <v>121.5</v>
      </c>
      <c r="F69" s="186"/>
      <c r="G69" s="186">
        <f t="shared" si="3"/>
        <v>121.5</v>
      </c>
      <c r="H69" s="136">
        <v>5044397</v>
      </c>
      <c r="I69" s="311" t="s">
        <v>132</v>
      </c>
      <c r="J69" s="136" t="s">
        <v>31</v>
      </c>
      <c r="K69" s="136" t="s">
        <v>32</v>
      </c>
      <c r="L69" s="136">
        <v>99580550</v>
      </c>
    </row>
    <row r="70" spans="1:13" s="325" customFormat="1" ht="21.75" customHeight="1" x14ac:dyDescent="0.25">
      <c r="A70" s="230">
        <v>1425</v>
      </c>
      <c r="B70" s="152" t="s">
        <v>312</v>
      </c>
      <c r="C70" s="231">
        <v>372.7</v>
      </c>
      <c r="D70" s="232">
        <v>0.3</v>
      </c>
      <c r="E70" s="232">
        <f t="shared" si="2"/>
        <v>111.80999999999999</v>
      </c>
      <c r="F70" s="232">
        <v>108.26</v>
      </c>
      <c r="G70" s="232">
        <f t="shared" si="3"/>
        <v>3.5499999999999829</v>
      </c>
      <c r="H70" s="153">
        <v>5614623</v>
      </c>
      <c r="I70" s="233" t="s">
        <v>313</v>
      </c>
      <c r="J70" s="153" t="s">
        <v>31</v>
      </c>
      <c r="K70" s="153" t="s">
        <v>32</v>
      </c>
      <c r="L70" s="153">
        <v>99583112</v>
      </c>
      <c r="M70" s="589">
        <v>45788</v>
      </c>
    </row>
    <row r="71" spans="1:13" s="325" customFormat="1" ht="21.75" customHeight="1" x14ac:dyDescent="0.25">
      <c r="A71" s="595">
        <v>1426</v>
      </c>
      <c r="B71" s="152" t="s">
        <v>314</v>
      </c>
      <c r="C71" s="231">
        <v>404</v>
      </c>
      <c r="D71" s="232">
        <v>0.3</v>
      </c>
      <c r="E71" s="232">
        <f t="shared" si="2"/>
        <v>121.19999999999999</v>
      </c>
      <c r="F71" s="232">
        <v>118.58</v>
      </c>
      <c r="G71" s="232">
        <f t="shared" si="3"/>
        <v>2.6199999999999903</v>
      </c>
      <c r="H71" s="153">
        <v>2160707</v>
      </c>
      <c r="I71" s="233" t="s">
        <v>315</v>
      </c>
      <c r="J71" s="153" t="s">
        <v>71</v>
      </c>
      <c r="K71" s="153" t="s">
        <v>72</v>
      </c>
      <c r="L71" s="153">
        <v>92280327</v>
      </c>
      <c r="M71" s="325" t="s">
        <v>703</v>
      </c>
    </row>
    <row r="72" spans="1:13" s="325" customFormat="1" ht="21.75" customHeight="1" x14ac:dyDescent="0.25">
      <c r="A72" s="230">
        <v>1427</v>
      </c>
      <c r="B72" s="152" t="s">
        <v>134</v>
      </c>
      <c r="C72" s="231">
        <v>183.8</v>
      </c>
      <c r="D72" s="232">
        <v>0.3</v>
      </c>
      <c r="E72" s="232">
        <f t="shared" si="2"/>
        <v>55.14</v>
      </c>
      <c r="F72" s="232">
        <v>50.800000000000004</v>
      </c>
      <c r="G72" s="232">
        <f t="shared" si="3"/>
        <v>4.3399999999999963</v>
      </c>
      <c r="H72" s="153">
        <v>24171637</v>
      </c>
      <c r="I72" s="233" t="s">
        <v>135</v>
      </c>
      <c r="J72" s="153" t="s">
        <v>31</v>
      </c>
      <c r="K72" s="153" t="s">
        <v>32</v>
      </c>
      <c r="L72" s="153">
        <v>97030409</v>
      </c>
      <c r="M72" s="325" t="s">
        <v>703</v>
      </c>
    </row>
    <row r="73" spans="1:13" s="325" customFormat="1" ht="21.75" customHeight="1" x14ac:dyDescent="0.25">
      <c r="A73" s="230">
        <v>1428</v>
      </c>
      <c r="B73" s="152" t="s">
        <v>316</v>
      </c>
      <c r="C73" s="231">
        <v>154</v>
      </c>
      <c r="D73" s="232">
        <v>0.3</v>
      </c>
      <c r="E73" s="232">
        <f t="shared" si="2"/>
        <v>46.199999999999996</v>
      </c>
      <c r="F73" s="232">
        <v>44.96</v>
      </c>
      <c r="G73" s="232">
        <f t="shared" si="3"/>
        <v>1.2399999999999949</v>
      </c>
      <c r="H73" s="153">
        <v>921364</v>
      </c>
      <c r="I73" s="622" t="s">
        <v>317</v>
      </c>
      <c r="J73" s="153" t="s">
        <v>90</v>
      </c>
      <c r="K73" s="153" t="s">
        <v>32</v>
      </c>
      <c r="L73" s="153">
        <v>92599597</v>
      </c>
      <c r="M73" s="325" t="s">
        <v>703</v>
      </c>
    </row>
    <row r="74" spans="1:13" s="325" customFormat="1" ht="21.75" customHeight="1" x14ac:dyDescent="0.25">
      <c r="A74" s="230">
        <v>1430</v>
      </c>
      <c r="B74" s="152" t="s">
        <v>136</v>
      </c>
      <c r="C74" s="231">
        <v>210</v>
      </c>
      <c r="D74" s="232">
        <v>0.3</v>
      </c>
      <c r="E74" s="232">
        <f t="shared" si="2"/>
        <v>63</v>
      </c>
      <c r="F74" s="232">
        <v>61.93</v>
      </c>
      <c r="G74" s="232">
        <f t="shared" si="3"/>
        <v>1.0700000000000003</v>
      </c>
      <c r="H74" s="153">
        <v>564698</v>
      </c>
      <c r="I74" s="233" t="s">
        <v>137</v>
      </c>
      <c r="J74" s="153" t="s">
        <v>31</v>
      </c>
      <c r="K74" s="153" t="s">
        <v>32</v>
      </c>
      <c r="L74" s="153">
        <v>99189793</v>
      </c>
      <c r="M74" s="325" t="s">
        <v>706</v>
      </c>
    </row>
    <row r="75" spans="1:13" ht="21.75" customHeight="1" x14ac:dyDescent="0.25">
      <c r="A75" s="235">
        <v>1432</v>
      </c>
      <c r="B75" s="296" t="s">
        <v>318</v>
      </c>
      <c r="C75" s="295">
        <v>495</v>
      </c>
      <c r="D75" s="149">
        <v>0.3</v>
      </c>
      <c r="E75" s="186">
        <f t="shared" si="2"/>
        <v>148.5</v>
      </c>
      <c r="F75" s="186"/>
      <c r="G75" s="186">
        <f t="shared" si="3"/>
        <v>148.5</v>
      </c>
      <c r="H75" s="136">
        <v>5004855</v>
      </c>
      <c r="I75" s="311" t="s">
        <v>319</v>
      </c>
      <c r="J75" s="136" t="s">
        <v>52</v>
      </c>
      <c r="K75" s="136" t="s">
        <v>53</v>
      </c>
      <c r="L75" s="136">
        <v>99899962</v>
      </c>
    </row>
    <row r="76" spans="1:13" ht="21.75" customHeight="1" x14ac:dyDescent="0.25">
      <c r="A76" s="235">
        <v>1433</v>
      </c>
      <c r="B76" s="296" t="s">
        <v>320</v>
      </c>
      <c r="C76" s="295">
        <v>495</v>
      </c>
      <c r="D76" s="149">
        <v>0.3</v>
      </c>
      <c r="E76" s="186">
        <f t="shared" si="2"/>
        <v>148.5</v>
      </c>
      <c r="F76" s="186">
        <v>146.80000000000001</v>
      </c>
      <c r="G76" s="186">
        <f t="shared" si="3"/>
        <v>1.6999999999999886</v>
      </c>
      <c r="H76" s="136">
        <v>285841</v>
      </c>
      <c r="I76" s="311" t="s">
        <v>321</v>
      </c>
      <c r="J76" s="136" t="s">
        <v>31</v>
      </c>
      <c r="K76" s="136" t="s">
        <v>32</v>
      </c>
      <c r="L76" s="136">
        <v>92958552</v>
      </c>
      <c r="M76" s="325" t="s">
        <v>706</v>
      </c>
    </row>
    <row r="77" spans="1:13" ht="21.75" customHeight="1" x14ac:dyDescent="0.25">
      <c r="A77" s="148">
        <v>1434</v>
      </c>
      <c r="B77" s="296" t="s">
        <v>138</v>
      </c>
      <c r="C77" s="295">
        <v>221.4</v>
      </c>
      <c r="D77" s="149">
        <v>0.3</v>
      </c>
      <c r="E77" s="186">
        <f t="shared" si="2"/>
        <v>66.42</v>
      </c>
      <c r="F77" s="186"/>
      <c r="G77" s="186">
        <f t="shared" si="3"/>
        <v>66.42</v>
      </c>
      <c r="H77" s="136">
        <v>19197503</v>
      </c>
      <c r="I77" s="311" t="s">
        <v>139</v>
      </c>
      <c r="J77" s="136" t="s">
        <v>31</v>
      </c>
      <c r="K77" s="136" t="s">
        <v>32</v>
      </c>
      <c r="L77" s="136">
        <v>92466605</v>
      </c>
    </row>
    <row r="78" spans="1:13" s="325" customFormat="1" ht="21.75" customHeight="1" x14ac:dyDescent="0.25">
      <c r="A78" s="595">
        <v>1435</v>
      </c>
      <c r="B78" s="152" t="s">
        <v>45</v>
      </c>
      <c r="C78" s="231">
        <v>660</v>
      </c>
      <c r="D78" s="232">
        <v>0.3</v>
      </c>
      <c r="E78" s="232">
        <f t="shared" si="2"/>
        <v>198</v>
      </c>
      <c r="F78" s="232">
        <v>196.75</v>
      </c>
      <c r="G78" s="232">
        <f t="shared" si="3"/>
        <v>1.25</v>
      </c>
      <c r="H78" s="153">
        <v>1305522</v>
      </c>
      <c r="I78" s="233" t="s">
        <v>46</v>
      </c>
      <c r="J78" s="153" t="s">
        <v>31</v>
      </c>
      <c r="K78" s="153" t="s">
        <v>32</v>
      </c>
      <c r="L78" s="153">
        <v>93246263</v>
      </c>
      <c r="M78" s="325" t="s">
        <v>703</v>
      </c>
    </row>
    <row r="79" spans="1:13" s="325" customFormat="1" ht="21.75" customHeight="1" x14ac:dyDescent="0.25">
      <c r="A79" s="595">
        <v>1437</v>
      </c>
      <c r="B79" s="152" t="s">
        <v>143</v>
      </c>
      <c r="C79" s="231">
        <v>435</v>
      </c>
      <c r="D79" s="232">
        <v>0.3</v>
      </c>
      <c r="E79" s="232">
        <f t="shared" si="2"/>
        <v>130.5</v>
      </c>
      <c r="F79" s="232">
        <v>127.53999999999999</v>
      </c>
      <c r="G79" s="232">
        <f t="shared" si="3"/>
        <v>2.960000000000008</v>
      </c>
      <c r="H79" s="153">
        <v>9685144</v>
      </c>
      <c r="I79" s="233" t="s">
        <v>144</v>
      </c>
      <c r="J79" s="153" t="s">
        <v>127</v>
      </c>
      <c r="K79" s="153" t="s">
        <v>128</v>
      </c>
      <c r="L79" s="153">
        <v>96907302</v>
      </c>
      <c r="M79" s="325" t="s">
        <v>703</v>
      </c>
    </row>
    <row r="80" spans="1:13" s="325" customFormat="1" ht="21.75" customHeight="1" x14ac:dyDescent="0.25">
      <c r="A80" s="230">
        <v>1438</v>
      </c>
      <c r="B80" s="152" t="s">
        <v>145</v>
      </c>
      <c r="C80" s="231">
        <v>660</v>
      </c>
      <c r="D80" s="232">
        <v>0.3</v>
      </c>
      <c r="E80" s="232">
        <f t="shared" si="2"/>
        <v>198</v>
      </c>
      <c r="F80" s="232">
        <v>194.63000000000002</v>
      </c>
      <c r="G80" s="232">
        <f t="shared" si="3"/>
        <v>3.3699999999999761</v>
      </c>
      <c r="H80" s="153">
        <v>656621</v>
      </c>
      <c r="I80" s="233" t="s">
        <v>146</v>
      </c>
      <c r="J80" s="153" t="s">
        <v>26</v>
      </c>
      <c r="K80" s="153" t="s">
        <v>27</v>
      </c>
      <c r="L80" s="153">
        <v>92509804</v>
      </c>
      <c r="M80" s="325" t="s">
        <v>703</v>
      </c>
    </row>
    <row r="81" spans="1:14" s="325" customFormat="1" ht="21.75" customHeight="1" x14ac:dyDescent="0.25">
      <c r="A81" s="230">
        <v>1439</v>
      </c>
      <c r="B81" s="152" t="s">
        <v>323</v>
      </c>
      <c r="C81" s="231">
        <v>320.39999999999998</v>
      </c>
      <c r="D81" s="232">
        <v>0.3</v>
      </c>
      <c r="E81" s="232">
        <f t="shared" si="2"/>
        <v>96.11999999999999</v>
      </c>
      <c r="F81" s="232">
        <v>93.69</v>
      </c>
      <c r="G81" s="232">
        <f t="shared" si="3"/>
        <v>2.4299999999999926</v>
      </c>
      <c r="H81" s="153">
        <v>18880548</v>
      </c>
      <c r="I81" s="233" t="s">
        <v>324</v>
      </c>
      <c r="J81" s="153" t="s">
        <v>31</v>
      </c>
      <c r="K81" s="153" t="s">
        <v>32</v>
      </c>
      <c r="L81" s="153">
        <v>98901515</v>
      </c>
      <c r="M81" s="325" t="s">
        <v>703</v>
      </c>
    </row>
    <row r="82" spans="1:14" ht="21.75" customHeight="1" x14ac:dyDescent="0.25">
      <c r="A82" s="235">
        <v>1441</v>
      </c>
      <c r="B82" s="296" t="s">
        <v>325</v>
      </c>
      <c r="C82" s="295">
        <v>358.5</v>
      </c>
      <c r="D82" s="149">
        <v>0.3</v>
      </c>
      <c r="E82" s="186">
        <f t="shared" si="2"/>
        <v>107.55</v>
      </c>
      <c r="F82" s="186">
        <v>104.98</v>
      </c>
      <c r="G82" s="186">
        <f t="shared" si="3"/>
        <v>2.5699999999999932</v>
      </c>
      <c r="H82" s="136">
        <v>7285624</v>
      </c>
      <c r="I82" s="311" t="s">
        <v>326</v>
      </c>
      <c r="J82" s="136" t="s">
        <v>121</v>
      </c>
      <c r="K82" s="136"/>
      <c r="L82" s="136">
        <v>93587666</v>
      </c>
      <c r="M82" s="325" t="s">
        <v>709</v>
      </c>
    </row>
    <row r="83" spans="1:14" ht="21.75" customHeight="1" x14ac:dyDescent="0.25">
      <c r="A83" s="235">
        <v>1444</v>
      </c>
      <c r="B83" s="296" t="s">
        <v>327</v>
      </c>
      <c r="C83" s="295">
        <v>505.3</v>
      </c>
      <c r="D83" s="149">
        <v>0.3</v>
      </c>
      <c r="E83" s="186">
        <f t="shared" si="2"/>
        <v>151.59</v>
      </c>
      <c r="F83" s="186"/>
      <c r="G83" s="186">
        <f t="shared" si="3"/>
        <v>151.59</v>
      </c>
      <c r="H83" s="136">
        <v>13487202</v>
      </c>
      <c r="I83" s="311" t="s">
        <v>328</v>
      </c>
      <c r="J83" s="136" t="s">
        <v>31</v>
      </c>
      <c r="K83" s="136" t="s">
        <v>32</v>
      </c>
      <c r="L83" s="136">
        <v>92244429</v>
      </c>
    </row>
    <row r="84" spans="1:14" s="325" customFormat="1" ht="21.75" customHeight="1" x14ac:dyDescent="0.25">
      <c r="A84" s="596">
        <v>1448</v>
      </c>
      <c r="B84" s="152" t="s">
        <v>147</v>
      </c>
      <c r="C84" s="231">
        <v>268.7</v>
      </c>
      <c r="D84" s="232">
        <v>0.3</v>
      </c>
      <c r="E84" s="232">
        <f t="shared" si="2"/>
        <v>80.61</v>
      </c>
      <c r="F84" s="232">
        <v>78.22</v>
      </c>
      <c r="G84" s="232">
        <f t="shared" si="3"/>
        <v>2.3900000000000006</v>
      </c>
      <c r="H84" s="597">
        <v>26433121</v>
      </c>
      <c r="I84" s="597" t="s">
        <v>148</v>
      </c>
      <c r="J84" s="597" t="s">
        <v>31</v>
      </c>
      <c r="K84" s="153" t="s">
        <v>32</v>
      </c>
      <c r="L84" s="597">
        <v>93229244</v>
      </c>
      <c r="M84" s="325" t="s">
        <v>703</v>
      </c>
    </row>
    <row r="85" spans="1:14" ht="21.75" customHeight="1" x14ac:dyDescent="0.25">
      <c r="A85" s="235">
        <v>1451</v>
      </c>
      <c r="B85" s="296" t="s">
        <v>329</v>
      </c>
      <c r="C85" s="295">
        <v>217.6</v>
      </c>
      <c r="D85" s="149">
        <v>0.3</v>
      </c>
      <c r="E85" s="186">
        <f t="shared" si="2"/>
        <v>65.28</v>
      </c>
      <c r="F85" s="186"/>
      <c r="G85" s="186">
        <f t="shared" si="3"/>
        <v>65.28</v>
      </c>
      <c r="H85" s="136">
        <v>20337612</v>
      </c>
      <c r="I85" s="311" t="s">
        <v>330</v>
      </c>
      <c r="J85" s="136" t="s">
        <v>31</v>
      </c>
      <c r="K85" s="136" t="s">
        <v>32</v>
      </c>
      <c r="L85" s="136">
        <v>98829667</v>
      </c>
    </row>
    <row r="86" spans="1:14" s="325" customFormat="1" ht="21.75" customHeight="1" x14ac:dyDescent="0.25">
      <c r="A86" s="230">
        <v>1453</v>
      </c>
      <c r="B86" s="152" t="s">
        <v>331</v>
      </c>
      <c r="C86" s="231">
        <v>217.9</v>
      </c>
      <c r="D86" s="232">
        <v>0.3</v>
      </c>
      <c r="E86" s="232">
        <f t="shared" si="2"/>
        <v>65.37</v>
      </c>
      <c r="F86" s="232">
        <v>64.400000000000006</v>
      </c>
      <c r="G86" s="232">
        <f t="shared" si="3"/>
        <v>0.96999999999999886</v>
      </c>
      <c r="H86" s="153">
        <v>5460259</v>
      </c>
      <c r="I86" s="233" t="s">
        <v>332</v>
      </c>
      <c r="J86" s="153" t="s">
        <v>155</v>
      </c>
      <c r="K86" s="153" t="s">
        <v>156</v>
      </c>
      <c r="L86" s="153">
        <v>90199947</v>
      </c>
      <c r="M86" s="325" t="s">
        <v>703</v>
      </c>
    </row>
    <row r="87" spans="1:14" s="325" customFormat="1" ht="21.75" customHeight="1" x14ac:dyDescent="0.25">
      <c r="A87" s="230">
        <v>1455</v>
      </c>
      <c r="B87" s="152" t="s">
        <v>333</v>
      </c>
      <c r="C87" s="231">
        <v>405.3</v>
      </c>
      <c r="D87" s="232">
        <v>0.3</v>
      </c>
      <c r="E87" s="232">
        <f t="shared" si="2"/>
        <v>121.59</v>
      </c>
      <c r="F87" s="232">
        <f>120.49</f>
        <v>120.49</v>
      </c>
      <c r="G87" s="232">
        <f t="shared" si="3"/>
        <v>1.1000000000000085</v>
      </c>
      <c r="H87" s="153">
        <v>9954383</v>
      </c>
      <c r="I87" s="233" t="s">
        <v>334</v>
      </c>
      <c r="J87" s="153" t="s">
        <v>31</v>
      </c>
      <c r="K87" s="153" t="s">
        <v>32</v>
      </c>
      <c r="L87" s="153">
        <v>93270751</v>
      </c>
      <c r="M87" s="589">
        <v>45759</v>
      </c>
    </row>
    <row r="88" spans="1:14" s="325" customFormat="1" ht="21.75" customHeight="1" x14ac:dyDescent="0.25">
      <c r="A88" s="230">
        <v>1462</v>
      </c>
      <c r="B88" s="152" t="s">
        <v>48</v>
      </c>
      <c r="C88" s="231">
        <v>209</v>
      </c>
      <c r="D88" s="232">
        <v>0.3</v>
      </c>
      <c r="E88" s="232">
        <f t="shared" si="2"/>
        <v>62.699999999999996</v>
      </c>
      <c r="F88" s="232">
        <f>0.03+59.4</f>
        <v>59.43</v>
      </c>
      <c r="G88" s="232">
        <f t="shared" si="3"/>
        <v>3.269999999999996</v>
      </c>
      <c r="H88" s="153">
        <v>9664038</v>
      </c>
      <c r="I88" s="153" t="s">
        <v>49</v>
      </c>
      <c r="J88" s="153" t="s">
        <v>31</v>
      </c>
      <c r="K88" s="153" t="s">
        <v>32</v>
      </c>
      <c r="L88" s="153">
        <v>92989674</v>
      </c>
      <c r="M88" s="628" t="s">
        <v>691</v>
      </c>
      <c r="N88" s="325" t="s">
        <v>703</v>
      </c>
    </row>
    <row r="89" spans="1:14" s="325" customFormat="1" ht="21.75" customHeight="1" x14ac:dyDescent="0.25">
      <c r="A89" s="230">
        <v>1463</v>
      </c>
      <c r="B89" s="152" t="s">
        <v>50</v>
      </c>
      <c r="C89" s="231">
        <v>360</v>
      </c>
      <c r="D89" s="232">
        <v>0.3</v>
      </c>
      <c r="E89" s="232">
        <f t="shared" si="2"/>
        <v>108</v>
      </c>
      <c r="F89" s="232">
        <v>105.65</v>
      </c>
      <c r="G89" s="232">
        <f t="shared" si="3"/>
        <v>2.3499999999999943</v>
      </c>
      <c r="H89" s="153">
        <v>3798072</v>
      </c>
      <c r="I89" s="233" t="s">
        <v>51</v>
      </c>
      <c r="J89" s="153" t="s">
        <v>52</v>
      </c>
      <c r="K89" s="153" t="s">
        <v>53</v>
      </c>
      <c r="L89" s="153">
        <v>99480608</v>
      </c>
      <c r="M89" s="325" t="s">
        <v>703</v>
      </c>
    </row>
    <row r="90" spans="1:14" s="325" customFormat="1" ht="21.75" customHeight="1" x14ac:dyDescent="0.25">
      <c r="A90" s="230">
        <v>1464</v>
      </c>
      <c r="B90" s="152" t="s">
        <v>335</v>
      </c>
      <c r="C90" s="231">
        <v>420</v>
      </c>
      <c r="D90" s="232">
        <v>0.3</v>
      </c>
      <c r="E90" s="232">
        <f t="shared" si="2"/>
        <v>126</v>
      </c>
      <c r="F90" s="232">
        <v>122.38000000000001</v>
      </c>
      <c r="G90" s="232">
        <f t="shared" si="3"/>
        <v>3.6199999999999903</v>
      </c>
      <c r="H90" s="153">
        <v>6352996</v>
      </c>
      <c r="I90" s="233" t="s">
        <v>336</v>
      </c>
      <c r="J90" s="153" t="s">
        <v>52</v>
      </c>
      <c r="K90" s="153" t="s">
        <v>53</v>
      </c>
      <c r="L90" s="153">
        <v>92463267</v>
      </c>
      <c r="M90" s="589">
        <v>45972</v>
      </c>
    </row>
    <row r="91" spans="1:14" ht="21.75" customHeight="1" x14ac:dyDescent="0.25">
      <c r="A91" s="235">
        <v>1467</v>
      </c>
      <c r="B91" s="136" t="s">
        <v>337</v>
      </c>
      <c r="C91" s="295">
        <v>326.5</v>
      </c>
      <c r="D91" s="149">
        <v>0.3</v>
      </c>
      <c r="E91" s="186">
        <f t="shared" si="2"/>
        <v>97.95</v>
      </c>
      <c r="F91" s="186"/>
      <c r="G91" s="186">
        <f t="shared" si="3"/>
        <v>97.95</v>
      </c>
      <c r="H91" s="136">
        <v>4279933</v>
      </c>
      <c r="I91" s="311" t="s">
        <v>338</v>
      </c>
      <c r="J91" s="136" t="s">
        <v>52</v>
      </c>
      <c r="K91" s="136" t="s">
        <v>53</v>
      </c>
      <c r="L91" s="136">
        <v>98510166</v>
      </c>
    </row>
    <row r="92" spans="1:14" s="325" customFormat="1" ht="21.75" customHeight="1" x14ac:dyDescent="0.25">
      <c r="A92" s="230">
        <v>1468</v>
      </c>
      <c r="B92" s="613" t="s">
        <v>149</v>
      </c>
      <c r="C92" s="231">
        <v>423.6</v>
      </c>
      <c r="D92" s="232">
        <v>0.3</v>
      </c>
      <c r="E92" s="232">
        <f t="shared" si="2"/>
        <v>127.08</v>
      </c>
      <c r="F92" s="232">
        <v>124.62</v>
      </c>
      <c r="G92" s="232">
        <f t="shared" si="3"/>
        <v>2.4599999999999937</v>
      </c>
      <c r="H92" s="153">
        <v>6996485</v>
      </c>
      <c r="I92" s="233" t="s">
        <v>150</v>
      </c>
      <c r="J92" s="153" t="s">
        <v>31</v>
      </c>
      <c r="K92" s="153" t="s">
        <v>32</v>
      </c>
      <c r="L92" s="153">
        <v>92947741</v>
      </c>
      <c r="M92" s="325" t="s">
        <v>703</v>
      </c>
    </row>
    <row r="93" spans="1:14" s="325" customFormat="1" ht="21.75" customHeight="1" x14ac:dyDescent="0.25">
      <c r="A93" s="230">
        <v>1472</v>
      </c>
      <c r="B93" s="152" t="s">
        <v>554</v>
      </c>
      <c r="C93" s="231">
        <v>264.2</v>
      </c>
      <c r="D93" s="232">
        <v>0.3</v>
      </c>
      <c r="E93" s="232">
        <f t="shared" si="2"/>
        <v>79.259999999999991</v>
      </c>
      <c r="F93" s="232">
        <v>78.510000000000005</v>
      </c>
      <c r="G93" s="232">
        <f t="shared" si="3"/>
        <v>0.74999999999998579</v>
      </c>
      <c r="H93" s="153">
        <v>12987814</v>
      </c>
      <c r="I93" s="233" t="s">
        <v>578</v>
      </c>
      <c r="J93" s="153" t="s">
        <v>26</v>
      </c>
      <c r="K93" s="153" t="s">
        <v>27</v>
      </c>
      <c r="L93" s="153">
        <v>99365173</v>
      </c>
      <c r="M93" s="325" t="s">
        <v>703</v>
      </c>
    </row>
    <row r="94" spans="1:14" ht="21.75" customHeight="1" x14ac:dyDescent="0.25">
      <c r="A94" s="235">
        <v>1473</v>
      </c>
      <c r="B94" s="296" t="s">
        <v>341</v>
      </c>
      <c r="C94" s="295">
        <v>339.4</v>
      </c>
      <c r="D94" s="149">
        <v>0.3</v>
      </c>
      <c r="E94" s="186">
        <f t="shared" si="2"/>
        <v>101.82</v>
      </c>
      <c r="F94" s="186"/>
      <c r="G94" s="186">
        <f t="shared" si="3"/>
        <v>101.82</v>
      </c>
      <c r="H94" s="136">
        <v>18722784</v>
      </c>
      <c r="I94" s="136" t="s">
        <v>342</v>
      </c>
      <c r="J94" s="136" t="s">
        <v>52</v>
      </c>
      <c r="K94" s="136" t="s">
        <v>53</v>
      </c>
      <c r="L94" s="136">
        <v>98900644</v>
      </c>
    </row>
    <row r="95" spans="1:14" s="325" customFormat="1" ht="21.75" customHeight="1" x14ac:dyDescent="0.25">
      <c r="A95" s="230">
        <v>1475</v>
      </c>
      <c r="B95" s="613" t="s">
        <v>151</v>
      </c>
      <c r="C95" s="231">
        <v>192.2</v>
      </c>
      <c r="D95" s="232">
        <v>0.3</v>
      </c>
      <c r="E95" s="232">
        <f t="shared" si="2"/>
        <v>57.66</v>
      </c>
      <c r="F95" s="232">
        <v>55.14</v>
      </c>
      <c r="G95" s="232">
        <f t="shared" si="3"/>
        <v>2.519999999999996</v>
      </c>
      <c r="H95" s="153">
        <v>4584011</v>
      </c>
      <c r="I95" s="233" t="s">
        <v>152</v>
      </c>
      <c r="J95" s="153" t="s">
        <v>31</v>
      </c>
      <c r="K95" s="153" t="s">
        <v>32</v>
      </c>
      <c r="L95" s="153">
        <v>98822862</v>
      </c>
      <c r="M95" s="325" t="s">
        <v>703</v>
      </c>
    </row>
    <row r="96" spans="1:14" s="325" customFormat="1" ht="21.75" customHeight="1" x14ac:dyDescent="0.25">
      <c r="A96" s="230">
        <v>1476</v>
      </c>
      <c r="B96" s="153" t="s">
        <v>343</v>
      </c>
      <c r="C96" s="231">
        <v>202.1</v>
      </c>
      <c r="D96" s="232">
        <v>0.3</v>
      </c>
      <c r="E96" s="232">
        <f t="shared" si="2"/>
        <v>60.629999999999995</v>
      </c>
      <c r="F96" s="232">
        <v>60.01</v>
      </c>
      <c r="G96" s="232">
        <f t="shared" si="3"/>
        <v>0.61999999999999744</v>
      </c>
      <c r="H96" s="153">
        <v>5486858</v>
      </c>
      <c r="I96" s="233" t="s">
        <v>344</v>
      </c>
      <c r="J96" s="153" t="s">
        <v>26</v>
      </c>
      <c r="K96" s="153" t="s">
        <v>27</v>
      </c>
      <c r="L96" s="153">
        <v>99019634</v>
      </c>
      <c r="M96" s="325" t="s">
        <v>703</v>
      </c>
    </row>
    <row r="97" spans="1:14" ht="21.75" customHeight="1" x14ac:dyDescent="0.25">
      <c r="A97" s="235">
        <v>1477</v>
      </c>
      <c r="B97" s="296" t="s">
        <v>345</v>
      </c>
      <c r="C97" s="295">
        <v>212.1</v>
      </c>
      <c r="D97" s="149">
        <v>0.3</v>
      </c>
      <c r="E97" s="186">
        <f t="shared" si="2"/>
        <v>63.629999999999995</v>
      </c>
      <c r="F97" s="186"/>
      <c r="G97" s="186">
        <f t="shared" si="3"/>
        <v>63.629999999999995</v>
      </c>
      <c r="H97" s="136">
        <v>18656494</v>
      </c>
      <c r="I97" s="136" t="s">
        <v>346</v>
      </c>
      <c r="J97" s="136" t="s">
        <v>31</v>
      </c>
      <c r="K97" s="136" t="s">
        <v>32</v>
      </c>
      <c r="L97" s="136">
        <v>92610234</v>
      </c>
    </row>
    <row r="98" spans="1:14" s="325" customFormat="1" ht="21.75" customHeight="1" x14ac:dyDescent="0.25">
      <c r="A98" s="230">
        <v>1480</v>
      </c>
      <c r="B98" s="152" t="s">
        <v>347</v>
      </c>
      <c r="C98" s="231">
        <v>225</v>
      </c>
      <c r="D98" s="232">
        <v>0.3</v>
      </c>
      <c r="E98" s="232">
        <f t="shared" si="2"/>
        <v>67.5</v>
      </c>
      <c r="F98" s="232">
        <v>67.22</v>
      </c>
      <c r="G98" s="232">
        <f t="shared" si="3"/>
        <v>0.28000000000000114</v>
      </c>
      <c r="H98" s="153">
        <v>19820777</v>
      </c>
      <c r="I98" s="153" t="s">
        <v>348</v>
      </c>
      <c r="J98" s="153" t="s">
        <v>31</v>
      </c>
      <c r="K98" s="153" t="s">
        <v>32</v>
      </c>
      <c r="L98" s="153">
        <v>92525031</v>
      </c>
      <c r="M98" s="325" t="s">
        <v>706</v>
      </c>
    </row>
    <row r="99" spans="1:14" s="17" customFormat="1" ht="21.75" customHeight="1" x14ac:dyDescent="0.25">
      <c r="A99" s="230">
        <v>1482</v>
      </c>
      <c r="B99" s="152" t="s">
        <v>349</v>
      </c>
      <c r="C99" s="231">
        <v>397</v>
      </c>
      <c r="D99" s="232">
        <v>0.3</v>
      </c>
      <c r="E99" s="232">
        <f t="shared" si="2"/>
        <v>119.1</v>
      </c>
      <c r="F99" s="232">
        <v>119.01</v>
      </c>
      <c r="G99" s="232">
        <f t="shared" si="3"/>
        <v>8.99999999999892E-2</v>
      </c>
      <c r="H99" s="153">
        <v>4024306</v>
      </c>
      <c r="I99" s="233" t="s">
        <v>350</v>
      </c>
      <c r="J99" s="153" t="s">
        <v>52</v>
      </c>
      <c r="K99" s="153" t="s">
        <v>53</v>
      </c>
      <c r="L99" s="153">
        <v>94453330</v>
      </c>
      <c r="M99" s="325" t="s">
        <v>708</v>
      </c>
    </row>
    <row r="100" spans="1:14" s="325" customFormat="1" ht="26.25" customHeight="1" x14ac:dyDescent="0.25">
      <c r="A100" s="230">
        <v>1485</v>
      </c>
      <c r="B100" s="152" t="s">
        <v>352</v>
      </c>
      <c r="C100" s="231">
        <v>220.5</v>
      </c>
      <c r="D100" s="232">
        <v>0.3</v>
      </c>
      <c r="E100" s="232">
        <f t="shared" si="2"/>
        <v>66.149999999999991</v>
      </c>
      <c r="F100" s="232">
        <v>65.930000000000007</v>
      </c>
      <c r="G100" s="232">
        <f t="shared" si="3"/>
        <v>0.21999999999998465</v>
      </c>
      <c r="H100" s="153">
        <v>18585573</v>
      </c>
      <c r="I100" s="233" t="s">
        <v>353</v>
      </c>
      <c r="J100" s="153" t="s">
        <v>31</v>
      </c>
      <c r="K100" s="153" t="s">
        <v>32</v>
      </c>
      <c r="L100" s="153">
        <v>92695802</v>
      </c>
      <c r="M100" s="325" t="s">
        <v>703</v>
      </c>
    </row>
    <row r="101" spans="1:14" s="17" customFormat="1" ht="26.25" customHeight="1" x14ac:dyDescent="0.25">
      <c r="A101" s="235">
        <v>1487</v>
      </c>
      <c r="B101" s="140" t="s">
        <v>354</v>
      </c>
      <c r="C101" s="295">
        <v>34</v>
      </c>
      <c r="D101" s="149">
        <v>0.3</v>
      </c>
      <c r="E101" s="186">
        <f t="shared" si="2"/>
        <v>10.199999999999999</v>
      </c>
      <c r="F101" s="186"/>
      <c r="G101" s="186">
        <f t="shared" si="3"/>
        <v>10.199999999999999</v>
      </c>
      <c r="H101" s="139">
        <v>19315674</v>
      </c>
      <c r="I101" s="314" t="s">
        <v>355</v>
      </c>
      <c r="J101" s="136" t="s">
        <v>31</v>
      </c>
      <c r="K101" s="136" t="s">
        <v>32</v>
      </c>
      <c r="L101" s="136">
        <v>93972300</v>
      </c>
    </row>
    <row r="102" spans="1:14" s="325" customFormat="1" ht="21.75" customHeight="1" x14ac:dyDescent="0.25">
      <c r="A102" s="230">
        <v>1700</v>
      </c>
      <c r="B102" s="152" t="s">
        <v>356</v>
      </c>
      <c r="C102" s="231">
        <v>425.7</v>
      </c>
      <c r="D102" s="232">
        <v>0.3</v>
      </c>
      <c r="E102" s="232">
        <f t="shared" si="2"/>
        <v>127.71</v>
      </c>
      <c r="F102" s="232">
        <f>0.0900000000000237+123.75</f>
        <v>123.84000000000002</v>
      </c>
      <c r="G102" s="232">
        <f t="shared" si="3"/>
        <v>3.8699999999999761</v>
      </c>
      <c r="H102" s="153">
        <v>6332437</v>
      </c>
      <c r="I102" s="233" t="s">
        <v>357</v>
      </c>
      <c r="J102" s="153" t="s">
        <v>31</v>
      </c>
      <c r="K102" s="153" t="s">
        <v>32</v>
      </c>
      <c r="L102" s="153">
        <v>99284449</v>
      </c>
      <c r="M102" s="325" t="s">
        <v>701</v>
      </c>
      <c r="N102" s="325" t="s">
        <v>709</v>
      </c>
    </row>
    <row r="103" spans="1:14" s="17" customFormat="1" ht="21.75" customHeight="1" x14ac:dyDescent="0.25">
      <c r="A103" s="235">
        <v>1702</v>
      </c>
      <c r="B103" s="296" t="s">
        <v>359</v>
      </c>
      <c r="C103" s="295">
        <v>342</v>
      </c>
      <c r="D103" s="149">
        <v>0.3</v>
      </c>
      <c r="E103" s="186">
        <f t="shared" si="2"/>
        <v>102.6</v>
      </c>
      <c r="F103" s="186"/>
      <c r="G103" s="186">
        <f t="shared" si="3"/>
        <v>102.6</v>
      </c>
      <c r="H103" s="136">
        <v>1572875</v>
      </c>
      <c r="I103" s="313" t="s">
        <v>360</v>
      </c>
      <c r="J103" s="136" t="s">
        <v>52</v>
      </c>
      <c r="K103" s="136" t="s">
        <v>53</v>
      </c>
      <c r="L103" s="136">
        <v>99899341</v>
      </c>
    </row>
    <row r="104" spans="1:14" s="325" customFormat="1" ht="21.75" customHeight="1" x14ac:dyDescent="0.25">
      <c r="A104" s="230">
        <v>1704</v>
      </c>
      <c r="B104" s="152" t="s">
        <v>361</v>
      </c>
      <c r="C104" s="231">
        <v>174</v>
      </c>
      <c r="D104" s="232">
        <v>0.3</v>
      </c>
      <c r="E104" s="232">
        <f t="shared" si="2"/>
        <v>52.199999999999996</v>
      </c>
      <c r="F104" s="232">
        <f>0.89</f>
        <v>0.89</v>
      </c>
      <c r="G104" s="232">
        <f t="shared" si="3"/>
        <v>51.309999999999995</v>
      </c>
      <c r="H104" s="153">
        <v>19235157</v>
      </c>
      <c r="I104" s="233" t="s">
        <v>362</v>
      </c>
      <c r="J104" s="153" t="s">
        <v>31</v>
      </c>
      <c r="K104" s="153" t="s">
        <v>32</v>
      </c>
      <c r="L104" s="153"/>
      <c r="M104" s="628" t="s">
        <v>686</v>
      </c>
    </row>
    <row r="105" spans="1:14" s="325" customFormat="1" ht="21.75" customHeight="1" x14ac:dyDescent="0.25">
      <c r="A105" s="230">
        <v>1706</v>
      </c>
      <c r="B105" s="152" t="s">
        <v>153</v>
      </c>
      <c r="C105" s="231">
        <v>185.7</v>
      </c>
      <c r="D105" s="232">
        <v>0.3</v>
      </c>
      <c r="E105" s="232">
        <f t="shared" si="2"/>
        <v>55.709999999999994</v>
      </c>
      <c r="F105" s="232">
        <v>53.680000000000007</v>
      </c>
      <c r="G105" s="232">
        <f t="shared" si="3"/>
        <v>2.0299999999999869</v>
      </c>
      <c r="H105" s="153">
        <v>2520947</v>
      </c>
      <c r="I105" s="327" t="s">
        <v>154</v>
      </c>
      <c r="J105" s="153" t="s">
        <v>155</v>
      </c>
      <c r="K105" s="327" t="s">
        <v>156</v>
      </c>
      <c r="L105" s="153">
        <v>92246641</v>
      </c>
      <c r="M105" s="325" t="s">
        <v>703</v>
      </c>
    </row>
    <row r="106" spans="1:14" s="17" customFormat="1" ht="21.75" customHeight="1" x14ac:dyDescent="0.25">
      <c r="A106" s="235">
        <v>1708</v>
      </c>
      <c r="B106" s="296" t="s">
        <v>363</v>
      </c>
      <c r="C106" s="295">
        <v>555</v>
      </c>
      <c r="D106" s="149">
        <v>0.3</v>
      </c>
      <c r="E106" s="186">
        <f t="shared" si="2"/>
        <v>166.5</v>
      </c>
      <c r="F106" s="186"/>
      <c r="G106" s="186">
        <f t="shared" si="3"/>
        <v>166.5</v>
      </c>
      <c r="H106" s="136">
        <v>1331691</v>
      </c>
      <c r="I106" s="311" t="s">
        <v>364</v>
      </c>
      <c r="J106" s="136" t="s">
        <v>31</v>
      </c>
      <c r="K106" s="136" t="s">
        <v>32</v>
      </c>
      <c r="L106" s="136"/>
    </row>
    <row r="107" spans="1:14" s="325" customFormat="1" ht="21.75" customHeight="1" x14ac:dyDescent="0.25">
      <c r="A107" s="230">
        <v>1709</v>
      </c>
      <c r="B107" s="152" t="s">
        <v>365</v>
      </c>
      <c r="C107" s="231">
        <v>220.5</v>
      </c>
      <c r="D107" s="232">
        <v>0.3</v>
      </c>
      <c r="E107" s="232">
        <f t="shared" si="2"/>
        <v>66.149999999999991</v>
      </c>
      <c r="F107" s="232">
        <v>62.280000000000022</v>
      </c>
      <c r="G107" s="232">
        <f t="shared" si="3"/>
        <v>3.869999999999969</v>
      </c>
      <c r="H107" s="153">
        <v>2406629</v>
      </c>
      <c r="I107" s="233" t="s">
        <v>580</v>
      </c>
      <c r="J107" s="153" t="s">
        <v>121</v>
      </c>
      <c r="K107" s="153" t="s">
        <v>122</v>
      </c>
      <c r="L107" s="153">
        <v>92771786</v>
      </c>
      <c r="M107" s="325" t="s">
        <v>706</v>
      </c>
    </row>
    <row r="108" spans="1:14" s="325" customFormat="1" ht="21.75" customHeight="1" x14ac:dyDescent="0.25">
      <c r="A108" s="230">
        <v>1711</v>
      </c>
      <c r="B108" s="152" t="s">
        <v>55</v>
      </c>
      <c r="C108" s="231">
        <v>332</v>
      </c>
      <c r="D108" s="232">
        <v>0.3</v>
      </c>
      <c r="E108" s="232">
        <f t="shared" si="2"/>
        <v>99.6</v>
      </c>
      <c r="F108" s="232">
        <v>95.429999999999993</v>
      </c>
      <c r="G108" s="232">
        <f t="shared" si="3"/>
        <v>4.1700000000000017</v>
      </c>
      <c r="H108" s="153">
        <v>638353</v>
      </c>
      <c r="I108" s="242" t="s">
        <v>56</v>
      </c>
      <c r="J108" s="153" t="s">
        <v>31</v>
      </c>
      <c r="K108" s="153" t="s">
        <v>32</v>
      </c>
      <c r="L108" s="153">
        <v>99292727</v>
      </c>
      <c r="M108" s="325" t="s">
        <v>708</v>
      </c>
    </row>
    <row r="109" spans="1:14" s="325" customFormat="1" ht="21.75" customHeight="1" x14ac:dyDescent="0.25">
      <c r="A109" s="230">
        <v>1712</v>
      </c>
      <c r="B109" s="152" t="s">
        <v>57</v>
      </c>
      <c r="C109" s="231">
        <v>225</v>
      </c>
      <c r="D109" s="232">
        <v>0.3</v>
      </c>
      <c r="E109" s="232">
        <f t="shared" si="2"/>
        <v>67.5</v>
      </c>
      <c r="F109" s="232">
        <v>65.14</v>
      </c>
      <c r="G109" s="232">
        <f t="shared" si="3"/>
        <v>2.3599999999999994</v>
      </c>
      <c r="H109" s="153">
        <v>788958</v>
      </c>
      <c r="I109" s="242" t="s">
        <v>58</v>
      </c>
      <c r="J109" s="153" t="s">
        <v>31</v>
      </c>
      <c r="K109" s="153" t="s">
        <v>32</v>
      </c>
      <c r="L109" s="153"/>
      <c r="M109" s="325" t="s">
        <v>703</v>
      </c>
    </row>
    <row r="110" spans="1:14" s="325" customFormat="1" ht="21.75" customHeight="1" x14ac:dyDescent="0.25">
      <c r="A110" s="230">
        <v>1713</v>
      </c>
      <c r="B110" s="152" t="s">
        <v>157</v>
      </c>
      <c r="C110" s="231">
        <v>240</v>
      </c>
      <c r="D110" s="232">
        <v>0.3</v>
      </c>
      <c r="E110" s="232">
        <f t="shared" si="2"/>
        <v>72</v>
      </c>
      <c r="F110" s="232">
        <v>69.12</v>
      </c>
      <c r="G110" s="232">
        <f t="shared" si="3"/>
        <v>2.8799999999999955</v>
      </c>
      <c r="H110" s="153">
        <v>19890467</v>
      </c>
      <c r="I110" s="242" t="s">
        <v>158</v>
      </c>
      <c r="J110" s="153" t="s">
        <v>52</v>
      </c>
      <c r="K110" s="153" t="s">
        <v>53</v>
      </c>
      <c r="L110" s="153"/>
      <c r="M110" s="325" t="s">
        <v>703</v>
      </c>
    </row>
    <row r="111" spans="1:14" s="325" customFormat="1" ht="21.75" customHeight="1" x14ac:dyDescent="0.25">
      <c r="A111" s="230">
        <v>1714</v>
      </c>
      <c r="B111" s="152" t="s">
        <v>59</v>
      </c>
      <c r="C111" s="231">
        <v>221.6</v>
      </c>
      <c r="D111" s="232">
        <v>0.3</v>
      </c>
      <c r="E111" s="232">
        <f t="shared" si="2"/>
        <v>66.47999999999999</v>
      </c>
      <c r="F111" s="232">
        <v>65.55</v>
      </c>
      <c r="G111" s="232">
        <f t="shared" si="3"/>
        <v>0.92999999999999261</v>
      </c>
      <c r="H111" s="153">
        <v>6285703</v>
      </c>
      <c r="I111" s="242" t="s">
        <v>60</v>
      </c>
      <c r="J111" s="153" t="s">
        <v>31</v>
      </c>
      <c r="K111" s="153" t="s">
        <v>32</v>
      </c>
      <c r="L111" s="153"/>
      <c r="M111" s="325" t="s">
        <v>703</v>
      </c>
    </row>
    <row r="112" spans="1:14" s="325" customFormat="1" ht="21.75" customHeight="1" x14ac:dyDescent="0.25">
      <c r="A112" s="230">
        <v>1715</v>
      </c>
      <c r="B112" s="152" t="s">
        <v>62</v>
      </c>
      <c r="C112" s="231">
        <v>165</v>
      </c>
      <c r="D112" s="232">
        <v>0.3</v>
      </c>
      <c r="E112" s="232">
        <f t="shared" si="2"/>
        <v>49.5</v>
      </c>
      <c r="F112" s="232">
        <v>46.6</v>
      </c>
      <c r="G112" s="232">
        <f t="shared" si="3"/>
        <v>2.8999999999999986</v>
      </c>
      <c r="H112" s="153">
        <v>6511663</v>
      </c>
      <c r="I112" s="242" t="s">
        <v>63</v>
      </c>
      <c r="J112" s="153" t="s">
        <v>31</v>
      </c>
      <c r="K112" s="153" t="s">
        <v>32</v>
      </c>
      <c r="L112" s="153"/>
      <c r="M112" s="325" t="s">
        <v>703</v>
      </c>
    </row>
    <row r="113" spans="1:13" s="325" customFormat="1" ht="21.75" customHeight="1" x14ac:dyDescent="0.25">
      <c r="A113" s="230">
        <v>1716</v>
      </c>
      <c r="B113" s="152" t="s">
        <v>368</v>
      </c>
      <c r="C113" s="231">
        <v>471</v>
      </c>
      <c r="D113" s="232">
        <v>0.3</v>
      </c>
      <c r="E113" s="232">
        <f t="shared" si="2"/>
        <v>141.29999999999998</v>
      </c>
      <c r="F113" s="232">
        <v>138.05000000000001</v>
      </c>
      <c r="G113" s="232">
        <f t="shared" si="3"/>
        <v>3.2499999999999716</v>
      </c>
      <c r="H113" s="153">
        <v>24147445</v>
      </c>
      <c r="I113" s="327" t="s">
        <v>369</v>
      </c>
      <c r="J113" s="153" t="s">
        <v>31</v>
      </c>
      <c r="K113" s="153" t="s">
        <v>32</v>
      </c>
      <c r="L113" s="153">
        <v>92772114</v>
      </c>
      <c r="M113" s="325" t="s">
        <v>703</v>
      </c>
    </row>
    <row r="114" spans="1:13" s="17" customFormat="1" ht="21.75" customHeight="1" x14ac:dyDescent="0.25">
      <c r="A114" s="235">
        <v>1717</v>
      </c>
      <c r="B114" s="296" t="s">
        <v>370</v>
      </c>
      <c r="C114" s="295">
        <v>201</v>
      </c>
      <c r="D114" s="149">
        <v>0.3</v>
      </c>
      <c r="E114" s="186">
        <f t="shared" si="2"/>
        <v>60.3</v>
      </c>
      <c r="F114" s="186"/>
      <c r="G114" s="186">
        <f t="shared" si="3"/>
        <v>60.3</v>
      </c>
      <c r="H114" s="136">
        <v>3248965</v>
      </c>
      <c r="I114" s="313" t="s">
        <v>371</v>
      </c>
      <c r="J114" s="136" t="s">
        <v>31</v>
      </c>
      <c r="K114" s="136" t="s">
        <v>32</v>
      </c>
      <c r="L114" s="136">
        <v>92476390</v>
      </c>
    </row>
    <row r="115" spans="1:13" s="325" customFormat="1" ht="21.75" customHeight="1" x14ac:dyDescent="0.25">
      <c r="A115" s="230">
        <v>1718</v>
      </c>
      <c r="B115" s="152" t="s">
        <v>159</v>
      </c>
      <c r="C115" s="231">
        <v>224</v>
      </c>
      <c r="D115" s="232">
        <v>0.3</v>
      </c>
      <c r="E115" s="232">
        <f t="shared" si="2"/>
        <v>67.2</v>
      </c>
      <c r="F115" s="232">
        <v>63.27</v>
      </c>
      <c r="G115" s="232">
        <f t="shared" si="3"/>
        <v>3.9299999999999997</v>
      </c>
      <c r="H115" s="153">
        <v>18656137</v>
      </c>
      <c r="I115" s="594" t="s">
        <v>160</v>
      </c>
      <c r="J115" s="153" t="s">
        <v>155</v>
      </c>
      <c r="K115" s="153" t="s">
        <v>156</v>
      </c>
      <c r="L115" s="153"/>
      <c r="M115" s="325" t="s">
        <v>703</v>
      </c>
    </row>
    <row r="116" spans="1:13" s="17" customFormat="1" ht="21.75" customHeight="1" x14ac:dyDescent="0.25">
      <c r="A116" s="235">
        <v>1720</v>
      </c>
      <c r="B116" s="296" t="s">
        <v>372</v>
      </c>
      <c r="C116" s="295">
        <v>206.4</v>
      </c>
      <c r="D116" s="149">
        <v>0.3</v>
      </c>
      <c r="E116" s="186">
        <f t="shared" si="2"/>
        <v>61.92</v>
      </c>
      <c r="F116" s="186"/>
      <c r="G116" s="186">
        <f t="shared" si="3"/>
        <v>61.92</v>
      </c>
      <c r="H116" s="136">
        <v>6812881</v>
      </c>
      <c r="I116" s="313" t="s">
        <v>373</v>
      </c>
      <c r="J116" s="136" t="s">
        <v>52</v>
      </c>
      <c r="K116" s="136" t="s">
        <v>53</v>
      </c>
      <c r="L116" s="136"/>
    </row>
    <row r="117" spans="1:13" s="325" customFormat="1" ht="21.75" customHeight="1" x14ac:dyDescent="0.25">
      <c r="A117" s="230">
        <v>1722</v>
      </c>
      <c r="B117" s="152" t="s">
        <v>374</v>
      </c>
      <c r="C117" s="231">
        <v>152</v>
      </c>
      <c r="D117" s="232">
        <v>0.3</v>
      </c>
      <c r="E117" s="232">
        <f t="shared" si="2"/>
        <v>45.6</v>
      </c>
      <c r="F117" s="232">
        <f>42.75</f>
        <v>42.75</v>
      </c>
      <c r="G117" s="232">
        <f t="shared" si="3"/>
        <v>2.8500000000000014</v>
      </c>
      <c r="H117" s="153">
        <v>12979647</v>
      </c>
      <c r="I117" s="242" t="s">
        <v>375</v>
      </c>
      <c r="J117" s="153" t="s">
        <v>376</v>
      </c>
      <c r="K117" s="153" t="s">
        <v>307</v>
      </c>
      <c r="L117" s="153">
        <v>98899002</v>
      </c>
      <c r="M117" s="325" t="s">
        <v>703</v>
      </c>
    </row>
    <row r="118" spans="1:13" s="17" customFormat="1" ht="21.75" customHeight="1" x14ac:dyDescent="0.25">
      <c r="A118" s="235">
        <v>1723</v>
      </c>
      <c r="B118" s="296" t="s">
        <v>65</v>
      </c>
      <c r="C118" s="295">
        <v>234.4</v>
      </c>
      <c r="D118" s="149">
        <v>0.3</v>
      </c>
      <c r="E118" s="186">
        <f t="shared" si="2"/>
        <v>70.319999999999993</v>
      </c>
      <c r="F118" s="186"/>
      <c r="G118" s="186">
        <f t="shared" si="3"/>
        <v>70.319999999999993</v>
      </c>
      <c r="H118" s="136">
        <v>6631224</v>
      </c>
      <c r="I118" s="311" t="s">
        <v>66</v>
      </c>
      <c r="J118" s="136" t="s">
        <v>31</v>
      </c>
      <c r="K118" s="136" t="s">
        <v>32</v>
      </c>
      <c r="L118" s="136">
        <v>92666839</v>
      </c>
    </row>
    <row r="119" spans="1:13" s="325" customFormat="1" ht="21.75" customHeight="1" x14ac:dyDescent="0.25">
      <c r="A119" s="230">
        <v>1724</v>
      </c>
      <c r="B119" s="152" t="s">
        <v>67</v>
      </c>
      <c r="C119" s="231">
        <v>209.7</v>
      </c>
      <c r="D119" s="232">
        <v>0.3</v>
      </c>
      <c r="E119" s="232">
        <f t="shared" si="2"/>
        <v>62.91</v>
      </c>
      <c r="F119" s="232">
        <v>61.03</v>
      </c>
      <c r="G119" s="232">
        <f t="shared" si="3"/>
        <v>1.8799999999999955</v>
      </c>
      <c r="H119" s="153">
        <v>10795143</v>
      </c>
      <c r="I119" s="327" t="s">
        <v>68</v>
      </c>
      <c r="J119" s="153" t="s">
        <v>26</v>
      </c>
      <c r="K119" s="153" t="s">
        <v>27</v>
      </c>
      <c r="L119" s="153">
        <v>99494166</v>
      </c>
      <c r="M119" s="325" t="s">
        <v>703</v>
      </c>
    </row>
    <row r="120" spans="1:13" s="17" customFormat="1" ht="21.75" customHeight="1" x14ac:dyDescent="0.25">
      <c r="A120" s="235">
        <v>1725</v>
      </c>
      <c r="B120" s="296" t="s">
        <v>377</v>
      </c>
      <c r="C120" s="295">
        <v>456</v>
      </c>
      <c r="D120" s="149">
        <v>0.3</v>
      </c>
      <c r="E120" s="186">
        <f t="shared" si="2"/>
        <v>136.79999999999998</v>
      </c>
      <c r="F120" s="186"/>
      <c r="G120" s="186">
        <f t="shared" si="3"/>
        <v>136.79999999999998</v>
      </c>
      <c r="H120" s="136">
        <v>2223414</v>
      </c>
      <c r="I120" s="313" t="s">
        <v>378</v>
      </c>
      <c r="J120" s="136" t="s">
        <v>52</v>
      </c>
      <c r="K120" s="136" t="s">
        <v>53</v>
      </c>
      <c r="L120" s="136"/>
    </row>
    <row r="121" spans="1:13" s="325" customFormat="1" ht="21.75" customHeight="1" x14ac:dyDescent="0.25">
      <c r="A121" s="230">
        <v>1726</v>
      </c>
      <c r="B121" s="152" t="s">
        <v>379</v>
      </c>
      <c r="C121" s="601">
        <v>297.60000000000002</v>
      </c>
      <c r="D121" s="232">
        <v>0.3</v>
      </c>
      <c r="E121" s="232">
        <f t="shared" si="2"/>
        <v>89.28</v>
      </c>
      <c r="F121" s="232">
        <v>88.59</v>
      </c>
      <c r="G121" s="232">
        <f t="shared" si="3"/>
        <v>0.68999999999999773</v>
      </c>
      <c r="H121" s="153">
        <v>5440535</v>
      </c>
      <c r="I121" s="242" t="s">
        <v>380</v>
      </c>
      <c r="J121" s="153" t="s">
        <v>31</v>
      </c>
      <c r="K121" s="153" t="s">
        <v>32</v>
      </c>
      <c r="L121" s="153">
        <v>92023947</v>
      </c>
      <c r="M121" s="325" t="s">
        <v>706</v>
      </c>
    </row>
    <row r="122" spans="1:13" s="325" customFormat="1" ht="21.75" customHeight="1" x14ac:dyDescent="0.25">
      <c r="A122" s="230">
        <v>1728</v>
      </c>
      <c r="B122" s="152" t="s">
        <v>13</v>
      </c>
      <c r="C122" s="231">
        <v>234.5</v>
      </c>
      <c r="D122" s="232">
        <v>0.3</v>
      </c>
      <c r="E122" s="232">
        <f t="shared" si="2"/>
        <v>70.349999999999994</v>
      </c>
      <c r="F122" s="232">
        <v>70.300000000000011</v>
      </c>
      <c r="G122" s="232">
        <f t="shared" si="3"/>
        <v>4.9999999999982947E-2</v>
      </c>
      <c r="H122" s="153">
        <v>8977778</v>
      </c>
      <c r="I122" s="233" t="s">
        <v>381</v>
      </c>
      <c r="J122" s="153" t="s">
        <v>31</v>
      </c>
      <c r="K122" s="153" t="s">
        <v>32</v>
      </c>
      <c r="L122" s="153"/>
      <c r="M122" s="325" t="s">
        <v>703</v>
      </c>
    </row>
    <row r="123" spans="1:13" s="325" customFormat="1" ht="21.75" customHeight="1" x14ac:dyDescent="0.25">
      <c r="A123" s="230">
        <v>1729</v>
      </c>
      <c r="B123" s="152" t="s">
        <v>382</v>
      </c>
      <c r="C123" s="231">
        <v>180.6</v>
      </c>
      <c r="D123" s="232">
        <v>0.3</v>
      </c>
      <c r="E123" s="232">
        <f t="shared" si="2"/>
        <v>54.18</v>
      </c>
      <c r="F123" s="232">
        <v>53.04</v>
      </c>
      <c r="G123" s="232">
        <f t="shared" si="3"/>
        <v>1.1400000000000006</v>
      </c>
      <c r="H123" s="153">
        <v>22975081</v>
      </c>
      <c r="I123" s="233" t="s">
        <v>383</v>
      </c>
      <c r="J123" s="153" t="s">
        <v>31</v>
      </c>
      <c r="K123" s="153" t="s">
        <v>32</v>
      </c>
      <c r="L123" s="153"/>
      <c r="M123" s="325" t="s">
        <v>706</v>
      </c>
    </row>
    <row r="124" spans="1:13" s="325" customFormat="1" ht="21.75" customHeight="1" x14ac:dyDescent="0.25">
      <c r="A124" s="230">
        <v>1730</v>
      </c>
      <c r="B124" s="152" t="s">
        <v>162</v>
      </c>
      <c r="C124" s="231">
        <v>258.3</v>
      </c>
      <c r="D124" s="232">
        <v>0.3</v>
      </c>
      <c r="E124" s="232">
        <f t="shared" si="2"/>
        <v>77.489999999999995</v>
      </c>
      <c r="F124" s="232">
        <v>76.760000000000005</v>
      </c>
      <c r="G124" s="232">
        <f t="shared" si="3"/>
        <v>0.72999999999998977</v>
      </c>
      <c r="H124" s="153">
        <v>18458405</v>
      </c>
      <c r="I124" s="242" t="s">
        <v>163</v>
      </c>
      <c r="J124" s="153" t="s">
        <v>31</v>
      </c>
      <c r="K124" s="153" t="s">
        <v>32</v>
      </c>
      <c r="L124" s="153">
        <v>98566660</v>
      </c>
      <c r="M124" s="325" t="s">
        <v>703</v>
      </c>
    </row>
    <row r="125" spans="1:13" s="325" customFormat="1" ht="21.75" customHeight="1" x14ac:dyDescent="0.25">
      <c r="A125" s="230">
        <v>1731</v>
      </c>
      <c r="B125" s="152" t="s">
        <v>384</v>
      </c>
      <c r="C125" s="231">
        <v>231.1</v>
      </c>
      <c r="D125" s="232">
        <v>0.3</v>
      </c>
      <c r="E125" s="232">
        <f t="shared" si="2"/>
        <v>69.33</v>
      </c>
      <c r="F125" s="232">
        <v>67.070000000000007</v>
      </c>
      <c r="G125" s="232">
        <f t="shared" si="3"/>
        <v>2.2599999999999909</v>
      </c>
      <c r="H125" s="153">
        <v>604651</v>
      </c>
      <c r="I125" s="242" t="s">
        <v>385</v>
      </c>
      <c r="J125" s="153" t="s">
        <v>31</v>
      </c>
      <c r="K125" s="153" t="s">
        <v>32</v>
      </c>
      <c r="L125" s="153">
        <v>92587799</v>
      </c>
      <c r="M125" s="325" t="s">
        <v>703</v>
      </c>
    </row>
    <row r="126" spans="1:13" s="325" customFormat="1" ht="21.75" customHeight="1" x14ac:dyDescent="0.25">
      <c r="A126" s="230">
        <v>1733</v>
      </c>
      <c r="B126" s="152" t="s">
        <v>386</v>
      </c>
      <c r="C126" s="231">
        <v>238</v>
      </c>
      <c r="D126" s="232">
        <v>0.3</v>
      </c>
      <c r="E126" s="232">
        <f t="shared" si="2"/>
        <v>71.399999999999991</v>
      </c>
      <c r="F126" s="232">
        <v>70.22</v>
      </c>
      <c r="G126" s="232">
        <f t="shared" si="3"/>
        <v>1.1799999999999926</v>
      </c>
      <c r="H126" s="153">
        <v>24598302</v>
      </c>
      <c r="I126" s="599" t="s">
        <v>387</v>
      </c>
      <c r="J126" s="153" t="s">
        <v>52</v>
      </c>
      <c r="K126" s="153" t="s">
        <v>53</v>
      </c>
      <c r="L126" s="153"/>
      <c r="M126" s="325" t="s">
        <v>703</v>
      </c>
    </row>
    <row r="127" spans="1:13" s="17" customFormat="1" ht="21.75" customHeight="1" x14ac:dyDescent="0.25">
      <c r="A127" s="235">
        <v>1734</v>
      </c>
      <c r="B127" s="296" t="s">
        <v>388</v>
      </c>
      <c r="C127" s="295">
        <v>223.3</v>
      </c>
      <c r="D127" s="149">
        <v>0.3</v>
      </c>
      <c r="E127" s="186">
        <f t="shared" si="2"/>
        <v>66.989999999999995</v>
      </c>
      <c r="F127" s="186"/>
      <c r="G127" s="186">
        <f t="shared" si="3"/>
        <v>66.989999999999995</v>
      </c>
      <c r="H127" s="136">
        <v>1105552</v>
      </c>
      <c r="I127" s="311" t="s">
        <v>389</v>
      </c>
      <c r="J127" s="136" t="s">
        <v>52</v>
      </c>
      <c r="K127" s="136" t="s">
        <v>53</v>
      </c>
      <c r="L127" s="136">
        <v>99484517</v>
      </c>
    </row>
    <row r="128" spans="1:13" s="17" customFormat="1" ht="21.75" customHeight="1" x14ac:dyDescent="0.25">
      <c r="A128" s="235">
        <v>1736</v>
      </c>
      <c r="B128" s="296" t="s">
        <v>164</v>
      </c>
      <c r="C128" s="295">
        <v>202.2</v>
      </c>
      <c r="D128" s="149">
        <v>0.3</v>
      </c>
      <c r="E128" s="186">
        <f t="shared" si="2"/>
        <v>60.66</v>
      </c>
      <c r="F128" s="186">
        <v>56.58</v>
      </c>
      <c r="G128" s="186">
        <f t="shared" si="3"/>
        <v>4.0799999999999983</v>
      </c>
      <c r="H128" s="136">
        <v>960639</v>
      </c>
      <c r="I128" s="313" t="s">
        <v>165</v>
      </c>
      <c r="J128" s="136" t="s">
        <v>31</v>
      </c>
      <c r="K128" s="136" t="s">
        <v>32</v>
      </c>
      <c r="L128" s="136"/>
      <c r="M128" s="325" t="s">
        <v>706</v>
      </c>
    </row>
    <row r="129" spans="1:14" s="325" customFormat="1" ht="21.75" customHeight="1" x14ac:dyDescent="0.25">
      <c r="A129" s="230">
        <v>1737</v>
      </c>
      <c r="B129" s="153" t="s">
        <v>390</v>
      </c>
      <c r="C129" s="231">
        <v>167</v>
      </c>
      <c r="D129" s="232">
        <v>0.3</v>
      </c>
      <c r="E129" s="232">
        <f t="shared" si="2"/>
        <v>50.1</v>
      </c>
      <c r="F129" s="232">
        <v>49.21</v>
      </c>
      <c r="G129" s="232">
        <f t="shared" si="3"/>
        <v>0.89000000000000057</v>
      </c>
      <c r="H129" s="153">
        <v>5566367</v>
      </c>
      <c r="I129" s="242" t="s">
        <v>391</v>
      </c>
      <c r="J129" s="153" t="s">
        <v>31</v>
      </c>
      <c r="K129" s="153" t="s">
        <v>32</v>
      </c>
      <c r="L129" s="153">
        <v>98517790</v>
      </c>
      <c r="M129" s="325" t="s">
        <v>703</v>
      </c>
    </row>
    <row r="130" spans="1:14" s="17" customFormat="1" ht="21.75" customHeight="1" x14ac:dyDescent="0.25">
      <c r="A130" s="235">
        <v>1738</v>
      </c>
      <c r="B130" s="296" t="s">
        <v>166</v>
      </c>
      <c r="C130" s="295">
        <v>215.7</v>
      </c>
      <c r="D130" s="149">
        <v>0.3</v>
      </c>
      <c r="E130" s="186">
        <f t="shared" si="2"/>
        <v>64.709999999999994</v>
      </c>
      <c r="F130" s="186"/>
      <c r="G130" s="186">
        <f t="shared" si="3"/>
        <v>64.709999999999994</v>
      </c>
      <c r="H130" s="136">
        <v>23187863</v>
      </c>
      <c r="I130" s="313" t="s">
        <v>581</v>
      </c>
      <c r="J130" s="136" t="s">
        <v>52</v>
      </c>
      <c r="K130" s="136" t="s">
        <v>53</v>
      </c>
      <c r="L130" s="136">
        <v>99464736</v>
      </c>
    </row>
    <row r="131" spans="1:14" s="17" customFormat="1" ht="21.75" customHeight="1" x14ac:dyDescent="0.25">
      <c r="A131" s="235">
        <v>1740</v>
      </c>
      <c r="B131" s="296" t="s">
        <v>392</v>
      </c>
      <c r="C131" s="295">
        <v>264.8</v>
      </c>
      <c r="D131" s="149">
        <v>0.3</v>
      </c>
      <c r="E131" s="186">
        <f t="shared" ref="E131:E194" si="4">C131*D131</f>
        <v>79.44</v>
      </c>
      <c r="F131" s="186"/>
      <c r="G131" s="186">
        <f t="shared" ref="G131:G194" si="5">E131-F131</f>
        <v>79.44</v>
      </c>
      <c r="H131" s="136">
        <v>750305</v>
      </c>
      <c r="I131" s="313" t="s">
        <v>393</v>
      </c>
      <c r="J131" s="136" t="s">
        <v>31</v>
      </c>
      <c r="K131" s="136" t="s">
        <v>32</v>
      </c>
      <c r="L131" s="136"/>
    </row>
    <row r="132" spans="1:14" s="325" customFormat="1" ht="21.75" customHeight="1" x14ac:dyDescent="0.25">
      <c r="A132" s="230">
        <v>1741</v>
      </c>
      <c r="B132" s="152" t="s">
        <v>394</v>
      </c>
      <c r="C132" s="231">
        <v>718.4</v>
      </c>
      <c r="D132" s="232">
        <v>0.3</v>
      </c>
      <c r="E132" s="232">
        <f t="shared" si="4"/>
        <v>215.51999999999998</v>
      </c>
      <c r="F132" s="232">
        <v>213.66</v>
      </c>
      <c r="G132" s="232">
        <f t="shared" si="5"/>
        <v>1.8599999999999852</v>
      </c>
      <c r="H132" s="153">
        <v>3439836</v>
      </c>
      <c r="I132" s="242" t="s">
        <v>395</v>
      </c>
      <c r="J132" s="153" t="s">
        <v>31</v>
      </c>
      <c r="K132" s="153" t="s">
        <v>32</v>
      </c>
      <c r="L132" s="153">
        <v>99070188</v>
      </c>
      <c r="M132" s="325" t="s">
        <v>703</v>
      </c>
    </row>
    <row r="133" spans="1:14" s="325" customFormat="1" ht="21.75" customHeight="1" x14ac:dyDescent="0.25">
      <c r="A133" s="230">
        <v>1742</v>
      </c>
      <c r="B133" s="152" t="s">
        <v>396</v>
      </c>
      <c r="C133" s="231">
        <v>255</v>
      </c>
      <c r="D133" s="232">
        <v>0.3</v>
      </c>
      <c r="E133" s="232">
        <f t="shared" si="4"/>
        <v>76.5</v>
      </c>
      <c r="F133" s="232">
        <v>75.95</v>
      </c>
      <c r="G133" s="232">
        <f t="shared" si="5"/>
        <v>0.54999999999999716</v>
      </c>
      <c r="H133" s="153">
        <v>7534942</v>
      </c>
      <c r="I133" s="242" t="s">
        <v>397</v>
      </c>
      <c r="J133" s="153" t="s">
        <v>31</v>
      </c>
      <c r="K133" s="153" t="s">
        <v>32</v>
      </c>
      <c r="L133" s="153"/>
      <c r="M133" s="325" t="s">
        <v>703</v>
      </c>
    </row>
    <row r="134" spans="1:14" s="325" customFormat="1" ht="21.75" customHeight="1" x14ac:dyDescent="0.25">
      <c r="A134" s="230">
        <v>1743</v>
      </c>
      <c r="B134" s="152" t="s">
        <v>398</v>
      </c>
      <c r="C134" s="231">
        <v>666</v>
      </c>
      <c r="D134" s="232">
        <v>0.3</v>
      </c>
      <c r="E134" s="232">
        <f t="shared" si="4"/>
        <v>199.79999999999998</v>
      </c>
      <c r="F134" s="232">
        <f>196.77</f>
        <v>196.77</v>
      </c>
      <c r="G134" s="232">
        <f t="shared" si="5"/>
        <v>3.0299999999999727</v>
      </c>
      <c r="H134" s="153">
        <v>14028717</v>
      </c>
      <c r="I134" s="233" t="s">
        <v>399</v>
      </c>
      <c r="J134" s="153" t="s">
        <v>155</v>
      </c>
      <c r="K134" s="153" t="s">
        <v>156</v>
      </c>
      <c r="L134" s="153">
        <v>98500770</v>
      </c>
      <c r="M134" s="589">
        <v>45759</v>
      </c>
    </row>
    <row r="135" spans="1:14" s="325" customFormat="1" ht="21.75" customHeight="1" x14ac:dyDescent="0.25">
      <c r="A135" s="230">
        <v>1744</v>
      </c>
      <c r="B135" s="152" t="s">
        <v>400</v>
      </c>
      <c r="C135" s="231">
        <v>220.8</v>
      </c>
      <c r="D135" s="232">
        <v>0.3</v>
      </c>
      <c r="E135" s="232">
        <f t="shared" si="4"/>
        <v>66.239999999999995</v>
      </c>
      <c r="F135" s="232">
        <f>E135</f>
        <v>66.239999999999995</v>
      </c>
      <c r="G135" s="232">
        <f t="shared" si="5"/>
        <v>0</v>
      </c>
      <c r="H135" s="153">
        <v>6653046</v>
      </c>
      <c r="I135" s="327" t="s">
        <v>401</v>
      </c>
      <c r="J135" s="153" t="s">
        <v>52</v>
      </c>
      <c r="K135" s="153" t="s">
        <v>53</v>
      </c>
      <c r="L135" s="153">
        <v>98183585</v>
      </c>
      <c r="M135" s="325" t="s">
        <v>703</v>
      </c>
      <c r="N135" s="628" t="s">
        <v>704</v>
      </c>
    </row>
    <row r="136" spans="1:14" s="325" customFormat="1" ht="21.75" customHeight="1" x14ac:dyDescent="0.25">
      <c r="A136" s="230">
        <v>1745</v>
      </c>
      <c r="B136" s="152" t="s">
        <v>402</v>
      </c>
      <c r="C136" s="231">
        <v>201.5</v>
      </c>
      <c r="D136" s="232">
        <v>0.3</v>
      </c>
      <c r="E136" s="232">
        <f t="shared" si="4"/>
        <v>60.449999999999996</v>
      </c>
      <c r="F136" s="232">
        <v>58.679999999999993</v>
      </c>
      <c r="G136" s="232">
        <f t="shared" si="5"/>
        <v>1.7700000000000031</v>
      </c>
      <c r="H136" s="153">
        <v>781826</v>
      </c>
      <c r="I136" s="233" t="s">
        <v>403</v>
      </c>
      <c r="J136" s="153" t="s">
        <v>52</v>
      </c>
      <c r="K136" s="153" t="s">
        <v>53</v>
      </c>
      <c r="L136" s="153"/>
      <c r="M136" s="325" t="s">
        <v>703</v>
      </c>
    </row>
    <row r="137" spans="1:14" s="325" customFormat="1" ht="21.75" customHeight="1" x14ac:dyDescent="0.25">
      <c r="A137" s="230">
        <v>1748</v>
      </c>
      <c r="B137" s="152" t="s">
        <v>169</v>
      </c>
      <c r="C137" s="231">
        <v>206.8</v>
      </c>
      <c r="D137" s="232">
        <v>0.3</v>
      </c>
      <c r="E137" s="232">
        <f t="shared" si="4"/>
        <v>62.04</v>
      </c>
      <c r="F137" s="232">
        <v>61.040000000000006</v>
      </c>
      <c r="G137" s="232">
        <f t="shared" si="5"/>
        <v>0.99999999999999289</v>
      </c>
      <c r="H137" s="153">
        <v>1354182</v>
      </c>
      <c r="I137" s="242" t="s">
        <v>170</v>
      </c>
      <c r="J137" s="153" t="s">
        <v>31</v>
      </c>
      <c r="K137" s="153" t="s">
        <v>32</v>
      </c>
      <c r="L137" s="153">
        <v>98953022</v>
      </c>
      <c r="M137" s="325" t="s">
        <v>703</v>
      </c>
    </row>
    <row r="138" spans="1:14" s="325" customFormat="1" ht="21.75" customHeight="1" x14ac:dyDescent="0.25">
      <c r="A138" s="230">
        <v>1749</v>
      </c>
      <c r="B138" s="152" t="s">
        <v>404</v>
      </c>
      <c r="C138" s="231">
        <v>217.6</v>
      </c>
      <c r="D138" s="232">
        <v>0.3</v>
      </c>
      <c r="E138" s="232">
        <f t="shared" si="4"/>
        <v>65.28</v>
      </c>
      <c r="F138" s="232">
        <f>0.72</f>
        <v>0.72</v>
      </c>
      <c r="G138" s="232">
        <f t="shared" si="5"/>
        <v>64.56</v>
      </c>
      <c r="H138" s="153">
        <v>1304923</v>
      </c>
      <c r="I138" s="233" t="s">
        <v>405</v>
      </c>
      <c r="J138" s="153" t="s">
        <v>52</v>
      </c>
      <c r="K138" s="153" t="s">
        <v>53</v>
      </c>
      <c r="L138" s="153">
        <v>97384393</v>
      </c>
      <c r="M138" s="628" t="s">
        <v>690</v>
      </c>
    </row>
    <row r="139" spans="1:14" s="325" customFormat="1" ht="21.75" customHeight="1" x14ac:dyDescent="0.25">
      <c r="A139" s="230">
        <v>1750</v>
      </c>
      <c r="B139" s="152" t="s">
        <v>406</v>
      </c>
      <c r="C139" s="231">
        <v>246.1</v>
      </c>
      <c r="D139" s="232">
        <v>0.3</v>
      </c>
      <c r="E139" s="232">
        <f t="shared" si="4"/>
        <v>73.83</v>
      </c>
      <c r="F139" s="232">
        <v>70.430000000000007</v>
      </c>
      <c r="G139" s="232">
        <f t="shared" si="5"/>
        <v>3.3999999999999915</v>
      </c>
      <c r="H139" s="153">
        <v>18638806</v>
      </c>
      <c r="I139" s="233" t="s">
        <v>407</v>
      </c>
      <c r="J139" s="153" t="s">
        <v>71</v>
      </c>
      <c r="K139" s="153" t="s">
        <v>72</v>
      </c>
      <c r="L139" s="153">
        <v>98595777</v>
      </c>
      <c r="M139" s="325" t="s">
        <v>703</v>
      </c>
    </row>
    <row r="140" spans="1:14" s="17" customFormat="1" ht="21.75" customHeight="1" x14ac:dyDescent="0.25">
      <c r="A140" s="235">
        <v>1752</v>
      </c>
      <c r="B140" s="296" t="s">
        <v>171</v>
      </c>
      <c r="C140" s="295">
        <v>240</v>
      </c>
      <c r="D140" s="149">
        <v>0.3</v>
      </c>
      <c r="E140" s="186">
        <f t="shared" si="4"/>
        <v>72</v>
      </c>
      <c r="F140" s="186"/>
      <c r="G140" s="186">
        <f t="shared" si="5"/>
        <v>72</v>
      </c>
      <c r="H140" s="136">
        <v>2808921</v>
      </c>
      <c r="I140" s="311" t="s">
        <v>139</v>
      </c>
      <c r="J140" s="136" t="s">
        <v>31</v>
      </c>
      <c r="K140" s="136" t="s">
        <v>32</v>
      </c>
      <c r="L140" s="136">
        <v>92740803</v>
      </c>
    </row>
    <row r="141" spans="1:14" s="325" customFormat="1" ht="21.75" customHeight="1" x14ac:dyDescent="0.25">
      <c r="A141" s="230">
        <v>1753</v>
      </c>
      <c r="B141" s="152" t="s">
        <v>408</v>
      </c>
      <c r="C141" s="231">
        <v>216.5</v>
      </c>
      <c r="D141" s="232">
        <v>0.3</v>
      </c>
      <c r="E141" s="232">
        <f t="shared" si="4"/>
        <v>64.95</v>
      </c>
      <c r="F141" s="232">
        <v>63.16</v>
      </c>
      <c r="G141" s="232">
        <f t="shared" si="5"/>
        <v>1.7900000000000063</v>
      </c>
      <c r="H141" s="153">
        <v>6496182</v>
      </c>
      <c r="I141" s="612" t="s">
        <v>409</v>
      </c>
      <c r="J141" s="153" t="s">
        <v>251</v>
      </c>
      <c r="K141" s="153" t="s">
        <v>252</v>
      </c>
      <c r="L141" s="153">
        <v>98595777</v>
      </c>
      <c r="M141" s="325" t="s">
        <v>703</v>
      </c>
    </row>
    <row r="142" spans="1:14" s="17" customFormat="1" ht="21.75" customHeight="1" x14ac:dyDescent="0.25">
      <c r="A142" s="235">
        <v>1754</v>
      </c>
      <c r="B142" s="296" t="s">
        <v>410</v>
      </c>
      <c r="C142" s="295">
        <v>824.2</v>
      </c>
      <c r="D142" s="149">
        <v>0.3</v>
      </c>
      <c r="E142" s="186">
        <f t="shared" si="4"/>
        <v>247.26</v>
      </c>
      <c r="F142" s="186"/>
      <c r="G142" s="186">
        <f t="shared" si="5"/>
        <v>247.26</v>
      </c>
      <c r="H142" s="136">
        <v>1523934</v>
      </c>
      <c r="I142" s="311" t="s">
        <v>411</v>
      </c>
      <c r="J142" s="136" t="s">
        <v>71</v>
      </c>
      <c r="K142" s="136" t="s">
        <v>72</v>
      </c>
      <c r="L142" s="136"/>
    </row>
    <row r="143" spans="1:14" s="325" customFormat="1" ht="21.75" customHeight="1" x14ac:dyDescent="0.25">
      <c r="A143" s="230">
        <v>1755</v>
      </c>
      <c r="B143" s="152" t="s">
        <v>69</v>
      </c>
      <c r="C143" s="231">
        <v>412</v>
      </c>
      <c r="D143" s="232">
        <v>0.3</v>
      </c>
      <c r="E143" s="232">
        <f t="shared" si="4"/>
        <v>123.6</v>
      </c>
      <c r="F143" s="232">
        <f>119.54</f>
        <v>119.54</v>
      </c>
      <c r="G143" s="232">
        <f t="shared" si="5"/>
        <v>4.0599999999999881</v>
      </c>
      <c r="H143" s="153">
        <v>10592143</v>
      </c>
      <c r="I143" s="233" t="s">
        <v>70</v>
      </c>
      <c r="J143" s="153" t="s">
        <v>71</v>
      </c>
      <c r="K143" s="153" t="s">
        <v>72</v>
      </c>
      <c r="L143" s="153"/>
      <c r="M143" s="325" t="s">
        <v>709</v>
      </c>
    </row>
    <row r="144" spans="1:14" s="17" customFormat="1" ht="21.75" customHeight="1" x14ac:dyDescent="0.25">
      <c r="A144" s="235">
        <v>1756</v>
      </c>
      <c r="B144" s="296" t="s">
        <v>412</v>
      </c>
      <c r="C144" s="295">
        <v>62.8</v>
      </c>
      <c r="D144" s="149">
        <v>0.3</v>
      </c>
      <c r="E144" s="186">
        <f t="shared" si="4"/>
        <v>18.84</v>
      </c>
      <c r="F144" s="186"/>
      <c r="G144" s="186">
        <f t="shared" si="5"/>
        <v>18.84</v>
      </c>
      <c r="H144" s="136">
        <v>381412</v>
      </c>
      <c r="I144" s="311" t="s">
        <v>413</v>
      </c>
      <c r="J144" s="136" t="s">
        <v>31</v>
      </c>
      <c r="K144" s="136" t="s">
        <v>32</v>
      </c>
      <c r="L144" s="136">
        <v>99293035</v>
      </c>
    </row>
    <row r="145" spans="1:14" s="325" customFormat="1" ht="21.75" customHeight="1" x14ac:dyDescent="0.25">
      <c r="A145" s="230">
        <v>1758</v>
      </c>
      <c r="B145" s="152" t="s">
        <v>74</v>
      </c>
      <c r="C145" s="231">
        <v>393.7</v>
      </c>
      <c r="D145" s="232">
        <v>0.3</v>
      </c>
      <c r="E145" s="232">
        <f t="shared" si="4"/>
        <v>118.10999999999999</v>
      </c>
      <c r="F145" s="232">
        <v>115.87</v>
      </c>
      <c r="G145" s="232">
        <f t="shared" si="5"/>
        <v>2.2399999999999807</v>
      </c>
      <c r="H145" s="153">
        <v>2443662</v>
      </c>
      <c r="I145" s="233" t="s">
        <v>75</v>
      </c>
      <c r="J145" s="153" t="s">
        <v>31</v>
      </c>
      <c r="K145" s="153" t="s">
        <v>32</v>
      </c>
      <c r="L145" s="153">
        <v>99608818</v>
      </c>
      <c r="M145" s="325" t="s">
        <v>703</v>
      </c>
    </row>
    <row r="146" spans="1:14" s="17" customFormat="1" ht="21.75" customHeight="1" x14ac:dyDescent="0.25">
      <c r="A146" s="235">
        <v>1759</v>
      </c>
      <c r="B146" s="296" t="s">
        <v>415</v>
      </c>
      <c r="C146" s="295">
        <v>202</v>
      </c>
      <c r="D146" s="149">
        <v>0.3</v>
      </c>
      <c r="E146" s="186">
        <f t="shared" si="4"/>
        <v>60.599999999999994</v>
      </c>
      <c r="F146" s="186"/>
      <c r="G146" s="186">
        <f t="shared" si="5"/>
        <v>60.599999999999994</v>
      </c>
      <c r="H146" s="136">
        <v>5029866</v>
      </c>
      <c r="I146" s="311" t="s">
        <v>416</v>
      </c>
      <c r="J146" s="136" t="s">
        <v>31</v>
      </c>
      <c r="K146" s="136" t="s">
        <v>32</v>
      </c>
      <c r="L146" s="136"/>
    </row>
    <row r="147" spans="1:14" s="325" customFormat="1" ht="21.75" customHeight="1" x14ac:dyDescent="0.25">
      <c r="A147" s="230">
        <v>1760</v>
      </c>
      <c r="B147" s="152" t="s">
        <v>418</v>
      </c>
      <c r="C147" s="231">
        <v>218.7</v>
      </c>
      <c r="D147" s="232">
        <v>0.3</v>
      </c>
      <c r="E147" s="232">
        <f t="shared" si="4"/>
        <v>65.61</v>
      </c>
      <c r="F147" s="232">
        <v>62.290000000000006</v>
      </c>
      <c r="G147" s="232">
        <f t="shared" si="5"/>
        <v>3.3199999999999932</v>
      </c>
      <c r="H147" s="153">
        <v>3847339</v>
      </c>
      <c r="I147" s="233" t="s">
        <v>419</v>
      </c>
      <c r="J147" s="153" t="s">
        <v>31</v>
      </c>
      <c r="K147" s="153" t="s">
        <v>32</v>
      </c>
      <c r="L147" s="153"/>
      <c r="M147" s="325" t="s">
        <v>703</v>
      </c>
    </row>
    <row r="148" spans="1:14" s="17" customFormat="1" ht="21.75" customHeight="1" x14ac:dyDescent="0.25">
      <c r="A148" s="235">
        <v>1763</v>
      </c>
      <c r="B148" s="296" t="s">
        <v>420</v>
      </c>
      <c r="C148" s="295">
        <v>187.2</v>
      </c>
      <c r="D148" s="149">
        <v>0.3</v>
      </c>
      <c r="E148" s="186">
        <f t="shared" si="4"/>
        <v>56.16</v>
      </c>
      <c r="F148" s="186"/>
      <c r="G148" s="186">
        <f t="shared" si="5"/>
        <v>56.16</v>
      </c>
      <c r="H148" s="136">
        <v>5384098</v>
      </c>
      <c r="I148" s="311" t="s">
        <v>421</v>
      </c>
      <c r="J148" s="136" t="s">
        <v>31</v>
      </c>
      <c r="K148" s="136" t="s">
        <v>32</v>
      </c>
      <c r="L148" s="136">
        <v>99199287</v>
      </c>
    </row>
    <row r="149" spans="1:14" s="17" customFormat="1" ht="21.75" customHeight="1" x14ac:dyDescent="0.25">
      <c r="A149" s="235">
        <v>1764</v>
      </c>
      <c r="B149" s="296" t="s">
        <v>422</v>
      </c>
      <c r="C149" s="295">
        <v>277.39999999999998</v>
      </c>
      <c r="D149" s="149">
        <v>0.3</v>
      </c>
      <c r="E149" s="186">
        <f t="shared" si="4"/>
        <v>83.219999999999985</v>
      </c>
      <c r="F149" s="186"/>
      <c r="G149" s="186">
        <f t="shared" si="5"/>
        <v>83.219999999999985</v>
      </c>
      <c r="H149" s="136">
        <v>6923798</v>
      </c>
      <c r="I149" s="313">
        <v>1023524004017</v>
      </c>
      <c r="J149" s="136" t="s">
        <v>26</v>
      </c>
      <c r="K149" s="136" t="s">
        <v>27</v>
      </c>
      <c r="L149" s="136">
        <v>93955557</v>
      </c>
    </row>
    <row r="150" spans="1:14" s="325" customFormat="1" ht="21.75" customHeight="1" x14ac:dyDescent="0.25">
      <c r="A150" s="230">
        <v>1766</v>
      </c>
      <c r="B150" s="152" t="s">
        <v>423</v>
      </c>
      <c r="C150" s="231">
        <v>405</v>
      </c>
      <c r="D150" s="232">
        <v>0.3</v>
      </c>
      <c r="E150" s="232">
        <f t="shared" si="4"/>
        <v>121.5</v>
      </c>
      <c r="F150" s="232">
        <v>118.1</v>
      </c>
      <c r="G150" s="232">
        <f t="shared" si="5"/>
        <v>3.4000000000000057</v>
      </c>
      <c r="H150" s="153">
        <v>19548574</v>
      </c>
      <c r="I150" s="233" t="s">
        <v>424</v>
      </c>
      <c r="J150" s="153" t="s">
        <v>31</v>
      </c>
      <c r="K150" s="153" t="s">
        <v>32</v>
      </c>
      <c r="L150" s="153">
        <v>92924743</v>
      </c>
      <c r="M150" s="325" t="s">
        <v>706</v>
      </c>
    </row>
    <row r="151" spans="1:14" s="325" customFormat="1" ht="21.75" customHeight="1" x14ac:dyDescent="0.25">
      <c r="A151" s="230">
        <v>1768</v>
      </c>
      <c r="B151" s="152" t="s">
        <v>172</v>
      </c>
      <c r="C151" s="231">
        <v>224</v>
      </c>
      <c r="D151" s="232">
        <v>0.3</v>
      </c>
      <c r="E151" s="232">
        <f t="shared" si="4"/>
        <v>67.2</v>
      </c>
      <c r="F151" s="232">
        <v>63.760000000000005</v>
      </c>
      <c r="G151" s="232">
        <f t="shared" si="5"/>
        <v>3.4399999999999977</v>
      </c>
      <c r="H151" s="153">
        <v>13899464</v>
      </c>
      <c r="I151" s="327" t="s">
        <v>173</v>
      </c>
      <c r="J151" s="153" t="s">
        <v>31</v>
      </c>
      <c r="K151" s="153" t="s">
        <v>32</v>
      </c>
      <c r="L151" s="153">
        <v>99166449</v>
      </c>
      <c r="M151" s="325" t="s">
        <v>703</v>
      </c>
    </row>
    <row r="152" spans="1:14" s="17" customFormat="1" ht="21.75" customHeight="1" x14ac:dyDescent="0.25">
      <c r="A152" s="235">
        <v>1769</v>
      </c>
      <c r="B152" s="296" t="s">
        <v>425</v>
      </c>
      <c r="C152" s="295">
        <v>171.2</v>
      </c>
      <c r="D152" s="149">
        <v>0.3</v>
      </c>
      <c r="E152" s="186">
        <f t="shared" si="4"/>
        <v>51.359999999999992</v>
      </c>
      <c r="F152" s="186"/>
      <c r="G152" s="186">
        <f t="shared" si="5"/>
        <v>51.359999999999992</v>
      </c>
      <c r="H152" s="136">
        <v>19322478</v>
      </c>
      <c r="I152" s="311" t="s">
        <v>426</v>
      </c>
      <c r="J152" s="136" t="s">
        <v>31</v>
      </c>
      <c r="K152" s="136" t="s">
        <v>32</v>
      </c>
      <c r="L152" s="136">
        <v>99180404</v>
      </c>
    </row>
    <row r="153" spans="1:14" s="17" customFormat="1" ht="21.75" customHeight="1" x14ac:dyDescent="0.25">
      <c r="A153" s="235">
        <v>1770</v>
      </c>
      <c r="B153" s="296" t="s">
        <v>427</v>
      </c>
      <c r="C153" s="295">
        <v>203.1</v>
      </c>
      <c r="D153" s="149">
        <v>0.3</v>
      </c>
      <c r="E153" s="186">
        <f t="shared" si="4"/>
        <v>60.929999999999993</v>
      </c>
      <c r="F153" s="186"/>
      <c r="G153" s="186">
        <f t="shared" si="5"/>
        <v>60.929999999999993</v>
      </c>
      <c r="H153" s="136">
        <v>24534799</v>
      </c>
      <c r="I153" s="311" t="s">
        <v>428</v>
      </c>
      <c r="J153" s="136" t="s">
        <v>26</v>
      </c>
      <c r="K153" s="136" t="s">
        <v>27</v>
      </c>
      <c r="L153" s="136"/>
    </row>
    <row r="154" spans="1:14" s="17" customFormat="1" ht="21.75" customHeight="1" x14ac:dyDescent="0.25">
      <c r="A154" s="235">
        <v>1771</v>
      </c>
      <c r="B154" s="296" t="s">
        <v>174</v>
      </c>
      <c r="C154" s="295">
        <v>225</v>
      </c>
      <c r="D154" s="149">
        <v>0.3</v>
      </c>
      <c r="E154" s="186">
        <f t="shared" si="4"/>
        <v>67.5</v>
      </c>
      <c r="F154" s="186"/>
      <c r="G154" s="186">
        <f t="shared" si="5"/>
        <v>67.5</v>
      </c>
      <c r="H154" s="136">
        <v>5044401</v>
      </c>
      <c r="I154" s="311" t="s">
        <v>132</v>
      </c>
      <c r="J154" s="136" t="s">
        <v>31</v>
      </c>
      <c r="K154" s="136" t="s">
        <v>32</v>
      </c>
      <c r="L154" s="136">
        <v>93556616</v>
      </c>
    </row>
    <row r="155" spans="1:14" s="325" customFormat="1" ht="21.75" customHeight="1" x14ac:dyDescent="0.25">
      <c r="A155" s="230">
        <v>1772</v>
      </c>
      <c r="B155" s="152" t="s">
        <v>429</v>
      </c>
      <c r="C155" s="231">
        <v>424.6</v>
      </c>
      <c r="D155" s="232">
        <v>0.3</v>
      </c>
      <c r="E155" s="232">
        <f t="shared" si="4"/>
        <v>127.38</v>
      </c>
      <c r="F155" s="232">
        <f>28.24+99</f>
        <v>127.24</v>
      </c>
      <c r="G155" s="232">
        <f t="shared" si="5"/>
        <v>0.14000000000000057</v>
      </c>
      <c r="H155" s="153">
        <v>5217694</v>
      </c>
      <c r="I155" s="233" t="s">
        <v>430</v>
      </c>
      <c r="J155" s="153" t="s">
        <v>52</v>
      </c>
      <c r="K155" s="153" t="s">
        <v>53</v>
      </c>
      <c r="L155" s="153"/>
      <c r="M155" s="325" t="s">
        <v>703</v>
      </c>
      <c r="N155" s="325" t="s">
        <v>706</v>
      </c>
    </row>
    <row r="156" spans="1:14" s="17" customFormat="1" ht="21.75" customHeight="1" x14ac:dyDescent="0.25">
      <c r="A156" s="235">
        <v>1773</v>
      </c>
      <c r="B156" s="296" t="s">
        <v>432</v>
      </c>
      <c r="C156" s="295">
        <v>138.9</v>
      </c>
      <c r="D156" s="149">
        <v>0.3</v>
      </c>
      <c r="E156" s="186">
        <f t="shared" si="4"/>
        <v>41.67</v>
      </c>
      <c r="F156" s="186"/>
      <c r="G156" s="186">
        <f t="shared" si="5"/>
        <v>41.67</v>
      </c>
      <c r="H156" s="136">
        <v>20562603</v>
      </c>
      <c r="I156" s="311" t="s">
        <v>433</v>
      </c>
      <c r="J156" s="136" t="s">
        <v>52</v>
      </c>
      <c r="K156" s="136" t="s">
        <v>53</v>
      </c>
      <c r="L156" s="136">
        <v>92755626</v>
      </c>
    </row>
    <row r="157" spans="1:14" s="325" customFormat="1" ht="21.75" customHeight="1" x14ac:dyDescent="0.25">
      <c r="A157" s="230">
        <v>1774</v>
      </c>
      <c r="B157" s="152" t="s">
        <v>175</v>
      </c>
      <c r="C157" s="231">
        <v>225</v>
      </c>
      <c r="D157" s="232">
        <v>0.3</v>
      </c>
      <c r="E157" s="232">
        <f t="shared" si="4"/>
        <v>67.5</v>
      </c>
      <c r="F157" s="232">
        <v>63.81</v>
      </c>
      <c r="G157" s="232">
        <f t="shared" si="5"/>
        <v>3.6899999999999977</v>
      </c>
      <c r="H157" s="153">
        <v>20865047</v>
      </c>
      <c r="I157" s="233" t="s">
        <v>176</v>
      </c>
      <c r="J157" s="153" t="s">
        <v>31</v>
      </c>
      <c r="K157" s="153" t="s">
        <v>32</v>
      </c>
      <c r="L157" s="153">
        <v>98825083</v>
      </c>
      <c r="M157" s="325" t="s">
        <v>708</v>
      </c>
    </row>
    <row r="158" spans="1:14" s="17" customFormat="1" ht="21.75" customHeight="1" x14ac:dyDescent="0.25">
      <c r="A158" s="235">
        <v>1775</v>
      </c>
      <c r="B158" s="296" t="s">
        <v>434</v>
      </c>
      <c r="C158" s="295">
        <v>360</v>
      </c>
      <c r="D158" s="149">
        <v>0.3</v>
      </c>
      <c r="E158" s="186">
        <f t="shared" si="4"/>
        <v>108</v>
      </c>
      <c r="F158" s="186"/>
      <c r="G158" s="186">
        <f t="shared" si="5"/>
        <v>108</v>
      </c>
      <c r="H158" s="136">
        <v>18659223</v>
      </c>
      <c r="I158" s="316" t="s">
        <v>435</v>
      </c>
      <c r="J158" s="136" t="s">
        <v>31</v>
      </c>
      <c r="K158" s="136" t="s">
        <v>32</v>
      </c>
      <c r="L158" s="136">
        <v>93980028</v>
      </c>
    </row>
    <row r="159" spans="1:14" s="17" customFormat="1" ht="21.75" customHeight="1" x14ac:dyDescent="0.25">
      <c r="A159" s="235">
        <v>1776</v>
      </c>
      <c r="B159" s="296" t="s">
        <v>436</v>
      </c>
      <c r="C159" s="295">
        <v>34.4</v>
      </c>
      <c r="D159" s="149">
        <v>0.3</v>
      </c>
      <c r="E159" s="186">
        <f t="shared" si="4"/>
        <v>10.319999999999999</v>
      </c>
      <c r="F159" s="186"/>
      <c r="G159" s="186">
        <f t="shared" si="5"/>
        <v>10.319999999999999</v>
      </c>
      <c r="H159" s="136">
        <v>30837376</v>
      </c>
      <c r="I159" s="316" t="s">
        <v>437</v>
      </c>
      <c r="J159" s="136" t="s">
        <v>31</v>
      </c>
      <c r="K159" s="136" t="s">
        <v>32</v>
      </c>
      <c r="L159" s="136">
        <v>92445594</v>
      </c>
    </row>
    <row r="160" spans="1:14" s="17" customFormat="1" ht="21.75" customHeight="1" x14ac:dyDescent="0.25">
      <c r="A160" s="235">
        <v>1777</v>
      </c>
      <c r="B160" s="296" t="s">
        <v>438</v>
      </c>
      <c r="C160" s="295">
        <v>450</v>
      </c>
      <c r="D160" s="149">
        <v>0.3</v>
      </c>
      <c r="E160" s="186">
        <f t="shared" si="4"/>
        <v>135</v>
      </c>
      <c r="F160" s="186"/>
      <c r="G160" s="186">
        <f t="shared" si="5"/>
        <v>135</v>
      </c>
      <c r="H160" s="136">
        <v>15107764</v>
      </c>
      <c r="I160" s="316" t="s">
        <v>439</v>
      </c>
      <c r="J160" s="136" t="s">
        <v>121</v>
      </c>
      <c r="K160" s="136" t="s">
        <v>122</v>
      </c>
      <c r="L160" s="136"/>
    </row>
    <row r="161" spans="1:14" s="325" customFormat="1" ht="21.75" customHeight="1" x14ac:dyDescent="0.25">
      <c r="A161" s="230">
        <v>1778</v>
      </c>
      <c r="B161" s="152" t="s">
        <v>440</v>
      </c>
      <c r="C161" s="231">
        <v>182.1</v>
      </c>
      <c r="D161" s="232">
        <v>0.3</v>
      </c>
      <c r="E161" s="232">
        <f t="shared" si="4"/>
        <v>54.629999999999995</v>
      </c>
      <c r="F161" s="232">
        <v>50.489999999999995</v>
      </c>
      <c r="G161" s="232">
        <f t="shared" si="5"/>
        <v>4.1400000000000006</v>
      </c>
      <c r="H161" s="153">
        <v>24984002</v>
      </c>
      <c r="I161" s="233" t="s">
        <v>441</v>
      </c>
      <c r="J161" s="153" t="s">
        <v>31</v>
      </c>
      <c r="K161" s="153" t="s">
        <v>32</v>
      </c>
      <c r="L161" s="153">
        <v>99033018</v>
      </c>
      <c r="M161" s="325" t="s">
        <v>703</v>
      </c>
    </row>
    <row r="162" spans="1:14" s="325" customFormat="1" ht="21.75" customHeight="1" x14ac:dyDescent="0.25">
      <c r="A162" s="230">
        <v>1780</v>
      </c>
      <c r="B162" s="152" t="s">
        <v>442</v>
      </c>
      <c r="C162" s="231">
        <v>502</v>
      </c>
      <c r="D162" s="232">
        <v>0.3</v>
      </c>
      <c r="E162" s="232">
        <f t="shared" si="4"/>
        <v>150.6</v>
      </c>
      <c r="F162" s="232">
        <f>148.44</f>
        <v>148.44</v>
      </c>
      <c r="G162" s="232">
        <f t="shared" si="5"/>
        <v>2.1599999999999966</v>
      </c>
      <c r="H162" s="153">
        <v>6228066</v>
      </c>
      <c r="I162" s="233" t="s">
        <v>443</v>
      </c>
      <c r="J162" s="153" t="s">
        <v>31</v>
      </c>
      <c r="K162" s="153" t="s">
        <v>32</v>
      </c>
      <c r="L162" s="153">
        <v>91709355</v>
      </c>
      <c r="M162" s="589">
        <v>45973</v>
      </c>
    </row>
    <row r="163" spans="1:14" s="17" customFormat="1" ht="21.75" customHeight="1" x14ac:dyDescent="0.25">
      <c r="A163" s="235">
        <v>1781</v>
      </c>
      <c r="B163" s="296" t="s">
        <v>444</v>
      </c>
      <c r="C163" s="295">
        <v>196</v>
      </c>
      <c r="D163" s="149">
        <v>0.3</v>
      </c>
      <c r="E163" s="186">
        <f t="shared" si="4"/>
        <v>58.8</v>
      </c>
      <c r="F163" s="186"/>
      <c r="G163" s="186">
        <f t="shared" si="5"/>
        <v>58.8</v>
      </c>
      <c r="H163" s="136">
        <v>7287174</v>
      </c>
      <c r="I163" s="311" t="s">
        <v>445</v>
      </c>
      <c r="J163" s="136" t="s">
        <v>52</v>
      </c>
      <c r="K163" s="136" t="s">
        <v>53</v>
      </c>
      <c r="L163" s="136">
        <v>99673747</v>
      </c>
    </row>
    <row r="164" spans="1:14" s="325" customFormat="1" ht="21.75" customHeight="1" x14ac:dyDescent="0.25">
      <c r="A164" s="230">
        <v>1782</v>
      </c>
      <c r="B164" s="152" t="s">
        <v>446</v>
      </c>
      <c r="C164" s="231">
        <v>148.69999999999999</v>
      </c>
      <c r="D164" s="232">
        <v>0.3</v>
      </c>
      <c r="E164" s="232">
        <f t="shared" si="4"/>
        <v>44.609999999999992</v>
      </c>
      <c r="F164" s="232">
        <f>E164</f>
        <v>44.609999999999992</v>
      </c>
      <c r="G164" s="232">
        <f t="shared" si="5"/>
        <v>0</v>
      </c>
      <c r="H164" s="153">
        <v>19818711</v>
      </c>
      <c r="I164" s="233" t="s">
        <v>447</v>
      </c>
      <c r="J164" s="153" t="s">
        <v>31</v>
      </c>
      <c r="K164" s="153" t="s">
        <v>32</v>
      </c>
      <c r="L164" s="153">
        <v>92204006</v>
      </c>
      <c r="M164" s="325" t="s">
        <v>703</v>
      </c>
      <c r="N164" s="628" t="s">
        <v>705</v>
      </c>
    </row>
    <row r="165" spans="1:14" s="325" customFormat="1" ht="21.75" customHeight="1" x14ac:dyDescent="0.25">
      <c r="A165" s="230">
        <v>1783</v>
      </c>
      <c r="B165" s="152" t="s">
        <v>177</v>
      </c>
      <c r="C165" s="231">
        <v>169</v>
      </c>
      <c r="D165" s="232">
        <v>0.3</v>
      </c>
      <c r="E165" s="232">
        <f t="shared" si="4"/>
        <v>50.699999999999996</v>
      </c>
      <c r="F165" s="232">
        <v>50.88</v>
      </c>
      <c r="G165" s="232">
        <f t="shared" si="5"/>
        <v>-0.18000000000000682</v>
      </c>
      <c r="H165" s="153">
        <v>1500187</v>
      </c>
      <c r="I165" s="233" t="s">
        <v>178</v>
      </c>
      <c r="J165" s="153" t="s">
        <v>31</v>
      </c>
      <c r="K165" s="153" t="s">
        <v>32</v>
      </c>
      <c r="L165" s="153">
        <v>91159122</v>
      </c>
      <c r="M165" s="325" t="s">
        <v>703</v>
      </c>
    </row>
    <row r="166" spans="1:14" s="325" customFormat="1" ht="21.75" customHeight="1" x14ac:dyDescent="0.25">
      <c r="A166" s="230">
        <v>1784</v>
      </c>
      <c r="B166" s="152" t="s">
        <v>448</v>
      </c>
      <c r="C166" s="231">
        <v>300</v>
      </c>
      <c r="D166" s="232">
        <v>0.3</v>
      </c>
      <c r="E166" s="232">
        <f t="shared" si="4"/>
        <v>90</v>
      </c>
      <c r="F166" s="232">
        <v>87.029999999999987</v>
      </c>
      <c r="G166" s="232">
        <f t="shared" si="5"/>
        <v>2.9700000000000131</v>
      </c>
      <c r="H166" s="153">
        <v>19534652</v>
      </c>
      <c r="I166" s="242" t="s">
        <v>449</v>
      </c>
      <c r="J166" s="153" t="s">
        <v>52</v>
      </c>
      <c r="K166" s="153" t="s">
        <v>53</v>
      </c>
      <c r="L166" s="153">
        <v>99296177</v>
      </c>
      <c r="M166" s="325" t="s">
        <v>708</v>
      </c>
    </row>
    <row r="167" spans="1:14" s="17" customFormat="1" ht="21.75" customHeight="1" x14ac:dyDescent="0.25">
      <c r="A167" s="235">
        <v>1785</v>
      </c>
      <c r="B167" s="296" t="s">
        <v>179</v>
      </c>
      <c r="C167" s="295">
        <v>216.2</v>
      </c>
      <c r="D167" s="149">
        <v>0.3</v>
      </c>
      <c r="E167" s="186">
        <f t="shared" si="4"/>
        <v>64.86</v>
      </c>
      <c r="F167" s="186"/>
      <c r="G167" s="186">
        <f t="shared" si="5"/>
        <v>64.86</v>
      </c>
      <c r="H167" s="136">
        <v>7374743</v>
      </c>
      <c r="I167" s="311" t="s">
        <v>180</v>
      </c>
      <c r="J167" s="136" t="s">
        <v>31</v>
      </c>
      <c r="K167" s="136" t="s">
        <v>32</v>
      </c>
      <c r="L167" s="136">
        <v>93875087</v>
      </c>
    </row>
    <row r="168" spans="1:14" s="325" customFormat="1" ht="21.75" customHeight="1" x14ac:dyDescent="0.25">
      <c r="A168" s="230">
        <v>1786</v>
      </c>
      <c r="B168" s="152" t="s">
        <v>181</v>
      </c>
      <c r="C168" s="231">
        <v>203.6</v>
      </c>
      <c r="D168" s="232">
        <v>0.3</v>
      </c>
      <c r="E168" s="232">
        <f t="shared" si="4"/>
        <v>61.08</v>
      </c>
      <c r="F168" s="232">
        <v>58.69</v>
      </c>
      <c r="G168" s="232">
        <f t="shared" si="5"/>
        <v>2.3900000000000006</v>
      </c>
      <c r="H168" s="153">
        <v>5614637</v>
      </c>
      <c r="I168" s="233" t="s">
        <v>182</v>
      </c>
      <c r="J168" s="153" t="s">
        <v>31</v>
      </c>
      <c r="K168" s="153" t="s">
        <v>32</v>
      </c>
      <c r="L168" s="153">
        <v>92924645</v>
      </c>
      <c r="M168" s="589">
        <v>45788</v>
      </c>
    </row>
    <row r="169" spans="1:14" s="17" customFormat="1" ht="21.75" customHeight="1" x14ac:dyDescent="0.25">
      <c r="A169" s="235">
        <v>1787</v>
      </c>
      <c r="B169" s="296" t="s">
        <v>77</v>
      </c>
      <c r="C169" s="295">
        <v>213.3</v>
      </c>
      <c r="D169" s="149">
        <v>0.3</v>
      </c>
      <c r="E169" s="186">
        <f t="shared" si="4"/>
        <v>63.99</v>
      </c>
      <c r="F169" s="186"/>
      <c r="G169" s="186">
        <f t="shared" si="5"/>
        <v>63.99</v>
      </c>
      <c r="H169" s="136">
        <v>22980157</v>
      </c>
      <c r="I169" s="311" t="s">
        <v>78</v>
      </c>
      <c r="J169" s="136" t="s">
        <v>31</v>
      </c>
      <c r="K169" s="136" t="s">
        <v>32</v>
      </c>
      <c r="L169" s="136">
        <v>91490491</v>
      </c>
    </row>
    <row r="170" spans="1:14" s="17" customFormat="1" ht="21.75" customHeight="1" x14ac:dyDescent="0.25">
      <c r="A170" s="235">
        <v>1788</v>
      </c>
      <c r="B170" s="296" t="s">
        <v>450</v>
      </c>
      <c r="C170" s="295">
        <v>223.4</v>
      </c>
      <c r="D170" s="149">
        <v>0.3</v>
      </c>
      <c r="E170" s="186">
        <f t="shared" si="4"/>
        <v>67.02</v>
      </c>
      <c r="F170" s="186"/>
      <c r="G170" s="186">
        <f t="shared" si="5"/>
        <v>67.02</v>
      </c>
      <c r="H170" s="136">
        <v>25632707</v>
      </c>
      <c r="I170" s="311" t="s">
        <v>451</v>
      </c>
      <c r="J170" s="136" t="s">
        <v>31</v>
      </c>
      <c r="K170" s="136" t="s">
        <v>32</v>
      </c>
      <c r="L170" s="136"/>
    </row>
    <row r="171" spans="1:14" s="17" customFormat="1" ht="21.75" customHeight="1" x14ac:dyDescent="0.25">
      <c r="A171" s="235">
        <v>1789</v>
      </c>
      <c r="B171" s="296" t="s">
        <v>452</v>
      </c>
      <c r="C171" s="295">
        <v>210.1</v>
      </c>
      <c r="D171" s="149">
        <v>0.3</v>
      </c>
      <c r="E171" s="186">
        <f t="shared" si="4"/>
        <v>63.029999999999994</v>
      </c>
      <c r="F171" s="186">
        <v>58.39</v>
      </c>
      <c r="G171" s="186">
        <f t="shared" si="5"/>
        <v>4.6399999999999935</v>
      </c>
      <c r="H171" s="136">
        <v>6687053</v>
      </c>
      <c r="I171" s="311" t="s">
        <v>453</v>
      </c>
      <c r="J171" s="136" t="s">
        <v>31</v>
      </c>
      <c r="K171" s="136" t="s">
        <v>32</v>
      </c>
      <c r="L171" s="136"/>
      <c r="M171" s="325" t="s">
        <v>703</v>
      </c>
    </row>
    <row r="172" spans="1:14" s="17" customFormat="1" ht="21.75" customHeight="1" x14ac:dyDescent="0.25">
      <c r="A172" s="235">
        <v>1790</v>
      </c>
      <c r="B172" s="296" t="s">
        <v>454</v>
      </c>
      <c r="C172" s="295">
        <v>144</v>
      </c>
      <c r="D172" s="149">
        <v>0.3</v>
      </c>
      <c r="E172" s="186">
        <f t="shared" si="4"/>
        <v>43.199999999999996</v>
      </c>
      <c r="F172" s="186"/>
      <c r="G172" s="186">
        <f t="shared" si="5"/>
        <v>43.199999999999996</v>
      </c>
      <c r="H172" s="136">
        <v>22971771</v>
      </c>
      <c r="I172" s="311" t="s">
        <v>455</v>
      </c>
      <c r="J172" s="136" t="s">
        <v>31</v>
      </c>
      <c r="K172" s="136" t="s">
        <v>32</v>
      </c>
      <c r="L172" s="136">
        <v>90976223</v>
      </c>
    </row>
    <row r="173" spans="1:14" s="17" customFormat="1" ht="21.75" customHeight="1" x14ac:dyDescent="0.25">
      <c r="A173" s="235">
        <v>1791</v>
      </c>
      <c r="B173" s="296" t="s">
        <v>80</v>
      </c>
      <c r="C173" s="295">
        <v>196.5</v>
      </c>
      <c r="D173" s="149">
        <v>0.3</v>
      </c>
      <c r="E173" s="186">
        <f t="shared" si="4"/>
        <v>58.949999999999996</v>
      </c>
      <c r="F173" s="186">
        <v>58.77</v>
      </c>
      <c r="G173" s="186">
        <f t="shared" si="5"/>
        <v>0.17999999999999261</v>
      </c>
      <c r="H173" s="136">
        <v>5335073</v>
      </c>
      <c r="I173" s="311" t="s">
        <v>81</v>
      </c>
      <c r="J173" s="136" t="s">
        <v>31</v>
      </c>
      <c r="K173" s="136" t="s">
        <v>32</v>
      </c>
      <c r="L173" s="136">
        <v>99806280</v>
      </c>
      <c r="M173" s="325" t="s">
        <v>703</v>
      </c>
    </row>
    <row r="174" spans="1:14" s="17" customFormat="1" ht="21.75" customHeight="1" x14ac:dyDescent="0.25">
      <c r="A174" s="235">
        <v>1793</v>
      </c>
      <c r="B174" s="296" t="s">
        <v>456</v>
      </c>
      <c r="C174" s="295">
        <v>415.6</v>
      </c>
      <c r="D174" s="149">
        <v>0.3</v>
      </c>
      <c r="E174" s="186">
        <f t="shared" si="4"/>
        <v>124.68</v>
      </c>
      <c r="F174" s="186">
        <v>121.29</v>
      </c>
      <c r="G174" s="186">
        <f t="shared" si="5"/>
        <v>3.3900000000000006</v>
      </c>
      <c r="H174" s="136">
        <v>1629686</v>
      </c>
      <c r="I174" s="311" t="s">
        <v>457</v>
      </c>
      <c r="J174" s="136" t="s">
        <v>31</v>
      </c>
      <c r="K174" s="136" t="s">
        <v>32</v>
      </c>
      <c r="L174" s="136"/>
      <c r="M174" s="325" t="s">
        <v>703</v>
      </c>
    </row>
    <row r="175" spans="1:14" s="17" customFormat="1" ht="21.75" customHeight="1" x14ac:dyDescent="0.25">
      <c r="A175" s="235">
        <v>1794</v>
      </c>
      <c r="B175" s="296" t="s">
        <v>82</v>
      </c>
      <c r="C175" s="295">
        <v>240</v>
      </c>
      <c r="D175" s="149">
        <v>0.3</v>
      </c>
      <c r="E175" s="186">
        <f t="shared" si="4"/>
        <v>72</v>
      </c>
      <c r="F175" s="186">
        <v>69.790000000000006</v>
      </c>
      <c r="G175" s="186">
        <f t="shared" si="5"/>
        <v>2.2099999999999937</v>
      </c>
      <c r="H175" s="136">
        <v>6122928</v>
      </c>
      <c r="I175" s="311" t="s">
        <v>83</v>
      </c>
      <c r="J175" s="136" t="s">
        <v>31</v>
      </c>
      <c r="K175" s="136" t="s">
        <v>32</v>
      </c>
      <c r="L175" s="136"/>
      <c r="M175" s="325" t="s">
        <v>706</v>
      </c>
    </row>
    <row r="176" spans="1:14" s="17" customFormat="1" ht="21.75" customHeight="1" x14ac:dyDescent="0.25">
      <c r="A176" s="235">
        <v>1795</v>
      </c>
      <c r="B176" s="296" t="s">
        <v>458</v>
      </c>
      <c r="C176" s="295">
        <v>252.9</v>
      </c>
      <c r="D176" s="149">
        <v>0.3</v>
      </c>
      <c r="E176" s="186">
        <f t="shared" si="4"/>
        <v>75.87</v>
      </c>
      <c r="F176" s="186"/>
      <c r="G176" s="186">
        <f t="shared" si="5"/>
        <v>75.87</v>
      </c>
      <c r="H176" s="136">
        <v>6496299</v>
      </c>
      <c r="I176" s="311" t="s">
        <v>459</v>
      </c>
      <c r="J176" s="136" t="s">
        <v>121</v>
      </c>
      <c r="K176" s="136" t="s">
        <v>122</v>
      </c>
      <c r="L176" s="136"/>
    </row>
    <row r="177" spans="1:13" s="17" customFormat="1" ht="21.75" customHeight="1" x14ac:dyDescent="0.25">
      <c r="A177" s="235">
        <v>1796</v>
      </c>
      <c r="B177" s="296" t="s">
        <v>460</v>
      </c>
      <c r="C177" s="295">
        <v>240</v>
      </c>
      <c r="D177" s="149">
        <v>0.3</v>
      </c>
      <c r="E177" s="186">
        <f t="shared" si="4"/>
        <v>72</v>
      </c>
      <c r="F177" s="186">
        <v>70.97</v>
      </c>
      <c r="G177" s="186">
        <f t="shared" si="5"/>
        <v>1.0300000000000011</v>
      </c>
      <c r="H177" s="136">
        <v>7140382</v>
      </c>
      <c r="I177" s="315" t="s">
        <v>461</v>
      </c>
      <c r="J177" s="136" t="s">
        <v>31</v>
      </c>
      <c r="K177" s="136" t="s">
        <v>32</v>
      </c>
      <c r="L177" s="136"/>
      <c r="M177" s="325" t="s">
        <v>703</v>
      </c>
    </row>
    <row r="178" spans="1:13" s="17" customFormat="1" ht="21.75" customHeight="1" x14ac:dyDescent="0.25">
      <c r="A178" s="235">
        <v>1797</v>
      </c>
      <c r="B178" s="296" t="s">
        <v>463</v>
      </c>
      <c r="C178" s="295">
        <v>207.2</v>
      </c>
      <c r="D178" s="149">
        <v>0.3</v>
      </c>
      <c r="E178" s="186">
        <f t="shared" si="4"/>
        <v>62.16</v>
      </c>
      <c r="F178" s="186"/>
      <c r="G178" s="186">
        <f t="shared" si="5"/>
        <v>62.16</v>
      </c>
      <c r="H178" s="136">
        <v>3677869</v>
      </c>
      <c r="I178" s="311" t="s">
        <v>464</v>
      </c>
      <c r="J178" s="136" t="s">
        <v>31</v>
      </c>
      <c r="K178" s="136" t="s">
        <v>32</v>
      </c>
      <c r="L178" s="136">
        <v>72522066</v>
      </c>
    </row>
    <row r="179" spans="1:13" s="17" customFormat="1" ht="21.75" customHeight="1" x14ac:dyDescent="0.25">
      <c r="A179" s="235">
        <v>1798</v>
      </c>
      <c r="B179" s="296" t="s">
        <v>84</v>
      </c>
      <c r="C179" s="295">
        <v>240</v>
      </c>
      <c r="D179" s="149">
        <v>0.3</v>
      </c>
      <c r="E179" s="186">
        <f t="shared" si="4"/>
        <v>72</v>
      </c>
      <c r="F179" s="186">
        <v>68.040000000000006</v>
      </c>
      <c r="G179" s="186">
        <f t="shared" si="5"/>
        <v>3.9599999999999937</v>
      </c>
      <c r="H179" s="136">
        <v>5314229</v>
      </c>
      <c r="I179" s="314" t="s">
        <v>85</v>
      </c>
      <c r="J179" s="136" t="s">
        <v>52</v>
      </c>
      <c r="K179" s="136" t="s">
        <v>53</v>
      </c>
      <c r="L179" s="136"/>
      <c r="M179" s="325" t="s">
        <v>703</v>
      </c>
    </row>
    <row r="180" spans="1:13" s="17" customFormat="1" ht="21.75" customHeight="1" x14ac:dyDescent="0.25">
      <c r="A180" s="235">
        <v>1799</v>
      </c>
      <c r="B180" s="296" t="s">
        <v>183</v>
      </c>
      <c r="C180" s="295">
        <v>323.2</v>
      </c>
      <c r="D180" s="149">
        <v>0.3</v>
      </c>
      <c r="E180" s="186">
        <f t="shared" si="4"/>
        <v>96.96</v>
      </c>
      <c r="F180" s="186">
        <v>96.47</v>
      </c>
      <c r="G180" s="186">
        <f t="shared" si="5"/>
        <v>0.48999999999999488</v>
      </c>
      <c r="H180" s="136">
        <v>5219843</v>
      </c>
      <c r="I180" s="311" t="s">
        <v>184</v>
      </c>
      <c r="J180" s="136" t="s">
        <v>31</v>
      </c>
      <c r="K180" s="136" t="s">
        <v>32</v>
      </c>
      <c r="L180" s="136"/>
      <c r="M180" s="325" t="s">
        <v>706</v>
      </c>
    </row>
    <row r="181" spans="1:13" s="17" customFormat="1" ht="21.75" customHeight="1" x14ac:dyDescent="0.25">
      <c r="A181" s="235">
        <v>1800</v>
      </c>
      <c r="B181" s="296" t="s">
        <v>185</v>
      </c>
      <c r="C181" s="295">
        <v>195</v>
      </c>
      <c r="D181" s="149">
        <v>0.3</v>
      </c>
      <c r="E181" s="186">
        <f t="shared" si="4"/>
        <v>58.5</v>
      </c>
      <c r="F181" s="186">
        <v>55.550000000000004</v>
      </c>
      <c r="G181" s="186">
        <f t="shared" si="5"/>
        <v>2.9499999999999957</v>
      </c>
      <c r="H181" s="136">
        <v>7293505</v>
      </c>
      <c r="I181" s="315" t="s">
        <v>186</v>
      </c>
      <c r="J181" s="136" t="s">
        <v>31</v>
      </c>
      <c r="K181" s="136" t="s">
        <v>32</v>
      </c>
      <c r="L181" s="136">
        <v>99189910</v>
      </c>
      <c r="M181" s="325" t="s">
        <v>703</v>
      </c>
    </row>
    <row r="182" spans="1:13" s="17" customFormat="1" ht="21.75" customHeight="1" x14ac:dyDescent="0.25">
      <c r="A182" s="235">
        <v>1801</v>
      </c>
      <c r="B182" s="296" t="s">
        <v>187</v>
      </c>
      <c r="C182" s="295">
        <v>238</v>
      </c>
      <c r="D182" s="149">
        <v>0.3</v>
      </c>
      <c r="E182" s="186">
        <f t="shared" si="4"/>
        <v>71.399999999999991</v>
      </c>
      <c r="F182" s="186">
        <v>70.192999999999998</v>
      </c>
      <c r="G182" s="186">
        <f t="shared" si="5"/>
        <v>1.2069999999999936</v>
      </c>
      <c r="H182" s="136">
        <v>655141</v>
      </c>
      <c r="I182" s="311" t="s">
        <v>188</v>
      </c>
      <c r="J182" s="136" t="s">
        <v>155</v>
      </c>
      <c r="K182" s="136" t="s">
        <v>156</v>
      </c>
      <c r="L182" s="136"/>
      <c r="M182" s="325" t="s">
        <v>703</v>
      </c>
    </row>
    <row r="183" spans="1:13" s="17" customFormat="1" ht="21.75" customHeight="1" x14ac:dyDescent="0.25">
      <c r="A183" s="235">
        <v>1802</v>
      </c>
      <c r="B183" s="296" t="s">
        <v>465</v>
      </c>
      <c r="C183" s="295">
        <v>165.8</v>
      </c>
      <c r="D183" s="149">
        <v>0.3</v>
      </c>
      <c r="E183" s="186">
        <f t="shared" si="4"/>
        <v>49.74</v>
      </c>
      <c r="F183" s="186">
        <v>48.12</v>
      </c>
      <c r="G183" s="186">
        <f t="shared" si="5"/>
        <v>1.6200000000000045</v>
      </c>
      <c r="H183" s="136">
        <v>14760225</v>
      </c>
      <c r="I183" s="315" t="s">
        <v>466</v>
      </c>
      <c r="J183" s="136" t="s">
        <v>31</v>
      </c>
      <c r="K183" s="136" t="s">
        <v>32</v>
      </c>
      <c r="L183" s="136"/>
      <c r="M183" s="325" t="s">
        <v>703</v>
      </c>
    </row>
    <row r="184" spans="1:13" s="17" customFormat="1" ht="21.75" customHeight="1" x14ac:dyDescent="0.25">
      <c r="A184" s="235">
        <v>1803</v>
      </c>
      <c r="B184" s="296" t="s">
        <v>467</v>
      </c>
      <c r="C184" s="295">
        <v>351</v>
      </c>
      <c r="D184" s="149">
        <v>0.3</v>
      </c>
      <c r="E184" s="186">
        <f t="shared" si="4"/>
        <v>105.3</v>
      </c>
      <c r="F184" s="186"/>
      <c r="G184" s="186">
        <f t="shared" si="5"/>
        <v>105.3</v>
      </c>
      <c r="H184" s="136">
        <v>5502798</v>
      </c>
      <c r="I184" s="314" t="s">
        <v>468</v>
      </c>
      <c r="J184" s="136" t="s">
        <v>52</v>
      </c>
      <c r="K184" s="136" t="s">
        <v>53</v>
      </c>
      <c r="L184" s="136"/>
    </row>
    <row r="185" spans="1:13" s="325" customFormat="1" ht="21.75" customHeight="1" x14ac:dyDescent="0.25">
      <c r="A185" s="230">
        <v>1804</v>
      </c>
      <c r="B185" s="152" t="s">
        <v>469</v>
      </c>
      <c r="C185" s="231">
        <v>183.5</v>
      </c>
      <c r="D185" s="232">
        <v>0.3</v>
      </c>
      <c r="E185" s="232">
        <f t="shared" si="4"/>
        <v>55.05</v>
      </c>
      <c r="F185" s="232">
        <v>50.800000000000004</v>
      </c>
      <c r="G185" s="232">
        <f t="shared" si="5"/>
        <v>4.2499999999999929</v>
      </c>
      <c r="H185" s="153">
        <v>19623766</v>
      </c>
      <c r="I185" s="611" t="s">
        <v>470</v>
      </c>
      <c r="J185" s="153" t="s">
        <v>52</v>
      </c>
      <c r="K185" s="153" t="s">
        <v>53</v>
      </c>
      <c r="L185" s="153"/>
      <c r="M185" s="325" t="s">
        <v>703</v>
      </c>
    </row>
    <row r="186" spans="1:13" s="17" customFormat="1" ht="21.75" customHeight="1" x14ac:dyDescent="0.25">
      <c r="A186" s="235">
        <v>1805</v>
      </c>
      <c r="B186" s="296" t="s">
        <v>471</v>
      </c>
      <c r="C186" s="295">
        <v>327.3</v>
      </c>
      <c r="D186" s="149">
        <v>0.3</v>
      </c>
      <c r="E186" s="186">
        <f t="shared" si="4"/>
        <v>98.19</v>
      </c>
      <c r="F186" s="186"/>
      <c r="G186" s="186">
        <f t="shared" si="5"/>
        <v>98.19</v>
      </c>
      <c r="H186" s="136">
        <v>1648586</v>
      </c>
      <c r="I186" s="314" t="s">
        <v>472</v>
      </c>
      <c r="J186" s="136" t="s">
        <v>31</v>
      </c>
      <c r="K186" s="136" t="s">
        <v>32</v>
      </c>
      <c r="L186" s="136">
        <v>96030388</v>
      </c>
    </row>
    <row r="187" spans="1:13" s="17" customFormat="1" ht="21.75" customHeight="1" x14ac:dyDescent="0.25">
      <c r="A187" s="235">
        <v>1808</v>
      </c>
      <c r="B187" s="296" t="s">
        <v>86</v>
      </c>
      <c r="C187" s="295">
        <v>214</v>
      </c>
      <c r="D187" s="149">
        <v>0.3</v>
      </c>
      <c r="E187" s="186">
        <f t="shared" si="4"/>
        <v>64.2</v>
      </c>
      <c r="F187" s="186">
        <v>63.38</v>
      </c>
      <c r="G187" s="186">
        <f t="shared" si="5"/>
        <v>0.82000000000000028</v>
      </c>
      <c r="H187" s="136">
        <v>611136</v>
      </c>
      <c r="I187" s="313" t="s">
        <v>87</v>
      </c>
      <c r="J187" s="136" t="s">
        <v>26</v>
      </c>
      <c r="K187" s="136" t="s">
        <v>27</v>
      </c>
      <c r="L187" s="136"/>
      <c r="M187" s="325" t="s">
        <v>703</v>
      </c>
    </row>
    <row r="188" spans="1:13" s="17" customFormat="1" ht="21.75" customHeight="1" x14ac:dyDescent="0.25">
      <c r="A188" s="235">
        <v>1809</v>
      </c>
      <c r="B188" s="296" t="s">
        <v>474</v>
      </c>
      <c r="C188" s="295">
        <v>225</v>
      </c>
      <c r="D188" s="149">
        <v>0.3</v>
      </c>
      <c r="E188" s="186">
        <f t="shared" si="4"/>
        <v>67.5</v>
      </c>
      <c r="F188" s="186">
        <v>66.25</v>
      </c>
      <c r="G188" s="186">
        <f t="shared" si="5"/>
        <v>1.25</v>
      </c>
      <c r="H188" s="136">
        <v>14957086</v>
      </c>
      <c r="I188" s="314" t="s">
        <v>475</v>
      </c>
      <c r="J188" s="136" t="s">
        <v>31</v>
      </c>
      <c r="K188" s="136" t="s">
        <v>32</v>
      </c>
      <c r="L188" s="136"/>
      <c r="M188" s="325" t="s">
        <v>710</v>
      </c>
    </row>
    <row r="189" spans="1:13" s="17" customFormat="1" ht="21.75" customHeight="1" x14ac:dyDescent="0.25">
      <c r="A189" s="235">
        <v>1811</v>
      </c>
      <c r="B189" s="296" t="s">
        <v>476</v>
      </c>
      <c r="C189" s="295">
        <v>270.39999999999998</v>
      </c>
      <c r="D189" s="149">
        <v>0.3</v>
      </c>
      <c r="E189" s="186">
        <f t="shared" si="4"/>
        <v>81.11999999999999</v>
      </c>
      <c r="F189" s="186">
        <v>77.040000000000006</v>
      </c>
      <c r="G189" s="186">
        <f t="shared" si="5"/>
        <v>4.0799999999999841</v>
      </c>
      <c r="H189" s="136">
        <v>6384618</v>
      </c>
      <c r="I189" s="315" t="s">
        <v>477</v>
      </c>
      <c r="J189" s="136" t="s">
        <v>31</v>
      </c>
      <c r="K189" s="136" t="s">
        <v>32</v>
      </c>
      <c r="L189" s="136"/>
      <c r="M189" s="325" t="s">
        <v>703</v>
      </c>
    </row>
    <row r="190" spans="1:13" s="17" customFormat="1" ht="21.75" customHeight="1" x14ac:dyDescent="0.25">
      <c r="A190" s="235">
        <v>1812</v>
      </c>
      <c r="B190" s="296" t="s">
        <v>478</v>
      </c>
      <c r="C190" s="295">
        <v>223</v>
      </c>
      <c r="D190" s="149">
        <v>0.3</v>
      </c>
      <c r="E190" s="186">
        <f t="shared" si="4"/>
        <v>66.899999999999991</v>
      </c>
      <c r="F190" s="186">
        <v>62.29</v>
      </c>
      <c r="G190" s="186">
        <f t="shared" si="5"/>
        <v>4.6099999999999923</v>
      </c>
      <c r="H190" s="136">
        <v>4748659</v>
      </c>
      <c r="I190" s="315" t="s">
        <v>479</v>
      </c>
      <c r="J190" s="136" t="s">
        <v>52</v>
      </c>
      <c r="K190" s="136" t="s">
        <v>53</v>
      </c>
      <c r="L190" s="136">
        <v>98170004</v>
      </c>
      <c r="M190" s="325" t="s">
        <v>703</v>
      </c>
    </row>
    <row r="191" spans="1:13" s="17" customFormat="1" ht="21.75" customHeight="1" x14ac:dyDescent="0.25">
      <c r="A191" s="235">
        <v>1813</v>
      </c>
      <c r="B191" s="296" t="s">
        <v>602</v>
      </c>
      <c r="C191" s="295">
        <v>177.1</v>
      </c>
      <c r="D191" s="149">
        <v>0.3</v>
      </c>
      <c r="E191" s="186">
        <f t="shared" si="4"/>
        <v>53.129999999999995</v>
      </c>
      <c r="F191" s="186"/>
      <c r="G191" s="186">
        <f t="shared" si="5"/>
        <v>53.129999999999995</v>
      </c>
      <c r="H191" s="136">
        <v>20230381</v>
      </c>
      <c r="I191" s="315" t="s">
        <v>603</v>
      </c>
      <c r="J191" s="136" t="s">
        <v>52</v>
      </c>
      <c r="K191" s="136" t="s">
        <v>53</v>
      </c>
      <c r="L191" s="136"/>
    </row>
    <row r="192" spans="1:13" s="54" customFormat="1" ht="21.75" customHeight="1" x14ac:dyDescent="0.25">
      <c r="A192" s="235">
        <v>1816</v>
      </c>
      <c r="B192" s="296" t="s">
        <v>191</v>
      </c>
      <c r="C192" s="295">
        <v>229.5</v>
      </c>
      <c r="D192" s="149">
        <v>0.3</v>
      </c>
      <c r="E192" s="186">
        <f t="shared" si="4"/>
        <v>68.849999999999994</v>
      </c>
      <c r="F192" s="186">
        <v>66.28</v>
      </c>
      <c r="G192" s="186">
        <f t="shared" si="5"/>
        <v>2.5699999999999932</v>
      </c>
      <c r="H192" s="136">
        <v>15694259</v>
      </c>
      <c r="I192" s="315" t="s">
        <v>192</v>
      </c>
      <c r="J192" s="136" t="s">
        <v>31</v>
      </c>
      <c r="K192" s="136" t="s">
        <v>32</v>
      </c>
      <c r="L192" s="136"/>
      <c r="M192" s="325" t="s">
        <v>703</v>
      </c>
    </row>
    <row r="193" spans="1:13" s="17" customFormat="1" ht="21.75" customHeight="1" x14ac:dyDescent="0.25">
      <c r="A193" s="235">
        <v>1817</v>
      </c>
      <c r="B193" s="296" t="s">
        <v>483</v>
      </c>
      <c r="C193" s="295">
        <v>638</v>
      </c>
      <c r="D193" s="149">
        <v>0.3</v>
      </c>
      <c r="E193" s="186">
        <f t="shared" si="4"/>
        <v>191.4</v>
      </c>
      <c r="F193" s="186"/>
      <c r="G193" s="186">
        <f t="shared" si="5"/>
        <v>191.4</v>
      </c>
      <c r="H193" s="136">
        <v>6492948</v>
      </c>
      <c r="I193" s="315" t="s">
        <v>484</v>
      </c>
      <c r="J193" s="136" t="s">
        <v>31</v>
      </c>
      <c r="K193" s="136" t="s">
        <v>32</v>
      </c>
      <c r="L193" s="136"/>
    </row>
    <row r="194" spans="1:13" s="17" customFormat="1" ht="21.75" customHeight="1" x14ac:dyDescent="0.25">
      <c r="A194" s="235">
        <v>1818</v>
      </c>
      <c r="B194" s="296" t="s">
        <v>485</v>
      </c>
      <c r="C194" s="295">
        <v>229.1</v>
      </c>
      <c r="D194" s="149">
        <v>0.3</v>
      </c>
      <c r="E194" s="186">
        <f t="shared" si="4"/>
        <v>68.72999999999999</v>
      </c>
      <c r="F194" s="186">
        <v>64.22</v>
      </c>
      <c r="G194" s="186">
        <f t="shared" si="5"/>
        <v>4.5099999999999909</v>
      </c>
      <c r="H194" s="136">
        <v>15677827</v>
      </c>
      <c r="I194" s="315" t="s">
        <v>486</v>
      </c>
      <c r="J194" s="136" t="s">
        <v>31</v>
      </c>
      <c r="K194" s="136" t="s">
        <v>32</v>
      </c>
      <c r="L194" s="136"/>
      <c r="M194" s="325" t="s">
        <v>703</v>
      </c>
    </row>
    <row r="195" spans="1:13" s="17" customFormat="1" ht="21.75" customHeight="1" x14ac:dyDescent="0.25">
      <c r="A195" s="235">
        <v>1819</v>
      </c>
      <c r="B195" s="296" t="s">
        <v>487</v>
      </c>
      <c r="C195" s="295">
        <v>238.4</v>
      </c>
      <c r="D195" s="149">
        <v>0.3</v>
      </c>
      <c r="E195" s="186">
        <f t="shared" ref="E195:E226" si="6">C195*D195</f>
        <v>71.52</v>
      </c>
      <c r="F195" s="186"/>
      <c r="G195" s="186">
        <f t="shared" ref="G195:G226" si="7">E195-F195</f>
        <v>71.52</v>
      </c>
      <c r="H195" s="136">
        <v>851375</v>
      </c>
      <c r="I195" s="315" t="s">
        <v>488</v>
      </c>
      <c r="J195" s="136" t="s">
        <v>52</v>
      </c>
      <c r="K195" s="136" t="s">
        <v>53</v>
      </c>
      <c r="L195" s="136">
        <v>92819432</v>
      </c>
    </row>
    <row r="196" spans="1:13" s="17" customFormat="1" ht="21.75" customHeight="1" x14ac:dyDescent="0.25">
      <c r="A196" s="235">
        <v>1820</v>
      </c>
      <c r="B196" s="296" t="s">
        <v>489</v>
      </c>
      <c r="C196" s="295">
        <v>220</v>
      </c>
      <c r="D196" s="149">
        <v>0.3</v>
      </c>
      <c r="E196" s="186">
        <f t="shared" si="6"/>
        <v>66</v>
      </c>
      <c r="F196" s="186"/>
      <c r="G196" s="186">
        <f t="shared" si="7"/>
        <v>66</v>
      </c>
      <c r="H196" s="136">
        <v>7124544</v>
      </c>
      <c r="I196" s="311" t="s">
        <v>583</v>
      </c>
      <c r="J196" s="136" t="s">
        <v>52</v>
      </c>
      <c r="K196" s="136" t="s">
        <v>53</v>
      </c>
      <c r="L196" s="136"/>
    </row>
    <row r="197" spans="1:13" s="17" customFormat="1" ht="21.75" customHeight="1" x14ac:dyDescent="0.25">
      <c r="A197" s="235">
        <v>1821</v>
      </c>
      <c r="B197" s="136" t="s">
        <v>491</v>
      </c>
      <c r="C197" s="295">
        <v>384.9</v>
      </c>
      <c r="D197" s="149">
        <v>0.3</v>
      </c>
      <c r="E197" s="186">
        <f t="shared" si="6"/>
        <v>115.46999999999998</v>
      </c>
      <c r="F197" s="186"/>
      <c r="G197" s="186">
        <f t="shared" si="7"/>
        <v>115.46999999999998</v>
      </c>
      <c r="H197" s="136">
        <v>2454202</v>
      </c>
      <c r="I197" s="311" t="s">
        <v>492</v>
      </c>
      <c r="J197" s="136" t="s">
        <v>155</v>
      </c>
      <c r="K197" s="136" t="s">
        <v>156</v>
      </c>
      <c r="L197" s="136"/>
    </row>
    <row r="198" spans="1:13" s="325" customFormat="1" ht="21.75" customHeight="1" x14ac:dyDescent="0.25">
      <c r="A198" s="230">
        <v>1822</v>
      </c>
      <c r="B198" s="153" t="s">
        <v>193</v>
      </c>
      <c r="C198" s="231">
        <v>172.9</v>
      </c>
      <c r="D198" s="232">
        <v>0.3</v>
      </c>
      <c r="E198" s="232">
        <f t="shared" si="6"/>
        <v>51.87</v>
      </c>
      <c r="F198" s="232">
        <f>47.68</f>
        <v>47.68</v>
      </c>
      <c r="G198" s="232">
        <f t="shared" si="7"/>
        <v>4.1899999999999977</v>
      </c>
      <c r="H198" s="153">
        <v>22005737</v>
      </c>
      <c r="I198" s="233" t="s">
        <v>152</v>
      </c>
      <c r="J198" s="153" t="s">
        <v>31</v>
      </c>
      <c r="K198" s="153" t="s">
        <v>32</v>
      </c>
      <c r="L198" s="153"/>
      <c r="M198" s="325" t="s">
        <v>706</v>
      </c>
    </row>
    <row r="199" spans="1:13" s="17" customFormat="1" ht="21.75" customHeight="1" x14ac:dyDescent="0.25">
      <c r="A199" s="235">
        <v>1823</v>
      </c>
      <c r="B199" s="136" t="s">
        <v>493</v>
      </c>
      <c r="C199" s="295">
        <v>0</v>
      </c>
      <c r="D199" s="149">
        <v>0.3</v>
      </c>
      <c r="E199" s="186">
        <f t="shared" si="6"/>
        <v>0</v>
      </c>
      <c r="F199" s="186"/>
      <c r="G199" s="186">
        <f t="shared" si="7"/>
        <v>0</v>
      </c>
      <c r="H199" s="136">
        <v>25722393</v>
      </c>
      <c r="I199" s="311" t="s">
        <v>494</v>
      </c>
      <c r="J199" s="136" t="s">
        <v>31</v>
      </c>
      <c r="K199" s="136" t="s">
        <v>32</v>
      </c>
      <c r="L199" s="136"/>
    </row>
    <row r="200" spans="1:13" s="17" customFormat="1" ht="21.75" customHeight="1" x14ac:dyDescent="0.25">
      <c r="A200" s="235">
        <v>1824</v>
      </c>
      <c r="B200" s="136" t="s">
        <v>195</v>
      </c>
      <c r="C200" s="295">
        <v>176</v>
      </c>
      <c r="D200" s="149">
        <v>0.3</v>
      </c>
      <c r="E200" s="186">
        <f t="shared" si="6"/>
        <v>52.8</v>
      </c>
      <c r="F200" s="186">
        <v>50.22</v>
      </c>
      <c r="G200" s="186">
        <f t="shared" si="7"/>
        <v>2.5799999999999983</v>
      </c>
      <c r="H200" s="136">
        <v>766709</v>
      </c>
      <c r="I200" s="311" t="s">
        <v>196</v>
      </c>
      <c r="J200" s="136" t="s">
        <v>71</v>
      </c>
      <c r="K200" s="136" t="s">
        <v>72</v>
      </c>
      <c r="L200" s="136"/>
      <c r="M200" s="325" t="s">
        <v>703</v>
      </c>
    </row>
    <row r="201" spans="1:13" s="17" customFormat="1" ht="21.75" customHeight="1" x14ac:dyDescent="0.25">
      <c r="A201" s="235">
        <v>1825</v>
      </c>
      <c r="B201" s="136" t="s">
        <v>495</v>
      </c>
      <c r="C201" s="295">
        <v>225</v>
      </c>
      <c r="D201" s="149">
        <v>0.3</v>
      </c>
      <c r="E201" s="186">
        <f t="shared" si="6"/>
        <v>67.5</v>
      </c>
      <c r="F201" s="186">
        <v>65.11999999999999</v>
      </c>
      <c r="G201" s="186">
        <f t="shared" si="7"/>
        <v>2.3800000000000097</v>
      </c>
      <c r="H201" s="136">
        <v>7293524</v>
      </c>
      <c r="I201" s="315" t="s">
        <v>496</v>
      </c>
      <c r="J201" s="136" t="s">
        <v>31</v>
      </c>
      <c r="K201" s="136" t="s">
        <v>32</v>
      </c>
      <c r="L201" s="136"/>
      <c r="M201" s="325" t="s">
        <v>703</v>
      </c>
    </row>
    <row r="202" spans="1:13" s="17" customFormat="1" ht="21.75" customHeight="1" x14ac:dyDescent="0.25">
      <c r="A202" s="235">
        <v>1826</v>
      </c>
      <c r="B202" s="632" t="s">
        <v>88</v>
      </c>
      <c r="C202" s="295">
        <v>225</v>
      </c>
      <c r="D202" s="149">
        <v>0.3</v>
      </c>
      <c r="E202" s="186">
        <f t="shared" si="6"/>
        <v>67.5</v>
      </c>
      <c r="F202" s="186">
        <v>65.06</v>
      </c>
      <c r="G202" s="186">
        <f t="shared" si="7"/>
        <v>2.4399999999999977</v>
      </c>
      <c r="H202" s="600">
        <v>381215</v>
      </c>
      <c r="I202" s="631" t="s">
        <v>89</v>
      </c>
      <c r="J202" s="600" t="s">
        <v>90</v>
      </c>
      <c r="K202" s="630" t="s">
        <v>32</v>
      </c>
      <c r="L202" s="629">
        <v>95110746</v>
      </c>
      <c r="M202" s="325" t="s">
        <v>703</v>
      </c>
    </row>
    <row r="203" spans="1:13" s="17" customFormat="1" ht="21.75" customHeight="1" x14ac:dyDescent="0.25">
      <c r="A203" s="235">
        <v>1827</v>
      </c>
      <c r="B203" s="136" t="s">
        <v>497</v>
      </c>
      <c r="C203" s="295">
        <v>210</v>
      </c>
      <c r="D203" s="149">
        <v>0.3</v>
      </c>
      <c r="E203" s="186">
        <f t="shared" si="6"/>
        <v>63</v>
      </c>
      <c r="F203" s="186"/>
      <c r="G203" s="186">
        <f t="shared" si="7"/>
        <v>63</v>
      </c>
      <c r="H203" s="136">
        <v>24218909</v>
      </c>
      <c r="I203" s="311" t="s">
        <v>584</v>
      </c>
      <c r="J203" s="296" t="s">
        <v>90</v>
      </c>
      <c r="K203" s="311" t="s">
        <v>32</v>
      </c>
      <c r="L203" s="136"/>
    </row>
    <row r="204" spans="1:13" s="17" customFormat="1" ht="21.75" customHeight="1" x14ac:dyDescent="0.25">
      <c r="A204" s="235">
        <v>1830</v>
      </c>
      <c r="B204" s="136" t="s">
        <v>499</v>
      </c>
      <c r="C204" s="295">
        <v>356.5</v>
      </c>
      <c r="D204" s="149">
        <v>0.3</v>
      </c>
      <c r="E204" s="186">
        <f t="shared" si="6"/>
        <v>106.95</v>
      </c>
      <c r="F204" s="186"/>
      <c r="G204" s="186">
        <f t="shared" si="7"/>
        <v>106.95</v>
      </c>
      <c r="H204" s="136">
        <v>22697535</v>
      </c>
      <c r="I204" s="311" t="s">
        <v>500</v>
      </c>
      <c r="J204" s="296" t="s">
        <v>90</v>
      </c>
      <c r="K204" s="311" t="s">
        <v>32</v>
      </c>
      <c r="L204" s="136"/>
    </row>
    <row r="205" spans="1:13" s="17" customFormat="1" ht="21.75" customHeight="1" x14ac:dyDescent="0.25">
      <c r="A205" s="235">
        <v>1831</v>
      </c>
      <c r="B205" s="136" t="s">
        <v>697</v>
      </c>
      <c r="C205" s="295">
        <v>150</v>
      </c>
      <c r="D205" s="149">
        <v>0.3</v>
      </c>
      <c r="E205" s="186">
        <f t="shared" si="6"/>
        <v>45</v>
      </c>
      <c r="F205" s="186"/>
      <c r="G205" s="186">
        <f t="shared" si="7"/>
        <v>45</v>
      </c>
      <c r="H205" s="136">
        <v>7374738</v>
      </c>
      <c r="I205" s="311" t="s">
        <v>696</v>
      </c>
      <c r="J205" s="296" t="s">
        <v>90</v>
      </c>
      <c r="K205" s="311"/>
      <c r="L205" s="136">
        <v>92341240</v>
      </c>
    </row>
    <row r="206" spans="1:13" s="325" customFormat="1" ht="21.75" customHeight="1" x14ac:dyDescent="0.25">
      <c r="A206" s="230">
        <v>2698</v>
      </c>
      <c r="B206" s="153" t="s">
        <v>695</v>
      </c>
      <c r="C206" s="231">
        <v>386.6</v>
      </c>
      <c r="D206" s="232">
        <v>0.3</v>
      </c>
      <c r="E206" s="232">
        <f t="shared" si="6"/>
        <v>115.98</v>
      </c>
      <c r="F206" s="232">
        <f>113.85</f>
        <v>113.85</v>
      </c>
      <c r="G206" s="232">
        <f t="shared" si="7"/>
        <v>2.1300000000000097</v>
      </c>
      <c r="H206" s="153">
        <v>21332246</v>
      </c>
      <c r="I206" s="233" t="s">
        <v>694</v>
      </c>
      <c r="J206" s="152" t="s">
        <v>90</v>
      </c>
      <c r="K206" s="233"/>
      <c r="L206" s="153"/>
      <c r="M206" s="325" t="s">
        <v>703</v>
      </c>
    </row>
    <row r="207" spans="1:13" s="325" customFormat="1" ht="21.75" customHeight="1" x14ac:dyDescent="0.25">
      <c r="A207" s="230">
        <v>3074</v>
      </c>
      <c r="B207" s="152" t="s">
        <v>501</v>
      </c>
      <c r="C207" s="231">
        <v>62</v>
      </c>
      <c r="D207" s="232">
        <v>0.3</v>
      </c>
      <c r="E207" s="232">
        <f t="shared" si="6"/>
        <v>18.599999999999998</v>
      </c>
      <c r="F207" s="232">
        <v>14.96</v>
      </c>
      <c r="G207" s="232">
        <f t="shared" si="7"/>
        <v>3.639999999999997</v>
      </c>
      <c r="H207" s="595">
        <v>6327112</v>
      </c>
      <c r="I207" s="233" t="s">
        <v>502</v>
      </c>
      <c r="J207" s="152" t="s">
        <v>90</v>
      </c>
      <c r="K207" s="233" t="s">
        <v>32</v>
      </c>
      <c r="L207" s="595">
        <v>92544491</v>
      </c>
      <c r="M207" s="325" t="s">
        <v>703</v>
      </c>
    </row>
    <row r="208" spans="1:13" s="325" customFormat="1" ht="21.75" customHeight="1" x14ac:dyDescent="0.25">
      <c r="A208" s="230">
        <v>3075</v>
      </c>
      <c r="B208" s="153" t="s">
        <v>503</v>
      </c>
      <c r="C208" s="231">
        <v>321.8</v>
      </c>
      <c r="D208" s="232">
        <v>0.3</v>
      </c>
      <c r="E208" s="232">
        <f t="shared" si="6"/>
        <v>96.54</v>
      </c>
      <c r="F208" s="232">
        <v>95.67</v>
      </c>
      <c r="G208" s="232">
        <f t="shared" si="7"/>
        <v>0.87000000000000455</v>
      </c>
      <c r="H208" s="595">
        <v>6207551</v>
      </c>
      <c r="I208" s="592" t="s">
        <v>504</v>
      </c>
      <c r="J208" s="153" t="s">
        <v>31</v>
      </c>
      <c r="K208" s="153" t="s">
        <v>32</v>
      </c>
      <c r="L208" s="152">
        <v>92011889</v>
      </c>
      <c r="M208" s="325" t="s">
        <v>703</v>
      </c>
    </row>
    <row r="209" spans="1:13" s="325" customFormat="1" ht="21.75" customHeight="1" x14ac:dyDescent="0.25">
      <c r="A209" s="230">
        <v>3250</v>
      </c>
      <c r="B209" s="153" t="s">
        <v>198</v>
      </c>
      <c r="C209" s="231">
        <v>435</v>
      </c>
      <c r="D209" s="232">
        <v>0.3</v>
      </c>
      <c r="E209" s="232">
        <f t="shared" si="6"/>
        <v>130.5</v>
      </c>
      <c r="F209" s="232">
        <v>129.4</v>
      </c>
      <c r="G209" s="232">
        <f t="shared" si="7"/>
        <v>1.0999999999999943</v>
      </c>
      <c r="H209" s="593">
        <v>1357047</v>
      </c>
      <c r="I209" s="242" t="s">
        <v>199</v>
      </c>
      <c r="J209" s="153" t="s">
        <v>26</v>
      </c>
      <c r="K209" s="153" t="s">
        <v>27</v>
      </c>
      <c r="L209" s="153">
        <v>91177550</v>
      </c>
      <c r="M209" s="325" t="s">
        <v>703</v>
      </c>
    </row>
    <row r="210" spans="1:13" s="325" customFormat="1" ht="21.75" customHeight="1" x14ac:dyDescent="0.25">
      <c r="A210" s="230">
        <v>3317</v>
      </c>
      <c r="B210" s="153" t="s">
        <v>505</v>
      </c>
      <c r="C210" s="231">
        <v>297</v>
      </c>
      <c r="D210" s="232">
        <v>0.3</v>
      </c>
      <c r="E210" s="232">
        <f t="shared" si="6"/>
        <v>89.1</v>
      </c>
      <c r="F210" s="232">
        <v>85.539999999999992</v>
      </c>
      <c r="G210" s="232">
        <f t="shared" si="7"/>
        <v>3.5600000000000023</v>
      </c>
      <c r="H210" s="593">
        <v>2366794</v>
      </c>
      <c r="I210" s="611" t="s">
        <v>506</v>
      </c>
      <c r="J210" s="153" t="s">
        <v>52</v>
      </c>
      <c r="K210" s="153" t="s">
        <v>53</v>
      </c>
      <c r="L210" s="153">
        <v>95138883</v>
      </c>
      <c r="M210" s="325" t="s">
        <v>703</v>
      </c>
    </row>
    <row r="211" spans="1:13" s="325" customFormat="1" ht="21.75" customHeight="1" x14ac:dyDescent="0.25">
      <c r="A211" s="230">
        <v>3323</v>
      </c>
      <c r="B211" s="153" t="s">
        <v>507</v>
      </c>
      <c r="C211" s="231">
        <v>404</v>
      </c>
      <c r="D211" s="232">
        <v>0.3</v>
      </c>
      <c r="E211" s="232">
        <f t="shared" si="6"/>
        <v>121.19999999999999</v>
      </c>
      <c r="F211" s="232">
        <v>118.37</v>
      </c>
      <c r="G211" s="232">
        <f t="shared" si="7"/>
        <v>2.8299999999999841</v>
      </c>
      <c r="H211" s="593">
        <v>683613</v>
      </c>
      <c r="I211" s="242" t="s">
        <v>508</v>
      </c>
      <c r="J211" s="153" t="s">
        <v>31</v>
      </c>
      <c r="K211" s="153" t="s">
        <v>32</v>
      </c>
      <c r="L211" s="153">
        <v>92280327</v>
      </c>
      <c r="M211" s="325" t="s">
        <v>703</v>
      </c>
    </row>
    <row r="212" spans="1:13" s="325" customFormat="1" ht="21.75" customHeight="1" x14ac:dyDescent="0.25">
      <c r="A212" s="230">
        <v>3327</v>
      </c>
      <c r="B212" s="153" t="s">
        <v>509</v>
      </c>
      <c r="C212" s="231">
        <v>381.3</v>
      </c>
      <c r="D212" s="232">
        <v>0.3</v>
      </c>
      <c r="E212" s="232">
        <f t="shared" si="6"/>
        <v>114.39</v>
      </c>
      <c r="F212" s="232">
        <v>110.91</v>
      </c>
      <c r="G212" s="232">
        <f t="shared" si="7"/>
        <v>3.480000000000004</v>
      </c>
      <c r="H212" s="153">
        <v>4919647</v>
      </c>
      <c r="I212" s="233" t="s">
        <v>510</v>
      </c>
      <c r="J212" s="153" t="s">
        <v>52</v>
      </c>
      <c r="K212" s="153" t="s">
        <v>53</v>
      </c>
      <c r="L212" s="153">
        <v>99895505</v>
      </c>
      <c r="M212" s="325" t="s">
        <v>708</v>
      </c>
    </row>
    <row r="213" spans="1:13" s="325" customFormat="1" ht="21.75" customHeight="1" x14ac:dyDescent="0.25">
      <c r="A213" s="230">
        <v>3345</v>
      </c>
      <c r="B213" s="153" t="s">
        <v>511</v>
      </c>
      <c r="C213" s="231">
        <v>221.5</v>
      </c>
      <c r="D213" s="232">
        <v>0.3</v>
      </c>
      <c r="E213" s="232">
        <f t="shared" si="6"/>
        <v>66.45</v>
      </c>
      <c r="F213" s="232">
        <v>66.12</v>
      </c>
      <c r="G213" s="232">
        <f t="shared" si="7"/>
        <v>0.32999999999999829</v>
      </c>
      <c r="H213" s="153">
        <v>6572395</v>
      </c>
      <c r="I213" s="233" t="s">
        <v>512</v>
      </c>
      <c r="J213" s="153" t="s">
        <v>31</v>
      </c>
      <c r="K213" s="153" t="s">
        <v>32</v>
      </c>
      <c r="L213" s="153">
        <v>99294765</v>
      </c>
      <c r="M213" s="325" t="s">
        <v>703</v>
      </c>
    </row>
    <row r="214" spans="1:13" s="325" customFormat="1" ht="21.75" customHeight="1" x14ac:dyDescent="0.25">
      <c r="A214" s="230">
        <v>3701</v>
      </c>
      <c r="B214" s="152" t="s">
        <v>513</v>
      </c>
      <c r="C214" s="231">
        <v>222.4</v>
      </c>
      <c r="D214" s="232">
        <v>0.3</v>
      </c>
      <c r="E214" s="232">
        <f t="shared" si="6"/>
        <v>66.72</v>
      </c>
      <c r="F214" s="232">
        <v>64.08</v>
      </c>
      <c r="G214" s="232">
        <f t="shared" si="7"/>
        <v>2.6400000000000006</v>
      </c>
      <c r="H214" s="153">
        <v>5146416</v>
      </c>
      <c r="I214" s="233" t="s">
        <v>514</v>
      </c>
      <c r="J214" s="153" t="s">
        <v>31</v>
      </c>
      <c r="K214" s="153" t="s">
        <v>32</v>
      </c>
      <c r="L214" s="153">
        <v>99898838</v>
      </c>
      <c r="M214" s="325" t="s">
        <v>703</v>
      </c>
    </row>
    <row r="215" spans="1:13" s="325" customFormat="1" ht="21.75" customHeight="1" x14ac:dyDescent="0.25">
      <c r="A215" s="230">
        <v>3710</v>
      </c>
      <c r="B215" s="152" t="s">
        <v>515</v>
      </c>
      <c r="C215" s="231">
        <v>65</v>
      </c>
      <c r="D215" s="232">
        <v>0.3</v>
      </c>
      <c r="E215" s="232">
        <f t="shared" si="6"/>
        <v>19.5</v>
      </c>
      <c r="F215" s="232">
        <v>16.64</v>
      </c>
      <c r="G215" s="232">
        <f t="shared" si="7"/>
        <v>2.8599999999999994</v>
      </c>
      <c r="H215" s="153">
        <v>22749678</v>
      </c>
      <c r="I215" s="603" t="s">
        <v>516</v>
      </c>
      <c r="J215" s="153" t="s">
        <v>31</v>
      </c>
      <c r="K215" s="153" t="s">
        <v>32</v>
      </c>
      <c r="L215" s="153"/>
      <c r="M215" s="325" t="s">
        <v>703</v>
      </c>
    </row>
    <row r="216" spans="1:13" s="17" customFormat="1" ht="21.75" customHeight="1" x14ac:dyDescent="0.25">
      <c r="A216" s="235">
        <v>3715</v>
      </c>
      <c r="B216" s="296" t="s">
        <v>517</v>
      </c>
      <c r="C216" s="295">
        <v>52</v>
      </c>
      <c r="D216" s="149">
        <v>0.3</v>
      </c>
      <c r="E216" s="186">
        <f t="shared" si="6"/>
        <v>15.6</v>
      </c>
      <c r="F216" s="186"/>
      <c r="G216" s="186">
        <f t="shared" si="7"/>
        <v>15.6</v>
      </c>
      <c r="H216" s="136">
        <v>6327183</v>
      </c>
      <c r="I216" s="311" t="s">
        <v>518</v>
      </c>
      <c r="J216" s="136" t="s">
        <v>31</v>
      </c>
      <c r="K216" s="136" t="s">
        <v>32</v>
      </c>
      <c r="L216" s="136"/>
    </row>
    <row r="217" spans="1:13" s="17" customFormat="1" ht="21.75" customHeight="1" x14ac:dyDescent="0.25">
      <c r="A217" s="235">
        <v>3721</v>
      </c>
      <c r="B217" s="296" t="s">
        <v>519</v>
      </c>
      <c r="C217" s="295">
        <v>191.7</v>
      </c>
      <c r="D217" s="149">
        <v>0.3</v>
      </c>
      <c r="E217" s="186">
        <f t="shared" si="6"/>
        <v>57.51</v>
      </c>
      <c r="F217" s="186"/>
      <c r="G217" s="186">
        <f t="shared" si="7"/>
        <v>57.51</v>
      </c>
      <c r="H217" s="136">
        <v>5332235</v>
      </c>
      <c r="I217" s="146" t="s">
        <v>520</v>
      </c>
      <c r="J217" s="296" t="s">
        <v>90</v>
      </c>
      <c r="K217" s="146" t="s">
        <v>32</v>
      </c>
      <c r="L217" s="136"/>
    </row>
    <row r="218" spans="1:13" s="17" customFormat="1" ht="21.75" customHeight="1" x14ac:dyDescent="0.25">
      <c r="A218" s="235">
        <v>3738</v>
      </c>
      <c r="B218" s="136" t="s">
        <v>521</v>
      </c>
      <c r="C218" s="295">
        <v>232</v>
      </c>
      <c r="D218" s="149">
        <v>0.3</v>
      </c>
      <c r="E218" s="186">
        <f t="shared" si="6"/>
        <v>69.599999999999994</v>
      </c>
      <c r="F218" s="186"/>
      <c r="G218" s="186">
        <f t="shared" si="7"/>
        <v>69.599999999999994</v>
      </c>
      <c r="H218" s="136">
        <v>730741</v>
      </c>
      <c r="I218" s="311" t="s">
        <v>522</v>
      </c>
      <c r="J218" s="136" t="s">
        <v>31</v>
      </c>
      <c r="K218" s="136" t="s">
        <v>32</v>
      </c>
      <c r="L218" s="136">
        <v>99710505</v>
      </c>
    </row>
    <row r="219" spans="1:13" s="17" customFormat="1" ht="21.75" customHeight="1" x14ac:dyDescent="0.25">
      <c r="A219" s="235">
        <v>3763</v>
      </c>
      <c r="B219" s="136" t="s">
        <v>92</v>
      </c>
      <c r="C219" s="295">
        <v>207.3</v>
      </c>
      <c r="D219" s="149">
        <v>0.3</v>
      </c>
      <c r="E219" s="186">
        <f t="shared" si="6"/>
        <v>62.19</v>
      </c>
      <c r="F219" s="186">
        <v>59.03</v>
      </c>
      <c r="G219" s="186">
        <f t="shared" si="7"/>
        <v>3.1599999999999966</v>
      </c>
      <c r="H219" s="136">
        <v>19189247</v>
      </c>
      <c r="I219" s="311" t="s">
        <v>93</v>
      </c>
      <c r="J219" s="136" t="s">
        <v>31</v>
      </c>
      <c r="K219" s="136" t="s">
        <v>32</v>
      </c>
      <c r="L219" s="136">
        <v>99846685</v>
      </c>
      <c r="M219" s="325" t="s">
        <v>703</v>
      </c>
    </row>
    <row r="220" spans="1:13" s="325" customFormat="1" ht="21.75" customHeight="1" x14ac:dyDescent="0.25">
      <c r="A220" s="230">
        <v>3781</v>
      </c>
      <c r="B220" s="153" t="s">
        <v>693</v>
      </c>
      <c r="C220" s="231">
        <v>474</v>
      </c>
      <c r="D220" s="232">
        <v>0.3</v>
      </c>
      <c r="E220" s="232">
        <f t="shared" si="6"/>
        <v>142.19999999999999</v>
      </c>
      <c r="F220" s="232">
        <f>138.6</f>
        <v>138.6</v>
      </c>
      <c r="G220" s="232">
        <f t="shared" si="7"/>
        <v>3.5999999999999943</v>
      </c>
      <c r="H220" s="153">
        <v>1970558</v>
      </c>
      <c r="I220" s="233">
        <v>6500151945</v>
      </c>
      <c r="J220" s="153" t="s">
        <v>692</v>
      </c>
      <c r="K220" s="153"/>
      <c r="L220" s="153">
        <v>95655550</v>
      </c>
      <c r="M220" s="325" t="s">
        <v>708</v>
      </c>
    </row>
    <row r="221" spans="1:13" s="17" customFormat="1" ht="21.75" customHeight="1" x14ac:dyDescent="0.25">
      <c r="A221" s="235">
        <v>3788</v>
      </c>
      <c r="B221" s="136" t="s">
        <v>523</v>
      </c>
      <c r="C221" s="295">
        <v>224</v>
      </c>
      <c r="D221" s="149">
        <v>0.3</v>
      </c>
      <c r="E221" s="186">
        <f t="shared" si="6"/>
        <v>67.2</v>
      </c>
      <c r="F221" s="186">
        <v>63.18</v>
      </c>
      <c r="G221" s="186">
        <f t="shared" si="7"/>
        <v>4.0200000000000031</v>
      </c>
      <c r="H221" s="136">
        <v>5146627</v>
      </c>
      <c r="I221" s="311" t="s">
        <v>524</v>
      </c>
      <c r="J221" s="136" t="s">
        <v>31</v>
      </c>
      <c r="K221" s="136" t="s">
        <v>32</v>
      </c>
      <c r="L221" s="136"/>
      <c r="M221" s="325" t="s">
        <v>703</v>
      </c>
    </row>
    <row r="222" spans="1:13" s="17" customFormat="1" ht="21.75" customHeight="1" x14ac:dyDescent="0.25">
      <c r="A222" s="235">
        <v>3806</v>
      </c>
      <c r="B222" s="136" t="s">
        <v>525</v>
      </c>
      <c r="C222" s="295">
        <v>219.2</v>
      </c>
      <c r="D222" s="149">
        <v>0.3</v>
      </c>
      <c r="E222" s="186">
        <f t="shared" si="6"/>
        <v>65.759999999999991</v>
      </c>
      <c r="F222" s="186"/>
      <c r="G222" s="186">
        <f t="shared" si="7"/>
        <v>65.759999999999991</v>
      </c>
      <c r="H222" s="136">
        <v>14457167</v>
      </c>
      <c r="I222" s="313">
        <v>3158759994700</v>
      </c>
      <c r="J222" s="136" t="s">
        <v>71</v>
      </c>
      <c r="K222" s="136" t="s">
        <v>72</v>
      </c>
      <c r="L222" s="136">
        <v>91794400</v>
      </c>
      <c r="M222" s="325" t="s">
        <v>708</v>
      </c>
    </row>
    <row r="223" spans="1:13" s="17" customFormat="1" ht="21.75" customHeight="1" x14ac:dyDescent="0.25">
      <c r="A223" s="235">
        <v>3825</v>
      </c>
      <c r="B223" s="136" t="s">
        <v>526</v>
      </c>
      <c r="C223" s="295">
        <v>165</v>
      </c>
      <c r="D223" s="149">
        <v>0.3</v>
      </c>
      <c r="E223" s="186">
        <f t="shared" si="6"/>
        <v>49.5</v>
      </c>
      <c r="F223" s="186">
        <v>49.29</v>
      </c>
      <c r="G223" s="186">
        <f t="shared" si="7"/>
        <v>0.21000000000000085</v>
      </c>
      <c r="H223" s="136">
        <v>6327337</v>
      </c>
      <c r="I223" s="544" t="s">
        <v>527</v>
      </c>
      <c r="J223" s="136" t="s">
        <v>31</v>
      </c>
      <c r="K223" s="136" t="s">
        <v>32</v>
      </c>
      <c r="L223" s="136"/>
      <c r="M223" s="325" t="s">
        <v>703</v>
      </c>
    </row>
    <row r="224" spans="1:13" s="17" customFormat="1" ht="21.75" customHeight="1" x14ac:dyDescent="0.25">
      <c r="A224" s="235">
        <v>3826</v>
      </c>
      <c r="B224" s="136" t="s">
        <v>200</v>
      </c>
      <c r="C224" s="295">
        <v>211.4</v>
      </c>
      <c r="D224" s="149">
        <v>0.3</v>
      </c>
      <c r="E224" s="186">
        <f t="shared" si="6"/>
        <v>63.42</v>
      </c>
      <c r="F224" s="186">
        <v>59.25</v>
      </c>
      <c r="G224" s="186">
        <f t="shared" si="7"/>
        <v>4.1700000000000017</v>
      </c>
      <c r="H224" s="136">
        <v>4919671</v>
      </c>
      <c r="I224" s="311" t="s">
        <v>201</v>
      </c>
      <c r="J224" s="136" t="s">
        <v>31</v>
      </c>
      <c r="K224" s="136" t="s">
        <v>32</v>
      </c>
      <c r="L224" s="136">
        <v>92516644</v>
      </c>
    </row>
    <row r="225" spans="1:13" s="17" customFormat="1" ht="21.75" customHeight="1" x14ac:dyDescent="0.25">
      <c r="A225" s="235">
        <v>3881</v>
      </c>
      <c r="B225" s="140" t="s">
        <v>529</v>
      </c>
      <c r="C225" s="295">
        <v>204.8</v>
      </c>
      <c r="D225" s="149">
        <v>0.3</v>
      </c>
      <c r="E225" s="186">
        <f t="shared" si="6"/>
        <v>61.44</v>
      </c>
      <c r="F225" s="186">
        <v>58.460000000000008</v>
      </c>
      <c r="G225" s="186">
        <f t="shared" si="7"/>
        <v>2.9799999999999898</v>
      </c>
      <c r="H225" s="136">
        <v>5335138</v>
      </c>
      <c r="I225" s="311" t="s">
        <v>530</v>
      </c>
      <c r="J225" s="136" t="s">
        <v>31</v>
      </c>
      <c r="K225" s="136" t="s">
        <v>32</v>
      </c>
      <c r="L225" s="136">
        <v>92936035</v>
      </c>
      <c r="M225" s="325" t="s">
        <v>703</v>
      </c>
    </row>
    <row r="226" spans="1:13" s="17" customFormat="1" ht="21.75" customHeight="1" x14ac:dyDescent="0.25">
      <c r="A226" s="235">
        <v>3883</v>
      </c>
      <c r="B226" s="136" t="s">
        <v>531</v>
      </c>
      <c r="C226" s="295">
        <v>215.4</v>
      </c>
      <c r="D226" s="149">
        <v>0.3</v>
      </c>
      <c r="E226" s="186">
        <f t="shared" si="6"/>
        <v>64.62</v>
      </c>
      <c r="F226" s="186"/>
      <c r="G226" s="186">
        <f t="shared" si="7"/>
        <v>64.62</v>
      </c>
      <c r="H226" s="136">
        <v>18636502</v>
      </c>
      <c r="I226" s="311" t="s">
        <v>532</v>
      </c>
      <c r="J226" s="136" t="s">
        <v>90</v>
      </c>
      <c r="K226" s="136" t="s">
        <v>32</v>
      </c>
      <c r="L226" s="136" t="s">
        <v>32</v>
      </c>
    </row>
    <row r="227" spans="1:13" ht="13.5" x14ac:dyDescent="0.25">
      <c r="A227" s="146"/>
      <c r="B227" s="140"/>
      <c r="C227" s="294">
        <f>SUM(C3:C226)</f>
        <v>65150</v>
      </c>
      <c r="D227" s="149"/>
      <c r="E227" s="186">
        <f>SUM(E3:E226)</f>
        <v>19544.999999999996</v>
      </c>
      <c r="F227" s="186">
        <f>SUM(F3:F226)</f>
        <v>13079.282000000012</v>
      </c>
      <c r="G227" s="186">
        <f>SUM(G3:G226)</f>
        <v>6465.717999999998</v>
      </c>
      <c r="H227" s="140"/>
      <c r="I227" s="310"/>
      <c r="J227" s="140"/>
      <c r="K227" s="140"/>
      <c r="L227" s="140"/>
    </row>
    <row r="228" spans="1:13" x14ac:dyDescent="0.25">
      <c r="A228" s="6"/>
      <c r="B228" s="290"/>
      <c r="C228" s="5"/>
      <c r="D228" s="64"/>
      <c r="E228" s="7"/>
      <c r="F228" s="7"/>
      <c r="G228" s="7"/>
      <c r="H228" s="7"/>
      <c r="I228" s="7"/>
      <c r="K228" s="6"/>
    </row>
    <row r="229" spans="1:13" x14ac:dyDescent="0.25">
      <c r="A229" s="6"/>
      <c r="B229" s="290"/>
      <c r="C229" s="10"/>
      <c r="D229" s="10"/>
      <c r="E229" s="6"/>
      <c r="F229" s="6"/>
      <c r="G229" s="6"/>
      <c r="H229" s="107"/>
      <c r="I229" s="6"/>
      <c r="J229" s="7"/>
      <c r="K229" s="6"/>
    </row>
    <row r="230" spans="1:13" x14ac:dyDescent="0.25">
      <c r="L230" s="9"/>
    </row>
    <row r="231" spans="1:13" x14ac:dyDescent="0.25">
      <c r="C231" s="290" t="s">
        <v>15</v>
      </c>
      <c r="E231" s="78"/>
      <c r="F231" s="78"/>
      <c r="G231" s="78"/>
    </row>
    <row r="232" spans="1:13" x14ac:dyDescent="0.25">
      <c r="I232" s="78"/>
    </row>
    <row r="233" spans="1:13" ht="21" x14ac:dyDescent="0.35">
      <c r="A233" s="66"/>
      <c r="B233" s="65"/>
      <c r="C233" s="293"/>
      <c r="D233" s="65"/>
      <c r="E233" s="4"/>
      <c r="F233" s="4"/>
      <c r="G233" s="4"/>
      <c r="H233" s="4"/>
      <c r="I233" s="4"/>
      <c r="J233" s="309"/>
      <c r="K233" s="68"/>
    </row>
    <row r="234" spans="1:13" ht="15.75" x14ac:dyDescent="0.25">
      <c r="A234" s="4"/>
      <c r="B234" s="4"/>
      <c r="C234" s="292"/>
      <c r="D234" s="4"/>
      <c r="E234" s="4"/>
      <c r="F234" s="4"/>
      <c r="G234" s="4"/>
      <c r="H234" s="4"/>
      <c r="I234" s="4"/>
      <c r="J234" s="4"/>
      <c r="K234" s="68"/>
    </row>
    <row r="235" spans="1:13" ht="15.75" x14ac:dyDescent="0.25">
      <c r="A235" s="70"/>
      <c r="B235" s="70"/>
      <c r="C235" s="291"/>
      <c r="D235" s="70"/>
      <c r="E235" s="70"/>
      <c r="F235" s="70"/>
      <c r="G235" s="70"/>
      <c r="H235" s="70"/>
      <c r="I235" s="308"/>
      <c r="J235" s="70"/>
      <c r="K235" s="72"/>
    </row>
    <row r="236" spans="1:13" ht="15.75" x14ac:dyDescent="0.25">
      <c r="A236" s="70"/>
      <c r="B236" s="70"/>
      <c r="C236" s="291"/>
      <c r="D236" s="70"/>
      <c r="E236" s="70"/>
      <c r="F236" s="70"/>
      <c r="G236" s="70"/>
      <c r="H236" s="70"/>
      <c r="I236" s="70"/>
      <c r="J236" s="70"/>
      <c r="K236" s="72"/>
    </row>
    <row r="237" spans="1:13" ht="15.75" x14ac:dyDescent="0.25">
      <c r="A237" s="70"/>
      <c r="B237" s="70"/>
      <c r="C237" s="291"/>
      <c r="D237" s="70"/>
      <c r="E237" s="70"/>
      <c r="F237" s="70"/>
      <c r="G237" s="70"/>
      <c r="H237" s="70"/>
      <c r="I237" s="70"/>
      <c r="J237" s="70"/>
      <c r="K237" s="72"/>
    </row>
  </sheetData>
  <conditionalFormatting sqref="A7">
    <cfRule type="duplicateValues" dxfId="32" priority="9"/>
  </conditionalFormatting>
  <conditionalFormatting sqref="A18:A19">
    <cfRule type="duplicateValues" dxfId="31" priority="11"/>
  </conditionalFormatting>
  <conditionalFormatting sqref="A32:A33">
    <cfRule type="duplicateValues" dxfId="30" priority="1"/>
  </conditionalFormatting>
  <conditionalFormatting sqref="A34">
    <cfRule type="duplicateValues" dxfId="29" priority="8"/>
  </conditionalFormatting>
  <conditionalFormatting sqref="A39:A41">
    <cfRule type="duplicateValues" dxfId="28" priority="7"/>
  </conditionalFormatting>
  <conditionalFormatting sqref="A48">
    <cfRule type="duplicateValues" dxfId="27" priority="6"/>
  </conditionalFormatting>
  <conditionalFormatting sqref="A59:A61">
    <cfRule type="duplicateValues" dxfId="26" priority="5"/>
  </conditionalFormatting>
  <conditionalFormatting sqref="A63">
    <cfRule type="duplicateValues" dxfId="25" priority="4"/>
  </conditionalFormatting>
  <conditionalFormatting sqref="A78">
    <cfRule type="duplicateValues" dxfId="24" priority="3"/>
  </conditionalFormatting>
  <conditionalFormatting sqref="A79">
    <cfRule type="duplicateValues" dxfId="23" priority="2"/>
  </conditionalFormatting>
  <conditionalFormatting sqref="A208">
    <cfRule type="duplicateValues" dxfId="22" priority="10"/>
  </conditionalFormatting>
  <pageMargins left="0.7" right="0.7" top="0.75" bottom="0.75" header="0.3" footer="0.3"/>
  <pageSetup paperSize="9" scale="4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C0C1-1E04-45BA-BBFA-7D52136EAA89}">
  <dimension ref="A1:O236"/>
  <sheetViews>
    <sheetView workbookViewId="0">
      <selection activeCell="G2" sqref="G2"/>
    </sheetView>
  </sheetViews>
  <sheetFormatPr defaultColWidth="9" defaultRowHeight="12" x14ac:dyDescent="0.25"/>
  <cols>
    <col min="1" max="1" width="36.140625" style="5" bestFit="1" customWidth="1"/>
    <col min="2" max="2" width="40.28515625" style="6" customWidth="1"/>
    <col min="3" max="3" width="13.42578125" style="290" customWidth="1"/>
    <col min="4" max="4" width="12" style="5" customWidth="1"/>
    <col min="5" max="7" width="21.28515625" style="5" customWidth="1"/>
    <col min="8" max="8" width="13.28515625" style="5" customWidth="1"/>
    <col min="9" max="9" width="15.42578125" style="5" hidden="1" customWidth="1"/>
    <col min="10" max="10" width="11.7109375" style="6" hidden="1" customWidth="1"/>
    <col min="11" max="11" width="15.85546875" style="7" hidden="1" customWidth="1"/>
    <col min="12" max="12" width="14.85546875" style="6" hidden="1" customWidth="1"/>
    <col min="13" max="13" width="17.42578125" style="6" customWidth="1"/>
    <col min="14" max="16384" width="9" style="5"/>
  </cols>
  <sheetData>
    <row r="1" spans="1:13" ht="34.5" customHeight="1" x14ac:dyDescent="0.25">
      <c r="A1" s="646" t="s">
        <v>707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</row>
    <row r="2" spans="1:13" ht="30" customHeight="1" x14ac:dyDescent="0.25">
      <c r="A2" s="38" t="s">
        <v>2</v>
      </c>
      <c r="B2" s="39" t="s">
        <v>3</v>
      </c>
      <c r="C2" s="303" t="s">
        <v>4</v>
      </c>
      <c r="D2" s="38" t="s">
        <v>5</v>
      </c>
      <c r="E2" s="302" t="s">
        <v>564</v>
      </c>
      <c r="F2" s="302"/>
      <c r="G2" s="302" t="s">
        <v>19</v>
      </c>
      <c r="H2" s="39" t="s">
        <v>9</v>
      </c>
      <c r="I2" s="39" t="s">
        <v>20</v>
      </c>
      <c r="J2" s="39" t="s">
        <v>21</v>
      </c>
      <c r="K2" s="39" t="s">
        <v>22</v>
      </c>
      <c r="L2" s="39" t="s">
        <v>23</v>
      </c>
      <c r="M2" s="39" t="s">
        <v>10</v>
      </c>
    </row>
    <row r="3" spans="1:13" ht="21.75" customHeight="1" x14ac:dyDescent="0.25">
      <c r="A3" s="301">
        <v>1001</v>
      </c>
      <c r="B3" s="296" t="s">
        <v>95</v>
      </c>
      <c r="C3" s="540">
        <v>10</v>
      </c>
      <c r="D3" s="149">
        <v>0.3</v>
      </c>
      <c r="E3" s="186">
        <f t="shared" ref="E3:E66" si="0">C3*D3</f>
        <v>3</v>
      </c>
      <c r="F3" s="186"/>
      <c r="G3" s="186">
        <f>E3-F3</f>
        <v>3</v>
      </c>
      <c r="H3" s="136">
        <v>2130934</v>
      </c>
      <c r="I3" s="311" t="s">
        <v>96</v>
      </c>
      <c r="J3" s="136" t="s">
        <v>31</v>
      </c>
      <c r="K3" s="136" t="s">
        <v>32</v>
      </c>
      <c r="L3" s="136">
        <v>92911133</v>
      </c>
      <c r="M3" s="321"/>
    </row>
    <row r="4" spans="1:13" ht="21.75" customHeight="1" x14ac:dyDescent="0.25">
      <c r="A4" s="301">
        <v>1007</v>
      </c>
      <c r="B4" s="296" t="s">
        <v>213</v>
      </c>
      <c r="C4" s="541">
        <v>735.4</v>
      </c>
      <c r="D4" s="149">
        <v>0.3</v>
      </c>
      <c r="E4" s="186">
        <f t="shared" si="0"/>
        <v>220.61999999999998</v>
      </c>
      <c r="F4" s="186"/>
      <c r="G4" s="186">
        <f t="shared" ref="G4:G67" si="1">E4-F4</f>
        <v>220.61999999999998</v>
      </c>
      <c r="H4" s="311">
        <v>1515504</v>
      </c>
      <c r="I4" s="311" t="s">
        <v>214</v>
      </c>
      <c r="J4" s="136" t="s">
        <v>71</v>
      </c>
      <c r="K4" s="136" t="s">
        <v>72</v>
      </c>
      <c r="L4" s="600">
        <v>91748840</v>
      </c>
      <c r="M4" s="321"/>
    </row>
    <row r="5" spans="1:13" s="17" customFormat="1" ht="21.75" customHeight="1" x14ac:dyDescent="0.25">
      <c r="A5" s="301">
        <v>1028</v>
      </c>
      <c r="B5" s="296" t="s">
        <v>215</v>
      </c>
      <c r="C5" s="295">
        <v>187.3</v>
      </c>
      <c r="D5" s="149">
        <v>0.3</v>
      </c>
      <c r="E5" s="186">
        <f t="shared" si="0"/>
        <v>56.190000000000005</v>
      </c>
      <c r="F5" s="186"/>
      <c r="G5" s="186">
        <f t="shared" si="1"/>
        <v>56.190000000000005</v>
      </c>
      <c r="H5" s="136">
        <v>802875</v>
      </c>
      <c r="I5" s="311" t="s">
        <v>216</v>
      </c>
      <c r="J5" s="136" t="s">
        <v>31</v>
      </c>
      <c r="K5" s="136" t="s">
        <v>32</v>
      </c>
      <c r="L5" s="136">
        <v>99498677</v>
      </c>
      <c r="M5" s="321"/>
    </row>
    <row r="6" spans="1:13" ht="21.75" customHeight="1" x14ac:dyDescent="0.25">
      <c r="A6" s="235">
        <v>1033</v>
      </c>
      <c r="B6" s="296" t="s">
        <v>217</v>
      </c>
      <c r="C6" s="295">
        <v>434</v>
      </c>
      <c r="D6" s="149">
        <v>0.3</v>
      </c>
      <c r="E6" s="186">
        <f t="shared" si="0"/>
        <v>130.19999999999999</v>
      </c>
      <c r="F6" s="186"/>
      <c r="G6" s="186">
        <f t="shared" si="1"/>
        <v>130.19999999999999</v>
      </c>
      <c r="H6" s="136">
        <v>10132435</v>
      </c>
      <c r="I6" s="311" t="s">
        <v>218</v>
      </c>
      <c r="J6" s="136" t="s">
        <v>52</v>
      </c>
      <c r="K6" s="136" t="s">
        <v>53</v>
      </c>
      <c r="L6" s="136">
        <v>92268168</v>
      </c>
      <c r="M6" s="321"/>
    </row>
    <row r="7" spans="1:13" ht="21.75" customHeight="1" x14ac:dyDescent="0.25">
      <c r="A7" s="235">
        <v>1040</v>
      </c>
      <c r="B7" s="296" t="s">
        <v>11</v>
      </c>
      <c r="C7" s="295">
        <v>175.4</v>
      </c>
      <c r="D7" s="149">
        <v>0.3</v>
      </c>
      <c r="E7" s="186">
        <f t="shared" si="0"/>
        <v>52.62</v>
      </c>
      <c r="F7" s="186"/>
      <c r="G7" s="186">
        <f t="shared" si="1"/>
        <v>52.62</v>
      </c>
      <c r="H7" s="136">
        <v>25082374</v>
      </c>
      <c r="I7" s="311" t="s">
        <v>220</v>
      </c>
      <c r="J7" s="136" t="s">
        <v>31</v>
      </c>
      <c r="K7" s="136" t="s">
        <v>32</v>
      </c>
      <c r="L7" s="136">
        <v>99816344</v>
      </c>
      <c r="M7" s="321"/>
    </row>
    <row r="8" spans="1:13" ht="21.75" customHeight="1" x14ac:dyDescent="0.25">
      <c r="A8" s="235">
        <v>1044</v>
      </c>
      <c r="B8" s="296" t="s">
        <v>221</v>
      </c>
      <c r="C8" s="295">
        <v>224.8</v>
      </c>
      <c r="D8" s="149">
        <v>0.3</v>
      </c>
      <c r="E8" s="186">
        <f t="shared" si="0"/>
        <v>67.44</v>
      </c>
      <c r="F8" s="186"/>
      <c r="G8" s="186">
        <f t="shared" si="1"/>
        <v>67.44</v>
      </c>
      <c r="H8" s="136">
        <v>81904</v>
      </c>
      <c r="I8" s="311" t="s">
        <v>222</v>
      </c>
      <c r="J8" s="136" t="s">
        <v>31</v>
      </c>
      <c r="K8" s="136" t="s">
        <v>32</v>
      </c>
      <c r="L8" s="136">
        <v>99494120</v>
      </c>
      <c r="M8" s="321"/>
    </row>
    <row r="9" spans="1:13" s="17" customFormat="1" ht="21.75" customHeight="1" x14ac:dyDescent="0.25">
      <c r="A9" s="235">
        <v>1080</v>
      </c>
      <c r="B9" s="296" t="s">
        <v>223</v>
      </c>
      <c r="C9" s="295">
        <v>111.3</v>
      </c>
      <c r="D9" s="149">
        <v>0.3</v>
      </c>
      <c r="E9" s="186">
        <f t="shared" si="0"/>
        <v>33.39</v>
      </c>
      <c r="F9" s="186"/>
      <c r="G9" s="186">
        <f t="shared" si="1"/>
        <v>33.39</v>
      </c>
      <c r="H9" s="136">
        <v>78762</v>
      </c>
      <c r="I9" s="311" t="s">
        <v>224</v>
      </c>
      <c r="J9" s="136" t="s">
        <v>31</v>
      </c>
      <c r="K9" s="136" t="s">
        <v>32</v>
      </c>
      <c r="L9" s="136">
        <v>92440088</v>
      </c>
      <c r="M9" s="321"/>
    </row>
    <row r="10" spans="1:13" s="17" customFormat="1" ht="21.75" customHeight="1" x14ac:dyDescent="0.25">
      <c r="A10" s="235">
        <v>1089</v>
      </c>
      <c r="B10" s="297" t="s">
        <v>225</v>
      </c>
      <c r="C10" s="295">
        <v>247.4</v>
      </c>
      <c r="D10" s="149">
        <v>0.3</v>
      </c>
      <c r="E10" s="186">
        <f t="shared" si="0"/>
        <v>74.22</v>
      </c>
      <c r="F10" s="186"/>
      <c r="G10" s="186">
        <f t="shared" si="1"/>
        <v>74.22</v>
      </c>
      <c r="H10" s="136">
        <v>892683</v>
      </c>
      <c r="I10" s="136" t="s">
        <v>226</v>
      </c>
      <c r="J10" s="136" t="s">
        <v>26</v>
      </c>
      <c r="K10" s="136" t="s">
        <v>27</v>
      </c>
      <c r="L10" s="136">
        <v>99506162</v>
      </c>
      <c r="M10" s="321"/>
    </row>
    <row r="11" spans="1:13" s="17" customFormat="1" ht="21.75" customHeight="1" x14ac:dyDescent="0.25">
      <c r="A11" s="235">
        <v>1096</v>
      </c>
      <c r="B11" s="296" t="s">
        <v>227</v>
      </c>
      <c r="C11" s="295">
        <v>182.1</v>
      </c>
      <c r="D11" s="149">
        <v>0.3</v>
      </c>
      <c r="E11" s="186">
        <f t="shared" si="0"/>
        <v>54.629999999999995</v>
      </c>
      <c r="F11" s="186"/>
      <c r="G11" s="186">
        <f t="shared" si="1"/>
        <v>54.629999999999995</v>
      </c>
      <c r="H11" s="136">
        <v>1959918</v>
      </c>
      <c r="I11" s="136" t="s">
        <v>228</v>
      </c>
      <c r="J11" s="136" t="s">
        <v>71</v>
      </c>
      <c r="K11" s="136" t="s">
        <v>72</v>
      </c>
      <c r="L11" s="136">
        <v>92699781</v>
      </c>
      <c r="M11" s="321"/>
    </row>
    <row r="12" spans="1:13" s="17" customFormat="1" ht="21.75" customHeight="1" x14ac:dyDescent="0.25">
      <c r="A12" s="235">
        <v>1106</v>
      </c>
      <c r="B12" s="296" t="s">
        <v>24</v>
      </c>
      <c r="C12" s="295">
        <v>489.6</v>
      </c>
      <c r="D12" s="149">
        <v>0.3</v>
      </c>
      <c r="E12" s="186">
        <f t="shared" si="0"/>
        <v>146.88</v>
      </c>
      <c r="F12" s="186"/>
      <c r="G12" s="186">
        <f t="shared" si="1"/>
        <v>146.88</v>
      </c>
      <c r="H12" s="136">
        <v>5502751</v>
      </c>
      <c r="I12" s="136" t="s">
        <v>25</v>
      </c>
      <c r="J12" s="136" t="s">
        <v>26</v>
      </c>
      <c r="K12" s="136" t="s">
        <v>27</v>
      </c>
      <c r="L12" s="136">
        <v>99270001</v>
      </c>
      <c r="M12" s="321"/>
    </row>
    <row r="13" spans="1:13" ht="21.75" customHeight="1" x14ac:dyDescent="0.25">
      <c r="A13" s="235">
        <v>1110</v>
      </c>
      <c r="B13" s="296" t="s">
        <v>229</v>
      </c>
      <c r="C13" s="295">
        <v>302.2</v>
      </c>
      <c r="D13" s="149">
        <v>0.3</v>
      </c>
      <c r="E13" s="186">
        <f t="shared" si="0"/>
        <v>90.66</v>
      </c>
      <c r="F13" s="186"/>
      <c r="G13" s="186">
        <f t="shared" si="1"/>
        <v>90.66</v>
      </c>
      <c r="H13" s="136">
        <v>934298</v>
      </c>
      <c r="I13" s="136" t="s">
        <v>230</v>
      </c>
      <c r="J13" s="136" t="s">
        <v>31</v>
      </c>
      <c r="K13" s="136" t="s">
        <v>32</v>
      </c>
      <c r="L13" s="136">
        <v>92811415</v>
      </c>
      <c r="M13" s="321"/>
    </row>
    <row r="14" spans="1:13" ht="21.75" customHeight="1" x14ac:dyDescent="0.25">
      <c r="A14" s="235">
        <v>1111</v>
      </c>
      <c r="B14" s="296" t="s">
        <v>231</v>
      </c>
      <c r="C14" s="295">
        <v>97.6</v>
      </c>
      <c r="D14" s="149">
        <v>0.3</v>
      </c>
      <c r="E14" s="186">
        <f t="shared" si="0"/>
        <v>29.279999999999998</v>
      </c>
      <c r="F14" s="186"/>
      <c r="G14" s="186">
        <f t="shared" si="1"/>
        <v>29.279999999999998</v>
      </c>
      <c r="H14" s="136">
        <v>15571992</v>
      </c>
      <c r="I14" s="311" t="s">
        <v>232</v>
      </c>
      <c r="J14" s="136" t="s">
        <v>52</v>
      </c>
      <c r="K14" s="136" t="s">
        <v>53</v>
      </c>
      <c r="L14" s="136">
        <v>92708951</v>
      </c>
      <c r="M14" s="321"/>
    </row>
    <row r="15" spans="1:13" ht="21.75" customHeight="1" x14ac:dyDescent="0.25">
      <c r="A15" s="235">
        <v>1119</v>
      </c>
      <c r="B15" s="297" t="s">
        <v>233</v>
      </c>
      <c r="C15" s="295">
        <v>20</v>
      </c>
      <c r="D15" s="149">
        <v>0.3</v>
      </c>
      <c r="E15" s="186">
        <f t="shared" si="0"/>
        <v>6</v>
      </c>
      <c r="F15" s="186"/>
      <c r="G15" s="186">
        <f t="shared" si="1"/>
        <v>6</v>
      </c>
      <c r="H15" s="136">
        <v>24000245</v>
      </c>
      <c r="I15" s="136" t="s">
        <v>234</v>
      </c>
      <c r="J15" s="136" t="s">
        <v>31</v>
      </c>
      <c r="K15" s="136" t="s">
        <v>32</v>
      </c>
      <c r="L15" s="136">
        <v>90911369</v>
      </c>
      <c r="M15" s="321"/>
    </row>
    <row r="16" spans="1:13" ht="21.75" customHeight="1" x14ac:dyDescent="0.25">
      <c r="A16" s="235">
        <v>1122</v>
      </c>
      <c r="B16" s="296" t="s">
        <v>98</v>
      </c>
      <c r="C16" s="295">
        <v>160.30000000000001</v>
      </c>
      <c r="D16" s="149">
        <v>0.3</v>
      </c>
      <c r="E16" s="186">
        <f t="shared" si="0"/>
        <v>48.09</v>
      </c>
      <c r="F16" s="186"/>
      <c r="G16" s="186">
        <f t="shared" si="1"/>
        <v>48.09</v>
      </c>
      <c r="H16" s="136">
        <v>5219876</v>
      </c>
      <c r="I16" s="136" t="s">
        <v>99</v>
      </c>
      <c r="J16" s="136" t="s">
        <v>31</v>
      </c>
      <c r="K16" s="136" t="s">
        <v>32</v>
      </c>
      <c r="L16" s="136">
        <v>99066779</v>
      </c>
      <c r="M16" s="321"/>
    </row>
    <row r="17" spans="1:13" ht="21.75" customHeight="1" x14ac:dyDescent="0.25">
      <c r="A17" s="235">
        <v>1135</v>
      </c>
      <c r="B17" s="296" t="s">
        <v>101</v>
      </c>
      <c r="C17" s="295">
        <v>356.5</v>
      </c>
      <c r="D17" s="149">
        <v>0.3</v>
      </c>
      <c r="E17" s="186">
        <f t="shared" si="0"/>
        <v>106.95</v>
      </c>
      <c r="F17" s="186"/>
      <c r="G17" s="186">
        <f t="shared" si="1"/>
        <v>106.95</v>
      </c>
      <c r="H17" s="136">
        <v>19202954</v>
      </c>
      <c r="I17" s="311" t="s">
        <v>102</v>
      </c>
      <c r="J17" s="136" t="s">
        <v>52</v>
      </c>
      <c r="K17" s="136" t="s">
        <v>53</v>
      </c>
      <c r="L17" s="136">
        <v>92771786</v>
      </c>
      <c r="M17" s="321"/>
    </row>
    <row r="18" spans="1:13" ht="21.75" customHeight="1" x14ac:dyDescent="0.25">
      <c r="A18" s="235">
        <v>1141</v>
      </c>
      <c r="B18" s="296" t="s">
        <v>235</v>
      </c>
      <c r="C18" s="295">
        <v>177.6</v>
      </c>
      <c r="D18" s="149">
        <v>0.3</v>
      </c>
      <c r="E18" s="186">
        <f t="shared" si="0"/>
        <v>53.279999999999994</v>
      </c>
      <c r="F18" s="186"/>
      <c r="G18" s="186">
        <f t="shared" si="1"/>
        <v>53.279999999999994</v>
      </c>
      <c r="H18" s="136">
        <v>11753992</v>
      </c>
      <c r="I18" s="311" t="s">
        <v>236</v>
      </c>
      <c r="J18" s="136" t="s">
        <v>31</v>
      </c>
      <c r="K18" s="136" t="s">
        <v>32</v>
      </c>
      <c r="L18" s="136">
        <v>99205960</v>
      </c>
      <c r="M18" s="321"/>
    </row>
    <row r="19" spans="1:13" ht="21.75" customHeight="1" x14ac:dyDescent="0.25">
      <c r="A19" s="235">
        <v>1154</v>
      </c>
      <c r="B19" s="136" t="s">
        <v>237</v>
      </c>
      <c r="C19" s="295">
        <v>464.5</v>
      </c>
      <c r="D19" s="149">
        <v>0.3</v>
      </c>
      <c r="E19" s="186">
        <f t="shared" si="0"/>
        <v>139.35</v>
      </c>
      <c r="F19" s="186"/>
      <c r="G19" s="186">
        <f t="shared" si="1"/>
        <v>139.35</v>
      </c>
      <c r="H19" s="137">
        <v>18654817</v>
      </c>
      <c r="I19" s="311" t="s">
        <v>238</v>
      </c>
      <c r="J19" s="136" t="s">
        <v>31</v>
      </c>
      <c r="K19" s="136" t="s">
        <v>32</v>
      </c>
      <c r="L19" s="136">
        <v>98887846</v>
      </c>
      <c r="M19" s="321"/>
    </row>
    <row r="20" spans="1:13" ht="21.75" customHeight="1" x14ac:dyDescent="0.25">
      <c r="A20" s="235">
        <v>1161</v>
      </c>
      <c r="B20" s="296" t="s">
        <v>239</v>
      </c>
      <c r="C20" s="295">
        <v>241.3</v>
      </c>
      <c r="D20" s="149">
        <v>0.3</v>
      </c>
      <c r="E20" s="186">
        <f t="shared" si="0"/>
        <v>72.39</v>
      </c>
      <c r="F20" s="186"/>
      <c r="G20" s="186">
        <f t="shared" si="1"/>
        <v>72.39</v>
      </c>
      <c r="H20" s="136">
        <v>257926</v>
      </c>
      <c r="I20" s="311" t="s">
        <v>240</v>
      </c>
      <c r="J20" s="136" t="s">
        <v>71</v>
      </c>
      <c r="K20" s="136" t="s">
        <v>72</v>
      </c>
      <c r="L20" s="136">
        <v>99589267</v>
      </c>
      <c r="M20" s="321"/>
    </row>
    <row r="21" spans="1:13" ht="21.75" customHeight="1" x14ac:dyDescent="0.25">
      <c r="A21" s="235">
        <v>1168</v>
      </c>
      <c r="B21" s="296" t="s">
        <v>241</v>
      </c>
      <c r="C21" s="295">
        <v>256.10000000000002</v>
      </c>
      <c r="D21" s="149">
        <v>0.3</v>
      </c>
      <c r="E21" s="186">
        <f t="shared" si="0"/>
        <v>76.83</v>
      </c>
      <c r="F21" s="186"/>
      <c r="G21" s="186">
        <f t="shared" si="1"/>
        <v>76.83</v>
      </c>
      <c r="H21" s="136">
        <v>15498714</v>
      </c>
      <c r="I21" s="311" t="s">
        <v>573</v>
      </c>
      <c r="J21" s="136" t="s">
        <v>31</v>
      </c>
      <c r="K21" s="136" t="s">
        <v>32</v>
      </c>
      <c r="L21" s="136">
        <v>99292524</v>
      </c>
      <c r="M21" s="321"/>
    </row>
    <row r="22" spans="1:13" ht="21.75" customHeight="1" x14ac:dyDescent="0.25">
      <c r="A22" s="235">
        <v>1177</v>
      </c>
      <c r="B22" s="297" t="s">
        <v>243</v>
      </c>
      <c r="C22" s="295">
        <v>31</v>
      </c>
      <c r="D22" s="149">
        <v>0.3</v>
      </c>
      <c r="E22" s="186">
        <f t="shared" si="0"/>
        <v>9.2999999999999989</v>
      </c>
      <c r="F22" s="186"/>
      <c r="G22" s="186">
        <f t="shared" si="1"/>
        <v>9.2999999999999989</v>
      </c>
      <c r="H22" s="136">
        <v>219353</v>
      </c>
      <c r="I22" s="311" t="s">
        <v>244</v>
      </c>
      <c r="J22" s="136" t="s">
        <v>52</v>
      </c>
      <c r="K22" s="136" t="s">
        <v>53</v>
      </c>
      <c r="L22" s="138">
        <v>99485534</v>
      </c>
      <c r="M22" s="321"/>
    </row>
    <row r="23" spans="1:13" ht="21.75" customHeight="1" x14ac:dyDescent="0.25">
      <c r="A23" s="235">
        <v>1224</v>
      </c>
      <c r="B23" s="296" t="s">
        <v>247</v>
      </c>
      <c r="C23" s="295">
        <v>360.8</v>
      </c>
      <c r="D23" s="149">
        <v>0.3</v>
      </c>
      <c r="E23" s="186">
        <f t="shared" si="0"/>
        <v>108.24</v>
      </c>
      <c r="F23" s="186"/>
      <c r="G23" s="186">
        <f t="shared" si="1"/>
        <v>108.24</v>
      </c>
      <c r="H23" s="136">
        <v>24911691</v>
      </c>
      <c r="I23" s="313" t="s">
        <v>248</v>
      </c>
      <c r="J23" s="136" t="s">
        <v>31</v>
      </c>
      <c r="K23" s="136" t="s">
        <v>32</v>
      </c>
      <c r="L23" s="136">
        <v>99192216</v>
      </c>
      <c r="M23" s="321"/>
    </row>
    <row r="24" spans="1:13" s="17" customFormat="1" ht="21.75" customHeight="1" x14ac:dyDescent="0.25">
      <c r="A24" s="235">
        <v>1225</v>
      </c>
      <c r="B24" s="296" t="s">
        <v>249</v>
      </c>
      <c r="C24" s="295">
        <v>170</v>
      </c>
      <c r="D24" s="149">
        <v>0.3</v>
      </c>
      <c r="E24" s="186">
        <f t="shared" si="0"/>
        <v>51</v>
      </c>
      <c r="F24" s="186"/>
      <c r="G24" s="186">
        <f t="shared" si="1"/>
        <v>51</v>
      </c>
      <c r="H24" s="136">
        <v>9642357</v>
      </c>
      <c r="I24" s="317" t="s">
        <v>250</v>
      </c>
      <c r="J24" s="136" t="s">
        <v>251</v>
      </c>
      <c r="K24" s="136" t="s">
        <v>252</v>
      </c>
      <c r="L24" s="136">
        <v>99777877</v>
      </c>
      <c r="M24" s="321"/>
    </row>
    <row r="25" spans="1:13" s="17" customFormat="1" ht="21.75" customHeight="1" x14ac:dyDescent="0.25">
      <c r="A25" s="235">
        <v>1235</v>
      </c>
      <c r="B25" s="300" t="s">
        <v>253</v>
      </c>
      <c r="C25" s="295">
        <v>58</v>
      </c>
      <c r="D25" s="149">
        <v>0.3</v>
      </c>
      <c r="E25" s="186">
        <f t="shared" si="0"/>
        <v>17.399999999999999</v>
      </c>
      <c r="F25" s="186"/>
      <c r="G25" s="186">
        <f t="shared" si="1"/>
        <v>17.399999999999999</v>
      </c>
      <c r="H25" s="139">
        <v>1992436</v>
      </c>
      <c r="I25" s="314" t="s">
        <v>254</v>
      </c>
      <c r="J25" s="140" t="s">
        <v>90</v>
      </c>
      <c r="K25" s="136" t="s">
        <v>32</v>
      </c>
      <c r="L25" s="140">
        <v>99484668</v>
      </c>
      <c r="M25" s="321"/>
    </row>
    <row r="26" spans="1:13" ht="21.75" customHeight="1" x14ac:dyDescent="0.25">
      <c r="A26" s="235">
        <v>1241</v>
      </c>
      <c r="B26" s="296" t="s">
        <v>255</v>
      </c>
      <c r="C26" s="295">
        <v>270.2</v>
      </c>
      <c r="D26" s="149">
        <v>0.3</v>
      </c>
      <c r="E26" s="186">
        <f t="shared" si="0"/>
        <v>81.059999999999988</v>
      </c>
      <c r="F26" s="186"/>
      <c r="G26" s="186">
        <f t="shared" si="1"/>
        <v>81.059999999999988</v>
      </c>
      <c r="H26" s="136">
        <v>5343254</v>
      </c>
      <c r="I26" s="136" t="s">
        <v>256</v>
      </c>
      <c r="J26" s="136" t="s">
        <v>31</v>
      </c>
      <c r="K26" s="136" t="s">
        <v>32</v>
      </c>
      <c r="L26" s="136">
        <v>98964664</v>
      </c>
      <c r="M26" s="321"/>
    </row>
    <row r="27" spans="1:13" ht="21.75" customHeight="1" x14ac:dyDescent="0.25">
      <c r="A27" s="235">
        <v>1247</v>
      </c>
      <c r="B27" s="296" t="s">
        <v>103</v>
      </c>
      <c r="C27" s="295">
        <v>422.7</v>
      </c>
      <c r="D27" s="149">
        <v>0.3</v>
      </c>
      <c r="E27" s="186">
        <f t="shared" si="0"/>
        <v>126.80999999999999</v>
      </c>
      <c r="F27" s="186"/>
      <c r="G27" s="186">
        <f t="shared" si="1"/>
        <v>126.80999999999999</v>
      </c>
      <c r="H27" s="136">
        <v>4748561</v>
      </c>
      <c r="I27" s="311" t="s">
        <v>104</v>
      </c>
      <c r="J27" s="136" t="s">
        <v>52</v>
      </c>
      <c r="K27" s="136" t="s">
        <v>53</v>
      </c>
      <c r="L27" s="136">
        <v>92345282</v>
      </c>
      <c r="M27" s="321"/>
    </row>
    <row r="28" spans="1:13" ht="21.75" customHeight="1" x14ac:dyDescent="0.25">
      <c r="A28" s="235">
        <v>1252</v>
      </c>
      <c r="B28" s="296" t="s">
        <v>258</v>
      </c>
      <c r="C28" s="295">
        <v>53</v>
      </c>
      <c r="D28" s="149">
        <v>0.3</v>
      </c>
      <c r="E28" s="186">
        <f t="shared" si="0"/>
        <v>15.899999999999999</v>
      </c>
      <c r="F28" s="186"/>
      <c r="G28" s="186">
        <f t="shared" si="1"/>
        <v>15.899999999999999</v>
      </c>
      <c r="H28" s="136">
        <v>2433959</v>
      </c>
      <c r="I28" s="311" t="s">
        <v>259</v>
      </c>
      <c r="J28" s="136" t="s">
        <v>52</v>
      </c>
      <c r="K28" s="136" t="s">
        <v>53</v>
      </c>
      <c r="L28" s="136">
        <v>93555999</v>
      </c>
      <c r="M28" s="321"/>
    </row>
    <row r="29" spans="1:13" ht="21.75" customHeight="1" x14ac:dyDescent="0.25">
      <c r="A29" s="235">
        <v>1258</v>
      </c>
      <c r="B29" s="296" t="s">
        <v>105</v>
      </c>
      <c r="C29" s="295">
        <v>481.9</v>
      </c>
      <c r="D29" s="149">
        <v>0.3</v>
      </c>
      <c r="E29" s="186">
        <f t="shared" si="0"/>
        <v>144.57</v>
      </c>
      <c r="F29" s="186"/>
      <c r="G29" s="186">
        <f t="shared" si="1"/>
        <v>144.57</v>
      </c>
      <c r="H29" s="136">
        <v>1924174</v>
      </c>
      <c r="I29" s="136" t="s">
        <v>106</v>
      </c>
      <c r="J29" s="136" t="s">
        <v>52</v>
      </c>
      <c r="K29" s="136" t="s">
        <v>53</v>
      </c>
      <c r="L29" s="136">
        <v>99297990</v>
      </c>
      <c r="M29" s="321"/>
    </row>
    <row r="30" spans="1:13" ht="21.75" customHeight="1" x14ac:dyDescent="0.25">
      <c r="A30" s="235">
        <v>1260</v>
      </c>
      <c r="B30" s="296" t="s">
        <v>260</v>
      </c>
      <c r="C30" s="295">
        <v>299.7</v>
      </c>
      <c r="D30" s="149">
        <v>0.3</v>
      </c>
      <c r="E30" s="186">
        <f t="shared" si="0"/>
        <v>89.91</v>
      </c>
      <c r="F30" s="186"/>
      <c r="G30" s="186">
        <f t="shared" si="1"/>
        <v>89.91</v>
      </c>
      <c r="H30" s="136">
        <v>18363579</v>
      </c>
      <c r="I30" s="323" t="s">
        <v>261</v>
      </c>
      <c r="J30" s="136" t="s">
        <v>52</v>
      </c>
      <c r="K30" s="136" t="s">
        <v>53</v>
      </c>
      <c r="L30" s="136">
        <v>98217444</v>
      </c>
      <c r="M30" s="321"/>
    </row>
    <row r="31" spans="1:13" ht="21.75" customHeight="1" x14ac:dyDescent="0.25">
      <c r="A31" s="235">
        <v>1261</v>
      </c>
      <c r="B31" s="136" t="s">
        <v>107</v>
      </c>
      <c r="C31" s="295">
        <v>137.69999999999999</v>
      </c>
      <c r="D31" s="149">
        <v>0.3</v>
      </c>
      <c r="E31" s="186">
        <f t="shared" si="0"/>
        <v>41.309999999999995</v>
      </c>
      <c r="F31" s="186"/>
      <c r="G31" s="186">
        <f t="shared" si="1"/>
        <v>41.309999999999995</v>
      </c>
      <c r="H31" s="136">
        <v>14429332</v>
      </c>
      <c r="I31" s="311" t="s">
        <v>574</v>
      </c>
      <c r="J31" s="136" t="s">
        <v>31</v>
      </c>
      <c r="K31" s="136" t="s">
        <v>32</v>
      </c>
      <c r="L31" s="136">
        <v>92939445</v>
      </c>
      <c r="M31" s="321"/>
    </row>
    <row r="32" spans="1:13" ht="21.75" customHeight="1" x14ac:dyDescent="0.25">
      <c r="A32" s="235">
        <v>1268</v>
      </c>
      <c r="B32" s="296" t="s">
        <v>109</v>
      </c>
      <c r="C32" s="295">
        <v>73.8</v>
      </c>
      <c r="D32" s="149">
        <v>0.3</v>
      </c>
      <c r="E32" s="186">
        <f t="shared" si="0"/>
        <v>22.139999999999997</v>
      </c>
      <c r="F32" s="186"/>
      <c r="G32" s="186">
        <f t="shared" si="1"/>
        <v>22.139999999999997</v>
      </c>
      <c r="H32" s="136">
        <v>722058</v>
      </c>
      <c r="I32" s="311" t="s">
        <v>110</v>
      </c>
      <c r="J32" s="136" t="s">
        <v>31</v>
      </c>
      <c r="K32" s="136" t="s">
        <v>32</v>
      </c>
      <c r="L32" s="136">
        <v>92848609</v>
      </c>
      <c r="M32" s="321"/>
    </row>
    <row r="33" spans="1:13" ht="21.75" customHeight="1" x14ac:dyDescent="0.25">
      <c r="A33" s="235">
        <v>1282</v>
      </c>
      <c r="B33" s="296" t="s">
        <v>111</v>
      </c>
      <c r="C33" s="295">
        <v>332.3</v>
      </c>
      <c r="D33" s="149">
        <v>0.3</v>
      </c>
      <c r="E33" s="186">
        <f t="shared" si="0"/>
        <v>99.69</v>
      </c>
      <c r="F33" s="186"/>
      <c r="G33" s="186">
        <f t="shared" si="1"/>
        <v>99.69</v>
      </c>
      <c r="H33" s="136">
        <v>2997747</v>
      </c>
      <c r="I33" s="311" t="s">
        <v>112</v>
      </c>
      <c r="J33" s="136" t="s">
        <v>71</v>
      </c>
      <c r="K33" s="136" t="s">
        <v>72</v>
      </c>
      <c r="L33" s="136">
        <v>92660969</v>
      </c>
      <c r="M33" s="321"/>
    </row>
    <row r="34" spans="1:13" ht="21.75" customHeight="1" x14ac:dyDescent="0.25">
      <c r="A34" s="235">
        <v>1284</v>
      </c>
      <c r="B34" s="296" t="s">
        <v>115</v>
      </c>
      <c r="C34" s="295">
        <v>375.7</v>
      </c>
      <c r="D34" s="149">
        <v>0.3</v>
      </c>
      <c r="E34" s="186">
        <f t="shared" si="0"/>
        <v>112.71</v>
      </c>
      <c r="F34" s="186"/>
      <c r="G34" s="186">
        <f t="shared" si="1"/>
        <v>112.71</v>
      </c>
      <c r="H34" s="136">
        <v>1177598</v>
      </c>
      <c r="I34" s="311" t="s">
        <v>116</v>
      </c>
      <c r="J34" s="136" t="s">
        <v>52</v>
      </c>
      <c r="K34" s="136" t="s">
        <v>53</v>
      </c>
      <c r="L34" s="136">
        <v>92825228</v>
      </c>
      <c r="M34" s="321"/>
    </row>
    <row r="35" spans="1:13" ht="21.75" customHeight="1" x14ac:dyDescent="0.25">
      <c r="A35" s="235">
        <v>1300</v>
      </c>
      <c r="B35" s="300" t="s">
        <v>263</v>
      </c>
      <c r="C35" s="295">
        <v>329.8</v>
      </c>
      <c r="D35" s="149">
        <v>0.3</v>
      </c>
      <c r="E35" s="186">
        <f t="shared" si="0"/>
        <v>98.94</v>
      </c>
      <c r="F35" s="186"/>
      <c r="G35" s="186">
        <f t="shared" si="1"/>
        <v>98.94</v>
      </c>
      <c r="H35" s="139">
        <v>19534277</v>
      </c>
      <c r="I35" s="311" t="s">
        <v>264</v>
      </c>
      <c r="J35" s="136" t="s">
        <v>31</v>
      </c>
      <c r="K35" s="136" t="s">
        <v>32</v>
      </c>
      <c r="L35" s="136">
        <v>99710505</v>
      </c>
      <c r="M35" s="321"/>
    </row>
    <row r="36" spans="1:13" ht="21.75" customHeight="1" x14ac:dyDescent="0.25">
      <c r="A36" s="235">
        <v>1306</v>
      </c>
      <c r="B36" s="642" t="s">
        <v>265</v>
      </c>
      <c r="C36" s="295">
        <v>202.6</v>
      </c>
      <c r="D36" s="149">
        <v>0.3</v>
      </c>
      <c r="E36" s="186">
        <f t="shared" si="0"/>
        <v>60.779999999999994</v>
      </c>
      <c r="F36" s="186"/>
      <c r="G36" s="186">
        <f t="shared" si="1"/>
        <v>60.779999999999994</v>
      </c>
      <c r="H36" s="138">
        <v>2006904</v>
      </c>
      <c r="I36" s="315" t="s">
        <v>266</v>
      </c>
      <c r="J36" s="138" t="s">
        <v>31</v>
      </c>
      <c r="K36" s="136" t="s">
        <v>32</v>
      </c>
      <c r="L36" s="138">
        <v>96137717</v>
      </c>
      <c r="M36" s="321"/>
    </row>
    <row r="37" spans="1:13" ht="21.75" customHeight="1" x14ac:dyDescent="0.25">
      <c r="A37" s="235">
        <v>1315</v>
      </c>
      <c r="B37" s="296" t="s">
        <v>267</v>
      </c>
      <c r="C37" s="295">
        <v>129.6</v>
      </c>
      <c r="D37" s="149">
        <v>0.3</v>
      </c>
      <c r="E37" s="186">
        <f t="shared" si="0"/>
        <v>38.879999999999995</v>
      </c>
      <c r="F37" s="186"/>
      <c r="G37" s="186">
        <f t="shared" si="1"/>
        <v>38.879999999999995</v>
      </c>
      <c r="H37" s="136">
        <v>19528845</v>
      </c>
      <c r="I37" s="311" t="s">
        <v>268</v>
      </c>
      <c r="J37" s="136" t="s">
        <v>31</v>
      </c>
      <c r="K37" s="136" t="s">
        <v>32</v>
      </c>
      <c r="L37" s="136">
        <v>92432606</v>
      </c>
      <c r="M37" s="321"/>
    </row>
    <row r="38" spans="1:13" ht="21.75" customHeight="1" x14ac:dyDescent="0.25">
      <c r="A38" s="235">
        <v>1328</v>
      </c>
      <c r="B38" s="296" t="s">
        <v>117</v>
      </c>
      <c r="C38" s="295">
        <v>205.8</v>
      </c>
      <c r="D38" s="149">
        <v>0.3</v>
      </c>
      <c r="E38" s="186">
        <f t="shared" si="0"/>
        <v>61.74</v>
      </c>
      <c r="F38" s="186"/>
      <c r="G38" s="186">
        <f t="shared" si="1"/>
        <v>61.74</v>
      </c>
      <c r="H38" s="136">
        <v>782833</v>
      </c>
      <c r="I38" s="311" t="s">
        <v>118</v>
      </c>
      <c r="J38" s="136" t="s">
        <v>52</v>
      </c>
      <c r="K38" s="136" t="s">
        <v>53</v>
      </c>
      <c r="L38" s="136">
        <v>92475895</v>
      </c>
      <c r="M38" s="321"/>
    </row>
    <row r="39" spans="1:13" ht="21.75" customHeight="1" x14ac:dyDescent="0.25">
      <c r="A39" s="235">
        <v>1330</v>
      </c>
      <c r="B39" s="300" t="s">
        <v>119</v>
      </c>
      <c r="C39" s="295">
        <v>308</v>
      </c>
      <c r="D39" s="149">
        <v>0.3</v>
      </c>
      <c r="E39" s="186">
        <f t="shared" si="0"/>
        <v>92.399999999999991</v>
      </c>
      <c r="F39" s="186"/>
      <c r="G39" s="186">
        <f t="shared" si="1"/>
        <v>92.399999999999991</v>
      </c>
      <c r="H39" s="136">
        <v>12194826</v>
      </c>
      <c r="I39" s="311" t="s">
        <v>120</v>
      </c>
      <c r="J39" s="136" t="s">
        <v>121</v>
      </c>
      <c r="K39" s="136" t="s">
        <v>122</v>
      </c>
      <c r="L39" s="136">
        <v>91299100</v>
      </c>
      <c r="M39" s="321"/>
    </row>
    <row r="40" spans="1:13" s="17" customFormat="1" ht="21.75" customHeight="1" x14ac:dyDescent="0.25">
      <c r="A40" s="235">
        <v>1331</v>
      </c>
      <c r="B40" s="296" t="s">
        <v>269</v>
      </c>
      <c r="C40" s="295">
        <v>211.8</v>
      </c>
      <c r="D40" s="149">
        <v>0.3</v>
      </c>
      <c r="E40" s="186">
        <f t="shared" si="0"/>
        <v>63.54</v>
      </c>
      <c r="F40" s="186"/>
      <c r="G40" s="186">
        <f t="shared" si="1"/>
        <v>63.54</v>
      </c>
      <c r="H40" s="136">
        <v>2107763</v>
      </c>
      <c r="I40" s="311" t="s">
        <v>270</v>
      </c>
      <c r="J40" s="136" t="s">
        <v>71</v>
      </c>
      <c r="K40" s="136" t="s">
        <v>72</v>
      </c>
      <c r="L40" s="136">
        <v>93536009</v>
      </c>
      <c r="M40" s="321"/>
    </row>
    <row r="41" spans="1:13" ht="21.75" customHeight="1" x14ac:dyDescent="0.25">
      <c r="A41" s="235">
        <v>1333</v>
      </c>
      <c r="B41" s="296" t="s">
        <v>29</v>
      </c>
      <c r="C41" s="295">
        <v>204.9</v>
      </c>
      <c r="D41" s="149">
        <v>0.3</v>
      </c>
      <c r="E41" s="186">
        <f t="shared" si="0"/>
        <v>61.47</v>
      </c>
      <c r="F41" s="186"/>
      <c r="G41" s="186">
        <f t="shared" si="1"/>
        <v>61.47</v>
      </c>
      <c r="H41" s="136">
        <v>1736679</v>
      </c>
      <c r="I41" s="311" t="s">
        <v>30</v>
      </c>
      <c r="J41" s="136" t="s">
        <v>31</v>
      </c>
      <c r="K41" s="136" t="s">
        <v>32</v>
      </c>
      <c r="L41" s="136">
        <v>99482212</v>
      </c>
      <c r="M41" s="321"/>
    </row>
    <row r="42" spans="1:13" ht="21.75" customHeight="1" x14ac:dyDescent="0.25">
      <c r="A42" s="235">
        <v>1382</v>
      </c>
      <c r="B42" s="296" t="s">
        <v>34</v>
      </c>
      <c r="C42" s="295">
        <v>316.2</v>
      </c>
      <c r="D42" s="149">
        <v>0.3</v>
      </c>
      <c r="E42" s="186">
        <f t="shared" si="0"/>
        <v>94.86</v>
      </c>
      <c r="F42" s="186"/>
      <c r="G42" s="186">
        <f t="shared" si="1"/>
        <v>94.86</v>
      </c>
      <c r="H42" s="136">
        <v>886492</v>
      </c>
      <c r="I42" s="311" t="s">
        <v>35</v>
      </c>
      <c r="J42" s="136" t="s">
        <v>31</v>
      </c>
      <c r="K42" s="136" t="s">
        <v>32</v>
      </c>
      <c r="L42" s="136">
        <v>99494166</v>
      </c>
      <c r="M42" s="321"/>
    </row>
    <row r="43" spans="1:13" ht="21.75" customHeight="1" x14ac:dyDescent="0.25">
      <c r="A43" s="235">
        <v>1384</v>
      </c>
      <c r="B43" s="296" t="s">
        <v>37</v>
      </c>
      <c r="C43" s="295">
        <v>100.6</v>
      </c>
      <c r="D43" s="149">
        <v>0.3</v>
      </c>
      <c r="E43" s="186">
        <f t="shared" si="0"/>
        <v>30.179999999999996</v>
      </c>
      <c r="F43" s="186"/>
      <c r="G43" s="186">
        <f t="shared" si="1"/>
        <v>30.179999999999996</v>
      </c>
      <c r="H43" s="136">
        <v>4426701</v>
      </c>
      <c r="I43" s="311" t="s">
        <v>38</v>
      </c>
      <c r="J43" s="136" t="s">
        <v>31</v>
      </c>
      <c r="K43" s="136" t="s">
        <v>32</v>
      </c>
      <c r="L43" s="136">
        <v>92634991</v>
      </c>
      <c r="M43" s="321"/>
    </row>
    <row r="44" spans="1:13" ht="21.75" customHeight="1" x14ac:dyDescent="0.25">
      <c r="A44" s="235">
        <v>1386</v>
      </c>
      <c r="B44" s="296" t="s">
        <v>39</v>
      </c>
      <c r="C44" s="295">
        <v>577.20000000000005</v>
      </c>
      <c r="D44" s="149">
        <v>0.3</v>
      </c>
      <c r="E44" s="186">
        <f t="shared" si="0"/>
        <v>173.16</v>
      </c>
      <c r="F44" s="186"/>
      <c r="G44" s="186">
        <f t="shared" si="1"/>
        <v>173.16</v>
      </c>
      <c r="H44" s="136">
        <v>711799</v>
      </c>
      <c r="I44" s="311" t="s">
        <v>40</v>
      </c>
      <c r="J44" s="136" t="s">
        <v>31</v>
      </c>
      <c r="K44" s="136" t="s">
        <v>32</v>
      </c>
      <c r="L44" s="136">
        <v>92394924</v>
      </c>
      <c r="M44" s="321"/>
    </row>
    <row r="45" spans="1:13" ht="21.75" customHeight="1" x14ac:dyDescent="0.25">
      <c r="A45" s="235">
        <v>1387</v>
      </c>
      <c r="B45" s="296" t="s">
        <v>271</v>
      </c>
      <c r="C45" s="295">
        <v>215.2</v>
      </c>
      <c r="D45" s="149">
        <v>0.3</v>
      </c>
      <c r="E45" s="186">
        <f t="shared" si="0"/>
        <v>64.559999999999988</v>
      </c>
      <c r="F45" s="186"/>
      <c r="G45" s="186">
        <f t="shared" si="1"/>
        <v>64.559999999999988</v>
      </c>
      <c r="H45" s="136">
        <v>6759716</v>
      </c>
      <c r="I45" s="311" t="s">
        <v>272</v>
      </c>
      <c r="J45" s="136" t="s">
        <v>71</v>
      </c>
      <c r="K45" s="136" t="s">
        <v>72</v>
      </c>
      <c r="L45" s="136">
        <v>91907675</v>
      </c>
      <c r="M45" s="321"/>
    </row>
    <row r="46" spans="1:13" ht="21.75" customHeight="1" x14ac:dyDescent="0.25">
      <c r="A46" s="235">
        <v>1388</v>
      </c>
      <c r="B46" s="296" t="s">
        <v>273</v>
      </c>
      <c r="C46" s="295">
        <v>27.6</v>
      </c>
      <c r="D46" s="149">
        <v>0.3</v>
      </c>
      <c r="E46" s="186">
        <f t="shared" si="0"/>
        <v>8.2799999999999994</v>
      </c>
      <c r="F46" s="186"/>
      <c r="G46" s="186">
        <f t="shared" si="1"/>
        <v>8.2799999999999994</v>
      </c>
      <c r="H46" s="136">
        <v>18610874</v>
      </c>
      <c r="I46" s="311" t="s">
        <v>274</v>
      </c>
      <c r="J46" s="136" t="s">
        <v>52</v>
      </c>
      <c r="K46" s="136" t="s">
        <v>53</v>
      </c>
      <c r="L46" s="136">
        <v>93955577</v>
      </c>
      <c r="M46" s="321"/>
    </row>
    <row r="47" spans="1:13" ht="21.75" customHeight="1" x14ac:dyDescent="0.25">
      <c r="A47" s="235">
        <v>1389</v>
      </c>
      <c r="B47" s="296" t="s">
        <v>275</v>
      </c>
      <c r="C47" s="295">
        <v>445.6</v>
      </c>
      <c r="D47" s="149">
        <v>0.3</v>
      </c>
      <c r="E47" s="186">
        <f t="shared" si="0"/>
        <v>133.68</v>
      </c>
      <c r="F47" s="186"/>
      <c r="G47" s="186">
        <f t="shared" si="1"/>
        <v>133.68</v>
      </c>
      <c r="H47" s="136">
        <v>1036354</v>
      </c>
      <c r="I47" s="311" t="s">
        <v>276</v>
      </c>
      <c r="J47" s="136" t="s">
        <v>52</v>
      </c>
      <c r="K47" s="136" t="s">
        <v>53</v>
      </c>
      <c r="L47" s="136">
        <v>92413881</v>
      </c>
      <c r="M47" s="321"/>
    </row>
    <row r="48" spans="1:13" ht="21.75" customHeight="1" x14ac:dyDescent="0.25">
      <c r="A48" s="235">
        <v>1394</v>
      </c>
      <c r="B48" s="296" t="s">
        <v>277</v>
      </c>
      <c r="C48" s="295">
        <v>152.69999999999999</v>
      </c>
      <c r="D48" s="149">
        <v>0.3</v>
      </c>
      <c r="E48" s="186">
        <f t="shared" si="0"/>
        <v>45.809999999999995</v>
      </c>
      <c r="F48" s="186"/>
      <c r="G48" s="186">
        <f t="shared" si="1"/>
        <v>45.809999999999995</v>
      </c>
      <c r="H48" s="136">
        <v>25656187</v>
      </c>
      <c r="I48" s="136" t="s">
        <v>278</v>
      </c>
      <c r="J48" s="136" t="s">
        <v>31</v>
      </c>
      <c r="K48" s="311" t="s">
        <v>32</v>
      </c>
      <c r="L48" s="136">
        <v>98987848</v>
      </c>
      <c r="M48" s="321"/>
    </row>
    <row r="49" spans="1:13" ht="21.75" customHeight="1" x14ac:dyDescent="0.25">
      <c r="A49" s="235">
        <v>1396</v>
      </c>
      <c r="B49" s="296" t="s">
        <v>123</v>
      </c>
      <c r="C49" s="295">
        <v>157.69999999999999</v>
      </c>
      <c r="D49" s="149">
        <v>0.3</v>
      </c>
      <c r="E49" s="186">
        <f t="shared" si="0"/>
        <v>47.309999999999995</v>
      </c>
      <c r="F49" s="186"/>
      <c r="G49" s="186">
        <f t="shared" si="1"/>
        <v>47.309999999999995</v>
      </c>
      <c r="H49" s="136">
        <v>905845</v>
      </c>
      <c r="I49" s="311" t="s">
        <v>124</v>
      </c>
      <c r="J49" s="136" t="s">
        <v>31</v>
      </c>
      <c r="K49" s="136" t="s">
        <v>32</v>
      </c>
      <c r="L49" s="136">
        <v>99696204</v>
      </c>
      <c r="M49" s="321"/>
    </row>
    <row r="50" spans="1:13" ht="21.75" customHeight="1" x14ac:dyDescent="0.25">
      <c r="A50" s="235">
        <v>1397</v>
      </c>
      <c r="B50" s="296" t="s">
        <v>125</v>
      </c>
      <c r="C50" s="295">
        <v>144.19999999999999</v>
      </c>
      <c r="D50" s="149">
        <v>0.3</v>
      </c>
      <c r="E50" s="186">
        <f t="shared" si="0"/>
        <v>43.26</v>
      </c>
      <c r="F50" s="186"/>
      <c r="G50" s="186">
        <f t="shared" si="1"/>
        <v>43.26</v>
      </c>
      <c r="H50" s="136">
        <v>1292885</v>
      </c>
      <c r="I50" s="311" t="s">
        <v>126</v>
      </c>
      <c r="J50" s="136" t="s">
        <v>127</v>
      </c>
      <c r="K50" s="136" t="s">
        <v>128</v>
      </c>
      <c r="L50" s="136">
        <v>92307552</v>
      </c>
      <c r="M50" s="321"/>
    </row>
    <row r="51" spans="1:13" ht="21.75" customHeight="1" x14ac:dyDescent="0.25">
      <c r="A51" s="235">
        <v>1398</v>
      </c>
      <c r="B51" s="296" t="s">
        <v>279</v>
      </c>
      <c r="C51" s="295">
        <v>96.9</v>
      </c>
      <c r="D51" s="149">
        <v>0.3</v>
      </c>
      <c r="E51" s="186">
        <f t="shared" si="0"/>
        <v>29.07</v>
      </c>
      <c r="F51" s="186"/>
      <c r="G51" s="186">
        <f t="shared" si="1"/>
        <v>29.07</v>
      </c>
      <c r="H51" s="136">
        <v>1161437</v>
      </c>
      <c r="I51" s="136" t="s">
        <v>280</v>
      </c>
      <c r="J51" s="136" t="s">
        <v>121</v>
      </c>
      <c r="K51" s="136" t="s">
        <v>122</v>
      </c>
      <c r="L51" s="136">
        <v>91135580</v>
      </c>
      <c r="M51" s="321"/>
    </row>
    <row r="52" spans="1:13" s="17" customFormat="1" ht="21.75" customHeight="1" x14ac:dyDescent="0.25">
      <c r="A52" s="235">
        <v>1400</v>
      </c>
      <c r="B52" s="296" t="s">
        <v>281</v>
      </c>
      <c r="C52" s="295">
        <v>255.9</v>
      </c>
      <c r="D52" s="149">
        <v>0.3</v>
      </c>
      <c r="E52" s="186">
        <f t="shared" si="0"/>
        <v>76.77</v>
      </c>
      <c r="F52" s="186"/>
      <c r="G52" s="186">
        <f t="shared" si="1"/>
        <v>76.77</v>
      </c>
      <c r="H52" s="136">
        <v>7223707</v>
      </c>
      <c r="I52" s="311" t="s">
        <v>282</v>
      </c>
      <c r="J52" s="136" t="s">
        <v>26</v>
      </c>
      <c r="K52" s="136" t="s">
        <v>27</v>
      </c>
      <c r="L52" s="136">
        <v>92616136</v>
      </c>
      <c r="M52" s="321"/>
    </row>
    <row r="53" spans="1:13" ht="21.75" customHeight="1" x14ac:dyDescent="0.25">
      <c r="A53" s="235">
        <v>1403</v>
      </c>
      <c r="B53" s="296" t="s">
        <v>283</v>
      </c>
      <c r="C53" s="295">
        <v>250</v>
      </c>
      <c r="D53" s="149">
        <v>0.3</v>
      </c>
      <c r="E53" s="186">
        <f t="shared" si="0"/>
        <v>75</v>
      </c>
      <c r="F53" s="186"/>
      <c r="G53" s="186">
        <f t="shared" si="1"/>
        <v>75</v>
      </c>
      <c r="H53" s="136">
        <v>499044</v>
      </c>
      <c r="I53" s="136" t="s">
        <v>284</v>
      </c>
      <c r="J53" s="136" t="s">
        <v>31</v>
      </c>
      <c r="K53" s="136" t="s">
        <v>32</v>
      </c>
      <c r="L53" s="136">
        <v>92226988</v>
      </c>
      <c r="M53" s="321"/>
    </row>
    <row r="54" spans="1:13" ht="21.75" customHeight="1" x14ac:dyDescent="0.25">
      <c r="A54" s="148">
        <v>1406</v>
      </c>
      <c r="B54" s="296" t="s">
        <v>285</v>
      </c>
      <c r="C54" s="295">
        <v>192.6</v>
      </c>
      <c r="D54" s="149">
        <v>0.3</v>
      </c>
      <c r="E54" s="186">
        <f t="shared" si="0"/>
        <v>57.779999999999994</v>
      </c>
      <c r="F54" s="186"/>
      <c r="G54" s="186">
        <f t="shared" si="1"/>
        <v>57.779999999999994</v>
      </c>
      <c r="H54" s="136">
        <v>880849</v>
      </c>
      <c r="I54" s="311" t="s">
        <v>286</v>
      </c>
      <c r="J54" s="136" t="s">
        <v>71</v>
      </c>
      <c r="K54" s="136" t="s">
        <v>72</v>
      </c>
      <c r="L54" s="136">
        <v>99365157</v>
      </c>
      <c r="M54" s="321"/>
    </row>
    <row r="55" spans="1:13" ht="21.75" customHeight="1" x14ac:dyDescent="0.25">
      <c r="A55" s="148">
        <v>1408</v>
      </c>
      <c r="B55" s="136" t="s">
        <v>287</v>
      </c>
      <c r="C55" s="295">
        <v>932.9</v>
      </c>
      <c r="D55" s="149">
        <v>0.3</v>
      </c>
      <c r="E55" s="186">
        <f t="shared" si="0"/>
        <v>279.87</v>
      </c>
      <c r="F55" s="186"/>
      <c r="G55" s="186">
        <f t="shared" si="1"/>
        <v>279.87</v>
      </c>
      <c r="H55" s="136">
        <v>997465</v>
      </c>
      <c r="I55" s="311" t="s">
        <v>288</v>
      </c>
      <c r="J55" s="136" t="s">
        <v>31</v>
      </c>
      <c r="K55" s="136" t="s">
        <v>32</v>
      </c>
      <c r="L55" s="136">
        <v>99490975</v>
      </c>
      <c r="M55" s="321"/>
    </row>
    <row r="56" spans="1:13" ht="21.75" customHeight="1" x14ac:dyDescent="0.25">
      <c r="A56" s="148">
        <v>1409</v>
      </c>
      <c r="B56" s="296" t="s">
        <v>289</v>
      </c>
      <c r="C56" s="541">
        <v>220.9</v>
      </c>
      <c r="D56" s="149">
        <v>0.3</v>
      </c>
      <c r="E56" s="186">
        <f t="shared" si="0"/>
        <v>66.27</v>
      </c>
      <c r="F56" s="186"/>
      <c r="G56" s="186">
        <f t="shared" si="1"/>
        <v>66.27</v>
      </c>
      <c r="H56" s="136">
        <v>7279409</v>
      </c>
      <c r="I56" s="311" t="s">
        <v>290</v>
      </c>
      <c r="J56" s="136" t="s">
        <v>31</v>
      </c>
      <c r="K56" s="136" t="s">
        <v>32</v>
      </c>
      <c r="L56" s="136">
        <v>99626634</v>
      </c>
      <c r="M56" s="321"/>
    </row>
    <row r="57" spans="1:13" ht="21.75" customHeight="1" x14ac:dyDescent="0.25">
      <c r="A57" s="148">
        <v>1410</v>
      </c>
      <c r="B57" s="296" t="s">
        <v>292</v>
      </c>
      <c r="C57" s="540">
        <v>275.60000000000002</v>
      </c>
      <c r="D57" s="149">
        <v>0.3</v>
      </c>
      <c r="E57" s="186">
        <f t="shared" si="0"/>
        <v>82.68</v>
      </c>
      <c r="F57" s="186"/>
      <c r="G57" s="186">
        <f t="shared" si="1"/>
        <v>82.68</v>
      </c>
      <c r="H57" s="136">
        <v>757372</v>
      </c>
      <c r="I57" s="311" t="s">
        <v>293</v>
      </c>
      <c r="J57" s="136" t="s">
        <v>31</v>
      </c>
      <c r="K57" s="136" t="s">
        <v>32</v>
      </c>
      <c r="L57" s="136">
        <v>92018800</v>
      </c>
      <c r="M57" s="321"/>
    </row>
    <row r="58" spans="1:13" ht="21.75" customHeight="1" x14ac:dyDescent="0.25">
      <c r="A58" s="148">
        <v>1411</v>
      </c>
      <c r="B58" s="296" t="s">
        <v>294</v>
      </c>
      <c r="C58" s="295">
        <v>139.30000000000001</v>
      </c>
      <c r="D58" s="149">
        <v>0.3</v>
      </c>
      <c r="E58" s="186">
        <f t="shared" si="0"/>
        <v>41.79</v>
      </c>
      <c r="F58" s="186"/>
      <c r="G58" s="186">
        <f t="shared" si="1"/>
        <v>41.79</v>
      </c>
      <c r="H58" s="136">
        <v>1650389</v>
      </c>
      <c r="I58" s="311" t="s">
        <v>295</v>
      </c>
      <c r="J58" s="136" t="s">
        <v>31</v>
      </c>
      <c r="K58" s="136" t="s">
        <v>32</v>
      </c>
      <c r="L58" s="136">
        <v>92294150</v>
      </c>
      <c r="M58" s="321"/>
    </row>
    <row r="59" spans="1:13" ht="21.75" customHeight="1" x14ac:dyDescent="0.25">
      <c r="A59" s="235">
        <v>1412</v>
      </c>
      <c r="B59" s="296" t="s">
        <v>296</v>
      </c>
      <c r="C59" s="295">
        <v>0</v>
      </c>
      <c r="D59" s="149">
        <v>0.3</v>
      </c>
      <c r="E59" s="186">
        <f t="shared" si="0"/>
        <v>0</v>
      </c>
      <c r="F59" s="186"/>
      <c r="G59" s="186">
        <f t="shared" si="1"/>
        <v>0</v>
      </c>
      <c r="H59" s="136">
        <v>312227</v>
      </c>
      <c r="I59" s="136" t="s">
        <v>297</v>
      </c>
      <c r="J59" s="136" t="s">
        <v>31</v>
      </c>
      <c r="K59" s="136" t="s">
        <v>32</v>
      </c>
      <c r="L59" s="136">
        <v>95414124</v>
      </c>
      <c r="M59" s="321"/>
    </row>
    <row r="60" spans="1:13" ht="21.75" customHeight="1" x14ac:dyDescent="0.25">
      <c r="A60" s="235">
        <v>1413</v>
      </c>
      <c r="B60" s="136" t="s">
        <v>298</v>
      </c>
      <c r="C60" s="295">
        <v>170.3</v>
      </c>
      <c r="D60" s="149">
        <v>0.3</v>
      </c>
      <c r="E60" s="186">
        <f t="shared" si="0"/>
        <v>51.09</v>
      </c>
      <c r="F60" s="186"/>
      <c r="G60" s="186">
        <f t="shared" si="1"/>
        <v>51.09</v>
      </c>
      <c r="H60" s="136">
        <v>539906</v>
      </c>
      <c r="I60" s="311" t="s">
        <v>299</v>
      </c>
      <c r="J60" s="136" t="s">
        <v>52</v>
      </c>
      <c r="K60" s="136" t="s">
        <v>53</v>
      </c>
      <c r="L60" s="136">
        <v>92705565</v>
      </c>
      <c r="M60" s="321"/>
    </row>
    <row r="61" spans="1:13" s="17" customFormat="1" ht="21.75" customHeight="1" x14ac:dyDescent="0.25">
      <c r="A61" s="235">
        <v>1414</v>
      </c>
      <c r="B61" s="296" t="s">
        <v>300</v>
      </c>
      <c r="C61" s="295"/>
      <c r="D61" s="149">
        <v>0.3</v>
      </c>
      <c r="E61" s="186">
        <f t="shared" si="0"/>
        <v>0</v>
      </c>
      <c r="F61" s="186"/>
      <c r="G61" s="186">
        <f t="shared" si="1"/>
        <v>0</v>
      </c>
      <c r="H61" s="136">
        <v>9178238</v>
      </c>
      <c r="I61" s="311" t="s">
        <v>301</v>
      </c>
      <c r="J61" s="136" t="s">
        <v>52</v>
      </c>
      <c r="K61" s="136" t="s">
        <v>53</v>
      </c>
      <c r="L61" s="136">
        <v>91966140</v>
      </c>
      <c r="M61" s="321"/>
    </row>
    <row r="62" spans="1:13" ht="21.75" customHeight="1" x14ac:dyDescent="0.25">
      <c r="A62" s="235">
        <v>1415</v>
      </c>
      <c r="B62" s="296" t="s">
        <v>549</v>
      </c>
      <c r="C62" s="295">
        <v>79.400000000000006</v>
      </c>
      <c r="D62" s="149">
        <v>0.3</v>
      </c>
      <c r="E62" s="186">
        <f t="shared" si="0"/>
        <v>23.82</v>
      </c>
      <c r="F62" s="186"/>
      <c r="G62" s="186">
        <f t="shared" si="1"/>
        <v>23.82</v>
      </c>
      <c r="H62" s="136">
        <v>5334952</v>
      </c>
      <c r="I62" s="323" t="s">
        <v>576</v>
      </c>
      <c r="J62" s="136" t="s">
        <v>31</v>
      </c>
      <c r="K62" s="136" t="s">
        <v>32</v>
      </c>
      <c r="L62" s="136">
        <v>99806280</v>
      </c>
      <c r="M62" s="321"/>
    </row>
    <row r="63" spans="1:13" ht="21.75" customHeight="1" x14ac:dyDescent="0.25">
      <c r="A63" s="235">
        <v>1417</v>
      </c>
      <c r="B63" s="296" t="s">
        <v>42</v>
      </c>
      <c r="C63" s="295">
        <v>241.3</v>
      </c>
      <c r="D63" s="149">
        <v>0.3</v>
      </c>
      <c r="E63" s="186">
        <f t="shared" si="0"/>
        <v>72.39</v>
      </c>
      <c r="F63" s="186"/>
      <c r="G63" s="186">
        <f t="shared" si="1"/>
        <v>72.39</v>
      </c>
      <c r="H63" s="136">
        <v>1252579</v>
      </c>
      <c r="I63" s="311" t="s">
        <v>43</v>
      </c>
      <c r="J63" s="136" t="s">
        <v>31</v>
      </c>
      <c r="K63" s="136" t="s">
        <v>32</v>
      </c>
      <c r="L63" s="136">
        <v>98520912</v>
      </c>
      <c r="M63" s="321"/>
    </row>
    <row r="64" spans="1:13" ht="21.75" customHeight="1" x14ac:dyDescent="0.25">
      <c r="A64" s="235">
        <v>1418</v>
      </c>
      <c r="B64" s="296" t="s">
        <v>304</v>
      </c>
      <c r="C64" s="295">
        <v>137.69999999999999</v>
      </c>
      <c r="D64" s="149">
        <v>0.3</v>
      </c>
      <c r="E64" s="186">
        <f t="shared" si="0"/>
        <v>41.309999999999995</v>
      </c>
      <c r="F64" s="186"/>
      <c r="G64" s="186">
        <f t="shared" si="1"/>
        <v>41.309999999999995</v>
      </c>
      <c r="H64" s="136">
        <v>9954378</v>
      </c>
      <c r="I64" s="311" t="s">
        <v>577</v>
      </c>
      <c r="J64" s="136" t="s">
        <v>31</v>
      </c>
      <c r="K64" s="136" t="s">
        <v>32</v>
      </c>
      <c r="L64" s="136">
        <v>99282423</v>
      </c>
      <c r="M64" s="321"/>
    </row>
    <row r="65" spans="1:13" ht="21.75" customHeight="1" x14ac:dyDescent="0.25">
      <c r="A65" s="235">
        <v>1419</v>
      </c>
      <c r="B65" s="296" t="s">
        <v>308</v>
      </c>
      <c r="C65" s="295">
        <v>384.6</v>
      </c>
      <c r="D65" s="149">
        <v>0.3</v>
      </c>
      <c r="E65" s="186">
        <f t="shared" si="0"/>
        <v>115.38</v>
      </c>
      <c r="F65" s="186"/>
      <c r="G65" s="186">
        <f t="shared" si="1"/>
        <v>115.38</v>
      </c>
      <c r="H65" s="136">
        <v>386821</v>
      </c>
      <c r="I65" s="311" t="s">
        <v>309</v>
      </c>
      <c r="J65" s="136" t="s">
        <v>31</v>
      </c>
      <c r="K65" s="136" t="s">
        <v>32</v>
      </c>
      <c r="L65" s="136">
        <v>99181419</v>
      </c>
      <c r="M65" s="321"/>
    </row>
    <row r="66" spans="1:13" ht="21.75" customHeight="1" x14ac:dyDescent="0.25">
      <c r="A66" s="235">
        <v>1420</v>
      </c>
      <c r="B66" s="296" t="s">
        <v>310</v>
      </c>
      <c r="C66" s="295">
        <v>257.2</v>
      </c>
      <c r="D66" s="149">
        <v>0.3</v>
      </c>
      <c r="E66" s="186">
        <f t="shared" si="0"/>
        <v>77.16</v>
      </c>
      <c r="F66" s="186"/>
      <c r="G66" s="186">
        <f t="shared" si="1"/>
        <v>77.16</v>
      </c>
      <c r="H66" s="136">
        <v>5460297</v>
      </c>
      <c r="I66" s="311" t="s">
        <v>311</v>
      </c>
      <c r="J66" s="136" t="s">
        <v>31</v>
      </c>
      <c r="K66" s="136" t="s">
        <v>32</v>
      </c>
      <c r="L66" s="136">
        <v>95898899</v>
      </c>
      <c r="M66" s="321"/>
    </row>
    <row r="67" spans="1:13" ht="21.75" customHeight="1" x14ac:dyDescent="0.25">
      <c r="A67" s="235">
        <v>1421</v>
      </c>
      <c r="B67" s="296" t="s">
        <v>129</v>
      </c>
      <c r="C67" s="295">
        <v>294.7</v>
      </c>
      <c r="D67" s="149">
        <v>0.3</v>
      </c>
      <c r="E67" s="186">
        <f t="shared" ref="E67:E130" si="2">C67*D67</f>
        <v>88.41</v>
      </c>
      <c r="F67" s="186"/>
      <c r="G67" s="186">
        <f t="shared" si="1"/>
        <v>88.41</v>
      </c>
      <c r="H67" s="136">
        <v>15314262</v>
      </c>
      <c r="I67" s="311" t="s">
        <v>130</v>
      </c>
      <c r="J67" s="136" t="s">
        <v>31</v>
      </c>
      <c r="K67" s="136" t="s">
        <v>32</v>
      </c>
      <c r="L67" s="136">
        <v>90333361</v>
      </c>
      <c r="M67" s="321"/>
    </row>
    <row r="68" spans="1:13" ht="21.75" customHeight="1" x14ac:dyDescent="0.25">
      <c r="A68" s="235">
        <v>1423</v>
      </c>
      <c r="B68" s="296" t="s">
        <v>131</v>
      </c>
      <c r="C68" s="295">
        <v>404.8</v>
      </c>
      <c r="D68" s="149">
        <v>0.3</v>
      </c>
      <c r="E68" s="186">
        <f t="shared" si="2"/>
        <v>121.44</v>
      </c>
      <c r="F68" s="186"/>
      <c r="G68" s="186">
        <f t="shared" ref="G68:G131" si="3">E68-F68</f>
        <v>121.44</v>
      </c>
      <c r="H68" s="136">
        <v>5044397</v>
      </c>
      <c r="I68" s="311" t="s">
        <v>132</v>
      </c>
      <c r="J68" s="136" t="s">
        <v>31</v>
      </c>
      <c r="K68" s="136" t="s">
        <v>32</v>
      </c>
      <c r="L68" s="136">
        <v>99580550</v>
      </c>
      <c r="M68" s="321"/>
    </row>
    <row r="69" spans="1:13" ht="21.75" customHeight="1" x14ac:dyDescent="0.25">
      <c r="A69" s="235">
        <v>1425</v>
      </c>
      <c r="B69" s="296" t="s">
        <v>312</v>
      </c>
      <c r="C69" s="295">
        <v>329.1</v>
      </c>
      <c r="D69" s="149">
        <v>0.3</v>
      </c>
      <c r="E69" s="186">
        <f t="shared" si="2"/>
        <v>98.73</v>
      </c>
      <c r="F69" s="186"/>
      <c r="G69" s="186">
        <f t="shared" si="3"/>
        <v>98.73</v>
      </c>
      <c r="H69" s="136">
        <v>5614623</v>
      </c>
      <c r="I69" s="311" t="s">
        <v>313</v>
      </c>
      <c r="J69" s="136" t="s">
        <v>31</v>
      </c>
      <c r="K69" s="136" t="s">
        <v>32</v>
      </c>
      <c r="L69" s="136">
        <v>99583112</v>
      </c>
      <c r="M69" s="321"/>
    </row>
    <row r="70" spans="1:13" ht="21.75" customHeight="1" x14ac:dyDescent="0.25">
      <c r="A70" s="148">
        <v>1426</v>
      </c>
      <c r="B70" s="296" t="s">
        <v>314</v>
      </c>
      <c r="C70" s="295">
        <v>268.39999999999998</v>
      </c>
      <c r="D70" s="149">
        <v>0.3</v>
      </c>
      <c r="E70" s="186">
        <f t="shared" si="2"/>
        <v>80.52</v>
      </c>
      <c r="F70" s="186"/>
      <c r="G70" s="186">
        <f t="shared" si="3"/>
        <v>80.52</v>
      </c>
      <c r="H70" s="136">
        <v>2160707</v>
      </c>
      <c r="I70" s="311" t="s">
        <v>315</v>
      </c>
      <c r="J70" s="136" t="s">
        <v>71</v>
      </c>
      <c r="K70" s="136" t="s">
        <v>72</v>
      </c>
      <c r="L70" s="136">
        <v>92280327</v>
      </c>
      <c r="M70" s="321"/>
    </row>
    <row r="71" spans="1:13" ht="21.75" customHeight="1" x14ac:dyDescent="0.25">
      <c r="A71" s="235">
        <v>1427</v>
      </c>
      <c r="B71" s="296" t="s">
        <v>134</v>
      </c>
      <c r="C71" s="295">
        <v>73.900000000000006</v>
      </c>
      <c r="D71" s="149">
        <v>0.3</v>
      </c>
      <c r="E71" s="186">
        <f t="shared" si="2"/>
        <v>22.17</v>
      </c>
      <c r="F71" s="186"/>
      <c r="G71" s="186">
        <f t="shared" si="3"/>
        <v>22.17</v>
      </c>
      <c r="H71" s="136">
        <v>24171637</v>
      </c>
      <c r="I71" s="311" t="s">
        <v>135</v>
      </c>
      <c r="J71" s="136" t="s">
        <v>31</v>
      </c>
      <c r="K71" s="136" t="s">
        <v>32</v>
      </c>
      <c r="L71" s="136">
        <v>97030409</v>
      </c>
      <c r="M71" s="321"/>
    </row>
    <row r="72" spans="1:13" ht="21.75" customHeight="1" x14ac:dyDescent="0.25">
      <c r="A72" s="235">
        <v>1428</v>
      </c>
      <c r="B72" s="296" t="s">
        <v>316</v>
      </c>
      <c r="C72" s="295">
        <v>140.1</v>
      </c>
      <c r="D72" s="149">
        <v>0.3</v>
      </c>
      <c r="E72" s="186">
        <f t="shared" si="2"/>
        <v>42.029999999999994</v>
      </c>
      <c r="F72" s="186"/>
      <c r="G72" s="186">
        <f t="shared" si="3"/>
        <v>42.029999999999994</v>
      </c>
      <c r="H72" s="136">
        <v>921364</v>
      </c>
      <c r="I72" s="641" t="s">
        <v>317</v>
      </c>
      <c r="J72" s="136" t="s">
        <v>90</v>
      </c>
      <c r="K72" s="136" t="s">
        <v>32</v>
      </c>
      <c r="L72" s="136">
        <v>92599597</v>
      </c>
      <c r="M72" s="321"/>
    </row>
    <row r="73" spans="1:13" ht="21.75" customHeight="1" x14ac:dyDescent="0.25">
      <c r="A73" s="235">
        <v>1430</v>
      </c>
      <c r="B73" s="296" t="s">
        <v>136</v>
      </c>
      <c r="C73" s="295">
        <v>102.6</v>
      </c>
      <c r="D73" s="149">
        <v>0.3</v>
      </c>
      <c r="E73" s="186">
        <f t="shared" si="2"/>
        <v>30.779999999999998</v>
      </c>
      <c r="F73" s="186"/>
      <c r="G73" s="186">
        <f t="shared" si="3"/>
        <v>30.779999999999998</v>
      </c>
      <c r="H73" s="136">
        <v>564698</v>
      </c>
      <c r="I73" s="311" t="s">
        <v>137</v>
      </c>
      <c r="J73" s="136" t="s">
        <v>31</v>
      </c>
      <c r="K73" s="136" t="s">
        <v>32</v>
      </c>
      <c r="L73" s="136">
        <v>99189793</v>
      </c>
      <c r="M73" s="321"/>
    </row>
    <row r="74" spans="1:13" ht="21.75" customHeight="1" x14ac:dyDescent="0.25">
      <c r="A74" s="235">
        <v>1432</v>
      </c>
      <c r="B74" s="296" t="s">
        <v>318</v>
      </c>
      <c r="C74" s="295">
        <v>367.6</v>
      </c>
      <c r="D74" s="149">
        <v>0.3</v>
      </c>
      <c r="E74" s="186">
        <f t="shared" si="2"/>
        <v>110.28</v>
      </c>
      <c r="F74" s="186"/>
      <c r="G74" s="186">
        <f t="shared" si="3"/>
        <v>110.28</v>
      </c>
      <c r="H74" s="136">
        <v>5004855</v>
      </c>
      <c r="I74" s="311" t="s">
        <v>319</v>
      </c>
      <c r="J74" s="136" t="s">
        <v>52</v>
      </c>
      <c r="K74" s="136" t="s">
        <v>53</v>
      </c>
      <c r="L74" s="136">
        <v>99899962</v>
      </c>
      <c r="M74" s="321"/>
    </row>
    <row r="75" spans="1:13" ht="21.75" customHeight="1" x14ac:dyDescent="0.25">
      <c r="A75" s="235">
        <v>1433</v>
      </c>
      <c r="B75" s="296" t="s">
        <v>320</v>
      </c>
      <c r="C75" s="295">
        <v>372.8</v>
      </c>
      <c r="D75" s="149">
        <v>0.3</v>
      </c>
      <c r="E75" s="186">
        <f t="shared" si="2"/>
        <v>111.84</v>
      </c>
      <c r="F75" s="186"/>
      <c r="G75" s="186">
        <f t="shared" si="3"/>
        <v>111.84</v>
      </c>
      <c r="H75" s="136">
        <v>285841</v>
      </c>
      <c r="I75" s="311" t="s">
        <v>321</v>
      </c>
      <c r="J75" s="136" t="s">
        <v>31</v>
      </c>
      <c r="K75" s="136" t="s">
        <v>32</v>
      </c>
      <c r="L75" s="136">
        <v>92958552</v>
      </c>
      <c r="M75" s="321"/>
    </row>
    <row r="76" spans="1:13" ht="21.75" customHeight="1" x14ac:dyDescent="0.25">
      <c r="A76" s="148">
        <v>1434</v>
      </c>
      <c r="B76" s="296" t="s">
        <v>138</v>
      </c>
      <c r="C76" s="295">
        <v>216.2</v>
      </c>
      <c r="D76" s="149">
        <v>0.3</v>
      </c>
      <c r="E76" s="186">
        <f t="shared" si="2"/>
        <v>64.86</v>
      </c>
      <c r="F76" s="186"/>
      <c r="G76" s="186">
        <f t="shared" si="3"/>
        <v>64.86</v>
      </c>
      <c r="H76" s="136">
        <v>19197503</v>
      </c>
      <c r="I76" s="311" t="s">
        <v>139</v>
      </c>
      <c r="J76" s="136" t="s">
        <v>31</v>
      </c>
      <c r="K76" s="136" t="s">
        <v>32</v>
      </c>
      <c r="L76" s="136">
        <v>92466605</v>
      </c>
      <c r="M76" s="321"/>
    </row>
    <row r="77" spans="1:13" ht="21.75" customHeight="1" x14ac:dyDescent="0.25">
      <c r="A77" s="148">
        <v>1435</v>
      </c>
      <c r="B77" s="296" t="s">
        <v>45</v>
      </c>
      <c r="C77" s="295">
        <v>435.4</v>
      </c>
      <c r="D77" s="149">
        <v>0.3</v>
      </c>
      <c r="E77" s="186">
        <f t="shared" si="2"/>
        <v>130.61999999999998</v>
      </c>
      <c r="F77" s="186"/>
      <c r="G77" s="186">
        <f t="shared" si="3"/>
        <v>130.61999999999998</v>
      </c>
      <c r="H77" s="136">
        <v>1305522</v>
      </c>
      <c r="I77" s="311" t="s">
        <v>46</v>
      </c>
      <c r="J77" s="136" t="s">
        <v>31</v>
      </c>
      <c r="K77" s="136" t="s">
        <v>32</v>
      </c>
      <c r="L77" s="136">
        <v>93246263</v>
      </c>
      <c r="M77" s="321"/>
    </row>
    <row r="78" spans="1:13" ht="21.75" customHeight="1" x14ac:dyDescent="0.25">
      <c r="A78" s="148">
        <v>1437</v>
      </c>
      <c r="B78" s="296" t="s">
        <v>143</v>
      </c>
      <c r="C78" s="295">
        <v>303.60000000000002</v>
      </c>
      <c r="D78" s="149">
        <v>0.3</v>
      </c>
      <c r="E78" s="186">
        <f t="shared" si="2"/>
        <v>91.08</v>
      </c>
      <c r="F78" s="186"/>
      <c r="G78" s="186">
        <f t="shared" si="3"/>
        <v>91.08</v>
      </c>
      <c r="H78" s="136">
        <v>9685144</v>
      </c>
      <c r="I78" s="311" t="s">
        <v>144</v>
      </c>
      <c r="J78" s="136" t="s">
        <v>127</v>
      </c>
      <c r="K78" s="136" t="s">
        <v>128</v>
      </c>
      <c r="L78" s="136">
        <v>96907302</v>
      </c>
      <c r="M78" s="321"/>
    </row>
    <row r="79" spans="1:13" ht="21.75" customHeight="1" x14ac:dyDescent="0.25">
      <c r="A79" s="235">
        <v>1438</v>
      </c>
      <c r="B79" s="296" t="s">
        <v>145</v>
      </c>
      <c r="C79" s="295">
        <v>491.6</v>
      </c>
      <c r="D79" s="149">
        <v>0.3</v>
      </c>
      <c r="E79" s="186">
        <f t="shared" si="2"/>
        <v>147.47999999999999</v>
      </c>
      <c r="F79" s="186"/>
      <c r="G79" s="186">
        <f t="shared" si="3"/>
        <v>147.47999999999999</v>
      </c>
      <c r="H79" s="136">
        <v>656621</v>
      </c>
      <c r="I79" s="311" t="s">
        <v>146</v>
      </c>
      <c r="J79" s="136" t="s">
        <v>26</v>
      </c>
      <c r="K79" s="136" t="s">
        <v>27</v>
      </c>
      <c r="L79" s="136">
        <v>92509804</v>
      </c>
      <c r="M79" s="321"/>
    </row>
    <row r="80" spans="1:13" ht="21.75" customHeight="1" x14ac:dyDescent="0.25">
      <c r="A80" s="235">
        <v>1439</v>
      </c>
      <c r="B80" s="296" t="s">
        <v>323</v>
      </c>
      <c r="C80" s="295">
        <v>200.8</v>
      </c>
      <c r="D80" s="149">
        <v>0.3</v>
      </c>
      <c r="E80" s="186">
        <f t="shared" si="2"/>
        <v>60.24</v>
      </c>
      <c r="F80" s="186"/>
      <c r="G80" s="186">
        <f t="shared" si="3"/>
        <v>60.24</v>
      </c>
      <c r="H80" s="136">
        <v>18880548</v>
      </c>
      <c r="I80" s="311" t="s">
        <v>324</v>
      </c>
      <c r="J80" s="136" t="s">
        <v>31</v>
      </c>
      <c r="K80" s="136" t="s">
        <v>32</v>
      </c>
      <c r="L80" s="136">
        <v>98901515</v>
      </c>
      <c r="M80" s="321"/>
    </row>
    <row r="81" spans="1:13" ht="21.75" customHeight="1" x14ac:dyDescent="0.25">
      <c r="A81" s="235">
        <v>1441</v>
      </c>
      <c r="B81" s="296" t="s">
        <v>325</v>
      </c>
      <c r="C81" s="295">
        <v>346.8</v>
      </c>
      <c r="D81" s="149">
        <v>0.3</v>
      </c>
      <c r="E81" s="186">
        <f t="shared" si="2"/>
        <v>104.04</v>
      </c>
      <c r="F81" s="186"/>
      <c r="G81" s="186">
        <f t="shared" si="3"/>
        <v>104.04</v>
      </c>
      <c r="H81" s="136">
        <v>7285624</v>
      </c>
      <c r="I81" s="311" t="s">
        <v>326</v>
      </c>
      <c r="J81" s="136" t="s">
        <v>121</v>
      </c>
      <c r="K81" s="136"/>
      <c r="L81" s="136">
        <v>93587666</v>
      </c>
      <c r="M81" s="321"/>
    </row>
    <row r="82" spans="1:13" ht="21.75" customHeight="1" x14ac:dyDescent="0.25">
      <c r="A82" s="235">
        <v>1444</v>
      </c>
      <c r="B82" s="296" t="s">
        <v>327</v>
      </c>
      <c r="C82" s="295">
        <v>370.2</v>
      </c>
      <c r="D82" s="149">
        <v>0.3</v>
      </c>
      <c r="E82" s="186">
        <f t="shared" si="2"/>
        <v>111.05999999999999</v>
      </c>
      <c r="F82" s="186"/>
      <c r="G82" s="186">
        <f t="shared" si="3"/>
        <v>111.05999999999999</v>
      </c>
      <c r="H82" s="136">
        <v>13487202</v>
      </c>
      <c r="I82" s="311" t="s">
        <v>328</v>
      </c>
      <c r="J82" s="136" t="s">
        <v>31</v>
      </c>
      <c r="K82" s="136" t="s">
        <v>32</v>
      </c>
      <c r="L82" s="136">
        <v>92244429</v>
      </c>
      <c r="M82" s="321"/>
    </row>
    <row r="83" spans="1:13" ht="21.75" customHeight="1" x14ac:dyDescent="0.25">
      <c r="A83" s="298">
        <v>1448</v>
      </c>
      <c r="B83" s="296" t="s">
        <v>147</v>
      </c>
      <c r="C83" s="295">
        <v>154.69999999999999</v>
      </c>
      <c r="D83" s="149">
        <v>0.3</v>
      </c>
      <c r="E83" s="186">
        <f t="shared" si="2"/>
        <v>46.41</v>
      </c>
      <c r="F83" s="186"/>
      <c r="G83" s="186">
        <f t="shared" si="3"/>
        <v>46.41</v>
      </c>
      <c r="H83" s="138">
        <v>26433121</v>
      </c>
      <c r="I83" s="138" t="s">
        <v>148</v>
      </c>
      <c r="J83" s="138" t="s">
        <v>31</v>
      </c>
      <c r="K83" s="136" t="s">
        <v>32</v>
      </c>
      <c r="L83" s="138">
        <v>93229244</v>
      </c>
      <c r="M83" s="321"/>
    </row>
    <row r="84" spans="1:13" ht="21.75" customHeight="1" x14ac:dyDescent="0.25">
      <c r="A84" s="235">
        <v>1451</v>
      </c>
      <c r="B84" s="296" t="s">
        <v>329</v>
      </c>
      <c r="C84" s="295">
        <v>131.5</v>
      </c>
      <c r="D84" s="149">
        <v>0.3</v>
      </c>
      <c r="E84" s="186">
        <f t="shared" si="2"/>
        <v>39.449999999999996</v>
      </c>
      <c r="F84" s="186"/>
      <c r="G84" s="186">
        <f t="shared" si="3"/>
        <v>39.449999999999996</v>
      </c>
      <c r="H84" s="136">
        <v>20337612</v>
      </c>
      <c r="I84" s="311" t="s">
        <v>330</v>
      </c>
      <c r="J84" s="136" t="s">
        <v>31</v>
      </c>
      <c r="K84" s="136" t="s">
        <v>32</v>
      </c>
      <c r="L84" s="136">
        <v>98829667</v>
      </c>
      <c r="M84" s="321"/>
    </row>
    <row r="85" spans="1:13" ht="21.75" customHeight="1" x14ac:dyDescent="0.25">
      <c r="A85" s="235">
        <v>1453</v>
      </c>
      <c r="B85" s="296" t="s">
        <v>331</v>
      </c>
      <c r="C85" s="295">
        <v>16</v>
      </c>
      <c r="D85" s="149">
        <v>0.3</v>
      </c>
      <c r="E85" s="186">
        <f t="shared" si="2"/>
        <v>4.8</v>
      </c>
      <c r="F85" s="186"/>
      <c r="G85" s="186">
        <f t="shared" si="3"/>
        <v>4.8</v>
      </c>
      <c r="H85" s="136">
        <v>5460259</v>
      </c>
      <c r="I85" s="311" t="s">
        <v>332</v>
      </c>
      <c r="J85" s="136" t="s">
        <v>155</v>
      </c>
      <c r="K85" s="136" t="s">
        <v>156</v>
      </c>
      <c r="L85" s="136">
        <v>90199947</v>
      </c>
      <c r="M85" s="321"/>
    </row>
    <row r="86" spans="1:13" ht="21.75" customHeight="1" x14ac:dyDescent="0.25">
      <c r="A86" s="235">
        <v>1455</v>
      </c>
      <c r="B86" s="296" t="s">
        <v>333</v>
      </c>
      <c r="C86" s="295">
        <v>54.9</v>
      </c>
      <c r="D86" s="149">
        <v>0.3</v>
      </c>
      <c r="E86" s="186">
        <f t="shared" si="2"/>
        <v>16.47</v>
      </c>
      <c r="F86" s="186"/>
      <c r="G86" s="186">
        <f t="shared" si="3"/>
        <v>16.47</v>
      </c>
      <c r="H86" s="136">
        <v>9954383</v>
      </c>
      <c r="I86" s="311" t="s">
        <v>334</v>
      </c>
      <c r="J86" s="136" t="s">
        <v>31</v>
      </c>
      <c r="K86" s="136" t="s">
        <v>32</v>
      </c>
      <c r="L86" s="136">
        <v>93270751</v>
      </c>
      <c r="M86" s="321"/>
    </row>
    <row r="87" spans="1:13" ht="21.75" customHeight="1" x14ac:dyDescent="0.25">
      <c r="A87" s="235">
        <v>1462</v>
      </c>
      <c r="B87" s="296" t="s">
        <v>48</v>
      </c>
      <c r="C87" s="295">
        <v>159</v>
      </c>
      <c r="D87" s="149">
        <v>0.3</v>
      </c>
      <c r="E87" s="186">
        <f t="shared" si="2"/>
        <v>47.699999999999996</v>
      </c>
      <c r="F87" s="186"/>
      <c r="G87" s="186">
        <f t="shared" si="3"/>
        <v>47.699999999999996</v>
      </c>
      <c r="H87" s="136">
        <v>9664038</v>
      </c>
      <c r="I87" s="136" t="s">
        <v>49</v>
      </c>
      <c r="J87" s="136" t="s">
        <v>31</v>
      </c>
      <c r="K87" s="136" t="s">
        <v>32</v>
      </c>
      <c r="L87" s="136">
        <v>92989674</v>
      </c>
      <c r="M87" s="321"/>
    </row>
    <row r="88" spans="1:13" ht="21.75" customHeight="1" x14ac:dyDescent="0.25">
      <c r="A88" s="235">
        <v>1463</v>
      </c>
      <c r="B88" s="296" t="s">
        <v>50</v>
      </c>
      <c r="C88" s="295">
        <v>356.8</v>
      </c>
      <c r="D88" s="149">
        <v>0.3</v>
      </c>
      <c r="E88" s="186">
        <f t="shared" si="2"/>
        <v>107.04</v>
      </c>
      <c r="F88" s="186"/>
      <c r="G88" s="186">
        <f t="shared" si="3"/>
        <v>107.04</v>
      </c>
      <c r="H88" s="136">
        <v>3798072</v>
      </c>
      <c r="I88" s="311" t="s">
        <v>51</v>
      </c>
      <c r="J88" s="136" t="s">
        <v>52</v>
      </c>
      <c r="K88" s="136" t="s">
        <v>53</v>
      </c>
      <c r="L88" s="136">
        <v>99480608</v>
      </c>
      <c r="M88" s="321"/>
    </row>
    <row r="89" spans="1:13" ht="21.75" customHeight="1" x14ac:dyDescent="0.25">
      <c r="A89" s="235">
        <v>1464</v>
      </c>
      <c r="B89" s="296" t="s">
        <v>335</v>
      </c>
      <c r="C89" s="295">
        <v>339.9</v>
      </c>
      <c r="D89" s="149">
        <v>0.3</v>
      </c>
      <c r="E89" s="186">
        <f t="shared" si="2"/>
        <v>101.96999999999998</v>
      </c>
      <c r="F89" s="186"/>
      <c r="G89" s="186">
        <f t="shared" si="3"/>
        <v>101.96999999999998</v>
      </c>
      <c r="H89" s="136">
        <v>6352996</v>
      </c>
      <c r="I89" s="311" t="s">
        <v>336</v>
      </c>
      <c r="J89" s="136" t="s">
        <v>52</v>
      </c>
      <c r="K89" s="136" t="s">
        <v>53</v>
      </c>
      <c r="L89" s="136">
        <v>92463267</v>
      </c>
      <c r="M89" s="321"/>
    </row>
    <row r="90" spans="1:13" ht="21.75" customHeight="1" x14ac:dyDescent="0.25">
      <c r="A90" s="235">
        <v>1467</v>
      </c>
      <c r="B90" s="136" t="s">
        <v>337</v>
      </c>
      <c r="C90" s="295">
        <v>230.7</v>
      </c>
      <c r="D90" s="149">
        <v>0.3</v>
      </c>
      <c r="E90" s="186">
        <f t="shared" si="2"/>
        <v>69.209999999999994</v>
      </c>
      <c r="F90" s="186"/>
      <c r="G90" s="186">
        <f t="shared" si="3"/>
        <v>69.209999999999994</v>
      </c>
      <c r="H90" s="136">
        <v>4279933</v>
      </c>
      <c r="I90" s="311" t="s">
        <v>338</v>
      </c>
      <c r="J90" s="136" t="s">
        <v>52</v>
      </c>
      <c r="K90" s="136" t="s">
        <v>53</v>
      </c>
      <c r="L90" s="136">
        <v>98510166</v>
      </c>
      <c r="M90" s="321"/>
    </row>
    <row r="91" spans="1:13" ht="21.75" customHeight="1" x14ac:dyDescent="0.25">
      <c r="A91" s="235">
        <v>1468</v>
      </c>
      <c r="B91" s="297" t="s">
        <v>149</v>
      </c>
      <c r="C91" s="295">
        <v>362.2</v>
      </c>
      <c r="D91" s="149">
        <v>0.3</v>
      </c>
      <c r="E91" s="186">
        <f t="shared" si="2"/>
        <v>108.66</v>
      </c>
      <c r="F91" s="186"/>
      <c r="G91" s="186">
        <f t="shared" si="3"/>
        <v>108.66</v>
      </c>
      <c r="H91" s="136">
        <v>6996485</v>
      </c>
      <c r="I91" s="311" t="s">
        <v>150</v>
      </c>
      <c r="J91" s="136" t="s">
        <v>31</v>
      </c>
      <c r="K91" s="136" t="s">
        <v>32</v>
      </c>
      <c r="L91" s="136">
        <v>92947741</v>
      </c>
      <c r="M91" s="321"/>
    </row>
    <row r="92" spans="1:13" s="106" customFormat="1" ht="21.75" customHeight="1" x14ac:dyDescent="0.25">
      <c r="A92" s="235">
        <v>1472</v>
      </c>
      <c r="B92" s="296" t="s">
        <v>554</v>
      </c>
      <c r="C92" s="295">
        <v>238</v>
      </c>
      <c r="D92" s="149">
        <v>0.3</v>
      </c>
      <c r="E92" s="186">
        <f t="shared" si="2"/>
        <v>71.399999999999991</v>
      </c>
      <c r="F92" s="186"/>
      <c r="G92" s="186">
        <f t="shared" si="3"/>
        <v>71.399999999999991</v>
      </c>
      <c r="H92" s="136">
        <v>12987814</v>
      </c>
      <c r="I92" s="311" t="s">
        <v>578</v>
      </c>
      <c r="J92" s="136" t="s">
        <v>26</v>
      </c>
      <c r="K92" s="136" t="s">
        <v>27</v>
      </c>
      <c r="L92" s="136">
        <v>99365173</v>
      </c>
      <c r="M92" s="321"/>
    </row>
    <row r="93" spans="1:13" ht="21.75" customHeight="1" x14ac:dyDescent="0.25">
      <c r="A93" s="235">
        <v>1473</v>
      </c>
      <c r="B93" s="296" t="s">
        <v>341</v>
      </c>
      <c r="C93" s="295">
        <v>249.8</v>
      </c>
      <c r="D93" s="149">
        <v>0.3</v>
      </c>
      <c r="E93" s="186">
        <f t="shared" si="2"/>
        <v>74.94</v>
      </c>
      <c r="F93" s="186"/>
      <c r="G93" s="186">
        <f t="shared" si="3"/>
        <v>74.94</v>
      </c>
      <c r="H93" s="136">
        <v>18722784</v>
      </c>
      <c r="I93" s="136" t="s">
        <v>342</v>
      </c>
      <c r="J93" s="136" t="s">
        <v>52</v>
      </c>
      <c r="K93" s="136" t="s">
        <v>53</v>
      </c>
      <c r="L93" s="136">
        <v>98900644</v>
      </c>
      <c r="M93" s="321"/>
    </row>
    <row r="94" spans="1:13" ht="21.75" customHeight="1" x14ac:dyDescent="0.25">
      <c r="A94" s="235">
        <v>1475</v>
      </c>
      <c r="B94" s="297" t="s">
        <v>151</v>
      </c>
      <c r="C94" s="295">
        <v>72.5</v>
      </c>
      <c r="D94" s="149">
        <v>0.3</v>
      </c>
      <c r="E94" s="186">
        <f t="shared" si="2"/>
        <v>21.75</v>
      </c>
      <c r="F94" s="186"/>
      <c r="G94" s="186">
        <f t="shared" si="3"/>
        <v>21.75</v>
      </c>
      <c r="H94" s="136">
        <v>4584011</v>
      </c>
      <c r="I94" s="311" t="s">
        <v>152</v>
      </c>
      <c r="J94" s="136" t="s">
        <v>31</v>
      </c>
      <c r="K94" s="136" t="s">
        <v>32</v>
      </c>
      <c r="L94" s="136">
        <v>98822862</v>
      </c>
      <c r="M94" s="321"/>
    </row>
    <row r="95" spans="1:13" ht="21.75" customHeight="1" x14ac:dyDescent="0.25">
      <c r="A95" s="235">
        <v>1476</v>
      </c>
      <c r="B95" s="136" t="s">
        <v>343</v>
      </c>
      <c r="C95" s="295">
        <v>196.3</v>
      </c>
      <c r="D95" s="149">
        <v>0.3</v>
      </c>
      <c r="E95" s="186">
        <f t="shared" si="2"/>
        <v>58.89</v>
      </c>
      <c r="F95" s="186"/>
      <c r="G95" s="186">
        <f t="shared" si="3"/>
        <v>58.89</v>
      </c>
      <c r="H95" s="136">
        <v>5486858</v>
      </c>
      <c r="I95" s="311" t="s">
        <v>344</v>
      </c>
      <c r="J95" s="136" t="s">
        <v>26</v>
      </c>
      <c r="K95" s="136" t="s">
        <v>27</v>
      </c>
      <c r="L95" s="136">
        <v>99019634</v>
      </c>
      <c r="M95" s="321"/>
    </row>
    <row r="96" spans="1:13" ht="21.75" customHeight="1" x14ac:dyDescent="0.25">
      <c r="A96" s="235">
        <v>1477</v>
      </c>
      <c r="B96" s="296" t="s">
        <v>345</v>
      </c>
      <c r="C96" s="295">
        <v>142.1</v>
      </c>
      <c r="D96" s="149">
        <v>0.3</v>
      </c>
      <c r="E96" s="186">
        <f t="shared" si="2"/>
        <v>42.629999999999995</v>
      </c>
      <c r="F96" s="186"/>
      <c r="G96" s="186">
        <f t="shared" si="3"/>
        <v>42.629999999999995</v>
      </c>
      <c r="H96" s="136">
        <v>18656494</v>
      </c>
      <c r="I96" s="136" t="s">
        <v>346</v>
      </c>
      <c r="J96" s="136" t="s">
        <v>31</v>
      </c>
      <c r="K96" s="136" t="s">
        <v>32</v>
      </c>
      <c r="L96" s="136">
        <v>92610234</v>
      </c>
      <c r="M96" s="321"/>
    </row>
    <row r="97" spans="1:13" ht="21.75" customHeight="1" x14ac:dyDescent="0.25">
      <c r="A97" s="235">
        <v>1480</v>
      </c>
      <c r="B97" s="296" t="s">
        <v>347</v>
      </c>
      <c r="C97" s="295">
        <v>94.6</v>
      </c>
      <c r="D97" s="149">
        <v>0.3</v>
      </c>
      <c r="E97" s="186">
        <f t="shared" si="2"/>
        <v>28.38</v>
      </c>
      <c r="F97" s="186"/>
      <c r="G97" s="186">
        <f t="shared" si="3"/>
        <v>28.38</v>
      </c>
      <c r="H97" s="136">
        <v>19820777</v>
      </c>
      <c r="I97" s="136" t="s">
        <v>348</v>
      </c>
      <c r="J97" s="136" t="s">
        <v>31</v>
      </c>
      <c r="K97" s="136" t="s">
        <v>32</v>
      </c>
      <c r="L97" s="136">
        <v>92525031</v>
      </c>
      <c r="M97" s="321"/>
    </row>
    <row r="98" spans="1:13" s="17" customFormat="1" ht="21.75" customHeight="1" x14ac:dyDescent="0.25">
      <c r="A98" s="235">
        <v>1482</v>
      </c>
      <c r="B98" s="296" t="s">
        <v>349</v>
      </c>
      <c r="C98" s="295">
        <v>254.7</v>
      </c>
      <c r="D98" s="149">
        <v>0.3</v>
      </c>
      <c r="E98" s="186">
        <f t="shared" si="2"/>
        <v>76.41</v>
      </c>
      <c r="F98" s="186"/>
      <c r="G98" s="186">
        <f t="shared" si="3"/>
        <v>76.41</v>
      </c>
      <c r="H98" s="136">
        <v>4024306</v>
      </c>
      <c r="I98" s="311" t="s">
        <v>350</v>
      </c>
      <c r="J98" s="136" t="s">
        <v>52</v>
      </c>
      <c r="K98" s="136" t="s">
        <v>53</v>
      </c>
      <c r="L98" s="136">
        <v>94453330</v>
      </c>
      <c r="M98" s="321"/>
    </row>
    <row r="99" spans="1:13" s="17" customFormat="1" ht="26.25" customHeight="1" x14ac:dyDescent="0.25">
      <c r="A99" s="235">
        <v>1485</v>
      </c>
      <c r="B99" s="296" t="s">
        <v>352</v>
      </c>
      <c r="C99" s="295">
        <v>129.80000000000001</v>
      </c>
      <c r="D99" s="149">
        <v>0.3</v>
      </c>
      <c r="E99" s="186">
        <f t="shared" si="2"/>
        <v>38.940000000000005</v>
      </c>
      <c r="F99" s="186"/>
      <c r="G99" s="186">
        <f t="shared" si="3"/>
        <v>38.940000000000005</v>
      </c>
      <c r="H99" s="136">
        <v>18585573</v>
      </c>
      <c r="I99" s="311" t="s">
        <v>353</v>
      </c>
      <c r="J99" s="136" t="s">
        <v>31</v>
      </c>
      <c r="K99" s="136" t="s">
        <v>32</v>
      </c>
      <c r="L99" s="136">
        <v>92695802</v>
      </c>
      <c r="M99" s="321"/>
    </row>
    <row r="100" spans="1:13" s="17" customFormat="1" ht="26.25" customHeight="1" x14ac:dyDescent="0.25">
      <c r="A100" s="235">
        <v>1487</v>
      </c>
      <c r="B100" s="140" t="s">
        <v>354</v>
      </c>
      <c r="C100" s="295">
        <v>0</v>
      </c>
      <c r="D100" s="149">
        <v>0.3</v>
      </c>
      <c r="E100" s="186">
        <f t="shared" si="2"/>
        <v>0</v>
      </c>
      <c r="F100" s="186"/>
      <c r="G100" s="186">
        <f t="shared" si="3"/>
        <v>0</v>
      </c>
      <c r="H100" s="139">
        <v>19315674</v>
      </c>
      <c r="I100" s="314" t="s">
        <v>355</v>
      </c>
      <c r="J100" s="136" t="s">
        <v>31</v>
      </c>
      <c r="K100" s="136" t="s">
        <v>32</v>
      </c>
      <c r="L100" s="136">
        <v>93972300</v>
      </c>
      <c r="M100" s="321"/>
    </row>
    <row r="101" spans="1:13" s="17" customFormat="1" ht="21.75" customHeight="1" x14ac:dyDescent="0.25">
      <c r="A101" s="235">
        <v>1700</v>
      </c>
      <c r="B101" s="296" t="s">
        <v>356</v>
      </c>
      <c r="C101" s="295">
        <v>331.9</v>
      </c>
      <c r="D101" s="149">
        <v>0.3</v>
      </c>
      <c r="E101" s="186">
        <f t="shared" si="2"/>
        <v>99.57</v>
      </c>
      <c r="F101" s="186"/>
      <c r="G101" s="186">
        <f t="shared" si="3"/>
        <v>99.57</v>
      </c>
      <c r="H101" s="136">
        <v>6332437</v>
      </c>
      <c r="I101" s="311" t="s">
        <v>357</v>
      </c>
      <c r="J101" s="136" t="s">
        <v>31</v>
      </c>
      <c r="K101" s="136" t="s">
        <v>32</v>
      </c>
      <c r="L101" s="136">
        <v>99284449</v>
      </c>
      <c r="M101" s="321"/>
    </row>
    <row r="102" spans="1:13" s="17" customFormat="1" ht="21.75" customHeight="1" x14ac:dyDescent="0.25">
      <c r="A102" s="235">
        <v>1702</v>
      </c>
      <c r="B102" s="296" t="s">
        <v>359</v>
      </c>
      <c r="C102" s="295">
        <v>242.8</v>
      </c>
      <c r="D102" s="149">
        <v>0.3</v>
      </c>
      <c r="E102" s="186">
        <f t="shared" si="2"/>
        <v>72.84</v>
      </c>
      <c r="F102" s="186"/>
      <c r="G102" s="186">
        <f t="shared" si="3"/>
        <v>72.84</v>
      </c>
      <c r="H102" s="136">
        <v>1572875</v>
      </c>
      <c r="I102" s="313" t="s">
        <v>360</v>
      </c>
      <c r="J102" s="136" t="s">
        <v>52</v>
      </c>
      <c r="K102" s="136" t="s">
        <v>53</v>
      </c>
      <c r="L102" s="136">
        <v>99899341</v>
      </c>
      <c r="M102" s="321"/>
    </row>
    <row r="103" spans="1:13" s="17" customFormat="1" ht="21.75" customHeight="1" x14ac:dyDescent="0.25">
      <c r="A103" s="235">
        <v>1704</v>
      </c>
      <c r="B103" s="296" t="s">
        <v>361</v>
      </c>
      <c r="C103" s="295">
        <v>10</v>
      </c>
      <c r="D103" s="149">
        <v>0.3</v>
      </c>
      <c r="E103" s="186">
        <f t="shared" si="2"/>
        <v>3</v>
      </c>
      <c r="F103" s="186"/>
      <c r="G103" s="186">
        <f t="shared" si="3"/>
        <v>3</v>
      </c>
      <c r="H103" s="136">
        <v>19235157</v>
      </c>
      <c r="I103" s="311" t="s">
        <v>362</v>
      </c>
      <c r="J103" s="136" t="s">
        <v>31</v>
      </c>
      <c r="K103" s="136" t="s">
        <v>32</v>
      </c>
      <c r="L103" s="136">
        <v>95552551</v>
      </c>
      <c r="M103" s="321"/>
    </row>
    <row r="104" spans="1:13" s="17" customFormat="1" ht="21.75" customHeight="1" x14ac:dyDescent="0.25">
      <c r="A104" s="235">
        <v>1706</v>
      </c>
      <c r="B104" s="296" t="s">
        <v>153</v>
      </c>
      <c r="C104" s="295">
        <v>131.69999999999999</v>
      </c>
      <c r="D104" s="149">
        <v>0.3</v>
      </c>
      <c r="E104" s="186">
        <f t="shared" si="2"/>
        <v>39.51</v>
      </c>
      <c r="F104" s="186"/>
      <c r="G104" s="186">
        <f t="shared" si="3"/>
        <v>39.51</v>
      </c>
      <c r="H104" s="136">
        <v>2520947</v>
      </c>
      <c r="I104" s="140" t="s">
        <v>154</v>
      </c>
      <c r="J104" s="136" t="s">
        <v>155</v>
      </c>
      <c r="K104" s="140" t="s">
        <v>156</v>
      </c>
      <c r="L104" s="136">
        <v>92246641</v>
      </c>
      <c r="M104" s="321"/>
    </row>
    <row r="105" spans="1:13" s="17" customFormat="1" ht="21.75" customHeight="1" x14ac:dyDescent="0.25">
      <c r="A105" s="235">
        <v>1708</v>
      </c>
      <c r="B105" s="296" t="s">
        <v>363</v>
      </c>
      <c r="C105" s="295">
        <v>367.5</v>
      </c>
      <c r="D105" s="149">
        <v>0.3</v>
      </c>
      <c r="E105" s="186">
        <f t="shared" si="2"/>
        <v>110.25</v>
      </c>
      <c r="F105" s="186"/>
      <c r="G105" s="186">
        <f t="shared" si="3"/>
        <v>110.25</v>
      </c>
      <c r="H105" s="136">
        <v>1331691</v>
      </c>
      <c r="I105" s="311" t="s">
        <v>364</v>
      </c>
      <c r="J105" s="136" t="s">
        <v>31</v>
      </c>
      <c r="K105" s="136" t="s">
        <v>32</v>
      </c>
      <c r="L105" s="136">
        <v>92658692</v>
      </c>
      <c r="M105" s="321"/>
    </row>
    <row r="106" spans="1:13" s="17" customFormat="1" ht="21.75" customHeight="1" x14ac:dyDescent="0.25">
      <c r="A106" s="235">
        <v>1709</v>
      </c>
      <c r="B106" s="296" t="s">
        <v>365</v>
      </c>
      <c r="C106" s="295">
        <v>221.8</v>
      </c>
      <c r="D106" s="149">
        <v>0.3</v>
      </c>
      <c r="E106" s="186">
        <f t="shared" si="2"/>
        <v>66.540000000000006</v>
      </c>
      <c r="F106" s="186"/>
      <c r="G106" s="186">
        <f t="shared" si="3"/>
        <v>66.540000000000006</v>
      </c>
      <c r="H106" s="136">
        <v>2406629</v>
      </c>
      <c r="I106" s="311" t="s">
        <v>580</v>
      </c>
      <c r="J106" s="136" t="s">
        <v>121</v>
      </c>
      <c r="K106" s="136" t="s">
        <v>122</v>
      </c>
      <c r="L106" s="136">
        <v>92771786</v>
      </c>
      <c r="M106" s="321"/>
    </row>
    <row r="107" spans="1:13" s="17" customFormat="1" ht="21.75" customHeight="1" x14ac:dyDescent="0.25">
      <c r="A107" s="235">
        <v>1711</v>
      </c>
      <c r="B107" s="296" t="s">
        <v>55</v>
      </c>
      <c r="C107" s="295">
        <v>202.4</v>
      </c>
      <c r="D107" s="149">
        <v>0.3</v>
      </c>
      <c r="E107" s="186">
        <f t="shared" si="2"/>
        <v>60.72</v>
      </c>
      <c r="F107" s="186"/>
      <c r="G107" s="186">
        <f t="shared" si="3"/>
        <v>60.72</v>
      </c>
      <c r="H107" s="136">
        <v>638353</v>
      </c>
      <c r="I107" s="313" t="s">
        <v>56</v>
      </c>
      <c r="J107" s="136" t="s">
        <v>31</v>
      </c>
      <c r="K107" s="136" t="s">
        <v>32</v>
      </c>
      <c r="L107" s="136">
        <v>99292727</v>
      </c>
      <c r="M107" s="321"/>
    </row>
    <row r="108" spans="1:13" s="17" customFormat="1" ht="21.75" customHeight="1" x14ac:dyDescent="0.25">
      <c r="A108" s="235">
        <v>1712</v>
      </c>
      <c r="B108" s="296" t="s">
        <v>57</v>
      </c>
      <c r="C108" s="295">
        <v>142.6</v>
      </c>
      <c r="D108" s="149">
        <v>0.3</v>
      </c>
      <c r="E108" s="186">
        <f t="shared" si="2"/>
        <v>42.779999999999994</v>
      </c>
      <c r="F108" s="186"/>
      <c r="G108" s="186">
        <f t="shared" si="3"/>
        <v>42.779999999999994</v>
      </c>
      <c r="H108" s="136">
        <v>788958</v>
      </c>
      <c r="I108" s="313" t="s">
        <v>58</v>
      </c>
      <c r="J108" s="136" t="s">
        <v>31</v>
      </c>
      <c r="K108" s="136" t="s">
        <v>32</v>
      </c>
      <c r="L108" s="136">
        <v>99816344</v>
      </c>
      <c r="M108" s="321"/>
    </row>
    <row r="109" spans="1:13" s="17" customFormat="1" ht="21.75" customHeight="1" x14ac:dyDescent="0.25">
      <c r="A109" s="235">
        <v>1713</v>
      </c>
      <c r="B109" s="296" t="s">
        <v>157</v>
      </c>
      <c r="C109" s="295">
        <v>196.8</v>
      </c>
      <c r="D109" s="149">
        <v>0.3</v>
      </c>
      <c r="E109" s="186">
        <f t="shared" si="2"/>
        <v>59.04</v>
      </c>
      <c r="F109" s="186"/>
      <c r="G109" s="186">
        <f t="shared" si="3"/>
        <v>59.04</v>
      </c>
      <c r="H109" s="136">
        <v>19890467</v>
      </c>
      <c r="I109" s="313" t="s">
        <v>158</v>
      </c>
      <c r="J109" s="136" t="s">
        <v>52</v>
      </c>
      <c r="K109" s="136" t="s">
        <v>53</v>
      </c>
      <c r="L109" s="136">
        <v>92816131</v>
      </c>
      <c r="M109" s="321"/>
    </row>
    <row r="110" spans="1:13" s="17" customFormat="1" ht="21.75" customHeight="1" x14ac:dyDescent="0.25">
      <c r="A110" s="235">
        <v>1714</v>
      </c>
      <c r="B110" s="296" t="s">
        <v>59</v>
      </c>
      <c r="C110" s="295">
        <v>207.5</v>
      </c>
      <c r="D110" s="149">
        <v>0.3</v>
      </c>
      <c r="E110" s="186">
        <f t="shared" si="2"/>
        <v>62.25</v>
      </c>
      <c r="F110" s="186"/>
      <c r="G110" s="186">
        <f t="shared" si="3"/>
        <v>62.25</v>
      </c>
      <c r="H110" s="136">
        <v>6285703</v>
      </c>
      <c r="I110" s="313" t="s">
        <v>60</v>
      </c>
      <c r="J110" s="136" t="s">
        <v>31</v>
      </c>
      <c r="K110" s="136" t="s">
        <v>32</v>
      </c>
      <c r="L110" s="136">
        <v>92511617</v>
      </c>
      <c r="M110" s="321"/>
    </row>
    <row r="111" spans="1:13" s="17" customFormat="1" ht="21.75" customHeight="1" x14ac:dyDescent="0.25">
      <c r="A111" s="235">
        <v>1715</v>
      </c>
      <c r="B111" s="296" t="s">
        <v>62</v>
      </c>
      <c r="C111" s="295">
        <v>0</v>
      </c>
      <c r="D111" s="149">
        <v>0.3</v>
      </c>
      <c r="E111" s="186">
        <f t="shared" si="2"/>
        <v>0</v>
      </c>
      <c r="F111" s="186"/>
      <c r="G111" s="186">
        <f t="shared" si="3"/>
        <v>0</v>
      </c>
      <c r="H111" s="136">
        <v>6511663</v>
      </c>
      <c r="I111" s="313" t="s">
        <v>63</v>
      </c>
      <c r="J111" s="136" t="s">
        <v>31</v>
      </c>
      <c r="K111" s="136" t="s">
        <v>32</v>
      </c>
      <c r="L111" s="136">
        <v>91486820</v>
      </c>
      <c r="M111" s="321"/>
    </row>
    <row r="112" spans="1:13" s="17" customFormat="1" ht="21.75" customHeight="1" x14ac:dyDescent="0.25">
      <c r="A112" s="235">
        <v>1716</v>
      </c>
      <c r="B112" s="296" t="s">
        <v>368</v>
      </c>
      <c r="C112" s="295">
        <v>327.2</v>
      </c>
      <c r="D112" s="149">
        <v>0.3</v>
      </c>
      <c r="E112" s="186">
        <f t="shared" si="2"/>
        <v>98.16</v>
      </c>
      <c r="F112" s="186"/>
      <c r="G112" s="186">
        <f t="shared" si="3"/>
        <v>98.16</v>
      </c>
      <c r="H112" s="136">
        <v>24147445</v>
      </c>
      <c r="I112" s="140" t="s">
        <v>369</v>
      </c>
      <c r="J112" s="136" t="s">
        <v>31</v>
      </c>
      <c r="K112" s="136" t="s">
        <v>32</v>
      </c>
      <c r="L112" s="136">
        <v>92772114</v>
      </c>
      <c r="M112" s="321"/>
    </row>
    <row r="113" spans="1:13" s="17" customFormat="1" ht="21.75" customHeight="1" x14ac:dyDescent="0.25">
      <c r="A113" s="235">
        <v>1717</v>
      </c>
      <c r="B113" s="296" t="s">
        <v>370</v>
      </c>
      <c r="C113" s="295">
        <v>52</v>
      </c>
      <c r="D113" s="149">
        <v>0.3</v>
      </c>
      <c r="E113" s="186">
        <f t="shared" si="2"/>
        <v>15.6</v>
      </c>
      <c r="F113" s="186"/>
      <c r="G113" s="186">
        <f t="shared" si="3"/>
        <v>15.6</v>
      </c>
      <c r="H113" s="136">
        <v>3248965</v>
      </c>
      <c r="I113" s="313" t="s">
        <v>371</v>
      </c>
      <c r="J113" s="136" t="s">
        <v>31</v>
      </c>
      <c r="K113" s="136" t="s">
        <v>32</v>
      </c>
      <c r="L113" s="136">
        <v>92476390</v>
      </c>
      <c r="M113" s="321"/>
    </row>
    <row r="114" spans="1:13" s="17" customFormat="1" ht="21.75" customHeight="1" x14ac:dyDescent="0.25">
      <c r="A114" s="235">
        <v>1718</v>
      </c>
      <c r="B114" s="296" t="s">
        <v>159</v>
      </c>
      <c r="C114" s="295">
        <v>198.2</v>
      </c>
      <c r="D114" s="149">
        <v>0.3</v>
      </c>
      <c r="E114" s="186">
        <f t="shared" si="2"/>
        <v>59.459999999999994</v>
      </c>
      <c r="F114" s="186"/>
      <c r="G114" s="186">
        <f t="shared" si="3"/>
        <v>59.459999999999994</v>
      </c>
      <c r="H114" s="136">
        <v>18656137</v>
      </c>
      <c r="I114" s="316" t="s">
        <v>160</v>
      </c>
      <c r="J114" s="136" t="s">
        <v>155</v>
      </c>
      <c r="K114" s="136" t="s">
        <v>156</v>
      </c>
      <c r="L114" s="136">
        <v>92207221</v>
      </c>
      <c r="M114" s="321"/>
    </row>
    <row r="115" spans="1:13" s="17" customFormat="1" ht="21.75" customHeight="1" x14ac:dyDescent="0.25">
      <c r="A115" s="235">
        <v>1720</v>
      </c>
      <c r="B115" s="296" t="s">
        <v>372</v>
      </c>
      <c r="C115" s="295">
        <v>179.7</v>
      </c>
      <c r="D115" s="149">
        <v>0.3</v>
      </c>
      <c r="E115" s="186">
        <f t="shared" si="2"/>
        <v>53.91</v>
      </c>
      <c r="F115" s="186"/>
      <c r="G115" s="186">
        <f t="shared" si="3"/>
        <v>53.91</v>
      </c>
      <c r="H115" s="136">
        <v>6812881</v>
      </c>
      <c r="I115" s="313" t="s">
        <v>373</v>
      </c>
      <c r="J115" s="136" t="s">
        <v>52</v>
      </c>
      <c r="K115" s="136" t="s">
        <v>53</v>
      </c>
      <c r="L115" s="136"/>
      <c r="M115" s="321"/>
    </row>
    <row r="116" spans="1:13" s="17" customFormat="1" ht="21.75" customHeight="1" x14ac:dyDescent="0.25">
      <c r="A116" s="235">
        <v>1722</v>
      </c>
      <c r="B116" s="296" t="s">
        <v>374</v>
      </c>
      <c r="C116" s="295">
        <v>113.4</v>
      </c>
      <c r="D116" s="149">
        <v>0.3</v>
      </c>
      <c r="E116" s="186">
        <f t="shared" si="2"/>
        <v>34.020000000000003</v>
      </c>
      <c r="F116" s="186"/>
      <c r="G116" s="186">
        <f t="shared" si="3"/>
        <v>34.020000000000003</v>
      </c>
      <c r="H116" s="136">
        <v>12979647</v>
      </c>
      <c r="I116" s="313" t="s">
        <v>375</v>
      </c>
      <c r="J116" s="136" t="s">
        <v>376</v>
      </c>
      <c r="K116" s="136" t="s">
        <v>307</v>
      </c>
      <c r="L116" s="136">
        <v>98899002</v>
      </c>
      <c r="M116" s="321"/>
    </row>
    <row r="117" spans="1:13" s="17" customFormat="1" ht="21.75" customHeight="1" x14ac:dyDescent="0.25">
      <c r="A117" s="235">
        <v>1723</v>
      </c>
      <c r="B117" s="296" t="s">
        <v>65</v>
      </c>
      <c r="C117" s="295">
        <v>171.9</v>
      </c>
      <c r="D117" s="149">
        <v>0.3</v>
      </c>
      <c r="E117" s="186">
        <f t="shared" si="2"/>
        <v>51.57</v>
      </c>
      <c r="F117" s="186"/>
      <c r="G117" s="186">
        <f t="shared" si="3"/>
        <v>51.57</v>
      </c>
      <c r="H117" s="136">
        <v>6631224</v>
      </c>
      <c r="I117" s="311" t="s">
        <v>66</v>
      </c>
      <c r="J117" s="136" t="s">
        <v>31</v>
      </c>
      <c r="K117" s="136" t="s">
        <v>32</v>
      </c>
      <c r="L117" s="136">
        <v>92666839</v>
      </c>
      <c r="M117" s="321"/>
    </row>
    <row r="118" spans="1:13" s="17" customFormat="1" ht="21.75" customHeight="1" x14ac:dyDescent="0.25">
      <c r="A118" s="235">
        <v>1724</v>
      </c>
      <c r="B118" s="296" t="s">
        <v>67</v>
      </c>
      <c r="C118" s="295">
        <v>165</v>
      </c>
      <c r="D118" s="149">
        <v>0.3</v>
      </c>
      <c r="E118" s="186">
        <f t="shared" si="2"/>
        <v>49.5</v>
      </c>
      <c r="F118" s="186"/>
      <c r="G118" s="186">
        <f t="shared" si="3"/>
        <v>49.5</v>
      </c>
      <c r="H118" s="136">
        <v>10795143</v>
      </c>
      <c r="I118" s="140" t="s">
        <v>68</v>
      </c>
      <c r="J118" s="136" t="s">
        <v>26</v>
      </c>
      <c r="K118" s="136" t="s">
        <v>27</v>
      </c>
      <c r="L118" s="136">
        <v>99494166</v>
      </c>
      <c r="M118" s="321"/>
    </row>
    <row r="119" spans="1:13" s="17" customFormat="1" ht="21.75" customHeight="1" x14ac:dyDescent="0.25">
      <c r="A119" s="235">
        <v>1725</v>
      </c>
      <c r="B119" s="296" t="s">
        <v>377</v>
      </c>
      <c r="C119" s="295">
        <v>313.7</v>
      </c>
      <c r="D119" s="149">
        <v>0.3</v>
      </c>
      <c r="E119" s="186">
        <f t="shared" si="2"/>
        <v>94.11</v>
      </c>
      <c r="F119" s="186"/>
      <c r="G119" s="186">
        <f t="shared" si="3"/>
        <v>94.11</v>
      </c>
      <c r="H119" s="136">
        <v>2223414</v>
      </c>
      <c r="I119" s="313" t="s">
        <v>378</v>
      </c>
      <c r="J119" s="136" t="s">
        <v>52</v>
      </c>
      <c r="K119" s="136" t="s">
        <v>53</v>
      </c>
      <c r="L119" s="136">
        <v>92695758</v>
      </c>
      <c r="M119" s="321"/>
    </row>
    <row r="120" spans="1:13" s="17" customFormat="1" ht="21.75" customHeight="1" x14ac:dyDescent="0.25">
      <c r="A120" s="235">
        <v>1726</v>
      </c>
      <c r="B120" s="296" t="s">
        <v>379</v>
      </c>
      <c r="C120" s="542">
        <v>221</v>
      </c>
      <c r="D120" s="149">
        <v>0.3</v>
      </c>
      <c r="E120" s="186">
        <f t="shared" si="2"/>
        <v>66.3</v>
      </c>
      <c r="F120" s="186"/>
      <c r="G120" s="186">
        <f t="shared" si="3"/>
        <v>66.3</v>
      </c>
      <c r="H120" s="136">
        <v>5440535</v>
      </c>
      <c r="I120" s="313" t="s">
        <v>380</v>
      </c>
      <c r="J120" s="136" t="s">
        <v>31</v>
      </c>
      <c r="K120" s="136" t="s">
        <v>32</v>
      </c>
      <c r="L120" s="136">
        <v>92023947</v>
      </c>
      <c r="M120" s="321"/>
    </row>
    <row r="121" spans="1:13" s="17" customFormat="1" ht="21.75" customHeight="1" x14ac:dyDescent="0.25">
      <c r="A121" s="235">
        <v>1728</v>
      </c>
      <c r="B121" s="296" t="s">
        <v>13</v>
      </c>
      <c r="C121" s="295">
        <v>187.8</v>
      </c>
      <c r="D121" s="149">
        <v>0.3</v>
      </c>
      <c r="E121" s="186">
        <f t="shared" si="2"/>
        <v>56.34</v>
      </c>
      <c r="F121" s="186"/>
      <c r="G121" s="186">
        <f t="shared" si="3"/>
        <v>56.34</v>
      </c>
      <c r="H121" s="136">
        <v>8977778</v>
      </c>
      <c r="I121" s="311" t="s">
        <v>381</v>
      </c>
      <c r="J121" s="136" t="s">
        <v>31</v>
      </c>
      <c r="K121" s="136" t="s">
        <v>32</v>
      </c>
      <c r="L121" s="136">
        <v>99687220</v>
      </c>
      <c r="M121" s="321"/>
    </row>
    <row r="122" spans="1:13" s="17" customFormat="1" ht="21.75" customHeight="1" x14ac:dyDescent="0.25">
      <c r="A122" s="235">
        <v>1729</v>
      </c>
      <c r="B122" s="296" t="s">
        <v>382</v>
      </c>
      <c r="C122" s="295">
        <v>132.6</v>
      </c>
      <c r="D122" s="149">
        <v>0.3</v>
      </c>
      <c r="E122" s="186">
        <f t="shared" si="2"/>
        <v>39.779999999999994</v>
      </c>
      <c r="F122" s="186"/>
      <c r="G122" s="186">
        <f t="shared" si="3"/>
        <v>39.779999999999994</v>
      </c>
      <c r="H122" s="136">
        <v>22975081</v>
      </c>
      <c r="I122" s="311" t="s">
        <v>383</v>
      </c>
      <c r="J122" s="136" t="s">
        <v>31</v>
      </c>
      <c r="K122" s="136" t="s">
        <v>32</v>
      </c>
      <c r="L122" s="136">
        <v>93633441</v>
      </c>
      <c r="M122" s="321"/>
    </row>
    <row r="123" spans="1:13" s="17" customFormat="1" ht="21.75" customHeight="1" x14ac:dyDescent="0.25">
      <c r="A123" s="235">
        <v>1730</v>
      </c>
      <c r="B123" s="296" t="s">
        <v>162</v>
      </c>
      <c r="C123" s="295">
        <v>188.9</v>
      </c>
      <c r="D123" s="149">
        <v>0.3</v>
      </c>
      <c r="E123" s="186">
        <f t="shared" si="2"/>
        <v>56.67</v>
      </c>
      <c r="F123" s="186"/>
      <c r="G123" s="186">
        <f t="shared" si="3"/>
        <v>56.67</v>
      </c>
      <c r="H123" s="136">
        <v>18458405</v>
      </c>
      <c r="I123" s="313" t="s">
        <v>163</v>
      </c>
      <c r="J123" s="136" t="s">
        <v>31</v>
      </c>
      <c r="K123" s="136" t="s">
        <v>32</v>
      </c>
      <c r="L123" s="136">
        <v>98566660</v>
      </c>
      <c r="M123" s="321"/>
    </row>
    <row r="124" spans="1:13" s="17" customFormat="1" ht="21.75" customHeight="1" x14ac:dyDescent="0.25">
      <c r="A124" s="235">
        <v>1731</v>
      </c>
      <c r="B124" s="296" t="s">
        <v>384</v>
      </c>
      <c r="C124" s="295">
        <v>148.80000000000001</v>
      </c>
      <c r="D124" s="149">
        <v>0.3</v>
      </c>
      <c r="E124" s="186">
        <f t="shared" si="2"/>
        <v>44.64</v>
      </c>
      <c r="F124" s="186"/>
      <c r="G124" s="186">
        <f t="shared" si="3"/>
        <v>44.64</v>
      </c>
      <c r="H124" s="136">
        <v>604651</v>
      </c>
      <c r="I124" s="313" t="s">
        <v>385</v>
      </c>
      <c r="J124" s="136" t="s">
        <v>31</v>
      </c>
      <c r="K124" s="136" t="s">
        <v>32</v>
      </c>
      <c r="L124" s="136">
        <v>92587799</v>
      </c>
      <c r="M124" s="321"/>
    </row>
    <row r="125" spans="1:13" s="17" customFormat="1" ht="21.75" customHeight="1" x14ac:dyDescent="0.25">
      <c r="A125" s="235">
        <v>1733</v>
      </c>
      <c r="B125" s="296" t="s">
        <v>386</v>
      </c>
      <c r="C125" s="295">
        <v>171.8</v>
      </c>
      <c r="D125" s="149">
        <v>0.3</v>
      </c>
      <c r="E125" s="186">
        <f t="shared" si="2"/>
        <v>51.54</v>
      </c>
      <c r="F125" s="186"/>
      <c r="G125" s="186">
        <f t="shared" si="3"/>
        <v>51.54</v>
      </c>
      <c r="H125" s="136">
        <v>24598302</v>
      </c>
      <c r="I125" s="319" t="s">
        <v>387</v>
      </c>
      <c r="J125" s="136" t="s">
        <v>52</v>
      </c>
      <c r="K125" s="136" t="s">
        <v>53</v>
      </c>
      <c r="L125" s="136">
        <v>92018800</v>
      </c>
      <c r="M125" s="321"/>
    </row>
    <row r="126" spans="1:13" s="17" customFormat="1" ht="21.75" customHeight="1" x14ac:dyDescent="0.25">
      <c r="A126" s="235">
        <v>1734</v>
      </c>
      <c r="B126" s="296" t="s">
        <v>388</v>
      </c>
      <c r="C126" s="295">
        <v>140</v>
      </c>
      <c r="D126" s="149">
        <v>0.3</v>
      </c>
      <c r="E126" s="186">
        <f t="shared" si="2"/>
        <v>42</v>
      </c>
      <c r="F126" s="186"/>
      <c r="G126" s="186">
        <f t="shared" si="3"/>
        <v>42</v>
      </c>
      <c r="H126" s="136">
        <v>1105552</v>
      </c>
      <c r="I126" s="311" t="s">
        <v>389</v>
      </c>
      <c r="J126" s="136" t="s">
        <v>52</v>
      </c>
      <c r="K126" s="136" t="s">
        <v>53</v>
      </c>
      <c r="L126" s="136">
        <v>99484517</v>
      </c>
      <c r="M126" s="321"/>
    </row>
    <row r="127" spans="1:13" s="17" customFormat="1" ht="21.75" customHeight="1" x14ac:dyDescent="0.25">
      <c r="A127" s="235">
        <v>1736</v>
      </c>
      <c r="B127" s="296" t="s">
        <v>164</v>
      </c>
      <c r="C127" s="295">
        <v>181.1</v>
      </c>
      <c r="D127" s="149">
        <v>0.3</v>
      </c>
      <c r="E127" s="186">
        <f t="shared" si="2"/>
        <v>54.33</v>
      </c>
      <c r="F127" s="186"/>
      <c r="G127" s="186">
        <f t="shared" si="3"/>
        <v>54.33</v>
      </c>
      <c r="H127" s="136">
        <v>960639</v>
      </c>
      <c r="I127" s="313" t="s">
        <v>165</v>
      </c>
      <c r="J127" s="136" t="s">
        <v>31</v>
      </c>
      <c r="K127" s="136" t="s">
        <v>32</v>
      </c>
      <c r="L127" s="136">
        <v>99066779</v>
      </c>
      <c r="M127" s="321"/>
    </row>
    <row r="128" spans="1:13" s="17" customFormat="1" ht="21.75" customHeight="1" x14ac:dyDescent="0.25">
      <c r="A128" s="235">
        <v>1737</v>
      </c>
      <c r="B128" s="136" t="s">
        <v>390</v>
      </c>
      <c r="C128" s="295">
        <v>124.8</v>
      </c>
      <c r="D128" s="149">
        <v>0.3</v>
      </c>
      <c r="E128" s="186">
        <f t="shared" si="2"/>
        <v>37.44</v>
      </c>
      <c r="F128" s="186"/>
      <c r="G128" s="186">
        <f t="shared" si="3"/>
        <v>37.44</v>
      </c>
      <c r="H128" s="136">
        <v>5566367</v>
      </c>
      <c r="I128" s="313" t="s">
        <v>391</v>
      </c>
      <c r="J128" s="136" t="s">
        <v>31</v>
      </c>
      <c r="K128" s="136" t="s">
        <v>32</v>
      </c>
      <c r="L128" s="136">
        <v>98517790</v>
      </c>
      <c r="M128" s="321"/>
    </row>
    <row r="129" spans="1:13" s="17" customFormat="1" ht="21.75" customHeight="1" x14ac:dyDescent="0.25">
      <c r="A129" s="235">
        <v>1738</v>
      </c>
      <c r="B129" s="296" t="s">
        <v>166</v>
      </c>
      <c r="C129" s="295">
        <v>176.6</v>
      </c>
      <c r="D129" s="149">
        <v>0.3</v>
      </c>
      <c r="E129" s="186">
        <f t="shared" si="2"/>
        <v>52.98</v>
      </c>
      <c r="F129" s="186"/>
      <c r="G129" s="186">
        <f t="shared" si="3"/>
        <v>52.98</v>
      </c>
      <c r="H129" s="136">
        <v>23187863</v>
      </c>
      <c r="I129" s="313" t="s">
        <v>581</v>
      </c>
      <c r="J129" s="136" t="s">
        <v>52</v>
      </c>
      <c r="K129" s="136" t="s">
        <v>53</v>
      </c>
      <c r="L129" s="136">
        <v>99464736</v>
      </c>
      <c r="M129" s="321"/>
    </row>
    <row r="130" spans="1:13" s="17" customFormat="1" ht="21.75" customHeight="1" x14ac:dyDescent="0.25">
      <c r="A130" s="235">
        <v>1740</v>
      </c>
      <c r="B130" s="296" t="s">
        <v>392</v>
      </c>
      <c r="C130" s="295">
        <v>121.4</v>
      </c>
      <c r="D130" s="149">
        <v>0.3</v>
      </c>
      <c r="E130" s="186">
        <f t="shared" si="2"/>
        <v>36.42</v>
      </c>
      <c r="F130" s="186"/>
      <c r="G130" s="186">
        <f t="shared" si="3"/>
        <v>36.42</v>
      </c>
      <c r="H130" s="136">
        <v>750305</v>
      </c>
      <c r="I130" s="313" t="s">
        <v>393</v>
      </c>
      <c r="J130" s="136" t="s">
        <v>31</v>
      </c>
      <c r="K130" s="136" t="s">
        <v>32</v>
      </c>
      <c r="L130" s="136"/>
      <c r="M130" s="321"/>
    </row>
    <row r="131" spans="1:13" s="17" customFormat="1" ht="21.75" customHeight="1" x14ac:dyDescent="0.25">
      <c r="A131" s="235">
        <v>1741</v>
      </c>
      <c r="B131" s="296" t="s">
        <v>394</v>
      </c>
      <c r="C131" s="295">
        <v>472.4</v>
      </c>
      <c r="D131" s="149">
        <v>0.3</v>
      </c>
      <c r="E131" s="186">
        <f t="shared" ref="E131:E194" si="4">C131*D131</f>
        <v>141.72</v>
      </c>
      <c r="F131" s="186"/>
      <c r="G131" s="186">
        <f t="shared" si="3"/>
        <v>141.72</v>
      </c>
      <c r="H131" s="136">
        <v>3439836</v>
      </c>
      <c r="I131" s="313" t="s">
        <v>395</v>
      </c>
      <c r="J131" s="136" t="s">
        <v>31</v>
      </c>
      <c r="K131" s="136" t="s">
        <v>32</v>
      </c>
      <c r="L131" s="136">
        <v>99070188</v>
      </c>
      <c r="M131" s="321"/>
    </row>
    <row r="132" spans="1:13" s="17" customFormat="1" ht="21.75" customHeight="1" x14ac:dyDescent="0.25">
      <c r="A132" s="235">
        <v>1742</v>
      </c>
      <c r="B132" s="296" t="s">
        <v>396</v>
      </c>
      <c r="C132" s="295">
        <v>201.4</v>
      </c>
      <c r="D132" s="149">
        <v>0.3</v>
      </c>
      <c r="E132" s="186">
        <f t="shared" si="4"/>
        <v>60.42</v>
      </c>
      <c r="F132" s="186"/>
      <c r="G132" s="186">
        <f t="shared" ref="G132:G195" si="5">E132-F132</f>
        <v>60.42</v>
      </c>
      <c r="H132" s="136">
        <v>7534942</v>
      </c>
      <c r="I132" s="313" t="s">
        <v>397</v>
      </c>
      <c r="J132" s="136" t="s">
        <v>31</v>
      </c>
      <c r="K132" s="136" t="s">
        <v>32</v>
      </c>
      <c r="L132" s="136">
        <v>92695758</v>
      </c>
      <c r="M132" s="321"/>
    </row>
    <row r="133" spans="1:13" s="17" customFormat="1" ht="21.75" customHeight="1" x14ac:dyDescent="0.25">
      <c r="A133" s="235">
        <v>1743</v>
      </c>
      <c r="B133" s="296" t="s">
        <v>398</v>
      </c>
      <c r="C133" s="295">
        <v>426.8</v>
      </c>
      <c r="D133" s="149">
        <v>0.3</v>
      </c>
      <c r="E133" s="186">
        <f t="shared" si="4"/>
        <v>128.04</v>
      </c>
      <c r="F133" s="186"/>
      <c r="G133" s="186">
        <f t="shared" si="5"/>
        <v>128.04</v>
      </c>
      <c r="H133" s="136">
        <v>14028717</v>
      </c>
      <c r="I133" s="311" t="s">
        <v>399</v>
      </c>
      <c r="J133" s="136" t="s">
        <v>155</v>
      </c>
      <c r="K133" s="136" t="s">
        <v>156</v>
      </c>
      <c r="L133" s="136">
        <v>98500770</v>
      </c>
      <c r="M133" s="321"/>
    </row>
    <row r="134" spans="1:13" s="17" customFormat="1" ht="21.75" customHeight="1" x14ac:dyDescent="0.25">
      <c r="A134" s="235">
        <v>1744</v>
      </c>
      <c r="B134" s="296" t="s">
        <v>400</v>
      </c>
      <c r="C134" s="295">
        <v>184</v>
      </c>
      <c r="D134" s="149">
        <v>0.3</v>
      </c>
      <c r="E134" s="186">
        <f t="shared" si="4"/>
        <v>55.199999999999996</v>
      </c>
      <c r="F134" s="186">
        <f>0.21</f>
        <v>0.21</v>
      </c>
      <c r="G134" s="186">
        <f t="shared" si="5"/>
        <v>54.989999999999995</v>
      </c>
      <c r="H134" s="136">
        <v>6653046</v>
      </c>
      <c r="I134" s="140" t="s">
        <v>401</v>
      </c>
      <c r="J134" s="136" t="s">
        <v>52</v>
      </c>
      <c r="K134" s="136" t="s">
        <v>53</v>
      </c>
      <c r="L134" s="136">
        <v>98183585</v>
      </c>
      <c r="M134" s="321"/>
    </row>
    <row r="135" spans="1:13" s="17" customFormat="1" ht="21.75" customHeight="1" x14ac:dyDescent="0.25">
      <c r="A135" s="235">
        <v>1745</v>
      </c>
      <c r="B135" s="296" t="s">
        <v>402</v>
      </c>
      <c r="C135" s="295">
        <v>145</v>
      </c>
      <c r="D135" s="149">
        <v>0.3</v>
      </c>
      <c r="E135" s="186">
        <f t="shared" si="4"/>
        <v>43.5</v>
      </c>
      <c r="F135" s="186"/>
      <c r="G135" s="186">
        <f t="shared" si="5"/>
        <v>43.5</v>
      </c>
      <c r="H135" s="136">
        <v>781826</v>
      </c>
      <c r="I135" s="311" t="s">
        <v>403</v>
      </c>
      <c r="J135" s="136" t="s">
        <v>52</v>
      </c>
      <c r="K135" s="136" t="s">
        <v>53</v>
      </c>
      <c r="L135" s="136">
        <v>92440088</v>
      </c>
      <c r="M135" s="321"/>
    </row>
    <row r="136" spans="1:13" s="17" customFormat="1" ht="21.75" customHeight="1" x14ac:dyDescent="0.25">
      <c r="A136" s="235">
        <v>1748</v>
      </c>
      <c r="B136" s="296" t="s">
        <v>169</v>
      </c>
      <c r="C136" s="295">
        <v>35.6</v>
      </c>
      <c r="D136" s="149">
        <v>0.3</v>
      </c>
      <c r="E136" s="186">
        <f t="shared" si="4"/>
        <v>10.68</v>
      </c>
      <c r="F136" s="186"/>
      <c r="G136" s="186">
        <f t="shared" si="5"/>
        <v>10.68</v>
      </c>
      <c r="H136" s="136">
        <v>1354182</v>
      </c>
      <c r="I136" s="313" t="s">
        <v>170</v>
      </c>
      <c r="J136" s="136" t="s">
        <v>31</v>
      </c>
      <c r="K136" s="136" t="s">
        <v>32</v>
      </c>
      <c r="L136" s="136">
        <v>98953022</v>
      </c>
      <c r="M136" s="321"/>
    </row>
    <row r="137" spans="1:13" s="17" customFormat="1" ht="21.75" customHeight="1" x14ac:dyDescent="0.25">
      <c r="A137" s="235">
        <v>1749</v>
      </c>
      <c r="B137" s="296" t="s">
        <v>404</v>
      </c>
      <c r="C137" s="295">
        <v>209.7</v>
      </c>
      <c r="D137" s="149">
        <v>0.3</v>
      </c>
      <c r="E137" s="186">
        <f t="shared" si="4"/>
        <v>62.91</v>
      </c>
      <c r="F137" s="186"/>
      <c r="G137" s="186">
        <f t="shared" si="5"/>
        <v>62.91</v>
      </c>
      <c r="H137" s="136">
        <v>1304923</v>
      </c>
      <c r="I137" s="311" t="s">
        <v>405</v>
      </c>
      <c r="J137" s="136" t="s">
        <v>52</v>
      </c>
      <c r="K137" s="136" t="s">
        <v>53</v>
      </c>
      <c r="L137" s="136">
        <v>97384393</v>
      </c>
      <c r="M137" s="321"/>
    </row>
    <row r="138" spans="1:13" s="17" customFormat="1" ht="21.75" customHeight="1" x14ac:dyDescent="0.25">
      <c r="A138" s="235">
        <v>1750</v>
      </c>
      <c r="B138" s="296" t="s">
        <v>406</v>
      </c>
      <c r="C138" s="295">
        <v>209.7</v>
      </c>
      <c r="D138" s="149">
        <v>0.3</v>
      </c>
      <c r="E138" s="186">
        <f t="shared" si="4"/>
        <v>62.91</v>
      </c>
      <c r="F138" s="186"/>
      <c r="G138" s="186">
        <f t="shared" si="5"/>
        <v>62.91</v>
      </c>
      <c r="H138" s="136">
        <v>18638806</v>
      </c>
      <c r="I138" s="311" t="s">
        <v>407</v>
      </c>
      <c r="J138" s="136" t="s">
        <v>71</v>
      </c>
      <c r="K138" s="136" t="s">
        <v>72</v>
      </c>
      <c r="L138" s="136">
        <v>98595777</v>
      </c>
      <c r="M138" s="321"/>
    </row>
    <row r="139" spans="1:13" s="17" customFormat="1" ht="21.75" customHeight="1" x14ac:dyDescent="0.25">
      <c r="A139" s="235">
        <v>1752</v>
      </c>
      <c r="B139" s="296" t="s">
        <v>171</v>
      </c>
      <c r="C139" s="295">
        <v>235.4</v>
      </c>
      <c r="D139" s="149">
        <v>0.3</v>
      </c>
      <c r="E139" s="186">
        <f t="shared" si="4"/>
        <v>70.62</v>
      </c>
      <c r="F139" s="186"/>
      <c r="G139" s="186">
        <f t="shared" si="5"/>
        <v>70.62</v>
      </c>
      <c r="H139" s="136">
        <v>2808921</v>
      </c>
      <c r="I139" s="311" t="s">
        <v>139</v>
      </c>
      <c r="J139" s="136" t="s">
        <v>31</v>
      </c>
      <c r="K139" s="136" t="s">
        <v>32</v>
      </c>
      <c r="L139" s="136">
        <v>92740803</v>
      </c>
      <c r="M139" s="321"/>
    </row>
    <row r="140" spans="1:13" s="17" customFormat="1" ht="21.75" customHeight="1" x14ac:dyDescent="0.25">
      <c r="A140" s="235">
        <v>1753</v>
      </c>
      <c r="B140" s="296" t="s">
        <v>408</v>
      </c>
      <c r="C140" s="295">
        <v>185.9</v>
      </c>
      <c r="D140" s="149">
        <v>0.3</v>
      </c>
      <c r="E140" s="186">
        <f t="shared" si="4"/>
        <v>55.77</v>
      </c>
      <c r="F140" s="186"/>
      <c r="G140" s="186">
        <f t="shared" si="5"/>
        <v>55.77</v>
      </c>
      <c r="H140" s="136">
        <v>6496182</v>
      </c>
      <c r="I140" s="317" t="s">
        <v>409</v>
      </c>
      <c r="J140" s="136" t="s">
        <v>251</v>
      </c>
      <c r="K140" s="136" t="s">
        <v>252</v>
      </c>
      <c r="L140" s="136">
        <v>98595777</v>
      </c>
      <c r="M140" s="321"/>
    </row>
    <row r="141" spans="1:13" s="17" customFormat="1" ht="21.75" customHeight="1" x14ac:dyDescent="0.25">
      <c r="A141" s="235">
        <v>1754</v>
      </c>
      <c r="B141" s="296" t="s">
        <v>410</v>
      </c>
      <c r="C141" s="295">
        <v>537.9</v>
      </c>
      <c r="D141" s="149">
        <v>0.3</v>
      </c>
      <c r="E141" s="186">
        <f t="shared" si="4"/>
        <v>161.36999999999998</v>
      </c>
      <c r="F141" s="186"/>
      <c r="G141" s="186">
        <f t="shared" si="5"/>
        <v>161.36999999999998</v>
      </c>
      <c r="H141" s="136">
        <v>1523934</v>
      </c>
      <c r="I141" s="311" t="s">
        <v>411</v>
      </c>
      <c r="J141" s="136" t="s">
        <v>71</v>
      </c>
      <c r="K141" s="136" t="s">
        <v>72</v>
      </c>
      <c r="L141" s="136"/>
      <c r="M141" s="321"/>
    </row>
    <row r="142" spans="1:13" s="17" customFormat="1" ht="21.75" customHeight="1" x14ac:dyDescent="0.25">
      <c r="A142" s="235">
        <v>1755</v>
      </c>
      <c r="B142" s="296" t="s">
        <v>69</v>
      </c>
      <c r="C142" s="295">
        <v>325.8</v>
      </c>
      <c r="D142" s="149">
        <v>0.3</v>
      </c>
      <c r="E142" s="186">
        <f t="shared" si="4"/>
        <v>97.74</v>
      </c>
      <c r="F142" s="186"/>
      <c r="G142" s="186">
        <f t="shared" si="5"/>
        <v>97.74</v>
      </c>
      <c r="H142" s="136">
        <v>10592143</v>
      </c>
      <c r="I142" s="311" t="s">
        <v>70</v>
      </c>
      <c r="J142" s="136" t="s">
        <v>71</v>
      </c>
      <c r="K142" s="136" t="s">
        <v>72</v>
      </c>
      <c r="L142" s="136"/>
      <c r="M142" s="321"/>
    </row>
    <row r="143" spans="1:13" s="17" customFormat="1" ht="21.75" customHeight="1" x14ac:dyDescent="0.25">
      <c r="A143" s="235">
        <v>1756</v>
      </c>
      <c r="B143" s="296" t="s">
        <v>412</v>
      </c>
      <c r="C143" s="295">
        <v>92.7</v>
      </c>
      <c r="D143" s="149">
        <v>0.3</v>
      </c>
      <c r="E143" s="186">
        <f t="shared" si="4"/>
        <v>27.81</v>
      </c>
      <c r="F143" s="186"/>
      <c r="G143" s="186">
        <f t="shared" si="5"/>
        <v>27.81</v>
      </c>
      <c r="H143" s="136">
        <v>381412</v>
      </c>
      <c r="I143" s="311" t="s">
        <v>413</v>
      </c>
      <c r="J143" s="136" t="s">
        <v>31</v>
      </c>
      <c r="K143" s="136" t="s">
        <v>32</v>
      </c>
      <c r="L143" s="136">
        <v>99293035</v>
      </c>
      <c r="M143" s="321"/>
    </row>
    <row r="144" spans="1:13" s="17" customFormat="1" ht="21.75" customHeight="1" x14ac:dyDescent="0.25">
      <c r="A144" s="235">
        <v>1758</v>
      </c>
      <c r="B144" s="296" t="s">
        <v>74</v>
      </c>
      <c r="C144" s="295">
        <v>111.5</v>
      </c>
      <c r="D144" s="149">
        <v>0.3</v>
      </c>
      <c r="E144" s="186">
        <f t="shared" si="4"/>
        <v>33.449999999999996</v>
      </c>
      <c r="F144" s="186"/>
      <c r="G144" s="186">
        <f t="shared" si="5"/>
        <v>33.449999999999996</v>
      </c>
      <c r="H144" s="136">
        <v>2443662</v>
      </c>
      <c r="I144" s="311" t="s">
        <v>75</v>
      </c>
      <c r="J144" s="136" t="s">
        <v>31</v>
      </c>
      <c r="K144" s="136" t="s">
        <v>32</v>
      </c>
      <c r="L144" s="136">
        <v>99608818</v>
      </c>
      <c r="M144" s="321"/>
    </row>
    <row r="145" spans="1:13" s="17" customFormat="1" ht="21.75" customHeight="1" x14ac:dyDescent="0.25">
      <c r="A145" s="235">
        <v>1759</v>
      </c>
      <c r="B145" s="296" t="s">
        <v>415</v>
      </c>
      <c r="C145" s="295">
        <v>118.5</v>
      </c>
      <c r="D145" s="149">
        <v>0.3</v>
      </c>
      <c r="E145" s="186">
        <f t="shared" si="4"/>
        <v>35.549999999999997</v>
      </c>
      <c r="F145" s="186"/>
      <c r="G145" s="186">
        <f t="shared" si="5"/>
        <v>35.549999999999997</v>
      </c>
      <c r="H145" s="136">
        <v>5029866</v>
      </c>
      <c r="I145" s="311" t="s">
        <v>416</v>
      </c>
      <c r="J145" s="136" t="s">
        <v>31</v>
      </c>
      <c r="K145" s="136" t="s">
        <v>32</v>
      </c>
      <c r="L145" s="136"/>
      <c r="M145" s="321"/>
    </row>
    <row r="146" spans="1:13" s="17" customFormat="1" ht="21.75" customHeight="1" x14ac:dyDescent="0.25">
      <c r="A146" s="235">
        <v>1760</v>
      </c>
      <c r="B146" s="296" t="s">
        <v>418</v>
      </c>
      <c r="C146" s="295">
        <v>143.80000000000001</v>
      </c>
      <c r="D146" s="149">
        <v>0.3</v>
      </c>
      <c r="E146" s="186">
        <f t="shared" si="4"/>
        <v>43.14</v>
      </c>
      <c r="F146" s="186"/>
      <c r="G146" s="186">
        <f t="shared" si="5"/>
        <v>43.14</v>
      </c>
      <c r="H146" s="136">
        <v>3847339</v>
      </c>
      <c r="I146" s="311" t="s">
        <v>419</v>
      </c>
      <c r="J146" s="136" t="s">
        <v>31</v>
      </c>
      <c r="K146" s="136" t="s">
        <v>32</v>
      </c>
      <c r="L146" s="136">
        <v>99626634</v>
      </c>
      <c r="M146" s="321"/>
    </row>
    <row r="147" spans="1:13" s="17" customFormat="1" ht="21.75" customHeight="1" x14ac:dyDescent="0.25">
      <c r="A147" s="235">
        <v>1763</v>
      </c>
      <c r="B147" s="296" t="s">
        <v>420</v>
      </c>
      <c r="C147" s="295">
        <v>97.9</v>
      </c>
      <c r="D147" s="149">
        <v>0.3</v>
      </c>
      <c r="E147" s="186">
        <f t="shared" si="4"/>
        <v>29.37</v>
      </c>
      <c r="F147" s="186"/>
      <c r="G147" s="186">
        <f t="shared" si="5"/>
        <v>29.37</v>
      </c>
      <c r="H147" s="136">
        <v>5384098</v>
      </c>
      <c r="I147" s="311" t="s">
        <v>421</v>
      </c>
      <c r="J147" s="136" t="s">
        <v>31</v>
      </c>
      <c r="K147" s="136" t="s">
        <v>32</v>
      </c>
      <c r="L147" s="136">
        <v>99199287</v>
      </c>
      <c r="M147" s="321"/>
    </row>
    <row r="148" spans="1:13" s="17" customFormat="1" ht="21.75" customHeight="1" x14ac:dyDescent="0.25">
      <c r="A148" s="235">
        <v>1764</v>
      </c>
      <c r="B148" s="296" t="s">
        <v>422</v>
      </c>
      <c r="C148" s="295">
        <v>40</v>
      </c>
      <c r="D148" s="149">
        <v>0.3</v>
      </c>
      <c r="E148" s="186">
        <f t="shared" si="4"/>
        <v>12</v>
      </c>
      <c r="F148" s="186"/>
      <c r="G148" s="186">
        <f t="shared" si="5"/>
        <v>12</v>
      </c>
      <c r="H148" s="136">
        <v>6923798</v>
      </c>
      <c r="I148" s="313">
        <v>1023524004017</v>
      </c>
      <c r="J148" s="136" t="s">
        <v>26</v>
      </c>
      <c r="K148" s="136" t="s">
        <v>27</v>
      </c>
      <c r="L148" s="136">
        <v>93955557</v>
      </c>
      <c r="M148" s="321"/>
    </row>
    <row r="149" spans="1:13" s="17" customFormat="1" ht="21.75" customHeight="1" x14ac:dyDescent="0.25">
      <c r="A149" s="235">
        <v>1766</v>
      </c>
      <c r="B149" s="296" t="s">
        <v>423</v>
      </c>
      <c r="C149" s="295">
        <v>414.6</v>
      </c>
      <c r="D149" s="149">
        <v>0.3</v>
      </c>
      <c r="E149" s="186">
        <f t="shared" si="4"/>
        <v>124.38</v>
      </c>
      <c r="F149" s="186"/>
      <c r="G149" s="186">
        <f t="shared" si="5"/>
        <v>124.38</v>
      </c>
      <c r="H149" s="136">
        <v>19548574</v>
      </c>
      <c r="I149" s="311" t="s">
        <v>424</v>
      </c>
      <c r="J149" s="136" t="s">
        <v>31</v>
      </c>
      <c r="K149" s="136" t="s">
        <v>32</v>
      </c>
      <c r="L149" s="136">
        <v>92924743</v>
      </c>
      <c r="M149" s="321"/>
    </row>
    <row r="150" spans="1:13" s="17" customFormat="1" ht="21.75" customHeight="1" x14ac:dyDescent="0.25">
      <c r="A150" s="235">
        <v>1768</v>
      </c>
      <c r="B150" s="296" t="s">
        <v>172</v>
      </c>
      <c r="C150" s="295">
        <v>145.69999999999999</v>
      </c>
      <c r="D150" s="149">
        <v>0.3</v>
      </c>
      <c r="E150" s="186">
        <f t="shared" si="4"/>
        <v>43.709999999999994</v>
      </c>
      <c r="F150" s="186"/>
      <c r="G150" s="186">
        <f t="shared" si="5"/>
        <v>43.709999999999994</v>
      </c>
      <c r="H150" s="136">
        <v>13899464</v>
      </c>
      <c r="I150" s="140" t="s">
        <v>173</v>
      </c>
      <c r="J150" s="136" t="s">
        <v>31</v>
      </c>
      <c r="K150" s="136" t="s">
        <v>32</v>
      </c>
      <c r="L150" s="136">
        <v>99166449</v>
      </c>
      <c r="M150" s="321"/>
    </row>
    <row r="151" spans="1:13" s="17" customFormat="1" ht="21.75" customHeight="1" x14ac:dyDescent="0.25">
      <c r="A151" s="235">
        <v>1769</v>
      </c>
      <c r="B151" s="296" t="s">
        <v>425</v>
      </c>
      <c r="C151" s="295">
        <v>117.4</v>
      </c>
      <c r="D151" s="149">
        <v>0.3</v>
      </c>
      <c r="E151" s="186">
        <f t="shared" si="4"/>
        <v>35.22</v>
      </c>
      <c r="F151" s="186"/>
      <c r="G151" s="186">
        <f t="shared" si="5"/>
        <v>35.22</v>
      </c>
      <c r="H151" s="136">
        <v>19322478</v>
      </c>
      <c r="I151" s="311" t="s">
        <v>426</v>
      </c>
      <c r="J151" s="136" t="s">
        <v>31</v>
      </c>
      <c r="K151" s="136" t="s">
        <v>32</v>
      </c>
      <c r="L151" s="136">
        <v>99180404</v>
      </c>
      <c r="M151" s="321"/>
    </row>
    <row r="152" spans="1:13" s="17" customFormat="1" ht="21.75" customHeight="1" x14ac:dyDescent="0.25">
      <c r="A152" s="235">
        <v>1770</v>
      </c>
      <c r="B152" s="296" t="s">
        <v>427</v>
      </c>
      <c r="C152" s="295">
        <v>101</v>
      </c>
      <c r="D152" s="149">
        <v>0.3</v>
      </c>
      <c r="E152" s="186">
        <f t="shared" si="4"/>
        <v>30.299999999999997</v>
      </c>
      <c r="F152" s="186"/>
      <c r="G152" s="186">
        <f t="shared" si="5"/>
        <v>30.299999999999997</v>
      </c>
      <c r="H152" s="136">
        <v>24534799</v>
      </c>
      <c r="I152" s="311" t="s">
        <v>428</v>
      </c>
      <c r="J152" s="136" t="s">
        <v>26</v>
      </c>
      <c r="K152" s="136" t="s">
        <v>27</v>
      </c>
      <c r="L152" s="136"/>
      <c r="M152" s="321"/>
    </row>
    <row r="153" spans="1:13" s="17" customFormat="1" ht="21.75" customHeight="1" x14ac:dyDescent="0.25">
      <c r="A153" s="235">
        <v>1771</v>
      </c>
      <c r="B153" s="296" t="s">
        <v>174</v>
      </c>
      <c r="C153" s="295">
        <v>173.9</v>
      </c>
      <c r="D153" s="149">
        <v>0.3</v>
      </c>
      <c r="E153" s="186">
        <f t="shared" si="4"/>
        <v>52.17</v>
      </c>
      <c r="F153" s="186"/>
      <c r="G153" s="186">
        <f t="shared" si="5"/>
        <v>52.17</v>
      </c>
      <c r="H153" s="136">
        <v>5044401</v>
      </c>
      <c r="I153" s="311" t="s">
        <v>132</v>
      </c>
      <c r="J153" s="136" t="s">
        <v>31</v>
      </c>
      <c r="K153" s="136" t="s">
        <v>32</v>
      </c>
      <c r="L153" s="136">
        <v>93556616</v>
      </c>
      <c r="M153" s="321"/>
    </row>
    <row r="154" spans="1:13" s="106" customFormat="1" ht="21.75" customHeight="1" x14ac:dyDescent="0.25">
      <c r="A154" s="235">
        <v>1772</v>
      </c>
      <c r="B154" s="296" t="s">
        <v>429</v>
      </c>
      <c r="C154" s="295">
        <v>379.1</v>
      </c>
      <c r="D154" s="149">
        <v>0.3</v>
      </c>
      <c r="E154" s="186">
        <f t="shared" si="4"/>
        <v>113.73</v>
      </c>
      <c r="F154" s="186"/>
      <c r="G154" s="186">
        <f t="shared" si="5"/>
        <v>113.73</v>
      </c>
      <c r="H154" s="136">
        <v>5217694</v>
      </c>
      <c r="I154" s="311" t="s">
        <v>430</v>
      </c>
      <c r="J154" s="136" t="s">
        <v>52</v>
      </c>
      <c r="K154" s="136" t="s">
        <v>53</v>
      </c>
      <c r="L154" s="136">
        <v>92749180</v>
      </c>
      <c r="M154" s="321"/>
    </row>
    <row r="155" spans="1:13" s="17" customFormat="1" ht="21.75" customHeight="1" x14ac:dyDescent="0.25">
      <c r="A155" s="235">
        <v>1773</v>
      </c>
      <c r="B155" s="296" t="s">
        <v>432</v>
      </c>
      <c r="C155" s="295">
        <v>125.5</v>
      </c>
      <c r="D155" s="149">
        <v>0.3</v>
      </c>
      <c r="E155" s="186">
        <f t="shared" si="4"/>
        <v>37.65</v>
      </c>
      <c r="F155" s="186"/>
      <c r="G155" s="186">
        <f t="shared" si="5"/>
        <v>37.65</v>
      </c>
      <c r="H155" s="136">
        <v>20562603</v>
      </c>
      <c r="I155" s="311" t="s">
        <v>433</v>
      </c>
      <c r="J155" s="136" t="s">
        <v>52</v>
      </c>
      <c r="K155" s="136" t="s">
        <v>53</v>
      </c>
      <c r="L155" s="136">
        <v>92755626</v>
      </c>
      <c r="M155" s="321"/>
    </row>
    <row r="156" spans="1:13" s="17" customFormat="1" ht="21.75" customHeight="1" x14ac:dyDescent="0.25">
      <c r="A156" s="235">
        <v>1774</v>
      </c>
      <c r="B156" s="296" t="s">
        <v>175</v>
      </c>
      <c r="C156" s="295">
        <v>128.80000000000001</v>
      </c>
      <c r="D156" s="149">
        <v>0.3</v>
      </c>
      <c r="E156" s="186">
        <f t="shared" si="4"/>
        <v>38.64</v>
      </c>
      <c r="F156" s="186"/>
      <c r="G156" s="186">
        <f t="shared" si="5"/>
        <v>38.64</v>
      </c>
      <c r="H156" s="136">
        <v>20865047</v>
      </c>
      <c r="I156" s="311" t="s">
        <v>176</v>
      </c>
      <c r="J156" s="136" t="s">
        <v>31</v>
      </c>
      <c r="K156" s="136" t="s">
        <v>32</v>
      </c>
      <c r="L156" s="136">
        <v>98825083</v>
      </c>
      <c r="M156" s="321"/>
    </row>
    <row r="157" spans="1:13" s="17" customFormat="1" ht="21.75" customHeight="1" x14ac:dyDescent="0.25">
      <c r="A157" s="235">
        <v>1775</v>
      </c>
      <c r="B157" s="296" t="s">
        <v>434</v>
      </c>
      <c r="C157" s="295">
        <v>296</v>
      </c>
      <c r="D157" s="149">
        <v>0.3</v>
      </c>
      <c r="E157" s="186">
        <f t="shared" si="4"/>
        <v>88.8</v>
      </c>
      <c r="F157" s="186"/>
      <c r="G157" s="186">
        <f t="shared" si="5"/>
        <v>88.8</v>
      </c>
      <c r="H157" s="136">
        <v>18659223</v>
      </c>
      <c r="I157" s="316" t="s">
        <v>435</v>
      </c>
      <c r="J157" s="136" t="s">
        <v>31</v>
      </c>
      <c r="K157" s="136" t="s">
        <v>32</v>
      </c>
      <c r="L157" s="136">
        <v>93980028</v>
      </c>
      <c r="M157" s="321"/>
    </row>
    <row r="158" spans="1:13" s="17" customFormat="1" ht="21.75" customHeight="1" x14ac:dyDescent="0.25">
      <c r="A158" s="235">
        <v>1776</v>
      </c>
      <c r="B158" s="296" t="s">
        <v>436</v>
      </c>
      <c r="C158" s="295">
        <v>0</v>
      </c>
      <c r="D158" s="149">
        <v>0.3</v>
      </c>
      <c r="E158" s="186">
        <f t="shared" si="4"/>
        <v>0</v>
      </c>
      <c r="F158" s="186"/>
      <c r="G158" s="186">
        <f t="shared" si="5"/>
        <v>0</v>
      </c>
      <c r="H158" s="136">
        <v>30837376</v>
      </c>
      <c r="I158" s="316" t="s">
        <v>437</v>
      </c>
      <c r="J158" s="136" t="s">
        <v>31</v>
      </c>
      <c r="K158" s="136" t="s">
        <v>32</v>
      </c>
      <c r="L158" s="136">
        <v>92445594</v>
      </c>
      <c r="M158" s="321"/>
    </row>
    <row r="159" spans="1:13" s="17" customFormat="1" ht="21.75" customHeight="1" x14ac:dyDescent="0.25">
      <c r="A159" s="235">
        <v>1777</v>
      </c>
      <c r="B159" s="296" t="s">
        <v>438</v>
      </c>
      <c r="C159" s="295">
        <v>384</v>
      </c>
      <c r="D159" s="149">
        <v>0.3</v>
      </c>
      <c r="E159" s="186">
        <f t="shared" si="4"/>
        <v>115.19999999999999</v>
      </c>
      <c r="F159" s="186"/>
      <c r="G159" s="186">
        <f t="shared" si="5"/>
        <v>115.19999999999999</v>
      </c>
      <c r="H159" s="136">
        <v>15107764</v>
      </c>
      <c r="I159" s="316" t="s">
        <v>439</v>
      </c>
      <c r="J159" s="136" t="s">
        <v>121</v>
      </c>
      <c r="K159" s="136" t="s">
        <v>122</v>
      </c>
      <c r="L159" s="136"/>
      <c r="M159" s="321"/>
    </row>
    <row r="160" spans="1:13" s="17" customFormat="1" ht="21.75" customHeight="1" x14ac:dyDescent="0.25">
      <c r="A160" s="235">
        <v>1778</v>
      </c>
      <c r="B160" s="296" t="s">
        <v>440</v>
      </c>
      <c r="C160" s="295">
        <v>45</v>
      </c>
      <c r="D160" s="149">
        <v>0.3</v>
      </c>
      <c r="E160" s="186">
        <f t="shared" si="4"/>
        <v>13.5</v>
      </c>
      <c r="F160" s="186"/>
      <c r="G160" s="186">
        <f t="shared" si="5"/>
        <v>13.5</v>
      </c>
      <c r="H160" s="136">
        <v>24984002</v>
      </c>
      <c r="I160" s="311" t="s">
        <v>441</v>
      </c>
      <c r="J160" s="136" t="s">
        <v>31</v>
      </c>
      <c r="K160" s="136" t="s">
        <v>32</v>
      </c>
      <c r="L160" s="136">
        <v>99033018</v>
      </c>
      <c r="M160" s="321"/>
    </row>
    <row r="161" spans="1:15" s="17" customFormat="1" ht="21.75" customHeight="1" x14ac:dyDescent="0.25">
      <c r="A161" s="235">
        <v>1780</v>
      </c>
      <c r="B161" s="296" t="s">
        <v>442</v>
      </c>
      <c r="C161" s="295">
        <v>39.5</v>
      </c>
      <c r="D161" s="149">
        <v>0.3</v>
      </c>
      <c r="E161" s="186">
        <f t="shared" si="4"/>
        <v>11.85</v>
      </c>
      <c r="F161" s="186"/>
      <c r="G161" s="186">
        <f t="shared" si="5"/>
        <v>11.85</v>
      </c>
      <c r="H161" s="136">
        <v>6228066</v>
      </c>
      <c r="I161" s="311" t="s">
        <v>443</v>
      </c>
      <c r="J161" s="136" t="s">
        <v>31</v>
      </c>
      <c r="K161" s="136" t="s">
        <v>32</v>
      </c>
      <c r="L161" s="136">
        <v>91709355</v>
      </c>
      <c r="M161" s="321"/>
    </row>
    <row r="162" spans="1:15" s="17" customFormat="1" ht="21.75" customHeight="1" x14ac:dyDescent="0.25">
      <c r="A162" s="235">
        <v>1781</v>
      </c>
      <c r="B162" s="296" t="s">
        <v>444</v>
      </c>
      <c r="C162" s="295">
        <v>40</v>
      </c>
      <c r="D162" s="149">
        <v>0.3</v>
      </c>
      <c r="E162" s="186">
        <f t="shared" si="4"/>
        <v>12</v>
      </c>
      <c r="F162" s="186"/>
      <c r="G162" s="186">
        <f t="shared" si="5"/>
        <v>12</v>
      </c>
      <c r="H162" s="136">
        <v>7287174</v>
      </c>
      <c r="I162" s="311" t="s">
        <v>445</v>
      </c>
      <c r="J162" s="136" t="s">
        <v>52</v>
      </c>
      <c r="K162" s="136" t="s">
        <v>53</v>
      </c>
      <c r="L162" s="136">
        <v>99673747</v>
      </c>
      <c r="M162" s="321"/>
    </row>
    <row r="163" spans="1:15" s="17" customFormat="1" ht="21.75" customHeight="1" x14ac:dyDescent="0.25">
      <c r="A163" s="235">
        <v>1782</v>
      </c>
      <c r="B163" s="296" t="s">
        <v>446</v>
      </c>
      <c r="C163" s="295">
        <v>14</v>
      </c>
      <c r="D163" s="149">
        <v>0.3</v>
      </c>
      <c r="E163" s="186">
        <f t="shared" si="4"/>
        <v>4.2</v>
      </c>
      <c r="F163" s="186">
        <f>0.17</f>
        <v>0.17</v>
      </c>
      <c r="G163" s="186">
        <f t="shared" si="5"/>
        <v>4.03</v>
      </c>
      <c r="H163" s="136">
        <v>19818711</v>
      </c>
      <c r="I163" s="311" t="s">
        <v>447</v>
      </c>
      <c r="J163" s="136" t="s">
        <v>31</v>
      </c>
      <c r="K163" s="136" t="s">
        <v>32</v>
      </c>
      <c r="L163" s="136">
        <v>92204006</v>
      </c>
      <c r="M163" s="321"/>
      <c r="N163" s="325" t="s">
        <v>703</v>
      </c>
      <c r="O163" s="628" t="s">
        <v>705</v>
      </c>
    </row>
    <row r="164" spans="1:15" s="17" customFormat="1" ht="21.75" customHeight="1" x14ac:dyDescent="0.25">
      <c r="A164" s="235">
        <v>1783</v>
      </c>
      <c r="B164" s="296" t="s">
        <v>177</v>
      </c>
      <c r="C164" s="295">
        <v>38</v>
      </c>
      <c r="D164" s="149">
        <v>0.3</v>
      </c>
      <c r="E164" s="186">
        <f t="shared" si="4"/>
        <v>11.4</v>
      </c>
      <c r="F164" s="186"/>
      <c r="G164" s="186">
        <f t="shared" si="5"/>
        <v>11.4</v>
      </c>
      <c r="H164" s="136">
        <v>1500187</v>
      </c>
      <c r="I164" s="311" t="s">
        <v>178</v>
      </c>
      <c r="J164" s="136" t="s">
        <v>31</v>
      </c>
      <c r="K164" s="136" t="s">
        <v>32</v>
      </c>
      <c r="L164" s="136">
        <v>91159122</v>
      </c>
      <c r="M164" s="321"/>
    </row>
    <row r="165" spans="1:15" s="17" customFormat="1" ht="21.75" customHeight="1" x14ac:dyDescent="0.25">
      <c r="A165" s="235">
        <v>1784</v>
      </c>
      <c r="B165" s="296" t="s">
        <v>448</v>
      </c>
      <c r="C165" s="295">
        <v>308.7</v>
      </c>
      <c r="D165" s="149">
        <v>0.3</v>
      </c>
      <c r="E165" s="186">
        <f t="shared" si="4"/>
        <v>92.61</v>
      </c>
      <c r="F165" s="186"/>
      <c r="G165" s="186">
        <f t="shared" si="5"/>
        <v>92.61</v>
      </c>
      <c r="H165" s="136">
        <v>19534652</v>
      </c>
      <c r="I165" s="313" t="s">
        <v>449</v>
      </c>
      <c r="J165" s="136" t="s">
        <v>52</v>
      </c>
      <c r="K165" s="136" t="s">
        <v>53</v>
      </c>
      <c r="L165" s="136">
        <v>99296177</v>
      </c>
      <c r="M165" s="321"/>
    </row>
    <row r="166" spans="1:15" s="17" customFormat="1" ht="21.75" customHeight="1" x14ac:dyDescent="0.25">
      <c r="A166" s="235">
        <v>1785</v>
      </c>
      <c r="B166" s="296" t="s">
        <v>179</v>
      </c>
      <c r="C166" s="295">
        <v>152.6</v>
      </c>
      <c r="D166" s="149">
        <v>0.3</v>
      </c>
      <c r="E166" s="186">
        <f t="shared" si="4"/>
        <v>45.779999999999994</v>
      </c>
      <c r="F166" s="186"/>
      <c r="G166" s="186">
        <f t="shared" si="5"/>
        <v>45.779999999999994</v>
      </c>
      <c r="H166" s="136">
        <v>7374743</v>
      </c>
      <c r="I166" s="311" t="s">
        <v>180</v>
      </c>
      <c r="J166" s="136" t="s">
        <v>31</v>
      </c>
      <c r="K166" s="136" t="s">
        <v>32</v>
      </c>
      <c r="L166" s="136">
        <v>93875087</v>
      </c>
      <c r="M166" s="321"/>
    </row>
    <row r="167" spans="1:15" s="17" customFormat="1" ht="21.75" customHeight="1" x14ac:dyDescent="0.25">
      <c r="A167" s="235">
        <v>1786</v>
      </c>
      <c r="B167" s="296" t="s">
        <v>181</v>
      </c>
      <c r="C167" s="295">
        <v>172</v>
      </c>
      <c r="D167" s="149">
        <v>0.3</v>
      </c>
      <c r="E167" s="186">
        <f t="shared" si="4"/>
        <v>51.6</v>
      </c>
      <c r="F167" s="186"/>
      <c r="G167" s="186">
        <f t="shared" si="5"/>
        <v>51.6</v>
      </c>
      <c r="H167" s="136">
        <v>5614637</v>
      </c>
      <c r="I167" s="311" t="s">
        <v>182</v>
      </c>
      <c r="J167" s="136" t="s">
        <v>31</v>
      </c>
      <c r="K167" s="136" t="s">
        <v>32</v>
      </c>
      <c r="L167" s="136">
        <v>92924645</v>
      </c>
      <c r="M167" s="321"/>
    </row>
    <row r="168" spans="1:15" s="17" customFormat="1" ht="21.75" customHeight="1" x14ac:dyDescent="0.25">
      <c r="A168" s="235">
        <v>1787</v>
      </c>
      <c r="B168" s="296" t="s">
        <v>77</v>
      </c>
      <c r="C168" s="295">
        <v>147.30000000000001</v>
      </c>
      <c r="D168" s="149">
        <v>0.3</v>
      </c>
      <c r="E168" s="186">
        <f t="shared" si="4"/>
        <v>44.190000000000005</v>
      </c>
      <c r="F168" s="186"/>
      <c r="G168" s="186">
        <f t="shared" si="5"/>
        <v>44.190000000000005</v>
      </c>
      <c r="H168" s="136">
        <v>22980157</v>
      </c>
      <c r="I168" s="311" t="s">
        <v>78</v>
      </c>
      <c r="J168" s="136" t="s">
        <v>31</v>
      </c>
      <c r="K168" s="136" t="s">
        <v>32</v>
      </c>
      <c r="L168" s="136">
        <v>91490491</v>
      </c>
      <c r="M168" s="321"/>
    </row>
    <row r="169" spans="1:15" s="17" customFormat="1" ht="21.75" customHeight="1" x14ac:dyDescent="0.25">
      <c r="A169" s="235">
        <v>1788</v>
      </c>
      <c r="B169" s="296" t="s">
        <v>450</v>
      </c>
      <c r="C169" s="295">
        <v>25.9</v>
      </c>
      <c r="D169" s="149">
        <v>0.3</v>
      </c>
      <c r="E169" s="186">
        <f t="shared" si="4"/>
        <v>7.77</v>
      </c>
      <c r="F169" s="186"/>
      <c r="G169" s="186">
        <f t="shared" si="5"/>
        <v>7.77</v>
      </c>
      <c r="H169" s="136">
        <v>25632707</v>
      </c>
      <c r="I169" s="311" t="s">
        <v>451</v>
      </c>
      <c r="J169" s="136" t="s">
        <v>31</v>
      </c>
      <c r="K169" s="136" t="s">
        <v>32</v>
      </c>
      <c r="L169" s="136"/>
      <c r="M169" s="321"/>
    </row>
    <row r="170" spans="1:15" s="17" customFormat="1" ht="21.75" customHeight="1" x14ac:dyDescent="0.25">
      <c r="A170" s="235">
        <v>1789</v>
      </c>
      <c r="B170" s="296" t="s">
        <v>452</v>
      </c>
      <c r="C170" s="295">
        <v>196.8</v>
      </c>
      <c r="D170" s="149">
        <v>0.3</v>
      </c>
      <c r="E170" s="186">
        <f t="shared" si="4"/>
        <v>59.04</v>
      </c>
      <c r="F170" s="186"/>
      <c r="G170" s="186">
        <f t="shared" si="5"/>
        <v>59.04</v>
      </c>
      <c r="H170" s="136">
        <v>6687053</v>
      </c>
      <c r="I170" s="311" t="s">
        <v>453</v>
      </c>
      <c r="J170" s="136" t="s">
        <v>31</v>
      </c>
      <c r="K170" s="136" t="s">
        <v>32</v>
      </c>
      <c r="L170" s="136"/>
      <c r="M170" s="321"/>
    </row>
    <row r="171" spans="1:15" s="17" customFormat="1" ht="21.75" customHeight="1" x14ac:dyDescent="0.25">
      <c r="A171" s="235">
        <v>1790</v>
      </c>
      <c r="B171" s="296" t="s">
        <v>454</v>
      </c>
      <c r="C171" s="295">
        <v>0</v>
      </c>
      <c r="D171" s="149">
        <v>0.3</v>
      </c>
      <c r="E171" s="186">
        <f t="shared" si="4"/>
        <v>0</v>
      </c>
      <c r="F171" s="186"/>
      <c r="G171" s="186">
        <f t="shared" si="5"/>
        <v>0</v>
      </c>
      <c r="H171" s="136">
        <v>22971771</v>
      </c>
      <c r="I171" s="311" t="s">
        <v>455</v>
      </c>
      <c r="J171" s="136" t="s">
        <v>31</v>
      </c>
      <c r="K171" s="136" t="s">
        <v>32</v>
      </c>
      <c r="L171" s="136">
        <v>90976223</v>
      </c>
      <c r="M171" s="321"/>
    </row>
    <row r="172" spans="1:15" s="17" customFormat="1" ht="21.75" customHeight="1" x14ac:dyDescent="0.25">
      <c r="A172" s="235">
        <v>1791</v>
      </c>
      <c r="B172" s="296" t="s">
        <v>80</v>
      </c>
      <c r="C172" s="295">
        <v>93.8</v>
      </c>
      <c r="D172" s="149">
        <v>0.3</v>
      </c>
      <c r="E172" s="186">
        <f t="shared" si="4"/>
        <v>28.139999999999997</v>
      </c>
      <c r="F172" s="186"/>
      <c r="G172" s="186">
        <f t="shared" si="5"/>
        <v>28.139999999999997</v>
      </c>
      <c r="H172" s="136">
        <v>5335073</v>
      </c>
      <c r="I172" s="311" t="s">
        <v>81</v>
      </c>
      <c r="J172" s="136" t="s">
        <v>31</v>
      </c>
      <c r="K172" s="136" t="s">
        <v>32</v>
      </c>
      <c r="L172" s="136">
        <v>99806280</v>
      </c>
      <c r="M172" s="321"/>
    </row>
    <row r="173" spans="1:15" s="17" customFormat="1" ht="21.75" customHeight="1" x14ac:dyDescent="0.25">
      <c r="A173" s="235">
        <v>1793</v>
      </c>
      <c r="B173" s="296" t="s">
        <v>456</v>
      </c>
      <c r="C173" s="295">
        <v>232.8</v>
      </c>
      <c r="D173" s="149">
        <v>0.3</v>
      </c>
      <c r="E173" s="186">
        <f t="shared" si="4"/>
        <v>69.84</v>
      </c>
      <c r="F173" s="186"/>
      <c r="G173" s="186">
        <f t="shared" si="5"/>
        <v>69.84</v>
      </c>
      <c r="H173" s="136">
        <v>1629686</v>
      </c>
      <c r="I173" s="311" t="s">
        <v>457</v>
      </c>
      <c r="J173" s="136" t="s">
        <v>31</v>
      </c>
      <c r="K173" s="136" t="s">
        <v>32</v>
      </c>
      <c r="L173" s="136"/>
      <c r="M173" s="321"/>
    </row>
    <row r="174" spans="1:15" s="17" customFormat="1" ht="21.75" customHeight="1" x14ac:dyDescent="0.25">
      <c r="A174" s="235">
        <v>1794</v>
      </c>
      <c r="B174" s="296" t="s">
        <v>82</v>
      </c>
      <c r="C174" s="295">
        <v>0</v>
      </c>
      <c r="D174" s="149">
        <v>0.3</v>
      </c>
      <c r="E174" s="186">
        <f t="shared" si="4"/>
        <v>0</v>
      </c>
      <c r="F174" s="186"/>
      <c r="G174" s="186">
        <f t="shared" si="5"/>
        <v>0</v>
      </c>
      <c r="H174" s="136">
        <v>6122928</v>
      </c>
      <c r="I174" s="311" t="s">
        <v>83</v>
      </c>
      <c r="J174" s="136" t="s">
        <v>31</v>
      </c>
      <c r="K174" s="136" t="s">
        <v>32</v>
      </c>
      <c r="L174" s="136"/>
      <c r="M174" s="321"/>
    </row>
    <row r="175" spans="1:15" s="17" customFormat="1" ht="21.75" customHeight="1" x14ac:dyDescent="0.25">
      <c r="A175" s="235">
        <v>1795</v>
      </c>
      <c r="B175" s="296" t="s">
        <v>458</v>
      </c>
      <c r="C175" s="295">
        <v>37</v>
      </c>
      <c r="D175" s="149">
        <v>0.3</v>
      </c>
      <c r="E175" s="186">
        <f t="shared" si="4"/>
        <v>11.1</v>
      </c>
      <c r="F175" s="186"/>
      <c r="G175" s="186">
        <f t="shared" si="5"/>
        <v>11.1</v>
      </c>
      <c r="H175" s="136">
        <v>6496299</v>
      </c>
      <c r="I175" s="311" t="s">
        <v>459</v>
      </c>
      <c r="J175" s="136" t="s">
        <v>121</v>
      </c>
      <c r="K175" s="136" t="s">
        <v>122</v>
      </c>
      <c r="L175" s="136"/>
      <c r="M175" s="321"/>
    </row>
    <row r="176" spans="1:15" s="17" customFormat="1" ht="21.75" customHeight="1" x14ac:dyDescent="0.25">
      <c r="A176" s="235">
        <v>1796</v>
      </c>
      <c r="B176" s="296" t="s">
        <v>460</v>
      </c>
      <c r="C176" s="295">
        <v>235.5</v>
      </c>
      <c r="D176" s="149">
        <v>0.3</v>
      </c>
      <c r="E176" s="186">
        <f t="shared" si="4"/>
        <v>70.649999999999991</v>
      </c>
      <c r="F176" s="186"/>
      <c r="G176" s="186">
        <f t="shared" si="5"/>
        <v>70.649999999999991</v>
      </c>
      <c r="H176" s="136">
        <v>7140382</v>
      </c>
      <c r="I176" s="315" t="s">
        <v>461</v>
      </c>
      <c r="J176" s="136" t="s">
        <v>31</v>
      </c>
      <c r="K176" s="136" t="s">
        <v>32</v>
      </c>
      <c r="L176" s="136"/>
      <c r="M176" s="321"/>
    </row>
    <row r="177" spans="1:13" s="17" customFormat="1" ht="21.75" customHeight="1" x14ac:dyDescent="0.25">
      <c r="A177" s="235">
        <v>1797</v>
      </c>
      <c r="B177" s="296" t="s">
        <v>463</v>
      </c>
      <c r="C177" s="295">
        <v>246.3</v>
      </c>
      <c r="D177" s="149">
        <v>0.3</v>
      </c>
      <c r="E177" s="186">
        <f t="shared" si="4"/>
        <v>73.89</v>
      </c>
      <c r="F177" s="186"/>
      <c r="G177" s="186">
        <f t="shared" si="5"/>
        <v>73.89</v>
      </c>
      <c r="H177" s="136">
        <v>3677869</v>
      </c>
      <c r="I177" s="311" t="s">
        <v>464</v>
      </c>
      <c r="J177" s="136" t="s">
        <v>31</v>
      </c>
      <c r="K177" s="136" t="s">
        <v>32</v>
      </c>
      <c r="L177" s="136">
        <v>72522066</v>
      </c>
      <c r="M177" s="321"/>
    </row>
    <row r="178" spans="1:13" s="17" customFormat="1" ht="21.75" customHeight="1" x14ac:dyDescent="0.25">
      <c r="A178" s="235">
        <v>1798</v>
      </c>
      <c r="B178" s="296" t="s">
        <v>84</v>
      </c>
      <c r="C178" s="295">
        <v>216.5</v>
      </c>
      <c r="D178" s="149">
        <v>0.3</v>
      </c>
      <c r="E178" s="186">
        <f t="shared" si="4"/>
        <v>64.95</v>
      </c>
      <c r="F178" s="186"/>
      <c r="G178" s="186">
        <f t="shared" si="5"/>
        <v>64.95</v>
      </c>
      <c r="H178" s="136">
        <v>5314229</v>
      </c>
      <c r="I178" s="314" t="s">
        <v>85</v>
      </c>
      <c r="J178" s="136" t="s">
        <v>52</v>
      </c>
      <c r="K178" s="136" t="s">
        <v>53</v>
      </c>
      <c r="L178" s="136"/>
      <c r="M178" s="321"/>
    </row>
    <row r="179" spans="1:13" s="17" customFormat="1" ht="21.75" customHeight="1" x14ac:dyDescent="0.25">
      <c r="A179" s="235">
        <v>1799</v>
      </c>
      <c r="B179" s="296" t="s">
        <v>183</v>
      </c>
      <c r="C179" s="295">
        <v>161.6</v>
      </c>
      <c r="D179" s="149">
        <v>0.3</v>
      </c>
      <c r="E179" s="186">
        <f t="shared" si="4"/>
        <v>48.48</v>
      </c>
      <c r="F179" s="186"/>
      <c r="G179" s="186">
        <f t="shared" si="5"/>
        <v>48.48</v>
      </c>
      <c r="H179" s="136">
        <v>5219843</v>
      </c>
      <c r="I179" s="311" t="s">
        <v>184</v>
      </c>
      <c r="J179" s="136" t="s">
        <v>31</v>
      </c>
      <c r="K179" s="136" t="s">
        <v>32</v>
      </c>
      <c r="L179" s="136"/>
      <c r="M179" s="321"/>
    </row>
    <row r="180" spans="1:13" s="17" customFormat="1" ht="21.75" customHeight="1" x14ac:dyDescent="0.25">
      <c r="A180" s="235">
        <v>1800</v>
      </c>
      <c r="B180" s="296" t="s">
        <v>185</v>
      </c>
      <c r="C180" s="295">
        <v>211.1</v>
      </c>
      <c r="D180" s="149">
        <v>0.3</v>
      </c>
      <c r="E180" s="186">
        <f t="shared" si="4"/>
        <v>63.33</v>
      </c>
      <c r="F180" s="186"/>
      <c r="G180" s="186">
        <f t="shared" si="5"/>
        <v>63.33</v>
      </c>
      <c r="H180" s="136">
        <v>7293505</v>
      </c>
      <c r="I180" s="315" t="s">
        <v>186</v>
      </c>
      <c r="J180" s="136" t="s">
        <v>31</v>
      </c>
      <c r="K180" s="136" t="s">
        <v>32</v>
      </c>
      <c r="L180" s="136">
        <v>99189910</v>
      </c>
      <c r="M180" s="321"/>
    </row>
    <row r="181" spans="1:13" s="17" customFormat="1" ht="21.75" customHeight="1" x14ac:dyDescent="0.25">
      <c r="A181" s="235">
        <v>1801</v>
      </c>
      <c r="B181" s="296" t="s">
        <v>187</v>
      </c>
      <c r="C181" s="295">
        <v>175.1</v>
      </c>
      <c r="D181" s="149">
        <v>0.3</v>
      </c>
      <c r="E181" s="186">
        <f t="shared" si="4"/>
        <v>52.529999999999994</v>
      </c>
      <c r="F181" s="186"/>
      <c r="G181" s="186">
        <f t="shared" si="5"/>
        <v>52.529999999999994</v>
      </c>
      <c r="H181" s="136">
        <v>655141</v>
      </c>
      <c r="I181" s="311" t="s">
        <v>188</v>
      </c>
      <c r="J181" s="136" t="s">
        <v>155</v>
      </c>
      <c r="K181" s="136" t="s">
        <v>156</v>
      </c>
      <c r="L181" s="136"/>
      <c r="M181" s="321"/>
    </row>
    <row r="182" spans="1:13" s="17" customFormat="1" ht="21.75" customHeight="1" x14ac:dyDescent="0.25">
      <c r="A182" s="235">
        <v>1802</v>
      </c>
      <c r="B182" s="296" t="s">
        <v>465</v>
      </c>
      <c r="C182" s="295">
        <v>133</v>
      </c>
      <c r="D182" s="149">
        <v>0.3</v>
      </c>
      <c r="E182" s="186">
        <f t="shared" si="4"/>
        <v>39.9</v>
      </c>
      <c r="F182" s="186"/>
      <c r="G182" s="186">
        <f t="shared" si="5"/>
        <v>39.9</v>
      </c>
      <c r="H182" s="136">
        <v>14760225</v>
      </c>
      <c r="I182" s="315" t="s">
        <v>466</v>
      </c>
      <c r="J182" s="136" t="s">
        <v>31</v>
      </c>
      <c r="K182" s="136" t="s">
        <v>32</v>
      </c>
      <c r="L182" s="136"/>
      <c r="M182" s="321"/>
    </row>
    <row r="183" spans="1:13" s="17" customFormat="1" ht="21.75" customHeight="1" x14ac:dyDescent="0.25">
      <c r="A183" s="235">
        <v>1803</v>
      </c>
      <c r="B183" s="296" t="s">
        <v>467</v>
      </c>
      <c r="C183" s="295">
        <v>278.7</v>
      </c>
      <c r="D183" s="149">
        <v>0.3</v>
      </c>
      <c r="E183" s="186">
        <f t="shared" si="4"/>
        <v>83.61</v>
      </c>
      <c r="F183" s="186"/>
      <c r="G183" s="186">
        <f t="shared" si="5"/>
        <v>83.61</v>
      </c>
      <c r="H183" s="136">
        <v>5502798</v>
      </c>
      <c r="I183" s="314" t="s">
        <v>468</v>
      </c>
      <c r="J183" s="136" t="s">
        <v>52</v>
      </c>
      <c r="K183" s="136" t="s">
        <v>53</v>
      </c>
      <c r="L183" s="136"/>
      <c r="M183" s="321"/>
    </row>
    <row r="184" spans="1:13" s="17" customFormat="1" ht="21.75" customHeight="1" x14ac:dyDescent="0.25">
      <c r="A184" s="235">
        <v>1804</v>
      </c>
      <c r="B184" s="296" t="s">
        <v>469</v>
      </c>
      <c r="C184" s="295">
        <v>90.2</v>
      </c>
      <c r="D184" s="149">
        <v>0.3</v>
      </c>
      <c r="E184" s="186">
        <f t="shared" si="4"/>
        <v>27.06</v>
      </c>
      <c r="F184" s="186"/>
      <c r="G184" s="186">
        <f t="shared" si="5"/>
        <v>27.06</v>
      </c>
      <c r="H184" s="136">
        <v>19623766</v>
      </c>
      <c r="I184" s="314" t="s">
        <v>470</v>
      </c>
      <c r="J184" s="136" t="s">
        <v>52</v>
      </c>
      <c r="K184" s="136" t="s">
        <v>53</v>
      </c>
      <c r="L184" s="136"/>
      <c r="M184" s="321"/>
    </row>
    <row r="185" spans="1:13" s="17" customFormat="1" ht="21.75" customHeight="1" x14ac:dyDescent="0.25">
      <c r="A185" s="235">
        <v>1805</v>
      </c>
      <c r="B185" s="296" t="s">
        <v>471</v>
      </c>
      <c r="C185" s="295">
        <v>172</v>
      </c>
      <c r="D185" s="149">
        <v>0.3</v>
      </c>
      <c r="E185" s="186">
        <f t="shared" si="4"/>
        <v>51.6</v>
      </c>
      <c r="F185" s="186"/>
      <c r="G185" s="186">
        <f t="shared" si="5"/>
        <v>51.6</v>
      </c>
      <c r="H185" s="136">
        <v>1648586</v>
      </c>
      <c r="I185" s="314" t="s">
        <v>472</v>
      </c>
      <c r="J185" s="136" t="s">
        <v>31</v>
      </c>
      <c r="K185" s="136" t="s">
        <v>32</v>
      </c>
      <c r="L185" s="136">
        <v>96030388</v>
      </c>
      <c r="M185" s="321"/>
    </row>
    <row r="186" spans="1:13" s="17" customFormat="1" ht="21.75" customHeight="1" x14ac:dyDescent="0.25">
      <c r="A186" s="235">
        <v>1808</v>
      </c>
      <c r="B186" s="296" t="s">
        <v>86</v>
      </c>
      <c r="C186" s="295">
        <v>170.7</v>
      </c>
      <c r="D186" s="149">
        <v>0.3</v>
      </c>
      <c r="E186" s="186">
        <f t="shared" si="4"/>
        <v>51.209999999999994</v>
      </c>
      <c r="F186" s="186"/>
      <c r="G186" s="186">
        <f t="shared" si="5"/>
        <v>51.209999999999994</v>
      </c>
      <c r="H186" s="136">
        <v>611136</v>
      </c>
      <c r="I186" s="313" t="s">
        <v>87</v>
      </c>
      <c r="J186" s="136" t="s">
        <v>26</v>
      </c>
      <c r="K186" s="136" t="s">
        <v>27</v>
      </c>
      <c r="L186" s="136"/>
      <c r="M186" s="321"/>
    </row>
    <row r="187" spans="1:13" s="17" customFormat="1" ht="21.75" customHeight="1" x14ac:dyDescent="0.25">
      <c r="A187" s="235">
        <v>1809</v>
      </c>
      <c r="B187" s="296" t="s">
        <v>474</v>
      </c>
      <c r="C187" s="295">
        <v>155.1</v>
      </c>
      <c r="D187" s="149">
        <v>0.3</v>
      </c>
      <c r="E187" s="186">
        <f t="shared" si="4"/>
        <v>46.529999999999994</v>
      </c>
      <c r="F187" s="186"/>
      <c r="G187" s="186">
        <f t="shared" si="5"/>
        <v>46.529999999999994</v>
      </c>
      <c r="H187" s="136">
        <v>14957086</v>
      </c>
      <c r="I187" s="314" t="s">
        <v>475</v>
      </c>
      <c r="J187" s="136" t="s">
        <v>31</v>
      </c>
      <c r="K187" s="136" t="s">
        <v>32</v>
      </c>
      <c r="L187" s="136"/>
      <c r="M187" s="321"/>
    </row>
    <row r="188" spans="1:13" s="17" customFormat="1" ht="21.75" customHeight="1" x14ac:dyDescent="0.25">
      <c r="A188" s="235">
        <v>1811</v>
      </c>
      <c r="B188" s="296" t="s">
        <v>476</v>
      </c>
      <c r="C188" s="295">
        <v>133.19999999999999</v>
      </c>
      <c r="D188" s="149">
        <v>0.3</v>
      </c>
      <c r="E188" s="186">
        <f t="shared" si="4"/>
        <v>39.959999999999994</v>
      </c>
      <c r="F188" s="186"/>
      <c r="G188" s="186">
        <f t="shared" si="5"/>
        <v>39.959999999999994</v>
      </c>
      <c r="H188" s="136">
        <v>6384618</v>
      </c>
      <c r="I188" s="315" t="s">
        <v>477</v>
      </c>
      <c r="J188" s="136" t="s">
        <v>31</v>
      </c>
      <c r="K188" s="136" t="s">
        <v>32</v>
      </c>
      <c r="L188" s="136"/>
      <c r="M188" s="321"/>
    </row>
    <row r="189" spans="1:13" s="17" customFormat="1" ht="21.75" customHeight="1" x14ac:dyDescent="0.25">
      <c r="A189" s="235">
        <v>1812</v>
      </c>
      <c r="B189" s="296" t="s">
        <v>478</v>
      </c>
      <c r="C189" s="295">
        <v>235</v>
      </c>
      <c r="D189" s="149">
        <v>0.3</v>
      </c>
      <c r="E189" s="186">
        <f t="shared" si="4"/>
        <v>70.5</v>
      </c>
      <c r="F189" s="186"/>
      <c r="G189" s="186">
        <f t="shared" si="5"/>
        <v>70.5</v>
      </c>
      <c r="H189" s="136">
        <v>4748659</v>
      </c>
      <c r="I189" s="315" t="s">
        <v>479</v>
      </c>
      <c r="J189" s="136" t="s">
        <v>52</v>
      </c>
      <c r="K189" s="136" t="s">
        <v>53</v>
      </c>
      <c r="L189" s="136">
        <v>98170004</v>
      </c>
      <c r="M189" s="321"/>
    </row>
    <row r="190" spans="1:13" s="17" customFormat="1" ht="21.75" customHeight="1" x14ac:dyDescent="0.25">
      <c r="A190" s="235">
        <v>1813</v>
      </c>
      <c r="B190" s="296" t="s">
        <v>602</v>
      </c>
      <c r="C190" s="295">
        <v>55.7</v>
      </c>
      <c r="D190" s="149">
        <v>0.3</v>
      </c>
      <c r="E190" s="186">
        <f t="shared" si="4"/>
        <v>16.71</v>
      </c>
      <c r="F190" s="186"/>
      <c r="G190" s="186">
        <f t="shared" si="5"/>
        <v>16.71</v>
      </c>
      <c r="H190" s="136">
        <v>20230381</v>
      </c>
      <c r="I190" s="315" t="s">
        <v>603</v>
      </c>
      <c r="J190" s="136" t="s">
        <v>52</v>
      </c>
      <c r="K190" s="136" t="s">
        <v>53</v>
      </c>
      <c r="L190" s="136"/>
      <c r="M190" s="321"/>
    </row>
    <row r="191" spans="1:13" s="54" customFormat="1" ht="21.75" customHeight="1" x14ac:dyDescent="0.25">
      <c r="A191" s="235">
        <v>1816</v>
      </c>
      <c r="B191" s="296" t="s">
        <v>191</v>
      </c>
      <c r="C191" s="295">
        <v>189.9</v>
      </c>
      <c r="D191" s="149">
        <v>0.3</v>
      </c>
      <c r="E191" s="186">
        <f t="shared" si="4"/>
        <v>56.97</v>
      </c>
      <c r="F191" s="186"/>
      <c r="G191" s="186">
        <f t="shared" si="5"/>
        <v>56.97</v>
      </c>
      <c r="H191" s="136">
        <v>15694259</v>
      </c>
      <c r="I191" s="315" t="s">
        <v>192</v>
      </c>
      <c r="J191" s="136" t="s">
        <v>31</v>
      </c>
      <c r="K191" s="136" t="s">
        <v>32</v>
      </c>
      <c r="L191" s="136"/>
      <c r="M191" s="321"/>
    </row>
    <row r="192" spans="1:13" s="17" customFormat="1" ht="21.75" customHeight="1" x14ac:dyDescent="0.25">
      <c r="A192" s="235">
        <v>1817</v>
      </c>
      <c r="B192" s="296" t="s">
        <v>483</v>
      </c>
      <c r="C192" s="295">
        <v>321.60000000000002</v>
      </c>
      <c r="D192" s="149">
        <v>0.3</v>
      </c>
      <c r="E192" s="186">
        <f t="shared" si="4"/>
        <v>96.48</v>
      </c>
      <c r="F192" s="186"/>
      <c r="G192" s="186">
        <f t="shared" si="5"/>
        <v>96.48</v>
      </c>
      <c r="H192" s="136">
        <v>6492948</v>
      </c>
      <c r="I192" s="315" t="s">
        <v>484</v>
      </c>
      <c r="J192" s="136" t="s">
        <v>31</v>
      </c>
      <c r="K192" s="136" t="s">
        <v>32</v>
      </c>
      <c r="L192" s="136"/>
      <c r="M192" s="321"/>
    </row>
    <row r="193" spans="1:13" s="17" customFormat="1" ht="21.75" customHeight="1" x14ac:dyDescent="0.25">
      <c r="A193" s="235">
        <v>1818</v>
      </c>
      <c r="B193" s="296" t="s">
        <v>485</v>
      </c>
      <c r="C193" s="295">
        <v>106.8</v>
      </c>
      <c r="D193" s="149">
        <v>0.3</v>
      </c>
      <c r="E193" s="186">
        <f t="shared" si="4"/>
        <v>32.04</v>
      </c>
      <c r="F193" s="186"/>
      <c r="G193" s="186">
        <f t="shared" si="5"/>
        <v>32.04</v>
      </c>
      <c r="H193" s="136">
        <v>15677827</v>
      </c>
      <c r="I193" s="315" t="s">
        <v>486</v>
      </c>
      <c r="J193" s="136" t="s">
        <v>31</v>
      </c>
      <c r="K193" s="136" t="s">
        <v>32</v>
      </c>
      <c r="L193" s="136"/>
      <c r="M193" s="321"/>
    </row>
    <row r="194" spans="1:13" s="17" customFormat="1" ht="21.75" customHeight="1" x14ac:dyDescent="0.25">
      <c r="A194" s="235">
        <v>1819</v>
      </c>
      <c r="B194" s="296" t="s">
        <v>487</v>
      </c>
      <c r="C194" s="295">
        <v>138.5</v>
      </c>
      <c r="D194" s="149">
        <v>0.3</v>
      </c>
      <c r="E194" s="186">
        <f t="shared" si="4"/>
        <v>41.55</v>
      </c>
      <c r="F194" s="186"/>
      <c r="G194" s="186">
        <f t="shared" si="5"/>
        <v>41.55</v>
      </c>
      <c r="H194" s="136">
        <v>851375</v>
      </c>
      <c r="I194" s="315" t="s">
        <v>488</v>
      </c>
      <c r="J194" s="136" t="s">
        <v>52</v>
      </c>
      <c r="K194" s="136" t="s">
        <v>53</v>
      </c>
      <c r="L194" s="136">
        <v>92819432</v>
      </c>
      <c r="M194" s="321"/>
    </row>
    <row r="195" spans="1:13" s="17" customFormat="1" ht="21.75" customHeight="1" x14ac:dyDescent="0.25">
      <c r="A195" s="235">
        <v>1820</v>
      </c>
      <c r="B195" s="296" t="s">
        <v>489</v>
      </c>
      <c r="C195" s="295">
        <v>18.899999999999999</v>
      </c>
      <c r="D195" s="149">
        <v>0.3</v>
      </c>
      <c r="E195" s="186">
        <f t="shared" ref="E195:E225" si="6">C195*D195</f>
        <v>5.669999999999999</v>
      </c>
      <c r="F195" s="186"/>
      <c r="G195" s="186">
        <f t="shared" si="5"/>
        <v>5.669999999999999</v>
      </c>
      <c r="H195" s="136">
        <v>7124544</v>
      </c>
      <c r="I195" s="311" t="s">
        <v>583</v>
      </c>
      <c r="J195" s="136" t="s">
        <v>52</v>
      </c>
      <c r="K195" s="136" t="s">
        <v>53</v>
      </c>
      <c r="L195" s="136"/>
      <c r="M195" s="321"/>
    </row>
    <row r="196" spans="1:13" s="17" customFormat="1" ht="21.75" customHeight="1" x14ac:dyDescent="0.25">
      <c r="A196" s="235">
        <v>1821</v>
      </c>
      <c r="B196" s="136" t="s">
        <v>491</v>
      </c>
      <c r="C196" s="295">
        <v>257.3</v>
      </c>
      <c r="D196" s="149">
        <v>0.3</v>
      </c>
      <c r="E196" s="186">
        <f t="shared" si="6"/>
        <v>77.19</v>
      </c>
      <c r="F196" s="186"/>
      <c r="G196" s="186">
        <f t="shared" ref="G196:G225" si="7">E196-F196</f>
        <v>77.19</v>
      </c>
      <c r="H196" s="136">
        <v>2454202</v>
      </c>
      <c r="I196" s="311" t="s">
        <v>492</v>
      </c>
      <c r="J196" s="136" t="s">
        <v>155</v>
      </c>
      <c r="K196" s="136" t="s">
        <v>156</v>
      </c>
      <c r="L196" s="136"/>
      <c r="M196" s="321"/>
    </row>
    <row r="197" spans="1:13" s="17" customFormat="1" ht="21.75" customHeight="1" x14ac:dyDescent="0.25">
      <c r="A197" s="235">
        <v>1822</v>
      </c>
      <c r="B197" s="136" t="s">
        <v>193</v>
      </c>
      <c r="C197" s="295">
        <v>123.9</v>
      </c>
      <c r="D197" s="149">
        <v>0.3</v>
      </c>
      <c r="E197" s="186">
        <f t="shared" si="6"/>
        <v>37.17</v>
      </c>
      <c r="F197" s="186"/>
      <c r="G197" s="186">
        <f t="shared" si="7"/>
        <v>37.17</v>
      </c>
      <c r="H197" s="136">
        <v>22005737</v>
      </c>
      <c r="I197" s="311" t="s">
        <v>152</v>
      </c>
      <c r="J197" s="136" t="s">
        <v>31</v>
      </c>
      <c r="K197" s="136" t="s">
        <v>32</v>
      </c>
      <c r="L197" s="136"/>
      <c r="M197" s="321"/>
    </row>
    <row r="198" spans="1:13" s="17" customFormat="1" ht="21.75" customHeight="1" x14ac:dyDescent="0.25">
      <c r="A198" s="235">
        <v>1823</v>
      </c>
      <c r="B198" s="136" t="s">
        <v>493</v>
      </c>
      <c r="C198" s="295">
        <v>0</v>
      </c>
      <c r="D198" s="149">
        <v>0.3</v>
      </c>
      <c r="E198" s="186">
        <f t="shared" si="6"/>
        <v>0</v>
      </c>
      <c r="F198" s="186"/>
      <c r="G198" s="186">
        <f t="shared" si="7"/>
        <v>0</v>
      </c>
      <c r="H198" s="136">
        <v>25722393</v>
      </c>
      <c r="I198" s="311" t="s">
        <v>494</v>
      </c>
      <c r="J198" s="136" t="s">
        <v>31</v>
      </c>
      <c r="K198" s="136" t="s">
        <v>32</v>
      </c>
      <c r="L198" s="136"/>
      <c r="M198" s="321"/>
    </row>
    <row r="199" spans="1:13" s="17" customFormat="1" ht="21.75" customHeight="1" x14ac:dyDescent="0.25">
      <c r="A199" s="235">
        <v>1824</v>
      </c>
      <c r="B199" s="136" t="s">
        <v>195</v>
      </c>
      <c r="C199" s="295">
        <v>157.30000000000001</v>
      </c>
      <c r="D199" s="149">
        <v>0.3</v>
      </c>
      <c r="E199" s="186">
        <f t="shared" si="6"/>
        <v>47.190000000000005</v>
      </c>
      <c r="F199" s="186"/>
      <c r="G199" s="186">
        <f t="shared" si="7"/>
        <v>47.190000000000005</v>
      </c>
      <c r="H199" s="136">
        <v>766709</v>
      </c>
      <c r="I199" s="311" t="s">
        <v>196</v>
      </c>
      <c r="J199" s="136" t="s">
        <v>71</v>
      </c>
      <c r="K199" s="136" t="s">
        <v>72</v>
      </c>
      <c r="L199" s="136"/>
      <c r="M199" s="321"/>
    </row>
    <row r="200" spans="1:13" s="17" customFormat="1" ht="21.75" customHeight="1" x14ac:dyDescent="0.25">
      <c r="A200" s="235">
        <v>1825</v>
      </c>
      <c r="B200" s="136" t="s">
        <v>495</v>
      </c>
      <c r="C200" s="295">
        <v>203.8</v>
      </c>
      <c r="D200" s="149">
        <v>0.3</v>
      </c>
      <c r="E200" s="186">
        <f t="shared" si="6"/>
        <v>61.14</v>
      </c>
      <c r="F200" s="186"/>
      <c r="G200" s="186">
        <f t="shared" si="7"/>
        <v>61.14</v>
      </c>
      <c r="H200" s="136">
        <v>7293524</v>
      </c>
      <c r="I200" s="315" t="s">
        <v>496</v>
      </c>
      <c r="J200" s="136" t="s">
        <v>31</v>
      </c>
      <c r="K200" s="136" t="s">
        <v>32</v>
      </c>
      <c r="L200" s="136"/>
      <c r="M200" s="321"/>
    </row>
    <row r="201" spans="1:13" s="17" customFormat="1" ht="21.75" customHeight="1" x14ac:dyDescent="0.25">
      <c r="A201" s="235">
        <v>1826</v>
      </c>
      <c r="B201" s="632" t="s">
        <v>88</v>
      </c>
      <c r="C201" s="295">
        <v>120.9</v>
      </c>
      <c r="D201" s="149">
        <v>0.3</v>
      </c>
      <c r="E201" s="186">
        <f t="shared" si="6"/>
        <v>36.270000000000003</v>
      </c>
      <c r="F201" s="186"/>
      <c r="G201" s="186">
        <f t="shared" si="7"/>
        <v>36.270000000000003</v>
      </c>
      <c r="H201" s="600">
        <v>381215</v>
      </c>
      <c r="I201" s="631" t="s">
        <v>89</v>
      </c>
      <c r="J201" s="600" t="s">
        <v>90</v>
      </c>
      <c r="K201" s="630" t="s">
        <v>32</v>
      </c>
      <c r="L201" s="629">
        <v>95110746</v>
      </c>
      <c r="M201" s="321"/>
    </row>
    <row r="202" spans="1:13" s="17" customFormat="1" ht="21.75" customHeight="1" x14ac:dyDescent="0.25">
      <c r="A202" s="235">
        <v>1827</v>
      </c>
      <c r="B202" s="136" t="s">
        <v>497</v>
      </c>
      <c r="C202" s="295">
        <v>148.6</v>
      </c>
      <c r="D202" s="149">
        <v>0.3</v>
      </c>
      <c r="E202" s="186">
        <f t="shared" si="6"/>
        <v>44.58</v>
      </c>
      <c r="F202" s="186"/>
      <c r="G202" s="186">
        <f t="shared" si="7"/>
        <v>44.58</v>
      </c>
      <c r="H202" s="136">
        <v>24218909</v>
      </c>
      <c r="I202" s="311" t="s">
        <v>584</v>
      </c>
      <c r="J202" s="296" t="s">
        <v>90</v>
      </c>
      <c r="K202" s="311" t="s">
        <v>32</v>
      </c>
      <c r="L202" s="136"/>
      <c r="M202" s="321"/>
    </row>
    <row r="203" spans="1:13" s="17" customFormat="1" ht="21.75" customHeight="1" x14ac:dyDescent="0.25">
      <c r="A203" s="235">
        <v>1830</v>
      </c>
      <c r="B203" s="136" t="s">
        <v>499</v>
      </c>
      <c r="C203" s="295">
        <v>273.60000000000002</v>
      </c>
      <c r="D203" s="149">
        <v>0.3</v>
      </c>
      <c r="E203" s="186">
        <f t="shared" si="6"/>
        <v>82.08</v>
      </c>
      <c r="F203" s="186"/>
      <c r="G203" s="186">
        <f t="shared" si="7"/>
        <v>82.08</v>
      </c>
      <c r="H203" s="136">
        <v>22697535</v>
      </c>
      <c r="I203" s="311" t="s">
        <v>500</v>
      </c>
      <c r="J203" s="296" t="s">
        <v>90</v>
      </c>
      <c r="K203" s="311" t="s">
        <v>32</v>
      </c>
      <c r="L203" s="136"/>
      <c r="M203" s="321"/>
    </row>
    <row r="204" spans="1:13" s="17" customFormat="1" ht="21.75" customHeight="1" x14ac:dyDescent="0.25">
      <c r="A204" s="235">
        <v>1831</v>
      </c>
      <c r="B204" s="136" t="s">
        <v>697</v>
      </c>
      <c r="C204" s="295">
        <v>130</v>
      </c>
      <c r="D204" s="149">
        <v>0.3</v>
      </c>
      <c r="E204" s="186">
        <f t="shared" si="6"/>
        <v>39</v>
      </c>
      <c r="F204" s="186"/>
      <c r="G204" s="186">
        <f t="shared" si="7"/>
        <v>39</v>
      </c>
      <c r="H204" s="136">
        <v>7374738</v>
      </c>
      <c r="I204" s="311" t="s">
        <v>696</v>
      </c>
      <c r="J204" s="296" t="s">
        <v>90</v>
      </c>
      <c r="K204" s="311"/>
      <c r="L204" s="136">
        <v>92341240</v>
      </c>
      <c r="M204" s="321"/>
    </row>
    <row r="205" spans="1:13" s="17" customFormat="1" ht="21.75" customHeight="1" x14ac:dyDescent="0.25">
      <c r="A205" s="235">
        <v>2698</v>
      </c>
      <c r="B205" s="136" t="s">
        <v>695</v>
      </c>
      <c r="C205" s="295">
        <v>362.8</v>
      </c>
      <c r="D205" s="149">
        <v>0.3</v>
      </c>
      <c r="E205" s="186">
        <f t="shared" si="6"/>
        <v>108.84</v>
      </c>
      <c r="F205" s="186"/>
      <c r="G205" s="186">
        <f t="shared" si="7"/>
        <v>108.84</v>
      </c>
      <c r="H205" s="136"/>
      <c r="I205" s="311" t="s">
        <v>694</v>
      </c>
      <c r="J205" s="296" t="s">
        <v>90</v>
      </c>
      <c r="K205" s="311"/>
      <c r="L205" s="136"/>
      <c r="M205" s="321"/>
    </row>
    <row r="206" spans="1:13" s="17" customFormat="1" ht="21.75" customHeight="1" x14ac:dyDescent="0.25">
      <c r="A206" s="235">
        <v>3074</v>
      </c>
      <c r="B206" s="296" t="s">
        <v>501</v>
      </c>
      <c r="C206" s="295">
        <v>49.4</v>
      </c>
      <c r="D206" s="149">
        <v>0.3</v>
      </c>
      <c r="E206" s="186">
        <f t="shared" si="6"/>
        <v>14.819999999999999</v>
      </c>
      <c r="F206" s="186"/>
      <c r="G206" s="186">
        <f t="shared" si="7"/>
        <v>14.819999999999999</v>
      </c>
      <c r="H206" s="148">
        <v>6327112</v>
      </c>
      <c r="I206" s="311" t="s">
        <v>502</v>
      </c>
      <c r="J206" s="296" t="s">
        <v>90</v>
      </c>
      <c r="K206" s="311" t="s">
        <v>32</v>
      </c>
      <c r="L206" s="148">
        <v>92544491</v>
      </c>
      <c r="M206" s="321"/>
    </row>
    <row r="207" spans="1:13" s="17" customFormat="1" ht="21.75" customHeight="1" x14ac:dyDescent="0.25">
      <c r="A207" s="235">
        <v>3075</v>
      </c>
      <c r="B207" s="136" t="s">
        <v>503</v>
      </c>
      <c r="C207" s="295">
        <v>212.4</v>
      </c>
      <c r="D207" s="149">
        <v>0.3</v>
      </c>
      <c r="E207" s="186">
        <f t="shared" si="6"/>
        <v>63.72</v>
      </c>
      <c r="F207" s="186"/>
      <c r="G207" s="186">
        <f t="shared" si="7"/>
        <v>63.72</v>
      </c>
      <c r="H207" s="148">
        <v>6207551</v>
      </c>
      <c r="I207" s="315" t="s">
        <v>504</v>
      </c>
      <c r="J207" s="136" t="s">
        <v>31</v>
      </c>
      <c r="K207" s="136" t="s">
        <v>32</v>
      </c>
      <c r="L207" s="296">
        <v>92011889</v>
      </c>
      <c r="M207" s="321"/>
    </row>
    <row r="208" spans="1:13" ht="21.75" customHeight="1" x14ac:dyDescent="0.25">
      <c r="A208" s="235">
        <v>3250</v>
      </c>
      <c r="B208" s="136" t="s">
        <v>198</v>
      </c>
      <c r="C208" s="295">
        <v>317</v>
      </c>
      <c r="D208" s="149">
        <v>0.3</v>
      </c>
      <c r="E208" s="186">
        <f t="shared" si="6"/>
        <v>95.1</v>
      </c>
      <c r="F208" s="186"/>
      <c r="G208" s="186">
        <f t="shared" si="7"/>
        <v>95.1</v>
      </c>
      <c r="H208" s="139">
        <v>1357047</v>
      </c>
      <c r="I208" s="313" t="s">
        <v>199</v>
      </c>
      <c r="J208" s="136" t="s">
        <v>26</v>
      </c>
      <c r="K208" s="136" t="s">
        <v>27</v>
      </c>
      <c r="L208" s="136">
        <v>91177550</v>
      </c>
      <c r="M208" s="321"/>
    </row>
    <row r="209" spans="1:13" s="17" customFormat="1" ht="21.75" customHeight="1" x14ac:dyDescent="0.25">
      <c r="A209" s="235">
        <v>3317</v>
      </c>
      <c r="B209" s="136" t="s">
        <v>505</v>
      </c>
      <c r="C209" s="295">
        <v>220.9</v>
      </c>
      <c r="D209" s="149">
        <v>0.3</v>
      </c>
      <c r="E209" s="186">
        <f t="shared" si="6"/>
        <v>66.27</v>
      </c>
      <c r="F209" s="186"/>
      <c r="G209" s="186">
        <f t="shared" si="7"/>
        <v>66.27</v>
      </c>
      <c r="H209" s="139">
        <v>2366794</v>
      </c>
      <c r="I209" s="314" t="s">
        <v>506</v>
      </c>
      <c r="J209" s="136" t="s">
        <v>52</v>
      </c>
      <c r="K209" s="136" t="s">
        <v>53</v>
      </c>
      <c r="L209" s="136">
        <v>95138883</v>
      </c>
      <c r="M209" s="321"/>
    </row>
    <row r="210" spans="1:13" s="17" customFormat="1" ht="21.75" customHeight="1" x14ac:dyDescent="0.25">
      <c r="A210" s="235">
        <v>3323</v>
      </c>
      <c r="B210" s="136" t="s">
        <v>507</v>
      </c>
      <c r="C210" s="295">
        <v>279.89999999999998</v>
      </c>
      <c r="D210" s="149">
        <v>0.3</v>
      </c>
      <c r="E210" s="186">
        <f t="shared" si="6"/>
        <v>83.969999999999985</v>
      </c>
      <c r="F210" s="186"/>
      <c r="G210" s="186">
        <f t="shared" si="7"/>
        <v>83.969999999999985</v>
      </c>
      <c r="H210" s="139">
        <v>683613</v>
      </c>
      <c r="I210" s="313" t="s">
        <v>508</v>
      </c>
      <c r="J210" s="136" t="s">
        <v>31</v>
      </c>
      <c r="K210" s="136" t="s">
        <v>32</v>
      </c>
      <c r="L210" s="136">
        <v>92280327</v>
      </c>
      <c r="M210" s="321"/>
    </row>
    <row r="211" spans="1:13" s="17" customFormat="1" ht="21.75" customHeight="1" x14ac:dyDescent="0.25">
      <c r="A211" s="235">
        <v>3327</v>
      </c>
      <c r="B211" s="136" t="s">
        <v>509</v>
      </c>
      <c r="C211" s="295">
        <v>285.2</v>
      </c>
      <c r="D211" s="149">
        <v>0.3</v>
      </c>
      <c r="E211" s="186">
        <f t="shared" si="6"/>
        <v>85.559999999999988</v>
      </c>
      <c r="F211" s="186"/>
      <c r="G211" s="186">
        <f t="shared" si="7"/>
        <v>85.559999999999988</v>
      </c>
      <c r="H211" s="136">
        <v>4919647</v>
      </c>
      <c r="I211" s="311" t="s">
        <v>510</v>
      </c>
      <c r="J211" s="136" t="s">
        <v>52</v>
      </c>
      <c r="K211" s="136" t="s">
        <v>53</v>
      </c>
      <c r="L211" s="136">
        <v>99895505</v>
      </c>
      <c r="M211" s="321"/>
    </row>
    <row r="212" spans="1:13" s="17" customFormat="1" ht="21.75" customHeight="1" x14ac:dyDescent="0.25">
      <c r="A212" s="235">
        <v>3345</v>
      </c>
      <c r="B212" s="136" t="s">
        <v>511</v>
      </c>
      <c r="C212" s="295">
        <v>224</v>
      </c>
      <c r="D212" s="149">
        <v>0.3</v>
      </c>
      <c r="E212" s="186">
        <f t="shared" si="6"/>
        <v>67.2</v>
      </c>
      <c r="F212" s="186"/>
      <c r="G212" s="186">
        <f t="shared" si="7"/>
        <v>67.2</v>
      </c>
      <c r="H212" s="136">
        <v>6572395</v>
      </c>
      <c r="I212" s="311" t="s">
        <v>512</v>
      </c>
      <c r="J212" s="136" t="s">
        <v>31</v>
      </c>
      <c r="K212" s="136" t="s">
        <v>32</v>
      </c>
      <c r="L212" s="136">
        <v>99294765</v>
      </c>
      <c r="M212" s="321"/>
    </row>
    <row r="213" spans="1:13" s="17" customFormat="1" ht="21.75" customHeight="1" x14ac:dyDescent="0.25">
      <c r="A213" s="235">
        <v>3701</v>
      </c>
      <c r="B213" s="296" t="s">
        <v>513</v>
      </c>
      <c r="C213" s="295">
        <v>170.6</v>
      </c>
      <c r="D213" s="149">
        <v>0.3</v>
      </c>
      <c r="E213" s="186">
        <f t="shared" si="6"/>
        <v>51.18</v>
      </c>
      <c r="F213" s="186"/>
      <c r="G213" s="186">
        <f t="shared" si="7"/>
        <v>51.18</v>
      </c>
      <c r="H213" s="136">
        <v>5146416</v>
      </c>
      <c r="I213" s="311" t="s">
        <v>514</v>
      </c>
      <c r="J213" s="136" t="s">
        <v>31</v>
      </c>
      <c r="K213" s="136" t="s">
        <v>32</v>
      </c>
      <c r="L213" s="136">
        <v>99898838</v>
      </c>
      <c r="M213" s="321"/>
    </row>
    <row r="214" spans="1:13" s="17" customFormat="1" ht="21.75" customHeight="1" x14ac:dyDescent="0.25">
      <c r="A214" s="235">
        <v>3710</v>
      </c>
      <c r="B214" s="296" t="s">
        <v>515</v>
      </c>
      <c r="C214" s="295">
        <v>39.299999999999997</v>
      </c>
      <c r="D214" s="149">
        <v>0.3</v>
      </c>
      <c r="E214" s="186">
        <f t="shared" si="6"/>
        <v>11.79</v>
      </c>
      <c r="F214" s="186"/>
      <c r="G214" s="186">
        <f t="shared" si="7"/>
        <v>11.79</v>
      </c>
      <c r="H214" s="136">
        <v>22749678</v>
      </c>
      <c r="I214" s="544" t="s">
        <v>516</v>
      </c>
      <c r="J214" s="136" t="s">
        <v>31</v>
      </c>
      <c r="K214" s="136" t="s">
        <v>32</v>
      </c>
      <c r="L214" s="136"/>
      <c r="M214" s="321"/>
    </row>
    <row r="215" spans="1:13" s="17" customFormat="1" ht="21.75" customHeight="1" x14ac:dyDescent="0.25">
      <c r="A215" s="235">
        <v>3715</v>
      </c>
      <c r="B215" s="296" t="s">
        <v>517</v>
      </c>
      <c r="C215" s="295">
        <v>0</v>
      </c>
      <c r="D215" s="149">
        <v>0.3</v>
      </c>
      <c r="E215" s="186">
        <f t="shared" si="6"/>
        <v>0</v>
      </c>
      <c r="F215" s="186"/>
      <c r="G215" s="186">
        <f t="shared" si="7"/>
        <v>0</v>
      </c>
      <c r="H215" s="136">
        <v>6327183</v>
      </c>
      <c r="I215" s="311" t="s">
        <v>518</v>
      </c>
      <c r="J215" s="136" t="s">
        <v>31</v>
      </c>
      <c r="K215" s="136" t="s">
        <v>32</v>
      </c>
      <c r="L215" s="136"/>
      <c r="M215" s="321"/>
    </row>
    <row r="216" spans="1:13" s="17" customFormat="1" ht="21.75" customHeight="1" x14ac:dyDescent="0.25">
      <c r="A216" s="235">
        <v>3721</v>
      </c>
      <c r="B216" s="296" t="s">
        <v>519</v>
      </c>
      <c r="C216" s="295">
        <v>144.9</v>
      </c>
      <c r="D216" s="149">
        <v>0.3</v>
      </c>
      <c r="E216" s="186">
        <f t="shared" si="6"/>
        <v>43.47</v>
      </c>
      <c r="F216" s="186"/>
      <c r="G216" s="186">
        <f t="shared" si="7"/>
        <v>43.47</v>
      </c>
      <c r="H216" s="136">
        <v>5332235</v>
      </c>
      <c r="I216" s="146" t="s">
        <v>520</v>
      </c>
      <c r="J216" s="296" t="s">
        <v>90</v>
      </c>
      <c r="K216" s="146" t="s">
        <v>32</v>
      </c>
      <c r="L216" s="136"/>
      <c r="M216" s="321"/>
    </row>
    <row r="217" spans="1:13" s="17" customFormat="1" ht="21.75" customHeight="1" x14ac:dyDescent="0.25">
      <c r="A217" s="235">
        <v>3738</v>
      </c>
      <c r="B217" s="136" t="s">
        <v>521</v>
      </c>
      <c r="C217" s="295">
        <v>166</v>
      </c>
      <c r="D217" s="149">
        <v>0.3</v>
      </c>
      <c r="E217" s="186">
        <f t="shared" si="6"/>
        <v>49.8</v>
      </c>
      <c r="F217" s="186"/>
      <c r="G217" s="186">
        <f t="shared" si="7"/>
        <v>49.8</v>
      </c>
      <c r="H217" s="136">
        <v>730741</v>
      </c>
      <c r="I217" s="311" t="s">
        <v>522</v>
      </c>
      <c r="J217" s="136" t="s">
        <v>31</v>
      </c>
      <c r="K217" s="136" t="s">
        <v>32</v>
      </c>
      <c r="L217" s="136">
        <v>99710505</v>
      </c>
      <c r="M217" s="321"/>
    </row>
    <row r="218" spans="1:13" s="17" customFormat="1" ht="21.75" customHeight="1" x14ac:dyDescent="0.25">
      <c r="A218" s="235">
        <v>3763</v>
      </c>
      <c r="B218" s="136" t="s">
        <v>92</v>
      </c>
      <c r="C218" s="295">
        <v>114.7</v>
      </c>
      <c r="D218" s="149">
        <v>0.3</v>
      </c>
      <c r="E218" s="186">
        <f t="shared" si="6"/>
        <v>34.409999999999997</v>
      </c>
      <c r="F218" s="186"/>
      <c r="G218" s="186">
        <f t="shared" si="7"/>
        <v>34.409999999999997</v>
      </c>
      <c r="H218" s="136">
        <v>19189247</v>
      </c>
      <c r="I218" s="311" t="s">
        <v>93</v>
      </c>
      <c r="J218" s="136" t="s">
        <v>31</v>
      </c>
      <c r="K218" s="136" t="s">
        <v>32</v>
      </c>
      <c r="L218" s="136">
        <v>99846685</v>
      </c>
      <c r="M218" s="321"/>
    </row>
    <row r="219" spans="1:13" s="17" customFormat="1" ht="21.75" customHeight="1" x14ac:dyDescent="0.25">
      <c r="A219" s="235">
        <v>3781</v>
      </c>
      <c r="B219" s="136" t="s">
        <v>693</v>
      </c>
      <c r="C219" s="295">
        <v>259.5</v>
      </c>
      <c r="D219" s="149">
        <v>0.3</v>
      </c>
      <c r="E219" s="186">
        <f t="shared" si="6"/>
        <v>77.849999999999994</v>
      </c>
      <c r="F219" s="186"/>
      <c r="G219" s="186">
        <f t="shared" si="7"/>
        <v>77.849999999999994</v>
      </c>
      <c r="H219" s="136"/>
      <c r="I219" s="311">
        <v>6500151945</v>
      </c>
      <c r="J219" s="136" t="s">
        <v>692</v>
      </c>
      <c r="K219" s="136"/>
      <c r="L219" s="136">
        <v>95655550</v>
      </c>
      <c r="M219" s="321"/>
    </row>
    <row r="220" spans="1:13" s="17" customFormat="1" ht="21.75" customHeight="1" x14ac:dyDescent="0.25">
      <c r="A220" s="235">
        <v>3788</v>
      </c>
      <c r="B220" s="136" t="s">
        <v>523</v>
      </c>
      <c r="C220" s="295">
        <v>174.7</v>
      </c>
      <c r="D220" s="149">
        <v>0.3</v>
      </c>
      <c r="E220" s="186">
        <f t="shared" si="6"/>
        <v>52.41</v>
      </c>
      <c r="F220" s="186"/>
      <c r="G220" s="186">
        <f t="shared" si="7"/>
        <v>52.41</v>
      </c>
      <c r="H220" s="136">
        <v>5146627</v>
      </c>
      <c r="I220" s="311" t="s">
        <v>524</v>
      </c>
      <c r="J220" s="136" t="s">
        <v>31</v>
      </c>
      <c r="K220" s="136" t="s">
        <v>32</v>
      </c>
      <c r="L220" s="136"/>
      <c r="M220" s="321"/>
    </row>
    <row r="221" spans="1:13" s="17" customFormat="1" ht="21.75" customHeight="1" x14ac:dyDescent="0.25">
      <c r="A221" s="235">
        <v>3806</v>
      </c>
      <c r="B221" s="136" t="s">
        <v>525</v>
      </c>
      <c r="C221" s="295">
        <v>147.6</v>
      </c>
      <c r="D221" s="149">
        <v>0.3</v>
      </c>
      <c r="E221" s="186">
        <f t="shared" si="6"/>
        <v>44.279999999999994</v>
      </c>
      <c r="F221" s="186"/>
      <c r="G221" s="186">
        <f t="shared" si="7"/>
        <v>44.279999999999994</v>
      </c>
      <c r="H221" s="136">
        <v>14457167</v>
      </c>
      <c r="I221" s="313">
        <v>3158759994700</v>
      </c>
      <c r="J221" s="136" t="s">
        <v>71</v>
      </c>
      <c r="K221" s="136" t="s">
        <v>72</v>
      </c>
      <c r="L221" s="136">
        <v>91794400</v>
      </c>
      <c r="M221" s="321"/>
    </row>
    <row r="222" spans="1:13" s="17" customFormat="1" ht="21.75" customHeight="1" x14ac:dyDescent="0.25">
      <c r="A222" s="235">
        <v>3825</v>
      </c>
      <c r="B222" s="136" t="s">
        <v>526</v>
      </c>
      <c r="C222" s="295">
        <v>0</v>
      </c>
      <c r="D222" s="149">
        <v>0.3</v>
      </c>
      <c r="E222" s="186">
        <f t="shared" si="6"/>
        <v>0</v>
      </c>
      <c r="F222" s="186"/>
      <c r="G222" s="186">
        <f t="shared" si="7"/>
        <v>0</v>
      </c>
      <c r="H222" s="136">
        <v>6327337</v>
      </c>
      <c r="I222" s="544" t="s">
        <v>527</v>
      </c>
      <c r="J222" s="136" t="s">
        <v>31</v>
      </c>
      <c r="K222" s="136" t="s">
        <v>32</v>
      </c>
      <c r="L222" s="136"/>
      <c r="M222" s="321"/>
    </row>
    <row r="223" spans="1:13" s="17" customFormat="1" ht="21.75" customHeight="1" x14ac:dyDescent="0.25">
      <c r="A223" s="235">
        <v>3826</v>
      </c>
      <c r="B223" s="136" t="s">
        <v>200</v>
      </c>
      <c r="C223" s="295">
        <v>206.6</v>
      </c>
      <c r="D223" s="149">
        <v>0.3</v>
      </c>
      <c r="E223" s="186">
        <f t="shared" si="6"/>
        <v>61.98</v>
      </c>
      <c r="F223" s="186"/>
      <c r="G223" s="186">
        <f t="shared" si="7"/>
        <v>61.98</v>
      </c>
      <c r="H223" s="136">
        <v>4919671</v>
      </c>
      <c r="I223" s="311" t="s">
        <v>201</v>
      </c>
      <c r="J223" s="136" t="s">
        <v>31</v>
      </c>
      <c r="K223" s="136" t="s">
        <v>32</v>
      </c>
      <c r="L223" s="136">
        <v>92516644</v>
      </c>
      <c r="M223" s="321"/>
    </row>
    <row r="224" spans="1:13" s="17" customFormat="1" ht="21.75" customHeight="1" x14ac:dyDescent="0.25">
      <c r="A224" s="235">
        <v>3881</v>
      </c>
      <c r="B224" s="140" t="s">
        <v>529</v>
      </c>
      <c r="C224" s="295">
        <v>110.8</v>
      </c>
      <c r="D224" s="149">
        <v>0.3</v>
      </c>
      <c r="E224" s="186">
        <f t="shared" si="6"/>
        <v>33.239999999999995</v>
      </c>
      <c r="F224" s="186"/>
      <c r="G224" s="186">
        <f t="shared" si="7"/>
        <v>33.239999999999995</v>
      </c>
      <c r="H224" s="136">
        <v>5335138</v>
      </c>
      <c r="I224" s="311" t="s">
        <v>530</v>
      </c>
      <c r="J224" s="136" t="s">
        <v>31</v>
      </c>
      <c r="K224" s="136" t="s">
        <v>32</v>
      </c>
      <c r="L224" s="136">
        <v>92936035</v>
      </c>
      <c r="M224" s="140"/>
    </row>
    <row r="225" spans="1:13" s="17" customFormat="1" ht="21.75" customHeight="1" x14ac:dyDescent="0.25">
      <c r="A225" s="235">
        <v>3883</v>
      </c>
      <c r="B225" s="136" t="s">
        <v>531</v>
      </c>
      <c r="C225" s="295">
        <v>183.2</v>
      </c>
      <c r="D225" s="149">
        <v>0.3</v>
      </c>
      <c r="E225" s="186">
        <f t="shared" si="6"/>
        <v>54.959999999999994</v>
      </c>
      <c r="F225" s="186"/>
      <c r="G225" s="186">
        <f t="shared" si="7"/>
        <v>54.959999999999994</v>
      </c>
      <c r="H225" s="136">
        <v>18636502</v>
      </c>
      <c r="I225" s="311" t="s">
        <v>532</v>
      </c>
      <c r="J225" s="136" t="s">
        <v>90</v>
      </c>
      <c r="K225" s="136" t="s">
        <v>32</v>
      </c>
      <c r="L225" s="136" t="s">
        <v>32</v>
      </c>
      <c r="M225" s="140"/>
    </row>
    <row r="226" spans="1:13" ht="13.5" x14ac:dyDescent="0.25">
      <c r="A226" s="146"/>
      <c r="B226" s="140"/>
      <c r="C226" s="294">
        <f>SUM(C3:C225)</f>
        <v>44691.000000000015</v>
      </c>
      <c r="D226" s="149"/>
      <c r="E226" s="186">
        <f>SUM(E3:E225)</f>
        <v>13407.299999999997</v>
      </c>
      <c r="F226" s="186">
        <f t="shared" ref="F226:G226" si="8">SUM(F3:F225)</f>
        <v>0.38</v>
      </c>
      <c r="G226" s="186">
        <f t="shared" si="8"/>
        <v>13406.919999999996</v>
      </c>
      <c r="H226" s="140"/>
      <c r="I226" s="310"/>
      <c r="J226" s="140"/>
      <c r="K226" s="140"/>
      <c r="L226" s="140"/>
      <c r="M226" s="140"/>
    </row>
    <row r="227" spans="1:13" x14ac:dyDescent="0.25">
      <c r="A227" s="6"/>
      <c r="B227" s="290"/>
      <c r="C227" s="5"/>
      <c r="D227" s="64"/>
      <c r="E227" s="7"/>
      <c r="F227" s="7"/>
      <c r="G227" s="7"/>
      <c r="H227" s="7"/>
      <c r="I227" s="7"/>
      <c r="K227" s="6"/>
      <c r="M227" s="5"/>
    </row>
    <row r="228" spans="1:13" x14ac:dyDescent="0.25">
      <c r="A228" s="6"/>
      <c r="B228" s="290"/>
      <c r="C228" s="10"/>
      <c r="D228" s="10"/>
      <c r="E228" s="6"/>
      <c r="F228" s="6"/>
      <c r="G228" s="6"/>
      <c r="H228" s="107"/>
      <c r="I228" s="6"/>
      <c r="J228" s="7"/>
      <c r="K228" s="6"/>
    </row>
    <row r="229" spans="1:13" x14ac:dyDescent="0.25">
      <c r="L229" s="9"/>
      <c r="M229" s="9"/>
    </row>
    <row r="230" spans="1:13" x14ac:dyDescent="0.25">
      <c r="C230" s="290" t="s">
        <v>15</v>
      </c>
      <c r="E230" s="78"/>
      <c r="F230" s="78"/>
      <c r="G230" s="78"/>
    </row>
    <row r="231" spans="1:13" x14ac:dyDescent="0.25">
      <c r="I231" s="78"/>
    </row>
    <row r="232" spans="1:13" ht="21" x14ac:dyDescent="0.35">
      <c r="A232" s="66"/>
      <c r="B232" s="65"/>
      <c r="C232" s="293"/>
      <c r="D232" s="65"/>
      <c r="E232" s="4"/>
      <c r="F232" s="4"/>
      <c r="G232" s="4"/>
      <c r="H232" s="4"/>
      <c r="I232" s="4"/>
      <c r="J232" s="309"/>
      <c r="K232" s="68"/>
    </row>
    <row r="233" spans="1:13" ht="15.75" x14ac:dyDescent="0.25">
      <c r="A233" s="4"/>
      <c r="B233" s="4"/>
      <c r="C233" s="292"/>
      <c r="D233" s="4"/>
      <c r="E233" s="4"/>
      <c r="F233" s="4"/>
      <c r="G233" s="4"/>
      <c r="H233" s="4"/>
      <c r="I233" s="4"/>
      <c r="J233" s="4"/>
      <c r="K233" s="68"/>
    </row>
    <row r="234" spans="1:13" ht="15.75" x14ac:dyDescent="0.25">
      <c r="A234" s="70"/>
      <c r="B234" s="70"/>
      <c r="C234" s="291"/>
      <c r="D234" s="70"/>
      <c r="E234" s="70"/>
      <c r="F234" s="70"/>
      <c r="G234" s="70"/>
      <c r="H234" s="70"/>
      <c r="I234" s="308"/>
      <c r="J234" s="70"/>
      <c r="K234" s="72"/>
    </row>
    <row r="235" spans="1:13" ht="15.75" x14ac:dyDescent="0.25">
      <c r="A235" s="70"/>
      <c r="B235" s="70"/>
      <c r="C235" s="291"/>
      <c r="D235" s="70"/>
      <c r="E235" s="70"/>
      <c r="F235" s="70"/>
      <c r="G235" s="70"/>
      <c r="H235" s="70"/>
      <c r="I235" s="70"/>
      <c r="J235" s="70"/>
      <c r="K235" s="72"/>
    </row>
    <row r="236" spans="1:13" ht="15.75" x14ac:dyDescent="0.25">
      <c r="A236" s="70"/>
      <c r="B236" s="70"/>
      <c r="C236" s="291"/>
      <c r="D236" s="70"/>
      <c r="E236" s="70"/>
      <c r="F236" s="70"/>
      <c r="G236" s="70"/>
      <c r="H236" s="70"/>
      <c r="I236" s="70"/>
      <c r="J236" s="70"/>
      <c r="K236" s="72"/>
    </row>
  </sheetData>
  <conditionalFormatting sqref="A7">
    <cfRule type="duplicateValues" dxfId="21" priority="9"/>
  </conditionalFormatting>
  <conditionalFormatting sqref="A18:A19">
    <cfRule type="duplicateValues" dxfId="20" priority="11"/>
  </conditionalFormatting>
  <conditionalFormatting sqref="A32">
    <cfRule type="duplicateValues" dxfId="19" priority="1"/>
  </conditionalFormatting>
  <conditionalFormatting sqref="A33">
    <cfRule type="duplicateValues" dxfId="18" priority="8"/>
  </conditionalFormatting>
  <conditionalFormatting sqref="A38:A40">
    <cfRule type="duplicateValues" dxfId="17" priority="7"/>
  </conditionalFormatting>
  <conditionalFormatting sqref="A47">
    <cfRule type="duplicateValues" dxfId="16" priority="6"/>
  </conditionalFormatting>
  <conditionalFormatting sqref="A58:A60">
    <cfRule type="duplicateValues" dxfId="15" priority="5"/>
  </conditionalFormatting>
  <conditionalFormatting sqref="A62">
    <cfRule type="duplicateValues" dxfId="14" priority="4"/>
  </conditionalFormatting>
  <conditionalFormatting sqref="A77">
    <cfRule type="duplicateValues" dxfId="13" priority="3"/>
  </conditionalFormatting>
  <conditionalFormatting sqref="A78">
    <cfRule type="duplicateValues" dxfId="12" priority="2"/>
  </conditionalFormatting>
  <conditionalFormatting sqref="A207">
    <cfRule type="duplicateValues" dxfId="11" priority="10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4B62-786F-4FE6-B9C4-87D6559017EA}">
  <dimension ref="A1:M236"/>
  <sheetViews>
    <sheetView tabSelected="1" workbookViewId="0">
      <selection sqref="A1:A1048576"/>
    </sheetView>
  </sheetViews>
  <sheetFormatPr defaultColWidth="9" defaultRowHeight="12" x14ac:dyDescent="0.25"/>
  <cols>
    <col min="1" max="1" width="36.140625" style="5" bestFit="1" customWidth="1"/>
    <col min="2" max="2" width="40.28515625" style="6" customWidth="1"/>
    <col min="3" max="3" width="13.42578125" style="290" customWidth="1"/>
    <col min="4" max="4" width="12" style="5" customWidth="1"/>
    <col min="5" max="7" width="21.28515625" style="5" customWidth="1"/>
    <col min="8" max="8" width="13.28515625" style="5" customWidth="1"/>
    <col min="9" max="9" width="15.42578125" style="5" customWidth="1"/>
    <col min="10" max="10" width="11.7109375" style="6" bestFit="1" customWidth="1"/>
    <col min="11" max="11" width="15.85546875" style="7" customWidth="1"/>
    <col min="12" max="12" width="14.85546875" style="6" customWidth="1"/>
    <col min="13" max="13" width="17.42578125" style="6" customWidth="1"/>
    <col min="14" max="16384" width="9" style="5"/>
  </cols>
  <sheetData>
    <row r="1" spans="1:13" ht="34.5" customHeight="1" x14ac:dyDescent="0.25">
      <c r="A1" s="646" t="s">
        <v>711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</row>
    <row r="2" spans="1:13" ht="30" customHeight="1" x14ac:dyDescent="0.25">
      <c r="A2" s="38" t="s">
        <v>2</v>
      </c>
      <c r="B2" s="39" t="s">
        <v>3</v>
      </c>
      <c r="C2" s="303" t="s">
        <v>4</v>
      </c>
      <c r="D2" s="38" t="s">
        <v>5</v>
      </c>
      <c r="E2" s="302" t="s">
        <v>564</v>
      </c>
      <c r="F2" s="302" t="s">
        <v>669</v>
      </c>
      <c r="G2" s="302" t="s">
        <v>8</v>
      </c>
      <c r="H2" s="39" t="s">
        <v>9</v>
      </c>
      <c r="I2" s="39" t="s">
        <v>20</v>
      </c>
      <c r="J2" s="39" t="s">
        <v>21</v>
      </c>
      <c r="K2" s="39" t="s">
        <v>22</v>
      </c>
      <c r="L2" s="39" t="s">
        <v>23</v>
      </c>
      <c r="M2" s="39" t="s">
        <v>10</v>
      </c>
    </row>
    <row r="3" spans="1:13" ht="21.75" customHeight="1" x14ac:dyDescent="0.25">
      <c r="A3" s="301">
        <v>1001</v>
      </c>
      <c r="B3" s="296" t="s">
        <v>95</v>
      </c>
      <c r="C3" s="540">
        <v>0</v>
      </c>
      <c r="D3" s="149">
        <v>0.3</v>
      </c>
      <c r="E3" s="186">
        <f t="shared" ref="E3:E66" si="0">C3*D3</f>
        <v>0</v>
      </c>
      <c r="F3" s="186"/>
      <c r="G3" s="186">
        <f t="shared" ref="G3:G66" si="1">E3-F3</f>
        <v>0</v>
      </c>
      <c r="H3" s="136">
        <v>2130934</v>
      </c>
      <c r="I3" s="311" t="s">
        <v>96</v>
      </c>
      <c r="J3" s="136" t="s">
        <v>31</v>
      </c>
      <c r="K3" s="136" t="s">
        <v>32</v>
      </c>
      <c r="L3" s="136">
        <v>92911133</v>
      </c>
      <c r="M3" s="321"/>
    </row>
    <row r="4" spans="1:13" ht="21.75" customHeight="1" x14ac:dyDescent="0.25">
      <c r="A4" s="301">
        <v>1007</v>
      </c>
      <c r="B4" s="296" t="s">
        <v>213</v>
      </c>
      <c r="C4" s="541">
        <v>426</v>
      </c>
      <c r="D4" s="149">
        <v>0.3</v>
      </c>
      <c r="E4" s="186">
        <f t="shared" si="0"/>
        <v>127.8</v>
      </c>
      <c r="F4" s="186"/>
      <c r="G4" s="186">
        <f t="shared" si="1"/>
        <v>127.8</v>
      </c>
      <c r="H4" s="311">
        <v>1515504</v>
      </c>
      <c r="I4" s="311" t="s">
        <v>214</v>
      </c>
      <c r="J4" s="136" t="s">
        <v>71</v>
      </c>
      <c r="K4" s="136" t="s">
        <v>72</v>
      </c>
      <c r="L4" s="600">
        <v>91748840</v>
      </c>
      <c r="M4" s="139"/>
    </row>
    <row r="5" spans="1:13" s="17" customFormat="1" ht="21.75" customHeight="1" x14ac:dyDescent="0.25">
      <c r="A5" s="301">
        <v>1028</v>
      </c>
      <c r="B5" s="296" t="s">
        <v>215</v>
      </c>
      <c r="C5" s="295">
        <v>118.1</v>
      </c>
      <c r="D5" s="149">
        <v>0.3</v>
      </c>
      <c r="E5" s="186">
        <f t="shared" si="0"/>
        <v>35.43</v>
      </c>
      <c r="F5" s="186"/>
      <c r="G5" s="186">
        <f t="shared" si="1"/>
        <v>35.43</v>
      </c>
      <c r="H5" s="136">
        <v>802875</v>
      </c>
      <c r="I5" s="311" t="s">
        <v>216</v>
      </c>
      <c r="J5" s="136" t="s">
        <v>31</v>
      </c>
      <c r="K5" s="136" t="s">
        <v>32</v>
      </c>
      <c r="L5" s="136">
        <v>99498677</v>
      </c>
      <c r="M5" s="139"/>
    </row>
    <row r="6" spans="1:13" ht="21.75" customHeight="1" x14ac:dyDescent="0.25">
      <c r="A6" s="235">
        <v>1033</v>
      </c>
      <c r="B6" s="296" t="s">
        <v>217</v>
      </c>
      <c r="C6" s="295">
        <v>373.1</v>
      </c>
      <c r="D6" s="149">
        <v>0.3</v>
      </c>
      <c r="E6" s="186">
        <f t="shared" si="0"/>
        <v>111.93</v>
      </c>
      <c r="F6" s="186"/>
      <c r="G6" s="186">
        <f t="shared" si="1"/>
        <v>111.93</v>
      </c>
      <c r="H6" s="136">
        <v>10132435</v>
      </c>
      <c r="I6" s="311" t="s">
        <v>218</v>
      </c>
      <c r="J6" s="136" t="s">
        <v>52</v>
      </c>
      <c r="K6" s="136" t="s">
        <v>53</v>
      </c>
      <c r="L6" s="136">
        <v>92268168</v>
      </c>
      <c r="M6" s="139"/>
    </row>
    <row r="7" spans="1:13" ht="21.75" customHeight="1" x14ac:dyDescent="0.25">
      <c r="A7" s="235">
        <v>1040</v>
      </c>
      <c r="B7" s="296" t="s">
        <v>11</v>
      </c>
      <c r="C7" s="295">
        <v>69</v>
      </c>
      <c r="D7" s="149">
        <v>0.3</v>
      </c>
      <c r="E7" s="186">
        <f t="shared" si="0"/>
        <v>20.7</v>
      </c>
      <c r="F7" s="186"/>
      <c r="G7" s="186">
        <f t="shared" si="1"/>
        <v>20.7</v>
      </c>
      <c r="H7" s="136">
        <v>25082374</v>
      </c>
      <c r="I7" s="311" t="s">
        <v>220</v>
      </c>
      <c r="J7" s="136" t="s">
        <v>31</v>
      </c>
      <c r="K7" s="136" t="s">
        <v>32</v>
      </c>
      <c r="L7" s="136">
        <v>99816344</v>
      </c>
      <c r="M7" s="139"/>
    </row>
    <row r="8" spans="1:13" ht="21.75" customHeight="1" x14ac:dyDescent="0.25">
      <c r="A8" s="235">
        <v>1044</v>
      </c>
      <c r="B8" s="296" t="s">
        <v>221</v>
      </c>
      <c r="C8" s="295">
        <v>121</v>
      </c>
      <c r="D8" s="149">
        <v>0.3</v>
      </c>
      <c r="E8" s="186">
        <f t="shared" si="0"/>
        <v>36.299999999999997</v>
      </c>
      <c r="F8" s="186"/>
      <c r="G8" s="186">
        <f t="shared" si="1"/>
        <v>36.299999999999997</v>
      </c>
      <c r="H8" s="136">
        <v>81904</v>
      </c>
      <c r="I8" s="311" t="s">
        <v>222</v>
      </c>
      <c r="J8" s="136" t="s">
        <v>31</v>
      </c>
      <c r="K8" s="136" t="s">
        <v>32</v>
      </c>
      <c r="L8" s="136">
        <v>99494120</v>
      </c>
      <c r="M8" s="139"/>
    </row>
    <row r="9" spans="1:13" s="17" customFormat="1" ht="21.75" customHeight="1" x14ac:dyDescent="0.25">
      <c r="A9" s="235">
        <v>1080</v>
      </c>
      <c r="B9" s="296" t="s">
        <v>223</v>
      </c>
      <c r="C9" s="295">
        <v>84.9</v>
      </c>
      <c r="D9" s="149">
        <v>0.3</v>
      </c>
      <c r="E9" s="186">
        <f t="shared" si="0"/>
        <v>25.470000000000002</v>
      </c>
      <c r="F9" s="186"/>
      <c r="G9" s="186">
        <f t="shared" si="1"/>
        <v>25.470000000000002</v>
      </c>
      <c r="H9" s="136">
        <v>78762</v>
      </c>
      <c r="I9" s="311" t="s">
        <v>224</v>
      </c>
      <c r="J9" s="136" t="s">
        <v>31</v>
      </c>
      <c r="K9" s="136" t="s">
        <v>32</v>
      </c>
      <c r="L9" s="136">
        <v>92440088</v>
      </c>
      <c r="M9" s="139"/>
    </row>
    <row r="10" spans="1:13" s="17" customFormat="1" ht="21.75" customHeight="1" x14ac:dyDescent="0.25">
      <c r="A10" s="235">
        <v>1089</v>
      </c>
      <c r="B10" s="297" t="s">
        <v>225</v>
      </c>
      <c r="C10" s="295">
        <v>144</v>
      </c>
      <c r="D10" s="149">
        <v>0.3</v>
      </c>
      <c r="E10" s="186">
        <f t="shared" si="0"/>
        <v>43.199999999999996</v>
      </c>
      <c r="F10" s="186"/>
      <c r="G10" s="186">
        <f t="shared" si="1"/>
        <v>43.199999999999996</v>
      </c>
      <c r="H10" s="136">
        <v>892683</v>
      </c>
      <c r="I10" s="136" t="s">
        <v>226</v>
      </c>
      <c r="J10" s="136" t="s">
        <v>26</v>
      </c>
      <c r="K10" s="136" t="s">
        <v>27</v>
      </c>
      <c r="L10" s="136">
        <v>99506162</v>
      </c>
      <c r="M10" s="324"/>
    </row>
    <row r="11" spans="1:13" s="17" customFormat="1" ht="21.75" customHeight="1" x14ac:dyDescent="0.25">
      <c r="A11" s="235">
        <v>1096</v>
      </c>
      <c r="B11" s="296" t="s">
        <v>227</v>
      </c>
      <c r="C11" s="295">
        <v>83</v>
      </c>
      <c r="D11" s="149">
        <v>0.3</v>
      </c>
      <c r="E11" s="186">
        <f t="shared" si="0"/>
        <v>24.9</v>
      </c>
      <c r="F11" s="186"/>
      <c r="G11" s="186">
        <f t="shared" si="1"/>
        <v>24.9</v>
      </c>
      <c r="H11" s="136">
        <v>1959918</v>
      </c>
      <c r="I11" s="136" t="s">
        <v>228</v>
      </c>
      <c r="J11" s="136" t="s">
        <v>71</v>
      </c>
      <c r="K11" s="136" t="s">
        <v>72</v>
      </c>
      <c r="L11" s="136">
        <v>92699781</v>
      </c>
      <c r="M11" s="139"/>
    </row>
    <row r="12" spans="1:13" s="17" customFormat="1" ht="21.75" customHeight="1" x14ac:dyDescent="0.25">
      <c r="A12" s="235">
        <v>1106</v>
      </c>
      <c r="B12" s="296" t="s">
        <v>24</v>
      </c>
      <c r="C12" s="295">
        <v>343.9</v>
      </c>
      <c r="D12" s="149">
        <v>0.3</v>
      </c>
      <c r="E12" s="186">
        <f t="shared" si="0"/>
        <v>103.16999999999999</v>
      </c>
      <c r="F12" s="186"/>
      <c r="G12" s="186">
        <f t="shared" si="1"/>
        <v>103.16999999999999</v>
      </c>
      <c r="H12" s="136">
        <v>5502751</v>
      </c>
      <c r="I12" s="136" t="s">
        <v>25</v>
      </c>
      <c r="J12" s="136" t="s">
        <v>26</v>
      </c>
      <c r="K12" s="136" t="s">
        <v>27</v>
      </c>
      <c r="L12" s="136">
        <v>99270001</v>
      </c>
      <c r="M12" s="139"/>
    </row>
    <row r="13" spans="1:13" ht="21.75" customHeight="1" x14ac:dyDescent="0.25">
      <c r="A13" s="235">
        <v>1110</v>
      </c>
      <c r="B13" s="296" t="s">
        <v>229</v>
      </c>
      <c r="C13" s="295">
        <v>143</v>
      </c>
      <c r="D13" s="149">
        <v>0.3</v>
      </c>
      <c r="E13" s="186">
        <f t="shared" si="0"/>
        <v>42.9</v>
      </c>
      <c r="F13" s="186"/>
      <c r="G13" s="186">
        <f t="shared" si="1"/>
        <v>42.9</v>
      </c>
      <c r="H13" s="136">
        <v>934298</v>
      </c>
      <c r="I13" s="136" t="s">
        <v>230</v>
      </c>
      <c r="J13" s="136" t="s">
        <v>31</v>
      </c>
      <c r="K13" s="136" t="s">
        <v>32</v>
      </c>
      <c r="L13" s="136">
        <v>92811415</v>
      </c>
      <c r="M13" s="321"/>
    </row>
    <row r="14" spans="1:13" ht="21.75" customHeight="1" x14ac:dyDescent="0.25">
      <c r="A14" s="235">
        <v>1111</v>
      </c>
      <c r="B14" s="296" t="s">
        <v>231</v>
      </c>
      <c r="C14" s="295">
        <v>187.8</v>
      </c>
      <c r="D14" s="149">
        <v>0.3</v>
      </c>
      <c r="E14" s="186">
        <f t="shared" si="0"/>
        <v>56.34</v>
      </c>
      <c r="F14" s="186"/>
      <c r="G14" s="186">
        <f t="shared" si="1"/>
        <v>56.34</v>
      </c>
      <c r="H14" s="136">
        <v>15571992</v>
      </c>
      <c r="I14" s="311" t="s">
        <v>232</v>
      </c>
      <c r="J14" s="136" t="s">
        <v>52</v>
      </c>
      <c r="K14" s="136" t="s">
        <v>53</v>
      </c>
      <c r="L14" s="136">
        <v>92708951</v>
      </c>
      <c r="M14" s="139"/>
    </row>
    <row r="15" spans="1:13" ht="21.75" customHeight="1" x14ac:dyDescent="0.25">
      <c r="A15" s="235">
        <v>1119</v>
      </c>
      <c r="B15" s="297" t="s">
        <v>233</v>
      </c>
      <c r="C15" s="295">
        <v>43.6</v>
      </c>
      <c r="D15" s="149">
        <v>0.3</v>
      </c>
      <c r="E15" s="186">
        <f t="shared" si="0"/>
        <v>13.08</v>
      </c>
      <c r="F15" s="186"/>
      <c r="G15" s="186">
        <f t="shared" si="1"/>
        <v>13.08</v>
      </c>
      <c r="H15" s="136">
        <v>24000245</v>
      </c>
      <c r="I15" s="136" t="s">
        <v>234</v>
      </c>
      <c r="J15" s="136" t="s">
        <v>31</v>
      </c>
      <c r="K15" s="136" t="s">
        <v>32</v>
      </c>
      <c r="L15" s="136">
        <v>90911369</v>
      </c>
      <c r="M15" s="324"/>
    </row>
    <row r="16" spans="1:13" ht="21.75" customHeight="1" x14ac:dyDescent="0.25">
      <c r="A16" s="235">
        <v>1122</v>
      </c>
      <c r="B16" s="296" t="s">
        <v>98</v>
      </c>
      <c r="C16" s="295">
        <v>195</v>
      </c>
      <c r="D16" s="149">
        <v>0.3</v>
      </c>
      <c r="E16" s="186">
        <f t="shared" si="0"/>
        <v>58.5</v>
      </c>
      <c r="F16" s="186"/>
      <c r="G16" s="186">
        <f t="shared" si="1"/>
        <v>58.5</v>
      </c>
      <c r="H16" s="136">
        <v>5219876</v>
      </c>
      <c r="I16" s="136" t="s">
        <v>99</v>
      </c>
      <c r="J16" s="136" t="s">
        <v>31</v>
      </c>
      <c r="K16" s="136" t="s">
        <v>32</v>
      </c>
      <c r="L16" s="136">
        <v>99066779</v>
      </c>
      <c r="M16" s="139"/>
    </row>
    <row r="17" spans="1:13" ht="21.75" customHeight="1" x14ac:dyDescent="0.25">
      <c r="A17" s="235">
        <v>1135</v>
      </c>
      <c r="B17" s="296" t="s">
        <v>101</v>
      </c>
      <c r="C17" s="295">
        <v>161.6</v>
      </c>
      <c r="D17" s="149">
        <v>0.3</v>
      </c>
      <c r="E17" s="186">
        <f t="shared" si="0"/>
        <v>48.48</v>
      </c>
      <c r="F17" s="186"/>
      <c r="G17" s="186">
        <f t="shared" si="1"/>
        <v>48.48</v>
      </c>
      <c r="H17" s="136">
        <v>19202954</v>
      </c>
      <c r="I17" s="311" t="s">
        <v>102</v>
      </c>
      <c r="J17" s="136" t="s">
        <v>52</v>
      </c>
      <c r="K17" s="136" t="s">
        <v>53</v>
      </c>
      <c r="L17" s="136">
        <v>92771786</v>
      </c>
      <c r="M17" s="139"/>
    </row>
    <row r="18" spans="1:13" ht="21.75" customHeight="1" x14ac:dyDescent="0.25">
      <c r="A18" s="235">
        <v>1141</v>
      </c>
      <c r="B18" s="296" t="s">
        <v>235</v>
      </c>
      <c r="C18" s="295">
        <v>118.8</v>
      </c>
      <c r="D18" s="149">
        <v>0.3</v>
      </c>
      <c r="E18" s="186">
        <f t="shared" si="0"/>
        <v>35.64</v>
      </c>
      <c r="F18" s="186"/>
      <c r="G18" s="186">
        <f t="shared" si="1"/>
        <v>35.64</v>
      </c>
      <c r="H18" s="136">
        <v>11753992</v>
      </c>
      <c r="I18" s="311" t="s">
        <v>236</v>
      </c>
      <c r="J18" s="136" t="s">
        <v>31</v>
      </c>
      <c r="K18" s="136" t="s">
        <v>32</v>
      </c>
      <c r="L18" s="136">
        <v>99205960</v>
      </c>
      <c r="M18" s="139"/>
    </row>
    <row r="19" spans="1:13" ht="21.75" customHeight="1" x14ac:dyDescent="0.25">
      <c r="A19" s="235">
        <v>1154</v>
      </c>
      <c r="B19" s="136" t="s">
        <v>237</v>
      </c>
      <c r="C19" s="295">
        <v>266.7</v>
      </c>
      <c r="D19" s="149">
        <v>0.3</v>
      </c>
      <c r="E19" s="186">
        <f t="shared" si="0"/>
        <v>80.009999999999991</v>
      </c>
      <c r="F19" s="186"/>
      <c r="G19" s="186">
        <f t="shared" si="1"/>
        <v>80.009999999999991</v>
      </c>
      <c r="H19" s="137">
        <v>18654817</v>
      </c>
      <c r="I19" s="311" t="s">
        <v>238</v>
      </c>
      <c r="J19" s="136" t="s">
        <v>31</v>
      </c>
      <c r="K19" s="136" t="s">
        <v>32</v>
      </c>
      <c r="L19" s="136">
        <v>98887846</v>
      </c>
      <c r="M19" s="139"/>
    </row>
    <row r="20" spans="1:13" ht="21.75" customHeight="1" x14ac:dyDescent="0.25">
      <c r="A20" s="235">
        <v>1161</v>
      </c>
      <c r="B20" s="296" t="s">
        <v>239</v>
      </c>
      <c r="C20" s="295">
        <v>132</v>
      </c>
      <c r="D20" s="149">
        <v>0.3</v>
      </c>
      <c r="E20" s="186">
        <f t="shared" si="0"/>
        <v>39.6</v>
      </c>
      <c r="F20" s="186"/>
      <c r="G20" s="186">
        <f t="shared" si="1"/>
        <v>39.6</v>
      </c>
      <c r="H20" s="136">
        <v>257926</v>
      </c>
      <c r="I20" s="311" t="s">
        <v>240</v>
      </c>
      <c r="J20" s="136" t="s">
        <v>71</v>
      </c>
      <c r="K20" s="136" t="s">
        <v>72</v>
      </c>
      <c r="L20" s="136">
        <v>99589267</v>
      </c>
      <c r="M20" s="139"/>
    </row>
    <row r="21" spans="1:13" ht="21.75" customHeight="1" x14ac:dyDescent="0.25">
      <c r="A21" s="235">
        <v>1168</v>
      </c>
      <c r="B21" s="296" t="s">
        <v>241</v>
      </c>
      <c r="C21" s="295">
        <v>142.6</v>
      </c>
      <c r="D21" s="149">
        <v>0.3</v>
      </c>
      <c r="E21" s="186">
        <f t="shared" si="0"/>
        <v>42.779999999999994</v>
      </c>
      <c r="F21" s="186"/>
      <c r="G21" s="186">
        <f t="shared" si="1"/>
        <v>42.779999999999994</v>
      </c>
      <c r="H21" s="136">
        <v>15498714</v>
      </c>
      <c r="I21" s="311" t="s">
        <v>573</v>
      </c>
      <c r="J21" s="136" t="s">
        <v>31</v>
      </c>
      <c r="K21" s="136" t="s">
        <v>32</v>
      </c>
      <c r="L21" s="136">
        <v>99292524</v>
      </c>
      <c r="M21" s="139"/>
    </row>
    <row r="22" spans="1:13" ht="21.75" customHeight="1" x14ac:dyDescent="0.25">
      <c r="A22" s="235">
        <v>1177</v>
      </c>
      <c r="B22" s="297" t="s">
        <v>243</v>
      </c>
      <c r="C22" s="295">
        <v>54.8</v>
      </c>
      <c r="D22" s="149">
        <v>0.3</v>
      </c>
      <c r="E22" s="186">
        <f t="shared" si="0"/>
        <v>16.439999999999998</v>
      </c>
      <c r="F22" s="186"/>
      <c r="G22" s="186">
        <f t="shared" si="1"/>
        <v>16.439999999999998</v>
      </c>
      <c r="H22" s="136">
        <v>219353</v>
      </c>
      <c r="I22" s="311" t="s">
        <v>244</v>
      </c>
      <c r="J22" s="136" t="s">
        <v>52</v>
      </c>
      <c r="K22" s="136" t="s">
        <v>53</v>
      </c>
      <c r="L22" s="138">
        <v>99485534</v>
      </c>
      <c r="M22" s="324"/>
    </row>
    <row r="23" spans="1:13" ht="21.75" customHeight="1" x14ac:dyDescent="0.25">
      <c r="A23" s="235">
        <v>1224</v>
      </c>
      <c r="B23" s="296" t="s">
        <v>247</v>
      </c>
      <c r="C23" s="295">
        <v>194</v>
      </c>
      <c r="D23" s="149">
        <v>0.3</v>
      </c>
      <c r="E23" s="186">
        <f t="shared" si="0"/>
        <v>58.199999999999996</v>
      </c>
      <c r="F23" s="186"/>
      <c r="G23" s="186">
        <f t="shared" si="1"/>
        <v>58.199999999999996</v>
      </c>
      <c r="H23" s="136">
        <v>24911691</v>
      </c>
      <c r="I23" s="313" t="s">
        <v>248</v>
      </c>
      <c r="J23" s="136" t="s">
        <v>31</v>
      </c>
      <c r="K23" s="136" t="s">
        <v>32</v>
      </c>
      <c r="L23" s="136">
        <v>99192216</v>
      </c>
      <c r="M23" s="139"/>
    </row>
    <row r="24" spans="1:13" s="17" customFormat="1" ht="21.75" customHeight="1" x14ac:dyDescent="0.25">
      <c r="A24" s="235">
        <v>1225</v>
      </c>
      <c r="B24" s="296" t="s">
        <v>249</v>
      </c>
      <c r="C24" s="295">
        <v>139</v>
      </c>
      <c r="D24" s="149">
        <v>0.3</v>
      </c>
      <c r="E24" s="186">
        <f t="shared" si="0"/>
        <v>41.699999999999996</v>
      </c>
      <c r="F24" s="186"/>
      <c r="G24" s="186">
        <f t="shared" si="1"/>
        <v>41.699999999999996</v>
      </c>
      <c r="H24" s="136">
        <v>9642357</v>
      </c>
      <c r="I24" s="317" t="s">
        <v>250</v>
      </c>
      <c r="J24" s="136" t="s">
        <v>251</v>
      </c>
      <c r="K24" s="136" t="s">
        <v>252</v>
      </c>
      <c r="L24" s="136">
        <v>99777877</v>
      </c>
      <c r="M24" s="139"/>
    </row>
    <row r="25" spans="1:13" s="17" customFormat="1" ht="21.75" customHeight="1" x14ac:dyDescent="0.25">
      <c r="A25" s="235">
        <v>1235</v>
      </c>
      <c r="B25" s="300" t="s">
        <v>253</v>
      </c>
      <c r="C25" s="295">
        <v>64</v>
      </c>
      <c r="D25" s="149">
        <v>0.3</v>
      </c>
      <c r="E25" s="186">
        <f t="shared" si="0"/>
        <v>19.2</v>
      </c>
      <c r="F25" s="186"/>
      <c r="G25" s="186">
        <f t="shared" si="1"/>
        <v>19.2</v>
      </c>
      <c r="H25" s="139">
        <v>1992436</v>
      </c>
      <c r="I25" s="314" t="s">
        <v>254</v>
      </c>
      <c r="J25" s="140" t="s">
        <v>90</v>
      </c>
      <c r="K25" s="136" t="s">
        <v>32</v>
      </c>
      <c r="L25" s="140">
        <v>99484668</v>
      </c>
      <c r="M25" s="139"/>
    </row>
    <row r="26" spans="1:13" ht="21.75" customHeight="1" x14ac:dyDescent="0.25">
      <c r="A26" s="235">
        <v>1241</v>
      </c>
      <c r="B26" s="296" t="s">
        <v>255</v>
      </c>
      <c r="C26" s="295">
        <v>193.6</v>
      </c>
      <c r="D26" s="149">
        <v>0.3</v>
      </c>
      <c r="E26" s="186">
        <f t="shared" si="0"/>
        <v>58.08</v>
      </c>
      <c r="F26" s="186"/>
      <c r="G26" s="186">
        <f t="shared" si="1"/>
        <v>58.08</v>
      </c>
      <c r="H26" s="136">
        <v>5343254</v>
      </c>
      <c r="I26" s="136" t="s">
        <v>256</v>
      </c>
      <c r="J26" s="136" t="s">
        <v>31</v>
      </c>
      <c r="K26" s="136" t="s">
        <v>32</v>
      </c>
      <c r="L26" s="136">
        <v>98964664</v>
      </c>
      <c r="M26" s="321"/>
    </row>
    <row r="27" spans="1:13" ht="21.75" customHeight="1" x14ac:dyDescent="0.25">
      <c r="A27" s="235">
        <v>1247</v>
      </c>
      <c r="B27" s="296" t="s">
        <v>103</v>
      </c>
      <c r="C27" s="295">
        <v>222</v>
      </c>
      <c r="D27" s="149">
        <v>0.3</v>
      </c>
      <c r="E27" s="186">
        <f t="shared" si="0"/>
        <v>66.599999999999994</v>
      </c>
      <c r="F27" s="186"/>
      <c r="G27" s="186">
        <f t="shared" si="1"/>
        <v>66.599999999999994</v>
      </c>
      <c r="H27" s="136">
        <v>4748561</v>
      </c>
      <c r="I27" s="311" t="s">
        <v>104</v>
      </c>
      <c r="J27" s="136" t="s">
        <v>52</v>
      </c>
      <c r="K27" s="136" t="s">
        <v>53</v>
      </c>
      <c r="L27" s="136">
        <v>92345282</v>
      </c>
      <c r="M27" s="139"/>
    </row>
    <row r="28" spans="1:13" ht="21.75" customHeight="1" x14ac:dyDescent="0.25">
      <c r="A28" s="235">
        <v>1252</v>
      </c>
      <c r="B28" s="296" t="s">
        <v>258</v>
      </c>
      <c r="C28" s="295">
        <v>197.1</v>
      </c>
      <c r="D28" s="149">
        <v>0.3</v>
      </c>
      <c r="E28" s="186">
        <f t="shared" si="0"/>
        <v>59.129999999999995</v>
      </c>
      <c r="F28" s="186"/>
      <c r="G28" s="186">
        <f t="shared" si="1"/>
        <v>59.129999999999995</v>
      </c>
      <c r="H28" s="136">
        <v>2433959</v>
      </c>
      <c r="I28" s="311" t="s">
        <v>259</v>
      </c>
      <c r="J28" s="136" t="s">
        <v>52</v>
      </c>
      <c r="K28" s="136" t="s">
        <v>53</v>
      </c>
      <c r="L28" s="136">
        <v>93555999</v>
      </c>
      <c r="M28" s="139"/>
    </row>
    <row r="29" spans="1:13" ht="21.75" customHeight="1" x14ac:dyDescent="0.25">
      <c r="A29" s="235">
        <v>1258</v>
      </c>
      <c r="B29" s="296" t="s">
        <v>105</v>
      </c>
      <c r="C29" s="295">
        <v>252</v>
      </c>
      <c r="D29" s="149">
        <v>0.3</v>
      </c>
      <c r="E29" s="186">
        <f t="shared" si="0"/>
        <v>75.599999999999994</v>
      </c>
      <c r="F29" s="186"/>
      <c r="G29" s="186">
        <f t="shared" si="1"/>
        <v>75.599999999999994</v>
      </c>
      <c r="H29" s="136">
        <v>1924174</v>
      </c>
      <c r="I29" s="136" t="s">
        <v>106</v>
      </c>
      <c r="J29" s="136" t="s">
        <v>52</v>
      </c>
      <c r="K29" s="136" t="s">
        <v>53</v>
      </c>
      <c r="L29" s="136">
        <v>99297990</v>
      </c>
      <c r="M29" s="139"/>
    </row>
    <row r="30" spans="1:13" ht="21.75" customHeight="1" x14ac:dyDescent="0.25">
      <c r="A30" s="235">
        <v>1260</v>
      </c>
      <c r="B30" s="296" t="s">
        <v>260</v>
      </c>
      <c r="C30" s="295">
        <v>124.5</v>
      </c>
      <c r="D30" s="149">
        <v>0.3</v>
      </c>
      <c r="E30" s="186">
        <f t="shared" si="0"/>
        <v>37.35</v>
      </c>
      <c r="F30" s="186"/>
      <c r="G30" s="186">
        <f t="shared" si="1"/>
        <v>37.35</v>
      </c>
      <c r="H30" s="136">
        <v>18363579</v>
      </c>
      <c r="I30" s="323" t="s">
        <v>261</v>
      </c>
      <c r="J30" s="136" t="s">
        <v>52</v>
      </c>
      <c r="K30" s="136" t="s">
        <v>53</v>
      </c>
      <c r="L30" s="136">
        <v>98217444</v>
      </c>
      <c r="M30" s="139"/>
    </row>
    <row r="31" spans="1:13" ht="21.75" customHeight="1" x14ac:dyDescent="0.25">
      <c r="A31" s="235">
        <v>1261</v>
      </c>
      <c r="B31" s="136" t="s">
        <v>107</v>
      </c>
      <c r="C31" s="295">
        <v>109.5</v>
      </c>
      <c r="D31" s="149">
        <v>0.3</v>
      </c>
      <c r="E31" s="186">
        <f t="shared" si="0"/>
        <v>32.85</v>
      </c>
      <c r="F31" s="186"/>
      <c r="G31" s="186">
        <f t="shared" si="1"/>
        <v>32.85</v>
      </c>
      <c r="H31" s="136">
        <v>14429332</v>
      </c>
      <c r="I31" s="311" t="s">
        <v>574</v>
      </c>
      <c r="J31" s="136" t="s">
        <v>31</v>
      </c>
      <c r="K31" s="136" t="s">
        <v>32</v>
      </c>
      <c r="L31" s="136">
        <v>92939445</v>
      </c>
      <c r="M31" s="321"/>
    </row>
    <row r="32" spans="1:13" ht="21.75" customHeight="1" x14ac:dyDescent="0.25">
      <c r="A32" s="235">
        <v>1268</v>
      </c>
      <c r="B32" s="296" t="s">
        <v>109</v>
      </c>
      <c r="C32" s="295">
        <v>82.5</v>
      </c>
      <c r="D32" s="149">
        <v>0.3</v>
      </c>
      <c r="E32" s="186">
        <f t="shared" si="0"/>
        <v>24.75</v>
      </c>
      <c r="F32" s="186"/>
      <c r="G32" s="186">
        <f t="shared" si="1"/>
        <v>24.75</v>
      </c>
      <c r="H32" s="136">
        <v>722058</v>
      </c>
      <c r="I32" s="311" t="s">
        <v>110</v>
      </c>
      <c r="J32" s="136" t="s">
        <v>31</v>
      </c>
      <c r="K32" s="136" t="s">
        <v>32</v>
      </c>
      <c r="L32" s="136">
        <v>92848609</v>
      </c>
      <c r="M32" s="321"/>
    </row>
    <row r="33" spans="1:13" ht="21.75" customHeight="1" x14ac:dyDescent="0.25">
      <c r="A33" s="235">
        <v>1282</v>
      </c>
      <c r="B33" s="296" t="s">
        <v>111</v>
      </c>
      <c r="C33" s="295">
        <v>248.2</v>
      </c>
      <c r="D33" s="149">
        <v>0.3</v>
      </c>
      <c r="E33" s="186">
        <f t="shared" si="0"/>
        <v>74.459999999999994</v>
      </c>
      <c r="F33" s="186"/>
      <c r="G33" s="186">
        <f t="shared" si="1"/>
        <v>74.459999999999994</v>
      </c>
      <c r="H33" s="136">
        <v>2997747</v>
      </c>
      <c r="I33" s="311" t="s">
        <v>112</v>
      </c>
      <c r="J33" s="136" t="s">
        <v>71</v>
      </c>
      <c r="K33" s="136" t="s">
        <v>72</v>
      </c>
      <c r="L33" s="136">
        <v>92660969</v>
      </c>
      <c r="M33" s="139"/>
    </row>
    <row r="34" spans="1:13" ht="21.75" customHeight="1" x14ac:dyDescent="0.25">
      <c r="A34" s="235">
        <v>1284</v>
      </c>
      <c r="B34" s="296" t="s">
        <v>115</v>
      </c>
      <c r="C34" s="295">
        <v>313.60000000000002</v>
      </c>
      <c r="D34" s="149">
        <v>0.3</v>
      </c>
      <c r="E34" s="186">
        <f t="shared" si="0"/>
        <v>94.08</v>
      </c>
      <c r="F34" s="186"/>
      <c r="G34" s="186">
        <f t="shared" si="1"/>
        <v>94.08</v>
      </c>
      <c r="H34" s="136">
        <v>1177598</v>
      </c>
      <c r="I34" s="311" t="s">
        <v>116</v>
      </c>
      <c r="J34" s="136" t="s">
        <v>52</v>
      </c>
      <c r="K34" s="136" t="s">
        <v>53</v>
      </c>
      <c r="L34" s="136">
        <v>92825228</v>
      </c>
      <c r="M34" s="139"/>
    </row>
    <row r="35" spans="1:13" ht="21.75" customHeight="1" x14ac:dyDescent="0.25">
      <c r="A35" s="235">
        <v>1300</v>
      </c>
      <c r="B35" s="300" t="s">
        <v>263</v>
      </c>
      <c r="C35" s="295">
        <v>150</v>
      </c>
      <c r="D35" s="149">
        <v>0.3</v>
      </c>
      <c r="E35" s="186">
        <f t="shared" si="0"/>
        <v>45</v>
      </c>
      <c r="F35" s="186"/>
      <c r="G35" s="186">
        <f t="shared" si="1"/>
        <v>45</v>
      </c>
      <c r="H35" s="139">
        <v>19534277</v>
      </c>
      <c r="I35" s="311" t="s">
        <v>264</v>
      </c>
      <c r="J35" s="136" t="s">
        <v>31</v>
      </c>
      <c r="K35" s="136" t="s">
        <v>32</v>
      </c>
      <c r="L35" s="136">
        <v>99710505</v>
      </c>
      <c r="M35" s="139"/>
    </row>
    <row r="36" spans="1:13" ht="21.75" customHeight="1" x14ac:dyDescent="0.25">
      <c r="A36" s="235">
        <v>1306</v>
      </c>
      <c r="B36" s="642" t="s">
        <v>265</v>
      </c>
      <c r="C36" s="295">
        <v>116.9</v>
      </c>
      <c r="D36" s="149">
        <v>0.3</v>
      </c>
      <c r="E36" s="186">
        <f t="shared" si="0"/>
        <v>35.07</v>
      </c>
      <c r="F36" s="186"/>
      <c r="G36" s="186">
        <f t="shared" si="1"/>
        <v>35.07</v>
      </c>
      <c r="H36" s="138">
        <v>2006904</v>
      </c>
      <c r="I36" s="315" t="s">
        <v>266</v>
      </c>
      <c r="J36" s="138" t="s">
        <v>31</v>
      </c>
      <c r="K36" s="136" t="s">
        <v>32</v>
      </c>
      <c r="L36" s="138">
        <v>96137717</v>
      </c>
      <c r="M36" s="139"/>
    </row>
    <row r="37" spans="1:13" ht="21.75" customHeight="1" x14ac:dyDescent="0.25">
      <c r="A37" s="235">
        <v>1315</v>
      </c>
      <c r="B37" s="296" t="s">
        <v>267</v>
      </c>
      <c r="C37" s="295">
        <v>84.7</v>
      </c>
      <c r="D37" s="149">
        <v>0.3</v>
      </c>
      <c r="E37" s="186">
        <f t="shared" si="0"/>
        <v>25.41</v>
      </c>
      <c r="F37" s="186"/>
      <c r="G37" s="186">
        <f t="shared" si="1"/>
        <v>25.41</v>
      </c>
      <c r="H37" s="136">
        <v>19528845</v>
      </c>
      <c r="I37" s="311" t="s">
        <v>268</v>
      </c>
      <c r="J37" s="136" t="s">
        <v>31</v>
      </c>
      <c r="K37" s="136" t="s">
        <v>32</v>
      </c>
      <c r="L37" s="136">
        <v>92432606</v>
      </c>
      <c r="M37" s="139"/>
    </row>
    <row r="38" spans="1:13" ht="21.75" customHeight="1" x14ac:dyDescent="0.25">
      <c r="A38" s="235">
        <v>1328</v>
      </c>
      <c r="B38" s="296" t="s">
        <v>117</v>
      </c>
      <c r="C38" s="295">
        <v>20</v>
      </c>
      <c r="D38" s="149">
        <v>0.3</v>
      </c>
      <c r="E38" s="186">
        <f t="shared" si="0"/>
        <v>6</v>
      </c>
      <c r="F38" s="186"/>
      <c r="G38" s="186">
        <f t="shared" si="1"/>
        <v>6</v>
      </c>
      <c r="H38" s="136">
        <v>782833</v>
      </c>
      <c r="I38" s="311" t="s">
        <v>118</v>
      </c>
      <c r="J38" s="136" t="s">
        <v>52</v>
      </c>
      <c r="K38" s="136" t="s">
        <v>53</v>
      </c>
      <c r="L38" s="136">
        <v>92475895</v>
      </c>
      <c r="M38" s="321"/>
    </row>
    <row r="39" spans="1:13" ht="21.75" customHeight="1" x14ac:dyDescent="0.25">
      <c r="A39" s="235">
        <v>1330</v>
      </c>
      <c r="B39" s="300" t="s">
        <v>119</v>
      </c>
      <c r="C39" s="295">
        <v>203.6</v>
      </c>
      <c r="D39" s="149">
        <v>0.3</v>
      </c>
      <c r="E39" s="186">
        <f t="shared" si="0"/>
        <v>61.08</v>
      </c>
      <c r="F39" s="186"/>
      <c r="G39" s="186">
        <f t="shared" si="1"/>
        <v>61.08</v>
      </c>
      <c r="H39" s="136">
        <v>12194826</v>
      </c>
      <c r="I39" s="311" t="s">
        <v>120</v>
      </c>
      <c r="J39" s="136" t="s">
        <v>121</v>
      </c>
      <c r="K39" s="136" t="s">
        <v>122</v>
      </c>
      <c r="L39" s="136">
        <v>91299100</v>
      </c>
      <c r="M39" s="321"/>
    </row>
    <row r="40" spans="1:13" s="17" customFormat="1" ht="21.75" customHeight="1" x14ac:dyDescent="0.25">
      <c r="A40" s="235">
        <v>1331</v>
      </c>
      <c r="B40" s="296" t="s">
        <v>269</v>
      </c>
      <c r="C40" s="295">
        <v>132</v>
      </c>
      <c r="D40" s="149">
        <v>0.3</v>
      </c>
      <c r="E40" s="186">
        <f t="shared" si="0"/>
        <v>39.6</v>
      </c>
      <c r="F40" s="186"/>
      <c r="G40" s="186">
        <f t="shared" si="1"/>
        <v>39.6</v>
      </c>
      <c r="H40" s="136">
        <v>2107763</v>
      </c>
      <c r="I40" s="311" t="s">
        <v>270</v>
      </c>
      <c r="J40" s="136" t="s">
        <v>71</v>
      </c>
      <c r="K40" s="136" t="s">
        <v>72</v>
      </c>
      <c r="L40" s="136">
        <v>93536009</v>
      </c>
      <c r="M40" s="321"/>
    </row>
    <row r="41" spans="1:13" ht="21.75" customHeight="1" x14ac:dyDescent="0.25">
      <c r="A41" s="235">
        <v>1333</v>
      </c>
      <c r="B41" s="296" t="s">
        <v>29</v>
      </c>
      <c r="C41" s="295">
        <v>196.4</v>
      </c>
      <c r="D41" s="149">
        <v>0.3</v>
      </c>
      <c r="E41" s="186">
        <f t="shared" si="0"/>
        <v>58.92</v>
      </c>
      <c r="F41" s="186"/>
      <c r="G41" s="186">
        <f t="shared" si="1"/>
        <v>58.92</v>
      </c>
      <c r="H41" s="136">
        <v>1736679</v>
      </c>
      <c r="I41" s="311" t="s">
        <v>30</v>
      </c>
      <c r="J41" s="136" t="s">
        <v>31</v>
      </c>
      <c r="K41" s="136" t="s">
        <v>32</v>
      </c>
      <c r="L41" s="136">
        <v>99482212</v>
      </c>
      <c r="M41" s="139"/>
    </row>
    <row r="42" spans="1:13" ht="21.75" customHeight="1" x14ac:dyDescent="0.25">
      <c r="A42" s="235">
        <v>1382</v>
      </c>
      <c r="B42" s="296" t="s">
        <v>34</v>
      </c>
      <c r="C42" s="295">
        <v>164.5</v>
      </c>
      <c r="D42" s="149">
        <v>0.3</v>
      </c>
      <c r="E42" s="186">
        <f t="shared" si="0"/>
        <v>49.35</v>
      </c>
      <c r="F42" s="186"/>
      <c r="G42" s="186">
        <f t="shared" si="1"/>
        <v>49.35</v>
      </c>
      <c r="H42" s="136">
        <v>886492</v>
      </c>
      <c r="I42" s="311" t="s">
        <v>35</v>
      </c>
      <c r="J42" s="136" t="s">
        <v>31</v>
      </c>
      <c r="K42" s="136" t="s">
        <v>32</v>
      </c>
      <c r="L42" s="136">
        <v>99494166</v>
      </c>
      <c r="M42" s="139"/>
    </row>
    <row r="43" spans="1:13" ht="21.75" customHeight="1" x14ac:dyDescent="0.25">
      <c r="A43" s="235">
        <v>1384</v>
      </c>
      <c r="B43" s="296" t="s">
        <v>37</v>
      </c>
      <c r="C43" s="295">
        <v>81.400000000000006</v>
      </c>
      <c r="D43" s="149">
        <v>0.3</v>
      </c>
      <c r="E43" s="186">
        <f t="shared" si="0"/>
        <v>24.42</v>
      </c>
      <c r="F43" s="186"/>
      <c r="G43" s="186">
        <f t="shared" si="1"/>
        <v>24.42</v>
      </c>
      <c r="H43" s="136">
        <v>4426701</v>
      </c>
      <c r="I43" s="311" t="s">
        <v>38</v>
      </c>
      <c r="J43" s="136" t="s">
        <v>31</v>
      </c>
      <c r="K43" s="136" t="s">
        <v>32</v>
      </c>
      <c r="L43" s="136">
        <v>92634991</v>
      </c>
      <c r="M43" s="139"/>
    </row>
    <row r="44" spans="1:13" ht="21.75" customHeight="1" x14ac:dyDescent="0.25">
      <c r="A44" s="235">
        <v>1386</v>
      </c>
      <c r="B44" s="296" t="s">
        <v>39</v>
      </c>
      <c r="C44" s="295">
        <v>244</v>
      </c>
      <c r="D44" s="149">
        <v>0.3</v>
      </c>
      <c r="E44" s="186">
        <f t="shared" si="0"/>
        <v>73.2</v>
      </c>
      <c r="F44" s="186"/>
      <c r="G44" s="186">
        <f t="shared" si="1"/>
        <v>73.2</v>
      </c>
      <c r="H44" s="136">
        <v>711799</v>
      </c>
      <c r="I44" s="311" t="s">
        <v>40</v>
      </c>
      <c r="J44" s="136" t="s">
        <v>31</v>
      </c>
      <c r="K44" s="136" t="s">
        <v>32</v>
      </c>
      <c r="L44" s="136">
        <v>92394924</v>
      </c>
      <c r="M44" s="139"/>
    </row>
    <row r="45" spans="1:13" ht="21.75" customHeight="1" x14ac:dyDescent="0.25">
      <c r="A45" s="235">
        <v>1387</v>
      </c>
      <c r="B45" s="296" t="s">
        <v>271</v>
      </c>
      <c r="C45" s="295">
        <v>143.4</v>
      </c>
      <c r="D45" s="149">
        <v>0.3</v>
      </c>
      <c r="E45" s="186">
        <f t="shared" si="0"/>
        <v>43.02</v>
      </c>
      <c r="F45" s="186"/>
      <c r="G45" s="186">
        <f t="shared" si="1"/>
        <v>43.02</v>
      </c>
      <c r="H45" s="136">
        <v>6759716</v>
      </c>
      <c r="I45" s="311" t="s">
        <v>272</v>
      </c>
      <c r="J45" s="136" t="s">
        <v>71</v>
      </c>
      <c r="K45" s="136" t="s">
        <v>72</v>
      </c>
      <c r="L45" s="136">
        <v>91907675</v>
      </c>
      <c r="M45" s="139"/>
    </row>
    <row r="46" spans="1:13" ht="21.75" customHeight="1" x14ac:dyDescent="0.25">
      <c r="A46" s="235">
        <v>1388</v>
      </c>
      <c r="B46" s="296" t="s">
        <v>273</v>
      </c>
      <c r="C46" s="295">
        <v>102.5</v>
      </c>
      <c r="D46" s="149">
        <v>0.3</v>
      </c>
      <c r="E46" s="186">
        <f t="shared" si="0"/>
        <v>30.75</v>
      </c>
      <c r="F46" s="186"/>
      <c r="G46" s="186">
        <f t="shared" si="1"/>
        <v>30.75</v>
      </c>
      <c r="H46" s="136">
        <v>18610874</v>
      </c>
      <c r="I46" s="311" t="s">
        <v>274</v>
      </c>
      <c r="J46" s="136" t="s">
        <v>52</v>
      </c>
      <c r="K46" s="136" t="s">
        <v>53</v>
      </c>
      <c r="L46" s="136">
        <v>93955577</v>
      </c>
      <c r="M46" s="139"/>
    </row>
    <row r="47" spans="1:13" ht="21.75" customHeight="1" x14ac:dyDescent="0.25">
      <c r="A47" s="235">
        <v>1389</v>
      </c>
      <c r="B47" s="296" t="s">
        <v>275</v>
      </c>
      <c r="C47" s="295">
        <v>347.4</v>
      </c>
      <c r="D47" s="149">
        <v>0.3</v>
      </c>
      <c r="E47" s="186">
        <f t="shared" si="0"/>
        <v>104.21999999999998</v>
      </c>
      <c r="F47" s="186"/>
      <c r="G47" s="186">
        <f t="shared" si="1"/>
        <v>104.21999999999998</v>
      </c>
      <c r="H47" s="136">
        <v>1036354</v>
      </c>
      <c r="I47" s="311" t="s">
        <v>276</v>
      </c>
      <c r="J47" s="136" t="s">
        <v>52</v>
      </c>
      <c r="K47" s="136" t="s">
        <v>53</v>
      </c>
      <c r="L47" s="136">
        <v>92413881</v>
      </c>
      <c r="M47" s="139"/>
    </row>
    <row r="48" spans="1:13" ht="21.75" customHeight="1" x14ac:dyDescent="0.25">
      <c r="A48" s="235">
        <v>1394</v>
      </c>
      <c r="B48" s="296" t="s">
        <v>277</v>
      </c>
      <c r="C48" s="295">
        <v>0</v>
      </c>
      <c r="D48" s="149">
        <v>0.3</v>
      </c>
      <c r="E48" s="186">
        <f t="shared" si="0"/>
        <v>0</v>
      </c>
      <c r="F48" s="186"/>
      <c r="G48" s="186">
        <f t="shared" si="1"/>
        <v>0</v>
      </c>
      <c r="H48" s="136">
        <v>25656187</v>
      </c>
      <c r="I48" s="136" t="s">
        <v>278</v>
      </c>
      <c r="J48" s="136" t="s">
        <v>31</v>
      </c>
      <c r="K48" s="311" t="s">
        <v>32</v>
      </c>
      <c r="L48" s="136">
        <v>98987848</v>
      </c>
      <c r="M48" s="139"/>
    </row>
    <row r="49" spans="1:13" ht="21.75" customHeight="1" x14ac:dyDescent="0.25">
      <c r="A49" s="235">
        <v>1396</v>
      </c>
      <c r="B49" s="296" t="s">
        <v>123</v>
      </c>
      <c r="C49" s="295">
        <v>0</v>
      </c>
      <c r="D49" s="149">
        <v>0.3</v>
      </c>
      <c r="E49" s="186">
        <f t="shared" si="0"/>
        <v>0</v>
      </c>
      <c r="F49" s="186"/>
      <c r="G49" s="186">
        <f t="shared" si="1"/>
        <v>0</v>
      </c>
      <c r="H49" s="136">
        <v>905845</v>
      </c>
      <c r="I49" s="311" t="s">
        <v>124</v>
      </c>
      <c r="J49" s="136" t="s">
        <v>31</v>
      </c>
      <c r="K49" s="136" t="s">
        <v>32</v>
      </c>
      <c r="L49" s="136">
        <v>99696204</v>
      </c>
      <c r="M49" s="321"/>
    </row>
    <row r="50" spans="1:13" ht="21.75" customHeight="1" x14ac:dyDescent="0.25">
      <c r="A50" s="235">
        <v>1397</v>
      </c>
      <c r="B50" s="296" t="s">
        <v>125</v>
      </c>
      <c r="C50" s="295">
        <v>76.400000000000006</v>
      </c>
      <c r="D50" s="149">
        <v>0.3</v>
      </c>
      <c r="E50" s="186">
        <f t="shared" si="0"/>
        <v>22.92</v>
      </c>
      <c r="F50" s="186"/>
      <c r="G50" s="186">
        <f t="shared" si="1"/>
        <v>22.92</v>
      </c>
      <c r="H50" s="136">
        <v>1292885</v>
      </c>
      <c r="I50" s="311" t="s">
        <v>126</v>
      </c>
      <c r="J50" s="136" t="s">
        <v>127</v>
      </c>
      <c r="K50" s="136" t="s">
        <v>128</v>
      </c>
      <c r="L50" s="136">
        <v>92307552</v>
      </c>
      <c r="M50" s="139"/>
    </row>
    <row r="51" spans="1:13" ht="21.75" customHeight="1" x14ac:dyDescent="0.25">
      <c r="A51" s="235">
        <v>1398</v>
      </c>
      <c r="B51" s="296" t="s">
        <v>279</v>
      </c>
      <c r="C51" s="295">
        <v>0</v>
      </c>
      <c r="D51" s="149">
        <v>0.3</v>
      </c>
      <c r="E51" s="186">
        <f t="shared" si="0"/>
        <v>0</v>
      </c>
      <c r="F51" s="186"/>
      <c r="G51" s="186">
        <f t="shared" si="1"/>
        <v>0</v>
      </c>
      <c r="H51" s="136">
        <v>1161437</v>
      </c>
      <c r="I51" s="136" t="s">
        <v>280</v>
      </c>
      <c r="J51" s="136" t="s">
        <v>121</v>
      </c>
      <c r="K51" s="136" t="s">
        <v>122</v>
      </c>
      <c r="L51" s="136">
        <v>91135580</v>
      </c>
      <c r="M51" s="321"/>
    </row>
    <row r="52" spans="1:13" s="17" customFormat="1" ht="21.75" customHeight="1" x14ac:dyDescent="0.25">
      <c r="A52" s="235">
        <v>1400</v>
      </c>
      <c r="B52" s="296" t="s">
        <v>281</v>
      </c>
      <c r="C52" s="295">
        <v>184</v>
      </c>
      <c r="D52" s="149">
        <v>0.3</v>
      </c>
      <c r="E52" s="186">
        <f t="shared" si="0"/>
        <v>55.199999999999996</v>
      </c>
      <c r="F52" s="186"/>
      <c r="G52" s="186">
        <f t="shared" si="1"/>
        <v>55.199999999999996</v>
      </c>
      <c r="H52" s="136">
        <v>7223707</v>
      </c>
      <c r="I52" s="311" t="s">
        <v>282</v>
      </c>
      <c r="J52" s="136" t="s">
        <v>26</v>
      </c>
      <c r="K52" s="136" t="s">
        <v>27</v>
      </c>
      <c r="L52" s="136">
        <v>92616136</v>
      </c>
      <c r="M52" s="139"/>
    </row>
    <row r="53" spans="1:13" ht="21.75" customHeight="1" x14ac:dyDescent="0.25">
      <c r="A53" s="235">
        <v>1403</v>
      </c>
      <c r="B53" s="296" t="s">
        <v>283</v>
      </c>
      <c r="C53" s="295">
        <v>139</v>
      </c>
      <c r="D53" s="149">
        <v>0.3</v>
      </c>
      <c r="E53" s="186">
        <f t="shared" si="0"/>
        <v>41.699999999999996</v>
      </c>
      <c r="F53" s="186"/>
      <c r="G53" s="186">
        <f t="shared" si="1"/>
        <v>41.699999999999996</v>
      </c>
      <c r="H53" s="136">
        <v>499044</v>
      </c>
      <c r="I53" s="136" t="s">
        <v>284</v>
      </c>
      <c r="J53" s="136" t="s">
        <v>31</v>
      </c>
      <c r="K53" s="136" t="s">
        <v>32</v>
      </c>
      <c r="L53" s="136">
        <v>92226988</v>
      </c>
      <c r="M53" s="139"/>
    </row>
    <row r="54" spans="1:13" ht="21.75" customHeight="1" x14ac:dyDescent="0.25">
      <c r="A54" s="148">
        <v>1406</v>
      </c>
      <c r="B54" s="296" t="s">
        <v>285</v>
      </c>
      <c r="C54" s="295">
        <v>156</v>
      </c>
      <c r="D54" s="149">
        <v>0.3</v>
      </c>
      <c r="E54" s="186">
        <f t="shared" si="0"/>
        <v>46.8</v>
      </c>
      <c r="F54" s="186"/>
      <c r="G54" s="186">
        <f t="shared" si="1"/>
        <v>46.8</v>
      </c>
      <c r="H54" s="136">
        <v>880849</v>
      </c>
      <c r="I54" s="311" t="s">
        <v>286</v>
      </c>
      <c r="J54" s="136" t="s">
        <v>71</v>
      </c>
      <c r="K54" s="136" t="s">
        <v>72</v>
      </c>
      <c r="L54" s="136">
        <v>99365157</v>
      </c>
      <c r="M54" s="321"/>
    </row>
    <row r="55" spans="1:13" ht="21.75" customHeight="1" x14ac:dyDescent="0.25">
      <c r="A55" s="148">
        <v>1408</v>
      </c>
      <c r="B55" s="136" t="s">
        <v>287</v>
      </c>
      <c r="C55" s="295">
        <v>378</v>
      </c>
      <c r="D55" s="149">
        <v>0.3</v>
      </c>
      <c r="E55" s="186">
        <f t="shared" si="0"/>
        <v>113.39999999999999</v>
      </c>
      <c r="F55" s="186"/>
      <c r="G55" s="186">
        <f t="shared" si="1"/>
        <v>113.39999999999999</v>
      </c>
      <c r="H55" s="136">
        <v>997465</v>
      </c>
      <c r="I55" s="311" t="s">
        <v>288</v>
      </c>
      <c r="J55" s="136" t="s">
        <v>31</v>
      </c>
      <c r="K55" s="136" t="s">
        <v>32</v>
      </c>
      <c r="L55" s="136">
        <v>99490975</v>
      </c>
      <c r="M55" s="139"/>
    </row>
    <row r="56" spans="1:13" ht="21.75" customHeight="1" x14ac:dyDescent="0.25">
      <c r="A56" s="148">
        <v>1409</v>
      </c>
      <c r="B56" s="296" t="s">
        <v>289</v>
      </c>
      <c r="C56" s="541">
        <v>125.3</v>
      </c>
      <c r="D56" s="149">
        <v>0.3</v>
      </c>
      <c r="E56" s="186">
        <f t="shared" si="0"/>
        <v>37.589999999999996</v>
      </c>
      <c r="F56" s="186"/>
      <c r="G56" s="186">
        <f t="shared" si="1"/>
        <v>37.589999999999996</v>
      </c>
      <c r="H56" s="136">
        <v>7279409</v>
      </c>
      <c r="I56" s="311" t="s">
        <v>290</v>
      </c>
      <c r="J56" s="136" t="s">
        <v>31</v>
      </c>
      <c r="K56" s="136" t="s">
        <v>32</v>
      </c>
      <c r="L56" s="136">
        <v>99626634</v>
      </c>
      <c r="M56" s="139"/>
    </row>
    <row r="57" spans="1:13" ht="21.75" customHeight="1" x14ac:dyDescent="0.25">
      <c r="A57" s="148">
        <v>1410</v>
      </c>
      <c r="B57" s="296" t="s">
        <v>292</v>
      </c>
      <c r="C57" s="540">
        <v>150</v>
      </c>
      <c r="D57" s="149">
        <v>0.3</v>
      </c>
      <c r="E57" s="186">
        <f t="shared" si="0"/>
        <v>45</v>
      </c>
      <c r="F57" s="186"/>
      <c r="G57" s="186">
        <f t="shared" si="1"/>
        <v>45</v>
      </c>
      <c r="H57" s="136">
        <v>757372</v>
      </c>
      <c r="I57" s="311" t="s">
        <v>293</v>
      </c>
      <c r="J57" s="136" t="s">
        <v>31</v>
      </c>
      <c r="K57" s="136" t="s">
        <v>32</v>
      </c>
      <c r="L57" s="136">
        <v>92018800</v>
      </c>
      <c r="M57" s="139"/>
    </row>
    <row r="58" spans="1:13" ht="21.75" customHeight="1" x14ac:dyDescent="0.25">
      <c r="A58" s="148">
        <v>1411</v>
      </c>
      <c r="B58" s="296" t="s">
        <v>294</v>
      </c>
      <c r="C58" s="295">
        <v>161</v>
      </c>
      <c r="D58" s="149">
        <v>0.3</v>
      </c>
      <c r="E58" s="186">
        <f t="shared" si="0"/>
        <v>48.3</v>
      </c>
      <c r="F58" s="186"/>
      <c r="G58" s="186">
        <f t="shared" si="1"/>
        <v>48.3</v>
      </c>
      <c r="H58" s="136">
        <v>1650389</v>
      </c>
      <c r="I58" s="311" t="s">
        <v>295</v>
      </c>
      <c r="J58" s="136" t="s">
        <v>31</v>
      </c>
      <c r="K58" s="136" t="s">
        <v>32</v>
      </c>
      <c r="L58" s="136">
        <v>92294150</v>
      </c>
      <c r="M58" s="139"/>
    </row>
    <row r="59" spans="1:13" ht="21.75" customHeight="1" x14ac:dyDescent="0.25">
      <c r="A59" s="235">
        <v>1412</v>
      </c>
      <c r="B59" s="296" t="s">
        <v>296</v>
      </c>
      <c r="C59" s="295">
        <v>0</v>
      </c>
      <c r="D59" s="149">
        <v>0.3</v>
      </c>
      <c r="E59" s="186">
        <f t="shared" si="0"/>
        <v>0</v>
      </c>
      <c r="F59" s="186"/>
      <c r="G59" s="186">
        <f t="shared" si="1"/>
        <v>0</v>
      </c>
      <c r="H59" s="136">
        <v>312227</v>
      </c>
      <c r="I59" s="136" t="s">
        <v>297</v>
      </c>
      <c r="J59" s="136" t="s">
        <v>31</v>
      </c>
      <c r="K59" s="136" t="s">
        <v>32</v>
      </c>
      <c r="L59" s="136">
        <v>95414124</v>
      </c>
      <c r="M59" s="139"/>
    </row>
    <row r="60" spans="1:13" ht="21.75" customHeight="1" x14ac:dyDescent="0.25">
      <c r="A60" s="235">
        <v>1413</v>
      </c>
      <c r="B60" s="136" t="s">
        <v>298</v>
      </c>
      <c r="C60" s="295">
        <v>15.6</v>
      </c>
      <c r="D60" s="149">
        <v>0.3</v>
      </c>
      <c r="E60" s="186">
        <f t="shared" si="0"/>
        <v>4.68</v>
      </c>
      <c r="F60" s="186"/>
      <c r="G60" s="186">
        <f t="shared" si="1"/>
        <v>4.68</v>
      </c>
      <c r="H60" s="136">
        <v>539906</v>
      </c>
      <c r="I60" s="311" t="s">
        <v>299</v>
      </c>
      <c r="J60" s="136" t="s">
        <v>52</v>
      </c>
      <c r="K60" s="136" t="s">
        <v>53</v>
      </c>
      <c r="L60" s="136">
        <v>92705565</v>
      </c>
      <c r="M60" s="139"/>
    </row>
    <row r="61" spans="1:13" s="17" customFormat="1" ht="21.75" customHeight="1" x14ac:dyDescent="0.25">
      <c r="A61" s="235">
        <v>1414</v>
      </c>
      <c r="B61" s="296" t="s">
        <v>300</v>
      </c>
      <c r="C61" s="295"/>
      <c r="D61" s="149">
        <v>0.3</v>
      </c>
      <c r="E61" s="186">
        <f t="shared" si="0"/>
        <v>0</v>
      </c>
      <c r="F61" s="186"/>
      <c r="G61" s="186">
        <f t="shared" si="1"/>
        <v>0</v>
      </c>
      <c r="H61" s="136">
        <v>9178238</v>
      </c>
      <c r="I61" s="311" t="s">
        <v>301</v>
      </c>
      <c r="J61" s="136" t="s">
        <v>52</v>
      </c>
      <c r="K61" s="136" t="s">
        <v>53</v>
      </c>
      <c r="L61" s="136">
        <v>91966140</v>
      </c>
      <c r="M61" s="321"/>
    </row>
    <row r="62" spans="1:13" ht="21.75" customHeight="1" x14ac:dyDescent="0.25">
      <c r="A62" s="235">
        <v>1415</v>
      </c>
      <c r="B62" s="296" t="s">
        <v>549</v>
      </c>
      <c r="C62" s="295">
        <v>94.3</v>
      </c>
      <c r="D62" s="149">
        <v>0.3</v>
      </c>
      <c r="E62" s="186">
        <f t="shared" si="0"/>
        <v>28.29</v>
      </c>
      <c r="F62" s="186"/>
      <c r="G62" s="186">
        <f t="shared" si="1"/>
        <v>28.29</v>
      </c>
      <c r="H62" s="136">
        <v>5334952</v>
      </c>
      <c r="I62" s="323" t="s">
        <v>576</v>
      </c>
      <c r="J62" s="136" t="s">
        <v>31</v>
      </c>
      <c r="K62" s="136" t="s">
        <v>32</v>
      </c>
      <c r="L62" s="136">
        <v>99806280</v>
      </c>
      <c r="M62" s="139"/>
    </row>
    <row r="63" spans="1:13" ht="21.75" customHeight="1" x14ac:dyDescent="0.25">
      <c r="A63" s="235">
        <v>1417</v>
      </c>
      <c r="B63" s="296" t="s">
        <v>42</v>
      </c>
      <c r="C63" s="295">
        <v>129.5</v>
      </c>
      <c r="D63" s="149">
        <v>0.3</v>
      </c>
      <c r="E63" s="186">
        <f t="shared" si="0"/>
        <v>38.85</v>
      </c>
      <c r="F63" s="186"/>
      <c r="G63" s="186">
        <f t="shared" si="1"/>
        <v>38.85</v>
      </c>
      <c r="H63" s="136">
        <v>1252579</v>
      </c>
      <c r="I63" s="311" t="s">
        <v>43</v>
      </c>
      <c r="J63" s="136" t="s">
        <v>31</v>
      </c>
      <c r="K63" s="136" t="s">
        <v>32</v>
      </c>
      <c r="L63" s="136">
        <v>98520912</v>
      </c>
      <c r="M63" s="139"/>
    </row>
    <row r="64" spans="1:13" ht="21.75" customHeight="1" x14ac:dyDescent="0.25">
      <c r="A64" s="235">
        <v>1418</v>
      </c>
      <c r="B64" s="296" t="s">
        <v>304</v>
      </c>
      <c r="C64" s="295">
        <v>174.2</v>
      </c>
      <c r="D64" s="149">
        <v>0.3</v>
      </c>
      <c r="E64" s="186">
        <f t="shared" si="0"/>
        <v>52.26</v>
      </c>
      <c r="F64" s="186"/>
      <c r="G64" s="186">
        <f t="shared" si="1"/>
        <v>52.26</v>
      </c>
      <c r="H64" s="136">
        <v>9954378</v>
      </c>
      <c r="I64" s="311" t="s">
        <v>577</v>
      </c>
      <c r="J64" s="136" t="s">
        <v>31</v>
      </c>
      <c r="K64" s="136" t="s">
        <v>32</v>
      </c>
      <c r="L64" s="136">
        <v>99282423</v>
      </c>
      <c r="M64" s="139"/>
    </row>
    <row r="65" spans="1:13" ht="21.75" customHeight="1" x14ac:dyDescent="0.25">
      <c r="A65" s="235">
        <v>1419</v>
      </c>
      <c r="B65" s="296" t="s">
        <v>308</v>
      </c>
      <c r="C65" s="295">
        <v>435</v>
      </c>
      <c r="D65" s="149">
        <v>0.3</v>
      </c>
      <c r="E65" s="186">
        <f t="shared" si="0"/>
        <v>130.5</v>
      </c>
      <c r="F65" s="186"/>
      <c r="G65" s="186">
        <f t="shared" si="1"/>
        <v>130.5</v>
      </c>
      <c r="H65" s="136">
        <v>386821</v>
      </c>
      <c r="I65" s="311" t="s">
        <v>309</v>
      </c>
      <c r="J65" s="136" t="s">
        <v>31</v>
      </c>
      <c r="K65" s="136" t="s">
        <v>32</v>
      </c>
      <c r="L65" s="136">
        <v>99181419</v>
      </c>
      <c r="M65" s="139"/>
    </row>
    <row r="66" spans="1:13" ht="21.75" customHeight="1" x14ac:dyDescent="0.25">
      <c r="A66" s="235">
        <v>1420</v>
      </c>
      <c r="B66" s="296" t="s">
        <v>310</v>
      </c>
      <c r="C66" s="295">
        <v>194.5</v>
      </c>
      <c r="D66" s="149">
        <v>0.3</v>
      </c>
      <c r="E66" s="186">
        <f t="shared" si="0"/>
        <v>58.349999999999994</v>
      </c>
      <c r="F66" s="186"/>
      <c r="G66" s="186">
        <f t="shared" si="1"/>
        <v>58.349999999999994</v>
      </c>
      <c r="H66" s="136">
        <v>5460297</v>
      </c>
      <c r="I66" s="311" t="s">
        <v>311</v>
      </c>
      <c r="J66" s="136" t="s">
        <v>31</v>
      </c>
      <c r="K66" s="136" t="s">
        <v>32</v>
      </c>
      <c r="L66" s="136">
        <v>95898899</v>
      </c>
      <c r="M66" s="139"/>
    </row>
    <row r="67" spans="1:13" ht="21.75" customHeight="1" x14ac:dyDescent="0.25">
      <c r="A67" s="235">
        <v>1421</v>
      </c>
      <c r="B67" s="296" t="s">
        <v>129</v>
      </c>
      <c r="C67" s="295">
        <v>188.2</v>
      </c>
      <c r="D67" s="149">
        <v>0.3</v>
      </c>
      <c r="E67" s="186">
        <f t="shared" ref="E67:E130" si="2">C67*D67</f>
        <v>56.459999999999994</v>
      </c>
      <c r="F67" s="186"/>
      <c r="G67" s="186">
        <f t="shared" ref="G67:G130" si="3">E67-F67</f>
        <v>56.459999999999994</v>
      </c>
      <c r="H67" s="136">
        <v>15314262</v>
      </c>
      <c r="I67" s="311" t="s">
        <v>130</v>
      </c>
      <c r="J67" s="136" t="s">
        <v>31</v>
      </c>
      <c r="K67" s="136" t="s">
        <v>32</v>
      </c>
      <c r="L67" s="136">
        <v>90333361</v>
      </c>
      <c r="M67" s="139"/>
    </row>
    <row r="68" spans="1:13" ht="21.75" customHeight="1" x14ac:dyDescent="0.25">
      <c r="A68" s="235">
        <v>1423</v>
      </c>
      <c r="B68" s="296" t="s">
        <v>131</v>
      </c>
      <c r="C68" s="295">
        <v>214</v>
      </c>
      <c r="D68" s="149">
        <v>0.3</v>
      </c>
      <c r="E68" s="186">
        <f t="shared" si="2"/>
        <v>64.2</v>
      </c>
      <c r="F68" s="186"/>
      <c r="G68" s="186">
        <f t="shared" si="3"/>
        <v>64.2</v>
      </c>
      <c r="H68" s="136">
        <v>5044397</v>
      </c>
      <c r="I68" s="311" t="s">
        <v>132</v>
      </c>
      <c r="J68" s="136" t="s">
        <v>31</v>
      </c>
      <c r="K68" s="136" t="s">
        <v>32</v>
      </c>
      <c r="L68" s="136">
        <v>99580550</v>
      </c>
      <c r="M68" s="139"/>
    </row>
    <row r="69" spans="1:13" ht="21.75" customHeight="1" x14ac:dyDescent="0.25">
      <c r="A69" s="235">
        <v>1425</v>
      </c>
      <c r="B69" s="296" t="s">
        <v>312</v>
      </c>
      <c r="C69" s="295">
        <v>185</v>
      </c>
      <c r="D69" s="149">
        <v>0.3</v>
      </c>
      <c r="E69" s="186">
        <f t="shared" si="2"/>
        <v>55.5</v>
      </c>
      <c r="F69" s="186"/>
      <c r="G69" s="186">
        <f t="shared" si="3"/>
        <v>55.5</v>
      </c>
      <c r="H69" s="136">
        <v>5614623</v>
      </c>
      <c r="I69" s="311" t="s">
        <v>313</v>
      </c>
      <c r="J69" s="136" t="s">
        <v>31</v>
      </c>
      <c r="K69" s="136" t="s">
        <v>32</v>
      </c>
      <c r="L69" s="136">
        <v>99583112</v>
      </c>
      <c r="M69" s="139"/>
    </row>
    <row r="70" spans="1:13" ht="21.75" customHeight="1" x14ac:dyDescent="0.25">
      <c r="A70" s="148">
        <v>1426</v>
      </c>
      <c r="B70" s="296" t="s">
        <v>314</v>
      </c>
      <c r="C70" s="295">
        <v>155.4</v>
      </c>
      <c r="D70" s="149">
        <v>0.3</v>
      </c>
      <c r="E70" s="186">
        <f t="shared" si="2"/>
        <v>46.62</v>
      </c>
      <c r="F70" s="186"/>
      <c r="G70" s="186">
        <f t="shared" si="3"/>
        <v>46.62</v>
      </c>
      <c r="H70" s="136">
        <v>2160707</v>
      </c>
      <c r="I70" s="311" t="s">
        <v>315</v>
      </c>
      <c r="J70" s="136" t="s">
        <v>71</v>
      </c>
      <c r="K70" s="136" t="s">
        <v>72</v>
      </c>
      <c r="L70" s="136">
        <v>92280327</v>
      </c>
      <c r="M70" s="139"/>
    </row>
    <row r="71" spans="1:13" ht="21.75" customHeight="1" x14ac:dyDescent="0.25">
      <c r="A71" s="235">
        <v>1427</v>
      </c>
      <c r="B71" s="296" t="s">
        <v>134</v>
      </c>
      <c r="C71" s="295">
        <v>101.6</v>
      </c>
      <c r="D71" s="149">
        <v>0.3</v>
      </c>
      <c r="E71" s="186">
        <f t="shared" si="2"/>
        <v>30.479999999999997</v>
      </c>
      <c r="F71" s="186"/>
      <c r="G71" s="186">
        <f t="shared" si="3"/>
        <v>30.479999999999997</v>
      </c>
      <c r="H71" s="136">
        <v>24171637</v>
      </c>
      <c r="I71" s="311" t="s">
        <v>135</v>
      </c>
      <c r="J71" s="136" t="s">
        <v>31</v>
      </c>
      <c r="K71" s="136" t="s">
        <v>32</v>
      </c>
      <c r="L71" s="136">
        <v>97030409</v>
      </c>
      <c r="M71" s="321"/>
    </row>
    <row r="72" spans="1:13" ht="21.75" customHeight="1" x14ac:dyDescent="0.25">
      <c r="A72" s="235">
        <v>1428</v>
      </c>
      <c r="B72" s="296" t="s">
        <v>316</v>
      </c>
      <c r="C72" s="295">
        <v>111.2</v>
      </c>
      <c r="D72" s="149">
        <v>0.3</v>
      </c>
      <c r="E72" s="186">
        <f t="shared" si="2"/>
        <v>33.36</v>
      </c>
      <c r="F72" s="186"/>
      <c r="G72" s="186">
        <f t="shared" si="3"/>
        <v>33.36</v>
      </c>
      <c r="H72" s="136">
        <v>921364</v>
      </c>
      <c r="I72" s="641" t="s">
        <v>317</v>
      </c>
      <c r="J72" s="136" t="s">
        <v>90</v>
      </c>
      <c r="K72" s="136" t="s">
        <v>32</v>
      </c>
      <c r="L72" s="136">
        <v>92599597</v>
      </c>
      <c r="M72" s="139"/>
    </row>
    <row r="73" spans="1:13" ht="21.75" customHeight="1" x14ac:dyDescent="0.25">
      <c r="A73" s="235">
        <v>1430</v>
      </c>
      <c r="B73" s="296" t="s">
        <v>136</v>
      </c>
      <c r="C73" s="295">
        <v>87.9</v>
      </c>
      <c r="D73" s="149">
        <v>0.3</v>
      </c>
      <c r="E73" s="186">
        <f t="shared" si="2"/>
        <v>26.37</v>
      </c>
      <c r="F73" s="186"/>
      <c r="G73" s="186">
        <f t="shared" si="3"/>
        <v>26.37</v>
      </c>
      <c r="H73" s="136">
        <v>564698</v>
      </c>
      <c r="I73" s="311" t="s">
        <v>137</v>
      </c>
      <c r="J73" s="136" t="s">
        <v>31</v>
      </c>
      <c r="K73" s="136" t="s">
        <v>32</v>
      </c>
      <c r="L73" s="136">
        <v>99189793</v>
      </c>
      <c r="M73" s="139"/>
    </row>
    <row r="74" spans="1:13" ht="21.75" customHeight="1" x14ac:dyDescent="0.25">
      <c r="A74" s="235">
        <v>1432</v>
      </c>
      <c r="B74" s="296" t="s">
        <v>318</v>
      </c>
      <c r="C74" s="295">
        <v>186.4</v>
      </c>
      <c r="D74" s="149">
        <v>0.3</v>
      </c>
      <c r="E74" s="186">
        <f t="shared" si="2"/>
        <v>55.92</v>
      </c>
      <c r="F74" s="186"/>
      <c r="G74" s="186">
        <f t="shared" si="3"/>
        <v>55.92</v>
      </c>
      <c r="H74" s="136">
        <v>5004855</v>
      </c>
      <c r="I74" s="311" t="s">
        <v>319</v>
      </c>
      <c r="J74" s="136" t="s">
        <v>52</v>
      </c>
      <c r="K74" s="136" t="s">
        <v>53</v>
      </c>
      <c r="L74" s="136">
        <v>99899962</v>
      </c>
      <c r="M74" s="139"/>
    </row>
    <row r="75" spans="1:13" ht="21.75" customHeight="1" x14ac:dyDescent="0.25">
      <c r="A75" s="235">
        <v>1433</v>
      </c>
      <c r="B75" s="296" t="s">
        <v>320</v>
      </c>
      <c r="C75" s="295">
        <v>250</v>
      </c>
      <c r="D75" s="149">
        <v>0.3</v>
      </c>
      <c r="E75" s="186">
        <f t="shared" si="2"/>
        <v>75</v>
      </c>
      <c r="F75" s="186"/>
      <c r="G75" s="186">
        <f t="shared" si="3"/>
        <v>75</v>
      </c>
      <c r="H75" s="136">
        <v>285841</v>
      </c>
      <c r="I75" s="311" t="s">
        <v>321</v>
      </c>
      <c r="J75" s="136" t="s">
        <v>31</v>
      </c>
      <c r="K75" s="136" t="s">
        <v>32</v>
      </c>
      <c r="L75" s="136">
        <v>92958552</v>
      </c>
      <c r="M75" s="139"/>
    </row>
    <row r="76" spans="1:13" ht="21.75" customHeight="1" x14ac:dyDescent="0.25">
      <c r="A76" s="148">
        <v>1434</v>
      </c>
      <c r="B76" s="296" t="s">
        <v>138</v>
      </c>
      <c r="C76" s="295">
        <v>113</v>
      </c>
      <c r="D76" s="149">
        <v>0.3</v>
      </c>
      <c r="E76" s="186">
        <f t="shared" si="2"/>
        <v>33.9</v>
      </c>
      <c r="F76" s="186"/>
      <c r="G76" s="186">
        <f t="shared" si="3"/>
        <v>33.9</v>
      </c>
      <c r="H76" s="136">
        <v>19197503</v>
      </c>
      <c r="I76" s="311" t="s">
        <v>139</v>
      </c>
      <c r="J76" s="136" t="s">
        <v>31</v>
      </c>
      <c r="K76" s="136" t="s">
        <v>32</v>
      </c>
      <c r="L76" s="136">
        <v>92466605</v>
      </c>
      <c r="M76" s="139"/>
    </row>
    <row r="77" spans="1:13" ht="21.75" customHeight="1" x14ac:dyDescent="0.25">
      <c r="A77" s="148">
        <v>1435</v>
      </c>
      <c r="B77" s="296" t="s">
        <v>45</v>
      </c>
      <c r="C77" s="295">
        <v>245</v>
      </c>
      <c r="D77" s="149">
        <v>0.3</v>
      </c>
      <c r="E77" s="186">
        <f t="shared" si="2"/>
        <v>73.5</v>
      </c>
      <c r="F77" s="186"/>
      <c r="G77" s="186">
        <f t="shared" si="3"/>
        <v>73.5</v>
      </c>
      <c r="H77" s="136">
        <v>1305522</v>
      </c>
      <c r="I77" s="311" t="s">
        <v>46</v>
      </c>
      <c r="J77" s="136" t="s">
        <v>31</v>
      </c>
      <c r="K77" s="136" t="s">
        <v>32</v>
      </c>
      <c r="L77" s="136">
        <v>93246263</v>
      </c>
      <c r="M77" s="139"/>
    </row>
    <row r="78" spans="1:13" ht="21.75" customHeight="1" x14ac:dyDescent="0.25">
      <c r="A78" s="148">
        <v>1437</v>
      </c>
      <c r="B78" s="296" t="s">
        <v>143</v>
      </c>
      <c r="C78" s="295">
        <v>182</v>
      </c>
      <c r="D78" s="149">
        <v>0.3</v>
      </c>
      <c r="E78" s="186">
        <f t="shared" si="2"/>
        <v>54.6</v>
      </c>
      <c r="F78" s="186"/>
      <c r="G78" s="186">
        <f t="shared" si="3"/>
        <v>54.6</v>
      </c>
      <c r="H78" s="136">
        <v>9685144</v>
      </c>
      <c r="I78" s="311" t="s">
        <v>144</v>
      </c>
      <c r="J78" s="136" t="s">
        <v>127</v>
      </c>
      <c r="K78" s="136" t="s">
        <v>128</v>
      </c>
      <c r="L78" s="136">
        <v>96907302</v>
      </c>
      <c r="M78" s="321"/>
    </row>
    <row r="79" spans="1:13" ht="21.75" customHeight="1" x14ac:dyDescent="0.25">
      <c r="A79" s="235">
        <v>1438</v>
      </c>
      <c r="B79" s="296" t="s">
        <v>145</v>
      </c>
      <c r="C79" s="295">
        <v>269</v>
      </c>
      <c r="D79" s="149">
        <v>0.3</v>
      </c>
      <c r="E79" s="186">
        <f t="shared" si="2"/>
        <v>80.7</v>
      </c>
      <c r="F79" s="186"/>
      <c r="G79" s="186">
        <f t="shared" si="3"/>
        <v>80.7</v>
      </c>
      <c r="H79" s="136">
        <v>656621</v>
      </c>
      <c r="I79" s="311" t="s">
        <v>146</v>
      </c>
      <c r="J79" s="136" t="s">
        <v>26</v>
      </c>
      <c r="K79" s="136" t="s">
        <v>27</v>
      </c>
      <c r="L79" s="136">
        <v>92509804</v>
      </c>
      <c r="M79" s="321"/>
    </row>
    <row r="80" spans="1:13" ht="21.75" customHeight="1" x14ac:dyDescent="0.25">
      <c r="A80" s="235">
        <v>1439</v>
      </c>
      <c r="B80" s="296" t="s">
        <v>323</v>
      </c>
      <c r="C80" s="295">
        <v>109.8</v>
      </c>
      <c r="D80" s="149">
        <v>0.3</v>
      </c>
      <c r="E80" s="186">
        <f t="shared" si="2"/>
        <v>32.94</v>
      </c>
      <c r="F80" s="186"/>
      <c r="G80" s="186">
        <f t="shared" si="3"/>
        <v>32.94</v>
      </c>
      <c r="H80" s="136">
        <v>18880548</v>
      </c>
      <c r="I80" s="311" t="s">
        <v>324</v>
      </c>
      <c r="J80" s="136" t="s">
        <v>31</v>
      </c>
      <c r="K80" s="136" t="s">
        <v>32</v>
      </c>
      <c r="L80" s="136">
        <v>98901515</v>
      </c>
      <c r="M80" s="321"/>
    </row>
    <row r="81" spans="1:13" ht="21.75" customHeight="1" x14ac:dyDescent="0.25">
      <c r="A81" s="235">
        <v>1441</v>
      </c>
      <c r="B81" s="296" t="s">
        <v>325</v>
      </c>
      <c r="C81" s="295">
        <v>289.39999999999998</v>
      </c>
      <c r="D81" s="149">
        <v>0.3</v>
      </c>
      <c r="E81" s="186">
        <f t="shared" si="2"/>
        <v>86.82</v>
      </c>
      <c r="F81" s="186"/>
      <c r="G81" s="186">
        <f t="shared" si="3"/>
        <v>86.82</v>
      </c>
      <c r="H81" s="136">
        <v>7285624</v>
      </c>
      <c r="I81" s="311" t="s">
        <v>326</v>
      </c>
      <c r="J81" s="136" t="s">
        <v>121</v>
      </c>
      <c r="K81" s="136"/>
      <c r="L81" s="136">
        <v>93587666</v>
      </c>
      <c r="M81" s="139"/>
    </row>
    <row r="82" spans="1:13" ht="21.75" customHeight="1" x14ac:dyDescent="0.25">
      <c r="A82" s="235">
        <v>1444</v>
      </c>
      <c r="B82" s="296" t="s">
        <v>327</v>
      </c>
      <c r="C82" s="295">
        <v>250.3</v>
      </c>
      <c r="D82" s="149">
        <v>0.3</v>
      </c>
      <c r="E82" s="186">
        <f t="shared" si="2"/>
        <v>75.09</v>
      </c>
      <c r="F82" s="186"/>
      <c r="G82" s="186">
        <f t="shared" si="3"/>
        <v>75.09</v>
      </c>
      <c r="H82" s="136">
        <v>13487202</v>
      </c>
      <c r="I82" s="311" t="s">
        <v>328</v>
      </c>
      <c r="J82" s="136" t="s">
        <v>31</v>
      </c>
      <c r="K82" s="136" t="s">
        <v>32</v>
      </c>
      <c r="L82" s="136">
        <v>92244429</v>
      </c>
      <c r="M82" s="139"/>
    </row>
    <row r="83" spans="1:13" ht="21.75" customHeight="1" x14ac:dyDescent="0.25">
      <c r="A83" s="298">
        <v>1448</v>
      </c>
      <c r="B83" s="296" t="s">
        <v>147</v>
      </c>
      <c r="C83" s="295">
        <v>111.2</v>
      </c>
      <c r="D83" s="149">
        <v>0.3</v>
      </c>
      <c r="E83" s="186">
        <f t="shared" si="2"/>
        <v>33.36</v>
      </c>
      <c r="F83" s="186"/>
      <c r="G83" s="186">
        <f t="shared" si="3"/>
        <v>33.36</v>
      </c>
      <c r="H83" s="138">
        <v>26433121</v>
      </c>
      <c r="I83" s="138" t="s">
        <v>148</v>
      </c>
      <c r="J83" s="138" t="s">
        <v>31</v>
      </c>
      <c r="K83" s="136" t="s">
        <v>32</v>
      </c>
      <c r="L83" s="138">
        <v>93229244</v>
      </c>
      <c r="M83" s="321"/>
    </row>
    <row r="84" spans="1:13" ht="21.75" customHeight="1" x14ac:dyDescent="0.25">
      <c r="A84" s="235">
        <v>1451</v>
      </c>
      <c r="B84" s="296" t="s">
        <v>329</v>
      </c>
      <c r="C84" s="295">
        <v>89</v>
      </c>
      <c r="D84" s="149">
        <v>0.3</v>
      </c>
      <c r="E84" s="186">
        <f t="shared" si="2"/>
        <v>26.7</v>
      </c>
      <c r="F84" s="186"/>
      <c r="G84" s="186">
        <f t="shared" si="3"/>
        <v>26.7</v>
      </c>
      <c r="H84" s="136">
        <v>20337612</v>
      </c>
      <c r="I84" s="311" t="s">
        <v>330</v>
      </c>
      <c r="J84" s="136" t="s">
        <v>31</v>
      </c>
      <c r="K84" s="136" t="s">
        <v>32</v>
      </c>
      <c r="L84" s="136">
        <v>98829667</v>
      </c>
      <c r="M84" s="321"/>
    </row>
    <row r="85" spans="1:13" ht="21.75" customHeight="1" x14ac:dyDescent="0.25">
      <c r="A85" s="235">
        <v>1453</v>
      </c>
      <c r="B85" s="296" t="s">
        <v>331</v>
      </c>
      <c r="C85" s="295">
        <v>97</v>
      </c>
      <c r="D85" s="149">
        <v>0.3</v>
      </c>
      <c r="E85" s="186">
        <f t="shared" si="2"/>
        <v>29.099999999999998</v>
      </c>
      <c r="F85" s="186"/>
      <c r="G85" s="186">
        <f t="shared" si="3"/>
        <v>29.099999999999998</v>
      </c>
      <c r="H85" s="136">
        <v>5460259</v>
      </c>
      <c r="I85" s="311" t="s">
        <v>332</v>
      </c>
      <c r="J85" s="136" t="s">
        <v>155</v>
      </c>
      <c r="K85" s="136" t="s">
        <v>156</v>
      </c>
      <c r="L85" s="136">
        <v>90199947</v>
      </c>
      <c r="M85" s="139"/>
    </row>
    <row r="86" spans="1:13" ht="21.75" customHeight="1" x14ac:dyDescent="0.25">
      <c r="A86" s="235">
        <v>1455</v>
      </c>
      <c r="B86" s="296" t="s">
        <v>333</v>
      </c>
      <c r="C86" s="295">
        <v>0</v>
      </c>
      <c r="D86" s="149">
        <v>0.3</v>
      </c>
      <c r="E86" s="186">
        <f t="shared" si="2"/>
        <v>0</v>
      </c>
      <c r="F86" s="186"/>
      <c r="G86" s="186">
        <f t="shared" si="3"/>
        <v>0</v>
      </c>
      <c r="H86" s="136">
        <v>9954383</v>
      </c>
      <c r="I86" s="311" t="s">
        <v>334</v>
      </c>
      <c r="J86" s="136" t="s">
        <v>31</v>
      </c>
      <c r="K86" s="136" t="s">
        <v>32</v>
      </c>
      <c r="L86" s="136">
        <v>93270751</v>
      </c>
      <c r="M86" s="139"/>
    </row>
    <row r="87" spans="1:13" ht="21.75" customHeight="1" x14ac:dyDescent="0.25">
      <c r="A87" s="235">
        <v>1462</v>
      </c>
      <c r="B87" s="296" t="s">
        <v>48</v>
      </c>
      <c r="C87" s="295">
        <v>90</v>
      </c>
      <c r="D87" s="149">
        <v>0.3</v>
      </c>
      <c r="E87" s="186">
        <f t="shared" si="2"/>
        <v>27</v>
      </c>
      <c r="F87" s="186"/>
      <c r="G87" s="186">
        <f t="shared" si="3"/>
        <v>27</v>
      </c>
      <c r="H87" s="136">
        <v>9664038</v>
      </c>
      <c r="I87" s="136" t="s">
        <v>49</v>
      </c>
      <c r="J87" s="136" t="s">
        <v>31</v>
      </c>
      <c r="K87" s="136" t="s">
        <v>32</v>
      </c>
      <c r="L87" s="136">
        <v>92989674</v>
      </c>
      <c r="M87" s="139"/>
    </row>
    <row r="88" spans="1:13" ht="21.75" customHeight="1" x14ac:dyDescent="0.25">
      <c r="A88" s="235">
        <v>1463</v>
      </c>
      <c r="B88" s="296" t="s">
        <v>50</v>
      </c>
      <c r="C88" s="295">
        <v>170</v>
      </c>
      <c r="D88" s="149">
        <v>0.3</v>
      </c>
      <c r="E88" s="186">
        <f t="shared" si="2"/>
        <v>51</v>
      </c>
      <c r="F88" s="186"/>
      <c r="G88" s="186">
        <f t="shared" si="3"/>
        <v>51</v>
      </c>
      <c r="H88" s="136">
        <v>3798072</v>
      </c>
      <c r="I88" s="311" t="s">
        <v>51</v>
      </c>
      <c r="J88" s="136" t="s">
        <v>52</v>
      </c>
      <c r="K88" s="136" t="s">
        <v>53</v>
      </c>
      <c r="L88" s="136">
        <v>99480608</v>
      </c>
      <c r="M88" s="139"/>
    </row>
    <row r="89" spans="1:13" ht="21.75" customHeight="1" x14ac:dyDescent="0.25">
      <c r="A89" s="235">
        <v>1464</v>
      </c>
      <c r="B89" s="296" t="s">
        <v>335</v>
      </c>
      <c r="C89" s="295">
        <v>290</v>
      </c>
      <c r="D89" s="149">
        <v>0.3</v>
      </c>
      <c r="E89" s="186">
        <f t="shared" si="2"/>
        <v>87</v>
      </c>
      <c r="F89" s="186"/>
      <c r="G89" s="186">
        <f t="shared" si="3"/>
        <v>87</v>
      </c>
      <c r="H89" s="136">
        <v>6352996</v>
      </c>
      <c r="I89" s="311" t="s">
        <v>336</v>
      </c>
      <c r="J89" s="136" t="s">
        <v>52</v>
      </c>
      <c r="K89" s="136" t="s">
        <v>53</v>
      </c>
      <c r="L89" s="136">
        <v>92463267</v>
      </c>
      <c r="M89" s="139"/>
    </row>
    <row r="90" spans="1:13" ht="21.75" customHeight="1" x14ac:dyDescent="0.25">
      <c r="A90" s="235">
        <v>1467</v>
      </c>
      <c r="B90" s="136" t="s">
        <v>337</v>
      </c>
      <c r="C90" s="295">
        <v>66</v>
      </c>
      <c r="D90" s="149">
        <v>0.3</v>
      </c>
      <c r="E90" s="186">
        <f t="shared" si="2"/>
        <v>19.8</v>
      </c>
      <c r="F90" s="186"/>
      <c r="G90" s="186">
        <f t="shared" si="3"/>
        <v>19.8</v>
      </c>
      <c r="H90" s="136">
        <v>4279933</v>
      </c>
      <c r="I90" s="311" t="s">
        <v>338</v>
      </c>
      <c r="J90" s="136" t="s">
        <v>52</v>
      </c>
      <c r="K90" s="136" t="s">
        <v>53</v>
      </c>
      <c r="L90" s="136">
        <v>98510166</v>
      </c>
      <c r="M90" s="139"/>
    </row>
    <row r="91" spans="1:13" ht="21.75" customHeight="1" x14ac:dyDescent="0.25">
      <c r="A91" s="235">
        <v>1468</v>
      </c>
      <c r="B91" s="297" t="s">
        <v>149</v>
      </c>
      <c r="C91" s="295">
        <v>156</v>
      </c>
      <c r="D91" s="149">
        <v>0.3</v>
      </c>
      <c r="E91" s="186">
        <f t="shared" si="2"/>
        <v>46.8</v>
      </c>
      <c r="F91" s="186"/>
      <c r="G91" s="186">
        <f t="shared" si="3"/>
        <v>46.8</v>
      </c>
      <c r="H91" s="136">
        <v>6996485</v>
      </c>
      <c r="I91" s="311" t="s">
        <v>150</v>
      </c>
      <c r="J91" s="136" t="s">
        <v>31</v>
      </c>
      <c r="K91" s="136" t="s">
        <v>32</v>
      </c>
      <c r="L91" s="136">
        <v>92947741</v>
      </c>
      <c r="M91" s="140"/>
    </row>
    <row r="92" spans="1:13" s="106" customFormat="1" ht="21.75" customHeight="1" x14ac:dyDescent="0.25">
      <c r="A92" s="235">
        <v>1472</v>
      </c>
      <c r="B92" s="296" t="s">
        <v>554</v>
      </c>
      <c r="C92" s="295">
        <v>146.80000000000001</v>
      </c>
      <c r="D92" s="149">
        <v>0.3</v>
      </c>
      <c r="E92" s="186">
        <f t="shared" si="2"/>
        <v>44.04</v>
      </c>
      <c r="F92" s="186"/>
      <c r="G92" s="186">
        <f t="shared" si="3"/>
        <v>44.04</v>
      </c>
      <c r="H92" s="136">
        <v>12987814</v>
      </c>
      <c r="I92" s="311" t="s">
        <v>578</v>
      </c>
      <c r="J92" s="136" t="s">
        <v>26</v>
      </c>
      <c r="K92" s="136" t="s">
        <v>27</v>
      </c>
      <c r="L92" s="136">
        <v>99365173</v>
      </c>
      <c r="M92" s="320"/>
    </row>
    <row r="93" spans="1:13" ht="21.75" customHeight="1" x14ac:dyDescent="0.25">
      <c r="A93" s="235">
        <v>1473</v>
      </c>
      <c r="B93" s="296" t="s">
        <v>341</v>
      </c>
      <c r="C93" s="295">
        <v>179.2</v>
      </c>
      <c r="D93" s="149">
        <v>0.3</v>
      </c>
      <c r="E93" s="186">
        <f t="shared" si="2"/>
        <v>53.76</v>
      </c>
      <c r="F93" s="186"/>
      <c r="G93" s="186">
        <f t="shared" si="3"/>
        <v>53.76</v>
      </c>
      <c r="H93" s="136">
        <v>18722784</v>
      </c>
      <c r="I93" s="136" t="s">
        <v>342</v>
      </c>
      <c r="J93" s="136" t="s">
        <v>52</v>
      </c>
      <c r="K93" s="136" t="s">
        <v>53</v>
      </c>
      <c r="L93" s="136">
        <v>98900644</v>
      </c>
      <c r="M93" s="140"/>
    </row>
    <row r="94" spans="1:13" ht="21.75" customHeight="1" x14ac:dyDescent="0.25">
      <c r="A94" s="235">
        <v>1475</v>
      </c>
      <c r="B94" s="297" t="s">
        <v>151</v>
      </c>
      <c r="C94" s="295">
        <v>15</v>
      </c>
      <c r="D94" s="149">
        <v>0.3</v>
      </c>
      <c r="E94" s="186">
        <f t="shared" si="2"/>
        <v>4.5</v>
      </c>
      <c r="F94" s="186"/>
      <c r="G94" s="186">
        <f t="shared" si="3"/>
        <v>4.5</v>
      </c>
      <c r="H94" s="136">
        <v>4584011</v>
      </c>
      <c r="I94" s="311" t="s">
        <v>152</v>
      </c>
      <c r="J94" s="136" t="s">
        <v>31</v>
      </c>
      <c r="K94" s="136" t="s">
        <v>32</v>
      </c>
      <c r="L94" s="136">
        <v>98822862</v>
      </c>
      <c r="M94" s="140"/>
    </row>
    <row r="95" spans="1:13" ht="21.75" customHeight="1" x14ac:dyDescent="0.25">
      <c r="A95" s="235">
        <v>1476</v>
      </c>
      <c r="B95" s="136" t="s">
        <v>343</v>
      </c>
      <c r="C95" s="295">
        <v>130.4</v>
      </c>
      <c r="D95" s="149">
        <v>0.3</v>
      </c>
      <c r="E95" s="186">
        <f t="shared" si="2"/>
        <v>39.119999999999997</v>
      </c>
      <c r="F95" s="186"/>
      <c r="G95" s="186">
        <f t="shared" si="3"/>
        <v>39.119999999999997</v>
      </c>
      <c r="H95" s="136">
        <v>5486858</v>
      </c>
      <c r="I95" s="311" t="s">
        <v>344</v>
      </c>
      <c r="J95" s="136" t="s">
        <v>26</v>
      </c>
      <c r="K95" s="136" t="s">
        <v>27</v>
      </c>
      <c r="L95" s="136">
        <v>99019634</v>
      </c>
      <c r="M95" s="139"/>
    </row>
    <row r="96" spans="1:13" ht="21.75" customHeight="1" x14ac:dyDescent="0.25">
      <c r="A96" s="235">
        <v>1477</v>
      </c>
      <c r="B96" s="296" t="s">
        <v>345</v>
      </c>
      <c r="C96" s="295">
        <v>111.1</v>
      </c>
      <c r="D96" s="149">
        <v>0.3</v>
      </c>
      <c r="E96" s="186">
        <f t="shared" si="2"/>
        <v>33.33</v>
      </c>
      <c r="F96" s="186"/>
      <c r="G96" s="186">
        <f t="shared" si="3"/>
        <v>33.33</v>
      </c>
      <c r="H96" s="136">
        <v>18656494</v>
      </c>
      <c r="I96" s="136" t="s">
        <v>346</v>
      </c>
      <c r="J96" s="136" t="s">
        <v>31</v>
      </c>
      <c r="K96" s="136" t="s">
        <v>32</v>
      </c>
      <c r="L96" s="136">
        <v>92610234</v>
      </c>
      <c r="M96" s="140"/>
    </row>
    <row r="97" spans="1:13" ht="21.75" customHeight="1" x14ac:dyDescent="0.25">
      <c r="A97" s="235">
        <v>1480</v>
      </c>
      <c r="B97" s="296" t="s">
        <v>347</v>
      </c>
      <c r="C97" s="295">
        <v>88.1</v>
      </c>
      <c r="D97" s="149">
        <v>0.3</v>
      </c>
      <c r="E97" s="186">
        <f t="shared" si="2"/>
        <v>26.429999999999996</v>
      </c>
      <c r="F97" s="186"/>
      <c r="G97" s="186">
        <f t="shared" si="3"/>
        <v>26.429999999999996</v>
      </c>
      <c r="H97" s="136">
        <v>19820777</v>
      </c>
      <c r="I97" s="136" t="s">
        <v>348</v>
      </c>
      <c r="J97" s="136" t="s">
        <v>31</v>
      </c>
      <c r="K97" s="136" t="s">
        <v>32</v>
      </c>
      <c r="L97" s="136">
        <v>92525031</v>
      </c>
      <c r="M97" s="140"/>
    </row>
    <row r="98" spans="1:13" s="17" customFormat="1" ht="21.75" customHeight="1" x14ac:dyDescent="0.25">
      <c r="A98" s="235">
        <v>1482</v>
      </c>
      <c r="B98" s="296" t="s">
        <v>349</v>
      </c>
      <c r="C98" s="295">
        <v>186.5</v>
      </c>
      <c r="D98" s="149">
        <v>0.3</v>
      </c>
      <c r="E98" s="186">
        <f t="shared" si="2"/>
        <v>55.949999999999996</v>
      </c>
      <c r="F98" s="186"/>
      <c r="G98" s="186">
        <f t="shared" si="3"/>
        <v>55.949999999999996</v>
      </c>
      <c r="H98" s="136">
        <v>4024306</v>
      </c>
      <c r="I98" s="311" t="s">
        <v>350</v>
      </c>
      <c r="J98" s="136" t="s">
        <v>52</v>
      </c>
      <c r="K98" s="136" t="s">
        <v>53</v>
      </c>
      <c r="L98" s="136">
        <v>94453330</v>
      </c>
      <c r="M98" s="140"/>
    </row>
    <row r="99" spans="1:13" s="17" customFormat="1" ht="26.25" customHeight="1" x14ac:dyDescent="0.25">
      <c r="A99" s="235">
        <v>1485</v>
      </c>
      <c r="B99" s="296" t="s">
        <v>352</v>
      </c>
      <c r="C99" s="295">
        <v>83.2</v>
      </c>
      <c r="D99" s="149">
        <v>0.3</v>
      </c>
      <c r="E99" s="186">
        <f t="shared" si="2"/>
        <v>24.96</v>
      </c>
      <c r="F99" s="186"/>
      <c r="G99" s="186">
        <f t="shared" si="3"/>
        <v>24.96</v>
      </c>
      <c r="H99" s="136">
        <v>18585573</v>
      </c>
      <c r="I99" s="311" t="s">
        <v>353</v>
      </c>
      <c r="J99" s="136" t="s">
        <v>31</v>
      </c>
      <c r="K99" s="136" t="s">
        <v>32</v>
      </c>
      <c r="L99" s="136">
        <v>92695802</v>
      </c>
      <c r="M99" s="139"/>
    </row>
    <row r="100" spans="1:13" s="17" customFormat="1" ht="26.25" customHeight="1" x14ac:dyDescent="0.25">
      <c r="A100" s="235">
        <v>1487</v>
      </c>
      <c r="B100" s="140" t="s">
        <v>354</v>
      </c>
      <c r="C100" s="295">
        <v>10</v>
      </c>
      <c r="D100" s="149">
        <v>0.3</v>
      </c>
      <c r="E100" s="186">
        <f t="shared" si="2"/>
        <v>3</v>
      </c>
      <c r="F100" s="186"/>
      <c r="G100" s="186">
        <f t="shared" si="3"/>
        <v>3</v>
      </c>
      <c r="H100" s="139">
        <v>19315674</v>
      </c>
      <c r="I100" s="314" t="s">
        <v>355</v>
      </c>
      <c r="J100" s="136" t="s">
        <v>31</v>
      </c>
      <c r="K100" s="136" t="s">
        <v>32</v>
      </c>
      <c r="L100" s="136">
        <v>93972300</v>
      </c>
      <c r="M100" s="139"/>
    </row>
    <row r="101" spans="1:13" s="17" customFormat="1" ht="21.75" customHeight="1" x14ac:dyDescent="0.25">
      <c r="A101" s="235">
        <v>1700</v>
      </c>
      <c r="B101" s="296" t="s">
        <v>356</v>
      </c>
      <c r="C101" s="295">
        <v>175</v>
      </c>
      <c r="D101" s="149">
        <v>0.3</v>
      </c>
      <c r="E101" s="186">
        <f t="shared" si="2"/>
        <v>52.5</v>
      </c>
      <c r="F101" s="186"/>
      <c r="G101" s="186">
        <f t="shared" si="3"/>
        <v>52.5</v>
      </c>
      <c r="H101" s="136">
        <v>6332437</v>
      </c>
      <c r="I101" s="311" t="s">
        <v>357</v>
      </c>
      <c r="J101" s="136" t="s">
        <v>31</v>
      </c>
      <c r="K101" s="136" t="s">
        <v>32</v>
      </c>
      <c r="L101" s="136">
        <v>99284449</v>
      </c>
      <c r="M101" s="140"/>
    </row>
    <row r="102" spans="1:13" s="17" customFormat="1" ht="21.75" customHeight="1" x14ac:dyDescent="0.25">
      <c r="A102" s="235">
        <v>1702</v>
      </c>
      <c r="B102" s="296" t="s">
        <v>359</v>
      </c>
      <c r="C102" s="295">
        <v>147.5</v>
      </c>
      <c r="D102" s="149">
        <v>0.3</v>
      </c>
      <c r="E102" s="186">
        <f t="shared" si="2"/>
        <v>44.25</v>
      </c>
      <c r="F102" s="186"/>
      <c r="G102" s="186">
        <f t="shared" si="3"/>
        <v>44.25</v>
      </c>
      <c r="H102" s="136">
        <v>1572875</v>
      </c>
      <c r="I102" s="313" t="s">
        <v>360</v>
      </c>
      <c r="J102" s="136" t="s">
        <v>52</v>
      </c>
      <c r="K102" s="136" t="s">
        <v>53</v>
      </c>
      <c r="L102" s="136">
        <v>99899341</v>
      </c>
      <c r="M102" s="140"/>
    </row>
    <row r="103" spans="1:13" s="17" customFormat="1" ht="21.75" customHeight="1" x14ac:dyDescent="0.25">
      <c r="A103" s="235">
        <v>1704</v>
      </c>
      <c r="B103" s="296" t="s">
        <v>361</v>
      </c>
      <c r="C103" s="295">
        <v>15</v>
      </c>
      <c r="D103" s="149">
        <v>0.3</v>
      </c>
      <c r="E103" s="186">
        <f t="shared" si="2"/>
        <v>4.5</v>
      </c>
      <c r="F103" s="186"/>
      <c r="G103" s="186">
        <f t="shared" si="3"/>
        <v>4.5</v>
      </c>
      <c r="H103" s="136">
        <v>19235157</v>
      </c>
      <c r="I103" s="311" t="s">
        <v>362</v>
      </c>
      <c r="J103" s="136" t="s">
        <v>31</v>
      </c>
      <c r="K103" s="136" t="s">
        <v>32</v>
      </c>
      <c r="L103" s="136">
        <v>95552551</v>
      </c>
      <c r="M103" s="140"/>
    </row>
    <row r="104" spans="1:13" s="17" customFormat="1" ht="21.75" customHeight="1" x14ac:dyDescent="0.25">
      <c r="A104" s="235">
        <v>1706</v>
      </c>
      <c r="B104" s="296" t="s">
        <v>153</v>
      </c>
      <c r="C104" s="295">
        <v>119.3</v>
      </c>
      <c r="D104" s="149">
        <v>0.3</v>
      </c>
      <c r="E104" s="186">
        <f t="shared" si="2"/>
        <v>35.79</v>
      </c>
      <c r="F104" s="186"/>
      <c r="G104" s="186">
        <f t="shared" si="3"/>
        <v>35.79</v>
      </c>
      <c r="H104" s="136">
        <v>2520947</v>
      </c>
      <c r="I104" s="140" t="s">
        <v>154</v>
      </c>
      <c r="J104" s="136" t="s">
        <v>155</v>
      </c>
      <c r="K104" s="140" t="s">
        <v>156</v>
      </c>
      <c r="L104" s="136">
        <v>92246641</v>
      </c>
      <c r="M104" s="140"/>
    </row>
    <row r="105" spans="1:13" s="17" customFormat="1" ht="21.75" customHeight="1" x14ac:dyDescent="0.25">
      <c r="A105" s="235">
        <v>1708</v>
      </c>
      <c r="B105" s="296" t="s">
        <v>363</v>
      </c>
      <c r="C105" s="295">
        <v>390.4</v>
      </c>
      <c r="D105" s="149">
        <v>0.3</v>
      </c>
      <c r="E105" s="186">
        <f t="shared" si="2"/>
        <v>117.11999999999999</v>
      </c>
      <c r="F105" s="186"/>
      <c r="G105" s="186">
        <f t="shared" si="3"/>
        <v>117.11999999999999</v>
      </c>
      <c r="H105" s="136">
        <v>1331691</v>
      </c>
      <c r="I105" s="311" t="s">
        <v>364</v>
      </c>
      <c r="J105" s="136" t="s">
        <v>31</v>
      </c>
      <c r="K105" s="136" t="s">
        <v>32</v>
      </c>
      <c r="L105" s="136">
        <v>92658692</v>
      </c>
      <c r="M105" s="312"/>
    </row>
    <row r="106" spans="1:13" s="17" customFormat="1" ht="21.75" customHeight="1" x14ac:dyDescent="0.25">
      <c r="A106" s="235">
        <v>1709</v>
      </c>
      <c r="B106" s="296" t="s">
        <v>365</v>
      </c>
      <c r="C106" s="295">
        <v>113.6</v>
      </c>
      <c r="D106" s="149">
        <v>0.3</v>
      </c>
      <c r="E106" s="186">
        <f t="shared" si="2"/>
        <v>34.08</v>
      </c>
      <c r="F106" s="186"/>
      <c r="G106" s="186">
        <f t="shared" si="3"/>
        <v>34.08</v>
      </c>
      <c r="H106" s="136">
        <v>2406629</v>
      </c>
      <c r="I106" s="311" t="s">
        <v>580</v>
      </c>
      <c r="J106" s="136" t="s">
        <v>121</v>
      </c>
      <c r="K106" s="136" t="s">
        <v>122</v>
      </c>
      <c r="L106" s="136">
        <v>92771786</v>
      </c>
      <c r="M106" s="140"/>
    </row>
    <row r="107" spans="1:13" s="17" customFormat="1" ht="21.75" customHeight="1" x14ac:dyDescent="0.25">
      <c r="A107" s="235">
        <v>1711</v>
      </c>
      <c r="B107" s="296" t="s">
        <v>55</v>
      </c>
      <c r="C107" s="295">
        <v>131.9</v>
      </c>
      <c r="D107" s="149">
        <v>0.3</v>
      </c>
      <c r="E107" s="186">
        <f t="shared" si="2"/>
        <v>39.57</v>
      </c>
      <c r="F107" s="186"/>
      <c r="G107" s="186">
        <f t="shared" si="3"/>
        <v>39.57</v>
      </c>
      <c r="H107" s="136">
        <v>638353</v>
      </c>
      <c r="I107" s="313" t="s">
        <v>56</v>
      </c>
      <c r="J107" s="136" t="s">
        <v>31</v>
      </c>
      <c r="K107" s="136" t="s">
        <v>32</v>
      </c>
      <c r="L107" s="136">
        <v>99292727</v>
      </c>
      <c r="M107" s="140"/>
    </row>
    <row r="108" spans="1:13" s="17" customFormat="1" ht="21.75" customHeight="1" x14ac:dyDescent="0.25">
      <c r="A108" s="235">
        <v>1712</v>
      </c>
      <c r="B108" s="296" t="s">
        <v>57</v>
      </c>
      <c r="C108" s="295">
        <v>85</v>
      </c>
      <c r="D108" s="149">
        <v>0.3</v>
      </c>
      <c r="E108" s="186">
        <f t="shared" si="2"/>
        <v>25.5</v>
      </c>
      <c r="F108" s="186"/>
      <c r="G108" s="186">
        <f t="shared" si="3"/>
        <v>25.5</v>
      </c>
      <c r="H108" s="136">
        <v>788958</v>
      </c>
      <c r="I108" s="313" t="s">
        <v>58</v>
      </c>
      <c r="J108" s="136" t="s">
        <v>31</v>
      </c>
      <c r="K108" s="136" t="s">
        <v>32</v>
      </c>
      <c r="L108" s="136">
        <v>99816344</v>
      </c>
      <c r="M108" s="140"/>
    </row>
    <row r="109" spans="1:13" s="17" customFormat="1" ht="21.75" customHeight="1" x14ac:dyDescent="0.25">
      <c r="A109" s="235">
        <v>1713</v>
      </c>
      <c r="B109" s="296" t="s">
        <v>157</v>
      </c>
      <c r="C109" s="295">
        <v>127.1</v>
      </c>
      <c r="D109" s="149">
        <v>0.3</v>
      </c>
      <c r="E109" s="186">
        <f t="shared" si="2"/>
        <v>38.129999999999995</v>
      </c>
      <c r="F109" s="186"/>
      <c r="G109" s="186">
        <f t="shared" si="3"/>
        <v>38.129999999999995</v>
      </c>
      <c r="H109" s="136">
        <v>19890467</v>
      </c>
      <c r="I109" s="313" t="s">
        <v>158</v>
      </c>
      <c r="J109" s="136" t="s">
        <v>52</v>
      </c>
      <c r="K109" s="136" t="s">
        <v>53</v>
      </c>
      <c r="L109" s="136">
        <v>92816131</v>
      </c>
      <c r="M109" s="312"/>
    </row>
    <row r="110" spans="1:13" s="17" customFormat="1" ht="21.75" customHeight="1" x14ac:dyDescent="0.25">
      <c r="A110" s="235">
        <v>1714</v>
      </c>
      <c r="B110" s="296" t="s">
        <v>59</v>
      </c>
      <c r="C110" s="295">
        <v>143</v>
      </c>
      <c r="D110" s="149">
        <v>0.3</v>
      </c>
      <c r="E110" s="186">
        <f t="shared" si="2"/>
        <v>42.9</v>
      </c>
      <c r="F110" s="186"/>
      <c r="G110" s="186">
        <f t="shared" si="3"/>
        <v>42.9</v>
      </c>
      <c r="H110" s="136">
        <v>6285703</v>
      </c>
      <c r="I110" s="313" t="s">
        <v>60</v>
      </c>
      <c r="J110" s="136" t="s">
        <v>31</v>
      </c>
      <c r="K110" s="136" t="s">
        <v>32</v>
      </c>
      <c r="L110" s="136">
        <v>92511617</v>
      </c>
      <c r="M110" s="140"/>
    </row>
    <row r="111" spans="1:13" s="17" customFormat="1" ht="21.75" customHeight="1" x14ac:dyDescent="0.25">
      <c r="A111" s="235">
        <v>1715</v>
      </c>
      <c r="B111" s="296" t="s">
        <v>62</v>
      </c>
      <c r="C111" s="295">
        <v>19.3</v>
      </c>
      <c r="D111" s="149">
        <v>0.3</v>
      </c>
      <c r="E111" s="186">
        <f t="shared" si="2"/>
        <v>5.79</v>
      </c>
      <c r="F111" s="186"/>
      <c r="G111" s="186">
        <f t="shared" si="3"/>
        <v>5.79</v>
      </c>
      <c r="H111" s="136">
        <v>6511663</v>
      </c>
      <c r="I111" s="313" t="s">
        <v>63</v>
      </c>
      <c r="J111" s="136" t="s">
        <v>31</v>
      </c>
      <c r="K111" s="136" t="s">
        <v>32</v>
      </c>
      <c r="L111" s="136">
        <v>91486820</v>
      </c>
      <c r="M111" s="140"/>
    </row>
    <row r="112" spans="1:13" s="17" customFormat="1" ht="21.75" customHeight="1" x14ac:dyDescent="0.25">
      <c r="A112" s="235">
        <v>1716</v>
      </c>
      <c r="B112" s="296" t="s">
        <v>368</v>
      </c>
      <c r="C112" s="295">
        <v>197.2</v>
      </c>
      <c r="D112" s="149">
        <v>0.3</v>
      </c>
      <c r="E112" s="186">
        <f t="shared" si="2"/>
        <v>59.16</v>
      </c>
      <c r="F112" s="186"/>
      <c r="G112" s="186">
        <f t="shared" si="3"/>
        <v>59.16</v>
      </c>
      <c r="H112" s="136">
        <v>24147445</v>
      </c>
      <c r="I112" s="140" t="s">
        <v>369</v>
      </c>
      <c r="J112" s="136" t="s">
        <v>31</v>
      </c>
      <c r="K112" s="136" t="s">
        <v>32</v>
      </c>
      <c r="L112" s="136">
        <v>92772114</v>
      </c>
      <c r="M112" s="140"/>
    </row>
    <row r="113" spans="1:13" s="17" customFormat="1" ht="21.75" customHeight="1" x14ac:dyDescent="0.25">
      <c r="A113" s="235">
        <v>1717</v>
      </c>
      <c r="B113" s="296" t="s">
        <v>370</v>
      </c>
      <c r="C113" s="295">
        <v>103</v>
      </c>
      <c r="D113" s="149">
        <v>0.3</v>
      </c>
      <c r="E113" s="186">
        <f t="shared" si="2"/>
        <v>30.9</v>
      </c>
      <c r="F113" s="186"/>
      <c r="G113" s="186">
        <f t="shared" si="3"/>
        <v>30.9</v>
      </c>
      <c r="H113" s="136">
        <v>3248965</v>
      </c>
      <c r="I113" s="313" t="s">
        <v>371</v>
      </c>
      <c r="J113" s="136" t="s">
        <v>31</v>
      </c>
      <c r="K113" s="136" t="s">
        <v>32</v>
      </c>
      <c r="L113" s="136">
        <v>92476390</v>
      </c>
      <c r="M113" s="140"/>
    </row>
    <row r="114" spans="1:13" s="17" customFormat="1" ht="21.75" customHeight="1" x14ac:dyDescent="0.25">
      <c r="A114" s="235">
        <v>1718</v>
      </c>
      <c r="B114" s="296" t="s">
        <v>159</v>
      </c>
      <c r="C114" s="295">
        <v>164</v>
      </c>
      <c r="D114" s="149">
        <v>0.3</v>
      </c>
      <c r="E114" s="186">
        <f t="shared" si="2"/>
        <v>49.199999999999996</v>
      </c>
      <c r="F114" s="186"/>
      <c r="G114" s="186">
        <f t="shared" si="3"/>
        <v>49.199999999999996</v>
      </c>
      <c r="H114" s="136">
        <v>18656137</v>
      </c>
      <c r="I114" s="316" t="s">
        <v>160</v>
      </c>
      <c r="J114" s="136" t="s">
        <v>155</v>
      </c>
      <c r="K114" s="136" t="s">
        <v>156</v>
      </c>
      <c r="L114" s="136">
        <v>92207221</v>
      </c>
      <c r="M114" s="140"/>
    </row>
    <row r="115" spans="1:13" s="17" customFormat="1" ht="21.75" customHeight="1" x14ac:dyDescent="0.25">
      <c r="A115" s="235">
        <v>1720</v>
      </c>
      <c r="B115" s="296" t="s">
        <v>372</v>
      </c>
      <c r="C115" s="295">
        <v>118</v>
      </c>
      <c r="D115" s="149">
        <v>0.3</v>
      </c>
      <c r="E115" s="186">
        <f t="shared" si="2"/>
        <v>35.4</v>
      </c>
      <c r="F115" s="186"/>
      <c r="G115" s="186">
        <f t="shared" si="3"/>
        <v>35.4</v>
      </c>
      <c r="H115" s="136">
        <v>6812881</v>
      </c>
      <c r="I115" s="313" t="s">
        <v>373</v>
      </c>
      <c r="J115" s="136" t="s">
        <v>52</v>
      </c>
      <c r="K115" s="136" t="s">
        <v>53</v>
      </c>
      <c r="L115" s="136">
        <v>98595777</v>
      </c>
      <c r="M115" s="140"/>
    </row>
    <row r="116" spans="1:13" s="17" customFormat="1" ht="21.75" customHeight="1" x14ac:dyDescent="0.25">
      <c r="A116" s="235">
        <v>1722</v>
      </c>
      <c r="B116" s="296" t="s">
        <v>374</v>
      </c>
      <c r="C116" s="295">
        <v>160.19999999999999</v>
      </c>
      <c r="D116" s="149">
        <v>0.3</v>
      </c>
      <c r="E116" s="186">
        <f t="shared" si="2"/>
        <v>48.059999999999995</v>
      </c>
      <c r="F116" s="186"/>
      <c r="G116" s="186">
        <f t="shared" si="3"/>
        <v>48.059999999999995</v>
      </c>
      <c r="H116" s="136">
        <v>12979647</v>
      </c>
      <c r="I116" s="313" t="s">
        <v>375</v>
      </c>
      <c r="J116" s="136" t="s">
        <v>376</v>
      </c>
      <c r="K116" s="136" t="s">
        <v>307</v>
      </c>
      <c r="L116" s="136">
        <v>98899002</v>
      </c>
      <c r="M116" s="312"/>
    </row>
    <row r="117" spans="1:13" s="17" customFormat="1" ht="21.75" customHeight="1" x14ac:dyDescent="0.25">
      <c r="A117" s="235">
        <v>1723</v>
      </c>
      <c r="B117" s="296" t="s">
        <v>65</v>
      </c>
      <c r="C117" s="295">
        <v>131</v>
      </c>
      <c r="D117" s="149">
        <v>0.3</v>
      </c>
      <c r="E117" s="186">
        <f t="shared" si="2"/>
        <v>39.299999999999997</v>
      </c>
      <c r="F117" s="186"/>
      <c r="G117" s="186">
        <f t="shared" si="3"/>
        <v>39.299999999999997</v>
      </c>
      <c r="H117" s="136">
        <v>6631224</v>
      </c>
      <c r="I117" s="311" t="s">
        <v>66</v>
      </c>
      <c r="J117" s="136" t="s">
        <v>31</v>
      </c>
      <c r="K117" s="136" t="s">
        <v>32</v>
      </c>
      <c r="L117" s="136">
        <v>92666839</v>
      </c>
      <c r="M117" s="140"/>
    </row>
    <row r="118" spans="1:13" s="17" customFormat="1" ht="21.75" customHeight="1" x14ac:dyDescent="0.25">
      <c r="A118" s="235">
        <v>1724</v>
      </c>
      <c r="B118" s="296" t="s">
        <v>67</v>
      </c>
      <c r="C118" s="295">
        <v>90</v>
      </c>
      <c r="D118" s="149">
        <v>0.3</v>
      </c>
      <c r="E118" s="186">
        <f t="shared" si="2"/>
        <v>27</v>
      </c>
      <c r="F118" s="186"/>
      <c r="G118" s="186">
        <f t="shared" si="3"/>
        <v>27</v>
      </c>
      <c r="H118" s="136">
        <v>10795143</v>
      </c>
      <c r="I118" s="140" t="s">
        <v>68</v>
      </c>
      <c r="J118" s="136" t="s">
        <v>26</v>
      </c>
      <c r="K118" s="136" t="s">
        <v>27</v>
      </c>
      <c r="L118" s="136">
        <v>99494166</v>
      </c>
      <c r="M118" s="140"/>
    </row>
    <row r="119" spans="1:13" s="17" customFormat="1" ht="21.75" customHeight="1" x14ac:dyDescent="0.25">
      <c r="A119" s="235">
        <v>1725</v>
      </c>
      <c r="B119" s="296" t="s">
        <v>377</v>
      </c>
      <c r="C119" s="295">
        <v>171.6</v>
      </c>
      <c r="D119" s="149">
        <v>0.3</v>
      </c>
      <c r="E119" s="186">
        <f t="shared" si="2"/>
        <v>51.48</v>
      </c>
      <c r="F119" s="186"/>
      <c r="G119" s="186">
        <f t="shared" si="3"/>
        <v>51.48</v>
      </c>
      <c r="H119" s="136">
        <v>2223414</v>
      </c>
      <c r="I119" s="313" t="s">
        <v>378</v>
      </c>
      <c r="J119" s="136" t="s">
        <v>52</v>
      </c>
      <c r="K119" s="136" t="s">
        <v>53</v>
      </c>
      <c r="L119" s="136">
        <v>92695758</v>
      </c>
      <c r="M119" s="140"/>
    </row>
    <row r="120" spans="1:13" s="17" customFormat="1" ht="21.75" customHeight="1" x14ac:dyDescent="0.25">
      <c r="A120" s="235">
        <v>1726</v>
      </c>
      <c r="B120" s="296" t="s">
        <v>379</v>
      </c>
      <c r="C120" s="542">
        <v>172.1</v>
      </c>
      <c r="D120" s="149">
        <v>0.3</v>
      </c>
      <c r="E120" s="186">
        <f t="shared" si="2"/>
        <v>51.629999999999995</v>
      </c>
      <c r="F120" s="186"/>
      <c r="G120" s="186">
        <f t="shared" si="3"/>
        <v>51.629999999999995</v>
      </c>
      <c r="H120" s="136">
        <v>5440535</v>
      </c>
      <c r="I120" s="313" t="s">
        <v>380</v>
      </c>
      <c r="J120" s="136" t="s">
        <v>31</v>
      </c>
      <c r="K120" s="136" t="s">
        <v>32</v>
      </c>
      <c r="L120" s="136">
        <v>92023947</v>
      </c>
      <c r="M120" s="312"/>
    </row>
    <row r="121" spans="1:13" s="17" customFormat="1" ht="21.75" customHeight="1" x14ac:dyDescent="0.25">
      <c r="A121" s="235">
        <v>1728</v>
      </c>
      <c r="B121" s="296" t="s">
        <v>13</v>
      </c>
      <c r="C121" s="295">
        <v>111.6</v>
      </c>
      <c r="D121" s="149">
        <v>0.3</v>
      </c>
      <c r="E121" s="186">
        <f t="shared" si="2"/>
        <v>33.479999999999997</v>
      </c>
      <c r="F121" s="186"/>
      <c r="G121" s="186">
        <f t="shared" si="3"/>
        <v>33.479999999999997</v>
      </c>
      <c r="H121" s="136">
        <v>8977778</v>
      </c>
      <c r="I121" s="311" t="s">
        <v>381</v>
      </c>
      <c r="J121" s="136" t="s">
        <v>31</v>
      </c>
      <c r="K121" s="136" t="s">
        <v>32</v>
      </c>
      <c r="L121" s="136">
        <v>99687220</v>
      </c>
      <c r="M121" s="140"/>
    </row>
    <row r="122" spans="1:13" s="17" customFormat="1" ht="21.75" customHeight="1" x14ac:dyDescent="0.25">
      <c r="A122" s="235">
        <v>1729</v>
      </c>
      <c r="B122" s="296" t="s">
        <v>382</v>
      </c>
      <c r="C122" s="295">
        <v>58.4</v>
      </c>
      <c r="D122" s="149">
        <v>0.3</v>
      </c>
      <c r="E122" s="186">
        <f t="shared" si="2"/>
        <v>17.52</v>
      </c>
      <c r="F122" s="186"/>
      <c r="G122" s="186">
        <f t="shared" si="3"/>
        <v>17.52</v>
      </c>
      <c r="H122" s="136">
        <v>22975081</v>
      </c>
      <c r="I122" s="311" t="s">
        <v>383</v>
      </c>
      <c r="J122" s="136" t="s">
        <v>31</v>
      </c>
      <c r="K122" s="136" t="s">
        <v>32</v>
      </c>
      <c r="L122" s="136">
        <v>93633441</v>
      </c>
      <c r="M122" s="312"/>
    </row>
    <row r="123" spans="1:13" s="17" customFormat="1" ht="21.75" customHeight="1" x14ac:dyDescent="0.25">
      <c r="A123" s="235">
        <v>1730</v>
      </c>
      <c r="B123" s="296" t="s">
        <v>162</v>
      </c>
      <c r="C123" s="295">
        <v>120.4</v>
      </c>
      <c r="D123" s="149">
        <v>0.3</v>
      </c>
      <c r="E123" s="186">
        <f t="shared" si="2"/>
        <v>36.119999999999997</v>
      </c>
      <c r="F123" s="186"/>
      <c r="G123" s="186">
        <f t="shared" si="3"/>
        <v>36.119999999999997</v>
      </c>
      <c r="H123" s="136">
        <v>18458405</v>
      </c>
      <c r="I123" s="313" t="s">
        <v>163</v>
      </c>
      <c r="J123" s="136" t="s">
        <v>31</v>
      </c>
      <c r="K123" s="136" t="s">
        <v>32</v>
      </c>
      <c r="L123" s="136">
        <v>98566660</v>
      </c>
      <c r="M123" s="312"/>
    </row>
    <row r="124" spans="1:13" s="17" customFormat="1" ht="21.75" customHeight="1" x14ac:dyDescent="0.25">
      <c r="A124" s="235">
        <v>1731</v>
      </c>
      <c r="B124" s="296" t="s">
        <v>384</v>
      </c>
      <c r="C124" s="295">
        <v>73</v>
      </c>
      <c r="D124" s="149">
        <v>0.3</v>
      </c>
      <c r="E124" s="186">
        <f t="shared" si="2"/>
        <v>21.9</v>
      </c>
      <c r="F124" s="186"/>
      <c r="G124" s="186">
        <f t="shared" si="3"/>
        <v>21.9</v>
      </c>
      <c r="H124" s="136">
        <v>604651</v>
      </c>
      <c r="I124" s="313" t="s">
        <v>385</v>
      </c>
      <c r="J124" s="136" t="s">
        <v>31</v>
      </c>
      <c r="K124" s="136" t="s">
        <v>32</v>
      </c>
      <c r="L124" s="136">
        <v>92587799</v>
      </c>
      <c r="M124" s="312"/>
    </row>
    <row r="125" spans="1:13" s="17" customFormat="1" ht="21.75" customHeight="1" x14ac:dyDescent="0.25">
      <c r="A125" s="235">
        <v>1733</v>
      </c>
      <c r="B125" s="296" t="s">
        <v>386</v>
      </c>
      <c r="C125" s="295">
        <v>92</v>
      </c>
      <c r="D125" s="149">
        <v>0.3</v>
      </c>
      <c r="E125" s="186">
        <f t="shared" si="2"/>
        <v>27.599999999999998</v>
      </c>
      <c r="F125" s="186"/>
      <c r="G125" s="186">
        <f t="shared" si="3"/>
        <v>27.599999999999998</v>
      </c>
      <c r="H125" s="136">
        <v>24598302</v>
      </c>
      <c r="I125" s="319" t="s">
        <v>387</v>
      </c>
      <c r="J125" s="136" t="s">
        <v>52</v>
      </c>
      <c r="K125" s="136" t="s">
        <v>53</v>
      </c>
      <c r="L125" s="136">
        <v>92018800</v>
      </c>
      <c r="M125" s="140"/>
    </row>
    <row r="126" spans="1:13" s="17" customFormat="1" ht="21.75" customHeight="1" x14ac:dyDescent="0.25">
      <c r="A126" s="235">
        <v>1734</v>
      </c>
      <c r="B126" s="296" t="s">
        <v>388</v>
      </c>
      <c r="C126" s="295">
        <v>95.5</v>
      </c>
      <c r="D126" s="149">
        <v>0.3</v>
      </c>
      <c r="E126" s="186">
        <f t="shared" si="2"/>
        <v>28.65</v>
      </c>
      <c r="F126" s="186"/>
      <c r="G126" s="186">
        <f t="shared" si="3"/>
        <v>28.65</v>
      </c>
      <c r="H126" s="136">
        <v>1105552</v>
      </c>
      <c r="I126" s="311" t="s">
        <v>389</v>
      </c>
      <c r="J126" s="136" t="s">
        <v>52</v>
      </c>
      <c r="K126" s="136" t="s">
        <v>53</v>
      </c>
      <c r="L126" s="136">
        <v>99484517</v>
      </c>
      <c r="M126" s="140"/>
    </row>
    <row r="127" spans="1:13" s="17" customFormat="1" ht="21.75" customHeight="1" x14ac:dyDescent="0.25">
      <c r="A127" s="235">
        <v>1736</v>
      </c>
      <c r="B127" s="296" t="s">
        <v>164</v>
      </c>
      <c r="C127" s="295">
        <v>157.69999999999999</v>
      </c>
      <c r="D127" s="149">
        <v>0.3</v>
      </c>
      <c r="E127" s="186">
        <f t="shared" si="2"/>
        <v>47.309999999999995</v>
      </c>
      <c r="F127" s="186"/>
      <c r="G127" s="186">
        <f t="shared" si="3"/>
        <v>47.309999999999995</v>
      </c>
      <c r="H127" s="136">
        <v>960639</v>
      </c>
      <c r="I127" s="313" t="s">
        <v>165</v>
      </c>
      <c r="J127" s="136" t="s">
        <v>31</v>
      </c>
      <c r="K127" s="136" t="s">
        <v>32</v>
      </c>
      <c r="L127" s="136">
        <v>99066779</v>
      </c>
      <c r="M127" s="140"/>
    </row>
    <row r="128" spans="1:13" s="17" customFormat="1" ht="21.75" customHeight="1" x14ac:dyDescent="0.25">
      <c r="A128" s="235">
        <v>1737</v>
      </c>
      <c r="B128" s="136" t="s">
        <v>390</v>
      </c>
      <c r="C128" s="295">
        <v>80.400000000000006</v>
      </c>
      <c r="D128" s="149">
        <v>0.3</v>
      </c>
      <c r="E128" s="186">
        <f t="shared" si="2"/>
        <v>24.12</v>
      </c>
      <c r="F128" s="186"/>
      <c r="G128" s="186">
        <f t="shared" si="3"/>
        <v>24.12</v>
      </c>
      <c r="H128" s="136">
        <v>5566367</v>
      </c>
      <c r="I128" s="313" t="s">
        <v>391</v>
      </c>
      <c r="J128" s="136" t="s">
        <v>31</v>
      </c>
      <c r="K128" s="136" t="s">
        <v>32</v>
      </c>
      <c r="L128" s="136">
        <v>98517790</v>
      </c>
      <c r="M128" s="312"/>
    </row>
    <row r="129" spans="1:13" s="17" customFormat="1" ht="21.75" customHeight="1" x14ac:dyDescent="0.25">
      <c r="A129" s="235">
        <v>1738</v>
      </c>
      <c r="B129" s="296" t="s">
        <v>166</v>
      </c>
      <c r="C129" s="295">
        <v>115.3</v>
      </c>
      <c r="D129" s="149">
        <v>0.3</v>
      </c>
      <c r="E129" s="186">
        <f t="shared" si="2"/>
        <v>34.589999999999996</v>
      </c>
      <c r="F129" s="186"/>
      <c r="G129" s="186">
        <f t="shared" si="3"/>
        <v>34.589999999999996</v>
      </c>
      <c r="H129" s="136">
        <v>23187863</v>
      </c>
      <c r="I129" s="313" t="s">
        <v>581</v>
      </c>
      <c r="J129" s="136" t="s">
        <v>52</v>
      </c>
      <c r="K129" s="136" t="s">
        <v>53</v>
      </c>
      <c r="L129" s="136">
        <v>99464736</v>
      </c>
      <c r="M129" s="312"/>
    </row>
    <row r="130" spans="1:13" s="17" customFormat="1" ht="21.75" customHeight="1" x14ac:dyDescent="0.25">
      <c r="A130" s="235">
        <v>1740</v>
      </c>
      <c r="B130" s="296" t="s">
        <v>392</v>
      </c>
      <c r="C130" s="295">
        <v>90.5</v>
      </c>
      <c r="D130" s="149">
        <v>0.3</v>
      </c>
      <c r="E130" s="186">
        <f t="shared" si="2"/>
        <v>27.15</v>
      </c>
      <c r="F130" s="186"/>
      <c r="G130" s="186">
        <f t="shared" si="3"/>
        <v>27.15</v>
      </c>
      <c r="H130" s="136">
        <v>750305</v>
      </c>
      <c r="I130" s="313" t="s">
        <v>393</v>
      </c>
      <c r="J130" s="136" t="s">
        <v>31</v>
      </c>
      <c r="K130" s="136" t="s">
        <v>32</v>
      </c>
      <c r="L130" s="136"/>
      <c r="M130" s="312"/>
    </row>
    <row r="131" spans="1:13" s="17" customFormat="1" ht="21.75" customHeight="1" x14ac:dyDescent="0.25">
      <c r="A131" s="235">
        <v>1741</v>
      </c>
      <c r="B131" s="296" t="s">
        <v>394</v>
      </c>
      <c r="C131" s="295">
        <v>423.5</v>
      </c>
      <c r="D131" s="149">
        <v>0.3</v>
      </c>
      <c r="E131" s="186">
        <f t="shared" ref="E131:E194" si="4">C131*D131</f>
        <v>127.05</v>
      </c>
      <c r="F131" s="186"/>
      <c r="G131" s="186">
        <f t="shared" ref="G131:G194" si="5">E131-F131</f>
        <v>127.05</v>
      </c>
      <c r="H131" s="136">
        <v>3439836</v>
      </c>
      <c r="I131" s="313" t="s">
        <v>395</v>
      </c>
      <c r="J131" s="136" t="s">
        <v>31</v>
      </c>
      <c r="K131" s="136" t="s">
        <v>32</v>
      </c>
      <c r="L131" s="136">
        <v>99070188</v>
      </c>
      <c r="M131" s="140"/>
    </row>
    <row r="132" spans="1:13" s="17" customFormat="1" ht="21.75" customHeight="1" x14ac:dyDescent="0.25">
      <c r="A132" s="235">
        <v>1742</v>
      </c>
      <c r="B132" s="296" t="s">
        <v>396</v>
      </c>
      <c r="C132" s="295">
        <v>111.3</v>
      </c>
      <c r="D132" s="149">
        <v>0.3</v>
      </c>
      <c r="E132" s="186">
        <f t="shared" si="4"/>
        <v>33.39</v>
      </c>
      <c r="F132" s="186"/>
      <c r="G132" s="186">
        <f t="shared" si="5"/>
        <v>33.39</v>
      </c>
      <c r="H132" s="136">
        <v>7534942</v>
      </c>
      <c r="I132" s="313" t="s">
        <v>397</v>
      </c>
      <c r="J132" s="136" t="s">
        <v>31</v>
      </c>
      <c r="K132" s="136" t="s">
        <v>32</v>
      </c>
      <c r="L132" s="136">
        <v>92695758</v>
      </c>
      <c r="M132" s="140"/>
    </row>
    <row r="133" spans="1:13" s="17" customFormat="1" ht="21.75" customHeight="1" x14ac:dyDescent="0.25">
      <c r="A133" s="235">
        <v>1743</v>
      </c>
      <c r="B133" s="296" t="s">
        <v>398</v>
      </c>
      <c r="C133" s="295">
        <v>372.1</v>
      </c>
      <c r="D133" s="149">
        <v>0.3</v>
      </c>
      <c r="E133" s="186">
        <f t="shared" si="4"/>
        <v>111.63000000000001</v>
      </c>
      <c r="F133" s="186"/>
      <c r="G133" s="186">
        <f t="shared" si="5"/>
        <v>111.63000000000001</v>
      </c>
      <c r="H133" s="136">
        <v>14028717</v>
      </c>
      <c r="I133" s="311" t="s">
        <v>399</v>
      </c>
      <c r="J133" s="136" t="s">
        <v>155</v>
      </c>
      <c r="K133" s="136" t="s">
        <v>156</v>
      </c>
      <c r="L133" s="136">
        <v>98500770</v>
      </c>
      <c r="M133" s="312"/>
    </row>
    <row r="134" spans="1:13" s="17" customFormat="1" ht="21.75" customHeight="1" x14ac:dyDescent="0.25">
      <c r="A134" s="235">
        <v>1744</v>
      </c>
      <c r="B134" s="296" t="s">
        <v>400</v>
      </c>
      <c r="C134" s="295">
        <v>15.6</v>
      </c>
      <c r="D134" s="149">
        <v>0.3</v>
      </c>
      <c r="E134" s="186">
        <f t="shared" si="4"/>
        <v>4.68</v>
      </c>
      <c r="F134" s="186"/>
      <c r="G134" s="186">
        <f t="shared" si="5"/>
        <v>4.68</v>
      </c>
      <c r="H134" s="136">
        <v>6653046</v>
      </c>
      <c r="I134" s="140" t="s">
        <v>401</v>
      </c>
      <c r="J134" s="136" t="s">
        <v>52</v>
      </c>
      <c r="K134" s="136" t="s">
        <v>53</v>
      </c>
      <c r="L134" s="136">
        <v>98183585</v>
      </c>
      <c r="M134" s="312"/>
    </row>
    <row r="135" spans="1:13" s="17" customFormat="1" ht="21.75" customHeight="1" x14ac:dyDescent="0.25">
      <c r="A135" s="235">
        <v>1745</v>
      </c>
      <c r="B135" s="296" t="s">
        <v>402</v>
      </c>
      <c r="C135" s="295">
        <v>99.5</v>
      </c>
      <c r="D135" s="149">
        <v>0.3</v>
      </c>
      <c r="E135" s="186">
        <f t="shared" si="4"/>
        <v>29.849999999999998</v>
      </c>
      <c r="F135" s="186"/>
      <c r="G135" s="186">
        <f t="shared" si="5"/>
        <v>29.849999999999998</v>
      </c>
      <c r="H135" s="136">
        <v>781826</v>
      </c>
      <c r="I135" s="311" t="s">
        <v>403</v>
      </c>
      <c r="J135" s="136" t="s">
        <v>52</v>
      </c>
      <c r="K135" s="136" t="s">
        <v>53</v>
      </c>
      <c r="L135" s="136">
        <v>92440088</v>
      </c>
      <c r="M135" s="140"/>
    </row>
    <row r="136" spans="1:13" s="17" customFormat="1" ht="21.75" customHeight="1" x14ac:dyDescent="0.25">
      <c r="A136" s="235">
        <v>1748</v>
      </c>
      <c r="B136" s="296" t="s">
        <v>169</v>
      </c>
      <c r="C136" s="295">
        <v>0</v>
      </c>
      <c r="D136" s="149">
        <v>0.3</v>
      </c>
      <c r="E136" s="186">
        <f t="shared" si="4"/>
        <v>0</v>
      </c>
      <c r="F136" s="186"/>
      <c r="G136" s="186">
        <f t="shared" si="5"/>
        <v>0</v>
      </c>
      <c r="H136" s="136">
        <v>1354182</v>
      </c>
      <c r="I136" s="313" t="s">
        <v>170</v>
      </c>
      <c r="J136" s="136" t="s">
        <v>31</v>
      </c>
      <c r="K136" s="136" t="s">
        <v>32</v>
      </c>
      <c r="L136" s="136">
        <v>98953022</v>
      </c>
      <c r="M136" s="312"/>
    </row>
    <row r="137" spans="1:13" s="17" customFormat="1" ht="21.75" customHeight="1" x14ac:dyDescent="0.25">
      <c r="A137" s="235">
        <v>1749</v>
      </c>
      <c r="B137" s="296" t="s">
        <v>404</v>
      </c>
      <c r="C137" s="295">
        <v>108</v>
      </c>
      <c r="D137" s="149">
        <v>0.3</v>
      </c>
      <c r="E137" s="186">
        <f t="shared" si="4"/>
        <v>32.4</v>
      </c>
      <c r="F137" s="186"/>
      <c r="G137" s="186">
        <f t="shared" si="5"/>
        <v>32.4</v>
      </c>
      <c r="H137" s="136">
        <v>1304923</v>
      </c>
      <c r="I137" s="311" t="s">
        <v>405</v>
      </c>
      <c r="J137" s="136" t="s">
        <v>52</v>
      </c>
      <c r="K137" s="136" t="s">
        <v>53</v>
      </c>
      <c r="L137" s="136">
        <v>97384393</v>
      </c>
      <c r="M137" s="140"/>
    </row>
    <row r="138" spans="1:13" s="17" customFormat="1" ht="21.75" customHeight="1" x14ac:dyDescent="0.25">
      <c r="A138" s="235">
        <v>1750</v>
      </c>
      <c r="B138" s="296" t="s">
        <v>406</v>
      </c>
      <c r="C138" s="295">
        <v>109.1</v>
      </c>
      <c r="D138" s="149">
        <v>0.3</v>
      </c>
      <c r="E138" s="186">
        <f t="shared" si="4"/>
        <v>32.729999999999997</v>
      </c>
      <c r="F138" s="186"/>
      <c r="G138" s="186">
        <f t="shared" si="5"/>
        <v>32.729999999999997</v>
      </c>
      <c r="H138" s="136">
        <v>18638806</v>
      </c>
      <c r="I138" s="311" t="s">
        <v>407</v>
      </c>
      <c r="J138" s="136" t="s">
        <v>71</v>
      </c>
      <c r="K138" s="136" t="s">
        <v>72</v>
      </c>
      <c r="L138" s="136">
        <v>98595777</v>
      </c>
      <c r="M138" s="140"/>
    </row>
    <row r="139" spans="1:13" s="17" customFormat="1" ht="21.75" customHeight="1" x14ac:dyDescent="0.25">
      <c r="A139" s="235">
        <v>1752</v>
      </c>
      <c r="B139" s="296" t="s">
        <v>171</v>
      </c>
      <c r="C139" s="295">
        <v>125.6</v>
      </c>
      <c r="D139" s="149">
        <v>0.3</v>
      </c>
      <c r="E139" s="186">
        <f t="shared" si="4"/>
        <v>37.68</v>
      </c>
      <c r="F139" s="186"/>
      <c r="G139" s="186">
        <f t="shared" si="5"/>
        <v>37.68</v>
      </c>
      <c r="H139" s="136">
        <v>2808921</v>
      </c>
      <c r="I139" s="311" t="s">
        <v>139</v>
      </c>
      <c r="J139" s="136" t="s">
        <v>31</v>
      </c>
      <c r="K139" s="136" t="s">
        <v>32</v>
      </c>
      <c r="L139" s="136">
        <v>92740803</v>
      </c>
      <c r="M139" s="140"/>
    </row>
    <row r="140" spans="1:13" s="17" customFormat="1" ht="21.75" customHeight="1" x14ac:dyDescent="0.25">
      <c r="A140" s="235">
        <v>1753</v>
      </c>
      <c r="B140" s="296" t="s">
        <v>408</v>
      </c>
      <c r="C140" s="295">
        <v>93</v>
      </c>
      <c r="D140" s="149">
        <v>0.3</v>
      </c>
      <c r="E140" s="186">
        <f t="shared" si="4"/>
        <v>27.9</v>
      </c>
      <c r="F140" s="186"/>
      <c r="G140" s="186">
        <f t="shared" si="5"/>
        <v>27.9</v>
      </c>
      <c r="H140" s="136">
        <v>6496182</v>
      </c>
      <c r="I140" s="317" t="s">
        <v>409</v>
      </c>
      <c r="J140" s="136" t="s">
        <v>251</v>
      </c>
      <c r="K140" s="136" t="s">
        <v>252</v>
      </c>
      <c r="L140" s="136">
        <v>98595777</v>
      </c>
      <c r="M140" s="140"/>
    </row>
    <row r="141" spans="1:13" s="17" customFormat="1" ht="21.75" customHeight="1" x14ac:dyDescent="0.25">
      <c r="A141" s="235">
        <v>1754</v>
      </c>
      <c r="B141" s="296" t="s">
        <v>410</v>
      </c>
      <c r="C141" s="295">
        <v>350</v>
      </c>
      <c r="D141" s="149">
        <v>0.3</v>
      </c>
      <c r="E141" s="186">
        <f t="shared" si="4"/>
        <v>105</v>
      </c>
      <c r="F141" s="186"/>
      <c r="G141" s="186">
        <f t="shared" si="5"/>
        <v>105</v>
      </c>
      <c r="H141" s="136">
        <v>1523934</v>
      </c>
      <c r="I141" s="311" t="s">
        <v>411</v>
      </c>
      <c r="J141" s="136" t="s">
        <v>71</v>
      </c>
      <c r="K141" s="136" t="s">
        <v>72</v>
      </c>
      <c r="L141" s="136">
        <v>92695758</v>
      </c>
      <c r="M141" s="140"/>
    </row>
    <row r="142" spans="1:13" s="17" customFormat="1" ht="21.75" customHeight="1" x14ac:dyDescent="0.25">
      <c r="A142" s="235">
        <v>1755</v>
      </c>
      <c r="B142" s="296" t="s">
        <v>69</v>
      </c>
      <c r="C142" s="295">
        <v>156.30000000000001</v>
      </c>
      <c r="D142" s="149">
        <v>0.3</v>
      </c>
      <c r="E142" s="186">
        <f t="shared" si="4"/>
        <v>46.89</v>
      </c>
      <c r="F142" s="186"/>
      <c r="G142" s="186">
        <f t="shared" si="5"/>
        <v>46.89</v>
      </c>
      <c r="H142" s="136">
        <v>10592143</v>
      </c>
      <c r="I142" s="311" t="s">
        <v>70</v>
      </c>
      <c r="J142" s="136" t="s">
        <v>71</v>
      </c>
      <c r="K142" s="136" t="s">
        <v>72</v>
      </c>
      <c r="L142" s="136"/>
      <c r="M142" s="140"/>
    </row>
    <row r="143" spans="1:13" s="17" customFormat="1" ht="21.75" customHeight="1" x14ac:dyDescent="0.25">
      <c r="A143" s="235">
        <v>1756</v>
      </c>
      <c r="B143" s="296" t="s">
        <v>412</v>
      </c>
      <c r="C143" s="295">
        <v>87.3</v>
      </c>
      <c r="D143" s="149">
        <v>0.3</v>
      </c>
      <c r="E143" s="186">
        <f t="shared" si="4"/>
        <v>26.189999999999998</v>
      </c>
      <c r="F143" s="186"/>
      <c r="G143" s="186">
        <f t="shared" si="5"/>
        <v>26.189999999999998</v>
      </c>
      <c r="H143" s="136">
        <v>381412</v>
      </c>
      <c r="I143" s="311" t="s">
        <v>413</v>
      </c>
      <c r="J143" s="136" t="s">
        <v>31</v>
      </c>
      <c r="K143" s="136" t="s">
        <v>32</v>
      </c>
      <c r="L143" s="136">
        <v>99293035</v>
      </c>
      <c r="M143" s="140"/>
    </row>
    <row r="144" spans="1:13" s="17" customFormat="1" ht="21.75" customHeight="1" x14ac:dyDescent="0.25">
      <c r="A144" s="235">
        <v>1758</v>
      </c>
      <c r="B144" s="296" t="s">
        <v>74</v>
      </c>
      <c r="C144" s="295">
        <v>0</v>
      </c>
      <c r="D144" s="149">
        <v>0.3</v>
      </c>
      <c r="E144" s="186">
        <f t="shared" si="4"/>
        <v>0</v>
      </c>
      <c r="F144" s="186"/>
      <c r="G144" s="186">
        <f t="shared" si="5"/>
        <v>0</v>
      </c>
      <c r="H144" s="136">
        <v>2443662</v>
      </c>
      <c r="I144" s="311" t="s">
        <v>75</v>
      </c>
      <c r="J144" s="136" t="s">
        <v>31</v>
      </c>
      <c r="K144" s="136" t="s">
        <v>32</v>
      </c>
      <c r="L144" s="136">
        <v>99608818</v>
      </c>
      <c r="M144" s="312"/>
    </row>
    <row r="145" spans="1:13" s="17" customFormat="1" ht="21.75" customHeight="1" x14ac:dyDescent="0.25">
      <c r="A145" s="235">
        <v>1759</v>
      </c>
      <c r="B145" s="296" t="s">
        <v>415</v>
      </c>
      <c r="C145" s="295">
        <v>87</v>
      </c>
      <c r="D145" s="149">
        <v>0.3</v>
      </c>
      <c r="E145" s="186">
        <f t="shared" si="4"/>
        <v>26.099999999999998</v>
      </c>
      <c r="F145" s="186"/>
      <c r="G145" s="186">
        <f t="shared" si="5"/>
        <v>26.099999999999998</v>
      </c>
      <c r="H145" s="136">
        <v>5029866</v>
      </c>
      <c r="I145" s="311" t="s">
        <v>416</v>
      </c>
      <c r="J145" s="136" t="s">
        <v>31</v>
      </c>
      <c r="K145" s="136" t="s">
        <v>32</v>
      </c>
      <c r="L145" s="136"/>
      <c r="M145" s="140"/>
    </row>
    <row r="146" spans="1:13" s="17" customFormat="1" ht="21.75" customHeight="1" x14ac:dyDescent="0.25">
      <c r="A146" s="235">
        <v>1760</v>
      </c>
      <c r="B146" s="296" t="s">
        <v>418</v>
      </c>
      <c r="C146" s="295">
        <v>82.6</v>
      </c>
      <c r="D146" s="149">
        <v>0.3</v>
      </c>
      <c r="E146" s="186">
        <f t="shared" si="4"/>
        <v>24.779999999999998</v>
      </c>
      <c r="F146" s="186"/>
      <c r="G146" s="186">
        <f t="shared" si="5"/>
        <v>24.779999999999998</v>
      </c>
      <c r="H146" s="136">
        <v>3847339</v>
      </c>
      <c r="I146" s="311" t="s">
        <v>419</v>
      </c>
      <c r="J146" s="136" t="s">
        <v>31</v>
      </c>
      <c r="K146" s="136" t="s">
        <v>32</v>
      </c>
      <c r="L146" s="136">
        <v>99626634</v>
      </c>
      <c r="M146" s="140"/>
    </row>
    <row r="147" spans="1:13" s="17" customFormat="1" ht="21.75" customHeight="1" x14ac:dyDescent="0.25">
      <c r="A147" s="235">
        <v>1763</v>
      </c>
      <c r="B147" s="296" t="s">
        <v>420</v>
      </c>
      <c r="C147" s="295">
        <v>28</v>
      </c>
      <c r="D147" s="149">
        <v>0.3</v>
      </c>
      <c r="E147" s="186">
        <f t="shared" si="4"/>
        <v>8.4</v>
      </c>
      <c r="F147" s="186"/>
      <c r="G147" s="186">
        <f t="shared" si="5"/>
        <v>8.4</v>
      </c>
      <c r="H147" s="136">
        <v>5384098</v>
      </c>
      <c r="I147" s="311" t="s">
        <v>421</v>
      </c>
      <c r="J147" s="136" t="s">
        <v>31</v>
      </c>
      <c r="K147" s="136" t="s">
        <v>32</v>
      </c>
      <c r="L147" s="136">
        <v>99199287</v>
      </c>
      <c r="M147" s="140"/>
    </row>
    <row r="148" spans="1:13" s="17" customFormat="1" ht="21.75" customHeight="1" x14ac:dyDescent="0.25">
      <c r="A148" s="235">
        <v>1764</v>
      </c>
      <c r="B148" s="296" t="s">
        <v>422</v>
      </c>
      <c r="C148" s="295">
        <v>0</v>
      </c>
      <c r="D148" s="149">
        <v>0.3</v>
      </c>
      <c r="E148" s="186">
        <f t="shared" si="4"/>
        <v>0</v>
      </c>
      <c r="F148" s="186"/>
      <c r="G148" s="186">
        <f t="shared" si="5"/>
        <v>0</v>
      </c>
      <c r="H148" s="136">
        <v>6923798</v>
      </c>
      <c r="I148" s="313">
        <v>1023524004017</v>
      </c>
      <c r="J148" s="136" t="s">
        <v>26</v>
      </c>
      <c r="K148" s="136" t="s">
        <v>27</v>
      </c>
      <c r="L148" s="136">
        <v>93955557</v>
      </c>
      <c r="M148" s="140"/>
    </row>
    <row r="149" spans="1:13" s="17" customFormat="1" ht="21.75" customHeight="1" x14ac:dyDescent="0.25">
      <c r="A149" s="235">
        <v>1766</v>
      </c>
      <c r="B149" s="296" t="s">
        <v>423</v>
      </c>
      <c r="C149" s="295">
        <v>237</v>
      </c>
      <c r="D149" s="149">
        <v>0.3</v>
      </c>
      <c r="E149" s="186">
        <f t="shared" si="4"/>
        <v>71.099999999999994</v>
      </c>
      <c r="F149" s="186"/>
      <c r="G149" s="186">
        <f t="shared" si="5"/>
        <v>71.099999999999994</v>
      </c>
      <c r="H149" s="136">
        <v>19548574</v>
      </c>
      <c r="I149" s="311" t="s">
        <v>424</v>
      </c>
      <c r="J149" s="136" t="s">
        <v>31</v>
      </c>
      <c r="K149" s="136" t="s">
        <v>32</v>
      </c>
      <c r="L149" s="136">
        <v>92924743</v>
      </c>
      <c r="M149" s="140"/>
    </row>
    <row r="150" spans="1:13" s="17" customFormat="1" ht="21.75" customHeight="1" x14ac:dyDescent="0.25">
      <c r="A150" s="235">
        <v>1768</v>
      </c>
      <c r="B150" s="296" t="s">
        <v>172</v>
      </c>
      <c r="C150" s="295">
        <v>0</v>
      </c>
      <c r="D150" s="149">
        <v>0.3</v>
      </c>
      <c r="E150" s="186">
        <f t="shared" si="4"/>
        <v>0</v>
      </c>
      <c r="F150" s="186"/>
      <c r="G150" s="186">
        <f t="shared" si="5"/>
        <v>0</v>
      </c>
      <c r="H150" s="136">
        <v>13899464</v>
      </c>
      <c r="I150" s="140" t="s">
        <v>173</v>
      </c>
      <c r="J150" s="136" t="s">
        <v>31</v>
      </c>
      <c r="K150" s="136" t="s">
        <v>32</v>
      </c>
      <c r="L150" s="136">
        <v>99166449</v>
      </c>
      <c r="M150" s="140"/>
    </row>
    <row r="151" spans="1:13" s="17" customFormat="1" ht="21.75" customHeight="1" x14ac:dyDescent="0.25">
      <c r="A151" s="235">
        <v>1769</v>
      </c>
      <c r="B151" s="296" t="s">
        <v>425</v>
      </c>
      <c r="C151" s="295">
        <v>68.5</v>
      </c>
      <c r="D151" s="149">
        <v>0.3</v>
      </c>
      <c r="E151" s="186">
        <f t="shared" si="4"/>
        <v>20.55</v>
      </c>
      <c r="F151" s="186"/>
      <c r="G151" s="186">
        <f t="shared" si="5"/>
        <v>20.55</v>
      </c>
      <c r="H151" s="136">
        <v>19322478</v>
      </c>
      <c r="I151" s="311" t="s">
        <v>426</v>
      </c>
      <c r="J151" s="136" t="s">
        <v>31</v>
      </c>
      <c r="K151" s="136" t="s">
        <v>32</v>
      </c>
      <c r="L151" s="136">
        <v>99180404</v>
      </c>
      <c r="M151" s="140"/>
    </row>
    <row r="152" spans="1:13" s="17" customFormat="1" ht="21.75" customHeight="1" x14ac:dyDescent="0.25">
      <c r="A152" s="235">
        <v>1770</v>
      </c>
      <c r="B152" s="296" t="s">
        <v>427</v>
      </c>
      <c r="C152" s="295">
        <v>78.5</v>
      </c>
      <c r="D152" s="149">
        <v>0.3</v>
      </c>
      <c r="E152" s="186">
        <f t="shared" si="4"/>
        <v>23.55</v>
      </c>
      <c r="F152" s="186"/>
      <c r="G152" s="186">
        <f t="shared" si="5"/>
        <v>23.55</v>
      </c>
      <c r="H152" s="136">
        <v>24534799</v>
      </c>
      <c r="I152" s="311" t="s">
        <v>428</v>
      </c>
      <c r="J152" s="136" t="s">
        <v>26</v>
      </c>
      <c r="K152" s="136" t="s">
        <v>27</v>
      </c>
      <c r="L152" s="136"/>
      <c r="M152" s="140"/>
    </row>
    <row r="153" spans="1:13" s="17" customFormat="1" ht="21.75" customHeight="1" x14ac:dyDescent="0.25">
      <c r="A153" s="235">
        <v>1771</v>
      </c>
      <c r="B153" s="296" t="s">
        <v>174</v>
      </c>
      <c r="C153" s="295">
        <v>103</v>
      </c>
      <c r="D153" s="149">
        <v>0.3</v>
      </c>
      <c r="E153" s="186">
        <f t="shared" si="4"/>
        <v>30.9</v>
      </c>
      <c r="F153" s="186"/>
      <c r="G153" s="186">
        <f t="shared" si="5"/>
        <v>30.9</v>
      </c>
      <c r="H153" s="136">
        <v>5044401</v>
      </c>
      <c r="I153" s="311" t="s">
        <v>132</v>
      </c>
      <c r="J153" s="136" t="s">
        <v>31</v>
      </c>
      <c r="K153" s="136" t="s">
        <v>32</v>
      </c>
      <c r="L153" s="136">
        <v>93556616</v>
      </c>
      <c r="M153" s="140"/>
    </row>
    <row r="154" spans="1:13" s="106" customFormat="1" ht="21.75" customHeight="1" x14ac:dyDescent="0.25">
      <c r="A154" s="235">
        <v>1772</v>
      </c>
      <c r="B154" s="296" t="s">
        <v>429</v>
      </c>
      <c r="C154" s="295">
        <v>219.5</v>
      </c>
      <c r="D154" s="149">
        <v>0.3</v>
      </c>
      <c r="E154" s="186">
        <f t="shared" si="4"/>
        <v>65.849999999999994</v>
      </c>
      <c r="F154" s="186"/>
      <c r="G154" s="186">
        <f t="shared" si="5"/>
        <v>65.849999999999994</v>
      </c>
      <c r="H154" s="136">
        <v>5217694</v>
      </c>
      <c r="I154" s="311" t="s">
        <v>430</v>
      </c>
      <c r="J154" s="136" t="s">
        <v>52</v>
      </c>
      <c r="K154" s="136" t="s">
        <v>53</v>
      </c>
      <c r="L154" s="136">
        <v>92749180</v>
      </c>
      <c r="M154" s="140"/>
    </row>
    <row r="155" spans="1:13" s="17" customFormat="1" ht="21.75" customHeight="1" x14ac:dyDescent="0.25">
      <c r="A155" s="235">
        <v>1773</v>
      </c>
      <c r="B155" s="296" t="s">
        <v>432</v>
      </c>
      <c r="C155" s="295">
        <v>103.5</v>
      </c>
      <c r="D155" s="149">
        <v>0.3</v>
      </c>
      <c r="E155" s="186">
        <f t="shared" si="4"/>
        <v>31.049999999999997</v>
      </c>
      <c r="F155" s="186"/>
      <c r="G155" s="186">
        <f t="shared" si="5"/>
        <v>31.049999999999997</v>
      </c>
      <c r="H155" s="136">
        <v>20562603</v>
      </c>
      <c r="I155" s="311" t="s">
        <v>433</v>
      </c>
      <c r="J155" s="136" t="s">
        <v>52</v>
      </c>
      <c r="K155" s="136" t="s">
        <v>53</v>
      </c>
      <c r="L155" s="136">
        <v>92755626</v>
      </c>
      <c r="M155" s="140"/>
    </row>
    <row r="156" spans="1:13" s="17" customFormat="1" ht="21.75" customHeight="1" x14ac:dyDescent="0.25">
      <c r="A156" s="235">
        <v>1774</v>
      </c>
      <c r="B156" s="296" t="s">
        <v>175</v>
      </c>
      <c r="C156" s="295">
        <v>0</v>
      </c>
      <c r="D156" s="149">
        <v>0.3</v>
      </c>
      <c r="E156" s="186">
        <f t="shared" si="4"/>
        <v>0</v>
      </c>
      <c r="F156" s="186"/>
      <c r="G156" s="186">
        <f t="shared" si="5"/>
        <v>0</v>
      </c>
      <c r="H156" s="136">
        <v>20865047</v>
      </c>
      <c r="I156" s="311" t="s">
        <v>176</v>
      </c>
      <c r="J156" s="136" t="s">
        <v>31</v>
      </c>
      <c r="K156" s="136" t="s">
        <v>32</v>
      </c>
      <c r="L156" s="136">
        <v>98825083</v>
      </c>
      <c r="M156" s="312"/>
    </row>
    <row r="157" spans="1:13" s="17" customFormat="1" ht="21.75" customHeight="1" x14ac:dyDescent="0.25">
      <c r="A157" s="235">
        <v>1775</v>
      </c>
      <c r="B157" s="296" t="s">
        <v>434</v>
      </c>
      <c r="C157" s="295">
        <v>206</v>
      </c>
      <c r="D157" s="149">
        <v>0.3</v>
      </c>
      <c r="E157" s="186">
        <f t="shared" si="4"/>
        <v>61.8</v>
      </c>
      <c r="F157" s="186"/>
      <c r="G157" s="186">
        <f t="shared" si="5"/>
        <v>61.8</v>
      </c>
      <c r="H157" s="136">
        <v>18659223</v>
      </c>
      <c r="I157" s="316" t="s">
        <v>435</v>
      </c>
      <c r="J157" s="136" t="s">
        <v>31</v>
      </c>
      <c r="K157" s="136" t="s">
        <v>32</v>
      </c>
      <c r="L157" s="136">
        <v>93980028</v>
      </c>
      <c r="M157" s="140"/>
    </row>
    <row r="158" spans="1:13" s="17" customFormat="1" ht="21.75" customHeight="1" x14ac:dyDescent="0.25">
      <c r="A158" s="235">
        <v>1776</v>
      </c>
      <c r="B158" s="296" t="s">
        <v>436</v>
      </c>
      <c r="C158" s="295">
        <v>0</v>
      </c>
      <c r="D158" s="149">
        <v>0.3</v>
      </c>
      <c r="E158" s="186">
        <f t="shared" si="4"/>
        <v>0</v>
      </c>
      <c r="F158" s="186"/>
      <c r="G158" s="186">
        <f t="shared" si="5"/>
        <v>0</v>
      </c>
      <c r="H158" s="136">
        <v>30837376</v>
      </c>
      <c r="I158" s="316" t="s">
        <v>437</v>
      </c>
      <c r="J158" s="136" t="s">
        <v>31</v>
      </c>
      <c r="K158" s="136" t="s">
        <v>32</v>
      </c>
      <c r="L158" s="136">
        <v>92445594</v>
      </c>
      <c r="M158" s="140"/>
    </row>
    <row r="159" spans="1:13" s="17" customFormat="1" ht="21.75" customHeight="1" x14ac:dyDescent="0.25">
      <c r="A159" s="235">
        <v>1777</v>
      </c>
      <c r="B159" s="296" t="s">
        <v>438</v>
      </c>
      <c r="C159" s="295">
        <v>295</v>
      </c>
      <c r="D159" s="149">
        <v>0.3</v>
      </c>
      <c r="E159" s="186">
        <f t="shared" si="4"/>
        <v>88.5</v>
      </c>
      <c r="F159" s="186"/>
      <c r="G159" s="186">
        <f t="shared" si="5"/>
        <v>88.5</v>
      </c>
      <c r="H159" s="136">
        <v>15107764</v>
      </c>
      <c r="I159" s="316" t="s">
        <v>439</v>
      </c>
      <c r="J159" s="136" t="s">
        <v>121</v>
      </c>
      <c r="K159" s="136" t="s">
        <v>122</v>
      </c>
      <c r="L159" s="136">
        <v>92333632</v>
      </c>
      <c r="M159" s="312"/>
    </row>
    <row r="160" spans="1:13" s="17" customFormat="1" ht="21.75" customHeight="1" x14ac:dyDescent="0.25">
      <c r="A160" s="235">
        <v>1778</v>
      </c>
      <c r="B160" s="296" t="s">
        <v>440</v>
      </c>
      <c r="C160" s="295">
        <v>0</v>
      </c>
      <c r="D160" s="149">
        <v>0.3</v>
      </c>
      <c r="E160" s="186">
        <f t="shared" si="4"/>
        <v>0</v>
      </c>
      <c r="F160" s="186"/>
      <c r="G160" s="186">
        <f t="shared" si="5"/>
        <v>0</v>
      </c>
      <c r="H160" s="136">
        <v>24984002</v>
      </c>
      <c r="I160" s="311" t="s">
        <v>441</v>
      </c>
      <c r="J160" s="136" t="s">
        <v>31</v>
      </c>
      <c r="K160" s="136" t="s">
        <v>32</v>
      </c>
      <c r="L160" s="136">
        <v>99033018</v>
      </c>
      <c r="M160" s="140"/>
    </row>
    <row r="161" spans="1:13" s="17" customFormat="1" ht="21.75" customHeight="1" x14ac:dyDescent="0.25">
      <c r="A161" s="235">
        <v>1780</v>
      </c>
      <c r="B161" s="296" t="s">
        <v>442</v>
      </c>
      <c r="C161" s="295">
        <v>0</v>
      </c>
      <c r="D161" s="149">
        <v>0.3</v>
      </c>
      <c r="E161" s="186">
        <f t="shared" si="4"/>
        <v>0</v>
      </c>
      <c r="F161" s="186"/>
      <c r="G161" s="186">
        <f t="shared" si="5"/>
        <v>0</v>
      </c>
      <c r="H161" s="136">
        <v>6228066</v>
      </c>
      <c r="I161" s="311" t="s">
        <v>443</v>
      </c>
      <c r="J161" s="136" t="s">
        <v>31</v>
      </c>
      <c r="K161" s="136" t="s">
        <v>32</v>
      </c>
      <c r="L161" s="136">
        <v>91709355</v>
      </c>
      <c r="M161" s="140"/>
    </row>
    <row r="162" spans="1:13" s="17" customFormat="1" ht="21.75" customHeight="1" x14ac:dyDescent="0.25">
      <c r="A162" s="235">
        <v>1781</v>
      </c>
      <c r="B162" s="296" t="s">
        <v>444</v>
      </c>
      <c r="C162" s="295">
        <v>6.8</v>
      </c>
      <c r="D162" s="149">
        <v>0.3</v>
      </c>
      <c r="E162" s="186">
        <f t="shared" si="4"/>
        <v>2.04</v>
      </c>
      <c r="F162" s="186"/>
      <c r="G162" s="186">
        <f t="shared" si="5"/>
        <v>2.04</v>
      </c>
      <c r="H162" s="136">
        <v>7287174</v>
      </c>
      <c r="I162" s="311" t="s">
        <v>445</v>
      </c>
      <c r="J162" s="136" t="s">
        <v>52</v>
      </c>
      <c r="K162" s="136" t="s">
        <v>53</v>
      </c>
      <c r="L162" s="136">
        <v>99673747</v>
      </c>
      <c r="M162" s="140"/>
    </row>
    <row r="163" spans="1:13" s="17" customFormat="1" ht="21.75" customHeight="1" x14ac:dyDescent="0.25">
      <c r="A163" s="235">
        <v>1782</v>
      </c>
      <c r="B163" s="296" t="s">
        <v>446</v>
      </c>
      <c r="C163" s="295">
        <v>19</v>
      </c>
      <c r="D163" s="149">
        <v>0.3</v>
      </c>
      <c r="E163" s="186">
        <f t="shared" si="4"/>
        <v>5.7</v>
      </c>
      <c r="F163" s="186"/>
      <c r="G163" s="186">
        <f t="shared" si="5"/>
        <v>5.7</v>
      </c>
      <c r="H163" s="136">
        <v>19818711</v>
      </c>
      <c r="I163" s="311" t="s">
        <v>447</v>
      </c>
      <c r="J163" s="136" t="s">
        <v>31</v>
      </c>
      <c r="K163" s="136" t="s">
        <v>32</v>
      </c>
      <c r="L163" s="136">
        <v>92204006</v>
      </c>
      <c r="M163" s="140"/>
    </row>
    <row r="164" spans="1:13" s="17" customFormat="1" ht="21.75" customHeight="1" x14ac:dyDescent="0.25">
      <c r="A164" s="235">
        <v>1783</v>
      </c>
      <c r="B164" s="296" t="s">
        <v>177</v>
      </c>
      <c r="C164" s="295">
        <v>0</v>
      </c>
      <c r="D164" s="149">
        <v>0.3</v>
      </c>
      <c r="E164" s="186">
        <f t="shared" si="4"/>
        <v>0</v>
      </c>
      <c r="F164" s="186"/>
      <c r="G164" s="186">
        <f t="shared" si="5"/>
        <v>0</v>
      </c>
      <c r="H164" s="136">
        <v>1500187</v>
      </c>
      <c r="I164" s="311" t="s">
        <v>178</v>
      </c>
      <c r="J164" s="136" t="s">
        <v>31</v>
      </c>
      <c r="K164" s="136" t="s">
        <v>32</v>
      </c>
      <c r="L164" s="136">
        <v>91159122</v>
      </c>
      <c r="M164" s="312"/>
    </row>
    <row r="165" spans="1:13" s="17" customFormat="1" ht="21.75" customHeight="1" x14ac:dyDescent="0.25">
      <c r="A165" s="235">
        <v>1784</v>
      </c>
      <c r="B165" s="296" t="s">
        <v>448</v>
      </c>
      <c r="C165" s="295">
        <v>175</v>
      </c>
      <c r="D165" s="149">
        <v>0.3</v>
      </c>
      <c r="E165" s="186">
        <f t="shared" si="4"/>
        <v>52.5</v>
      </c>
      <c r="F165" s="186"/>
      <c r="G165" s="186">
        <f t="shared" si="5"/>
        <v>52.5</v>
      </c>
      <c r="H165" s="136">
        <v>19534652</v>
      </c>
      <c r="I165" s="313" t="s">
        <v>449</v>
      </c>
      <c r="J165" s="136" t="s">
        <v>52</v>
      </c>
      <c r="K165" s="136" t="s">
        <v>53</v>
      </c>
      <c r="L165" s="136">
        <v>99296177</v>
      </c>
      <c r="M165" s="140"/>
    </row>
    <row r="166" spans="1:13" s="17" customFormat="1" ht="21.75" customHeight="1" x14ac:dyDescent="0.25">
      <c r="A166" s="235">
        <v>1785</v>
      </c>
      <c r="B166" s="296" t="s">
        <v>179</v>
      </c>
      <c r="C166" s="295">
        <v>88</v>
      </c>
      <c r="D166" s="149">
        <v>0.3</v>
      </c>
      <c r="E166" s="186">
        <f t="shared" si="4"/>
        <v>26.4</v>
      </c>
      <c r="F166" s="186"/>
      <c r="G166" s="186">
        <f t="shared" si="5"/>
        <v>26.4</v>
      </c>
      <c r="H166" s="136">
        <v>7374743</v>
      </c>
      <c r="I166" s="311" t="s">
        <v>180</v>
      </c>
      <c r="J166" s="136" t="s">
        <v>31</v>
      </c>
      <c r="K166" s="136" t="s">
        <v>32</v>
      </c>
      <c r="L166" s="136">
        <v>93875087</v>
      </c>
      <c r="M166" s="140"/>
    </row>
    <row r="167" spans="1:13" s="17" customFormat="1" ht="21.75" customHeight="1" x14ac:dyDescent="0.25">
      <c r="A167" s="235">
        <v>1786</v>
      </c>
      <c r="B167" s="296" t="s">
        <v>181</v>
      </c>
      <c r="C167" s="295">
        <v>122.2</v>
      </c>
      <c r="D167" s="149">
        <v>0.3</v>
      </c>
      <c r="E167" s="186">
        <f t="shared" si="4"/>
        <v>36.659999999999997</v>
      </c>
      <c r="F167" s="186"/>
      <c r="G167" s="186">
        <f t="shared" si="5"/>
        <v>36.659999999999997</v>
      </c>
      <c r="H167" s="136">
        <v>5614637</v>
      </c>
      <c r="I167" s="311" t="s">
        <v>182</v>
      </c>
      <c r="J167" s="136" t="s">
        <v>31</v>
      </c>
      <c r="K167" s="136" t="s">
        <v>32</v>
      </c>
      <c r="L167" s="136">
        <v>92924645</v>
      </c>
      <c r="M167" s="312"/>
    </row>
    <row r="168" spans="1:13" s="17" customFormat="1" ht="21.75" customHeight="1" x14ac:dyDescent="0.25">
      <c r="A168" s="235">
        <v>1787</v>
      </c>
      <c r="B168" s="296" t="s">
        <v>77</v>
      </c>
      <c r="C168" s="295">
        <v>95</v>
      </c>
      <c r="D168" s="149">
        <v>0.3</v>
      </c>
      <c r="E168" s="186">
        <f t="shared" si="4"/>
        <v>28.5</v>
      </c>
      <c r="F168" s="186"/>
      <c r="G168" s="186">
        <f t="shared" si="5"/>
        <v>28.5</v>
      </c>
      <c r="H168" s="136">
        <v>22980157</v>
      </c>
      <c r="I168" s="311" t="s">
        <v>78</v>
      </c>
      <c r="J168" s="136" t="s">
        <v>31</v>
      </c>
      <c r="K168" s="136" t="s">
        <v>32</v>
      </c>
      <c r="L168" s="136">
        <v>91490491</v>
      </c>
      <c r="M168" s="140"/>
    </row>
    <row r="169" spans="1:13" s="17" customFormat="1" ht="21.75" customHeight="1" x14ac:dyDescent="0.25">
      <c r="A169" s="235">
        <v>1788</v>
      </c>
      <c r="B169" s="296" t="s">
        <v>450</v>
      </c>
      <c r="C169" s="295">
        <v>101.7</v>
      </c>
      <c r="D169" s="149">
        <v>0.3</v>
      </c>
      <c r="E169" s="186">
        <f t="shared" si="4"/>
        <v>30.509999999999998</v>
      </c>
      <c r="F169" s="186"/>
      <c r="G169" s="186">
        <f t="shared" si="5"/>
        <v>30.509999999999998</v>
      </c>
      <c r="H169" s="136">
        <v>25632707</v>
      </c>
      <c r="I169" s="311" t="s">
        <v>451</v>
      </c>
      <c r="J169" s="136" t="s">
        <v>31</v>
      </c>
      <c r="K169" s="136" t="s">
        <v>32</v>
      </c>
      <c r="L169" s="136">
        <v>93955577</v>
      </c>
      <c r="M169" s="140"/>
    </row>
    <row r="170" spans="1:13" s="17" customFormat="1" ht="21.75" customHeight="1" x14ac:dyDescent="0.25">
      <c r="A170" s="235">
        <v>1789</v>
      </c>
      <c r="B170" s="296" t="s">
        <v>452</v>
      </c>
      <c r="C170" s="295">
        <v>114.6</v>
      </c>
      <c r="D170" s="149">
        <v>0.3</v>
      </c>
      <c r="E170" s="186">
        <f t="shared" si="4"/>
        <v>34.379999999999995</v>
      </c>
      <c r="F170" s="186"/>
      <c r="G170" s="186">
        <f t="shared" si="5"/>
        <v>34.379999999999995</v>
      </c>
      <c r="H170" s="136">
        <v>6687053</v>
      </c>
      <c r="I170" s="311" t="s">
        <v>453</v>
      </c>
      <c r="J170" s="136" t="s">
        <v>31</v>
      </c>
      <c r="K170" s="136" t="s">
        <v>32</v>
      </c>
      <c r="L170" s="136"/>
      <c r="M170" s="140"/>
    </row>
    <row r="171" spans="1:13" s="17" customFormat="1" ht="21.75" customHeight="1" x14ac:dyDescent="0.25">
      <c r="A171" s="235">
        <v>1790</v>
      </c>
      <c r="B171" s="296" t="s">
        <v>454</v>
      </c>
      <c r="C171" s="295">
        <v>0</v>
      </c>
      <c r="D171" s="149">
        <v>0.3</v>
      </c>
      <c r="E171" s="186">
        <f t="shared" si="4"/>
        <v>0</v>
      </c>
      <c r="F171" s="186"/>
      <c r="G171" s="186">
        <f t="shared" si="5"/>
        <v>0</v>
      </c>
      <c r="H171" s="136">
        <v>22971771</v>
      </c>
      <c r="I171" s="311" t="s">
        <v>455</v>
      </c>
      <c r="J171" s="136" t="s">
        <v>31</v>
      </c>
      <c r="K171" s="136" t="s">
        <v>32</v>
      </c>
      <c r="L171" s="136">
        <v>90976223</v>
      </c>
      <c r="M171" s="140"/>
    </row>
    <row r="172" spans="1:13" s="17" customFormat="1" ht="21.75" customHeight="1" x14ac:dyDescent="0.25">
      <c r="A172" s="235">
        <v>1791</v>
      </c>
      <c r="B172" s="296" t="s">
        <v>80</v>
      </c>
      <c r="C172" s="295">
        <v>95.7</v>
      </c>
      <c r="D172" s="149">
        <v>0.3</v>
      </c>
      <c r="E172" s="186">
        <f t="shared" si="4"/>
        <v>28.71</v>
      </c>
      <c r="F172" s="186"/>
      <c r="G172" s="186">
        <f t="shared" si="5"/>
        <v>28.71</v>
      </c>
      <c r="H172" s="136">
        <v>5335073</v>
      </c>
      <c r="I172" s="311" t="s">
        <v>81</v>
      </c>
      <c r="J172" s="136" t="s">
        <v>31</v>
      </c>
      <c r="K172" s="136" t="s">
        <v>32</v>
      </c>
      <c r="L172" s="136">
        <v>99806280</v>
      </c>
      <c r="M172" s="140"/>
    </row>
    <row r="173" spans="1:13" s="17" customFormat="1" ht="21.75" customHeight="1" x14ac:dyDescent="0.25">
      <c r="A173" s="235">
        <v>1793</v>
      </c>
      <c r="B173" s="296" t="s">
        <v>456</v>
      </c>
      <c r="C173" s="295">
        <v>245.9</v>
      </c>
      <c r="D173" s="149">
        <v>0.3</v>
      </c>
      <c r="E173" s="186">
        <f t="shared" si="4"/>
        <v>73.77</v>
      </c>
      <c r="F173" s="186"/>
      <c r="G173" s="186">
        <f t="shared" si="5"/>
        <v>73.77</v>
      </c>
      <c r="H173" s="136">
        <v>1629686</v>
      </c>
      <c r="I173" s="311" t="s">
        <v>457</v>
      </c>
      <c r="J173" s="136" t="s">
        <v>31</v>
      </c>
      <c r="K173" s="136" t="s">
        <v>32</v>
      </c>
      <c r="L173" s="136">
        <v>98998825</v>
      </c>
      <c r="M173" s="140"/>
    </row>
    <row r="174" spans="1:13" s="17" customFormat="1" ht="21.75" customHeight="1" x14ac:dyDescent="0.25">
      <c r="A174" s="235">
        <v>1794</v>
      </c>
      <c r="B174" s="296" t="s">
        <v>82</v>
      </c>
      <c r="C174" s="295">
        <v>0</v>
      </c>
      <c r="D174" s="149">
        <v>0.3</v>
      </c>
      <c r="E174" s="186">
        <f t="shared" si="4"/>
        <v>0</v>
      </c>
      <c r="F174" s="186"/>
      <c r="G174" s="186">
        <f t="shared" si="5"/>
        <v>0</v>
      </c>
      <c r="H174" s="136">
        <v>6122928</v>
      </c>
      <c r="I174" s="311" t="s">
        <v>83</v>
      </c>
      <c r="J174" s="136" t="s">
        <v>31</v>
      </c>
      <c r="K174" s="136" t="s">
        <v>32</v>
      </c>
      <c r="L174" s="136">
        <v>99292188</v>
      </c>
      <c r="M174" s="140"/>
    </row>
    <row r="175" spans="1:13" s="17" customFormat="1" ht="21.75" customHeight="1" x14ac:dyDescent="0.25">
      <c r="A175" s="235">
        <v>1795</v>
      </c>
      <c r="B175" s="296" t="s">
        <v>458</v>
      </c>
      <c r="C175" s="295">
        <v>0</v>
      </c>
      <c r="D175" s="149">
        <v>0.3</v>
      </c>
      <c r="E175" s="186">
        <f t="shared" si="4"/>
        <v>0</v>
      </c>
      <c r="F175" s="186"/>
      <c r="G175" s="186">
        <f t="shared" si="5"/>
        <v>0</v>
      </c>
      <c r="H175" s="136">
        <v>6496299</v>
      </c>
      <c r="I175" s="311" t="s">
        <v>459</v>
      </c>
      <c r="J175" s="136" t="s">
        <v>121</v>
      </c>
      <c r="K175" s="136" t="s">
        <v>122</v>
      </c>
      <c r="L175" s="136">
        <v>91408889</v>
      </c>
      <c r="M175" s="312"/>
    </row>
    <row r="176" spans="1:13" s="17" customFormat="1" ht="21.75" customHeight="1" x14ac:dyDescent="0.25">
      <c r="A176" s="235">
        <v>1796</v>
      </c>
      <c r="B176" s="296" t="s">
        <v>460</v>
      </c>
      <c r="C176" s="295">
        <v>138</v>
      </c>
      <c r="D176" s="149">
        <v>0.3</v>
      </c>
      <c r="E176" s="186">
        <f t="shared" si="4"/>
        <v>41.4</v>
      </c>
      <c r="F176" s="186"/>
      <c r="G176" s="186">
        <f t="shared" si="5"/>
        <v>41.4</v>
      </c>
      <c r="H176" s="136">
        <v>7140382</v>
      </c>
      <c r="I176" s="315" t="s">
        <v>461</v>
      </c>
      <c r="J176" s="136" t="s">
        <v>31</v>
      </c>
      <c r="K176" s="136" t="s">
        <v>32</v>
      </c>
      <c r="L176" s="136">
        <v>93933347</v>
      </c>
      <c r="M176" s="140"/>
    </row>
    <row r="177" spans="1:13" s="17" customFormat="1" ht="21.75" customHeight="1" x14ac:dyDescent="0.25">
      <c r="A177" s="235">
        <v>1797</v>
      </c>
      <c r="B177" s="296" t="s">
        <v>463</v>
      </c>
      <c r="C177" s="295">
        <v>115</v>
      </c>
      <c r="D177" s="149">
        <v>0.3</v>
      </c>
      <c r="E177" s="186">
        <f t="shared" si="4"/>
        <v>34.5</v>
      </c>
      <c r="F177" s="186"/>
      <c r="G177" s="186">
        <f t="shared" si="5"/>
        <v>34.5</v>
      </c>
      <c r="H177" s="136">
        <v>3677869</v>
      </c>
      <c r="I177" s="311" t="s">
        <v>464</v>
      </c>
      <c r="J177" s="136" t="s">
        <v>31</v>
      </c>
      <c r="K177" s="136" t="s">
        <v>32</v>
      </c>
      <c r="L177" s="136">
        <v>72522066</v>
      </c>
      <c r="M177" s="140"/>
    </row>
    <row r="178" spans="1:13" s="17" customFormat="1" ht="21.75" customHeight="1" x14ac:dyDescent="0.25">
      <c r="A178" s="235">
        <v>1798</v>
      </c>
      <c r="B178" s="296" t="s">
        <v>84</v>
      </c>
      <c r="C178" s="295">
        <v>135</v>
      </c>
      <c r="D178" s="149">
        <v>0.3</v>
      </c>
      <c r="E178" s="186">
        <f t="shared" si="4"/>
        <v>40.5</v>
      </c>
      <c r="F178" s="186"/>
      <c r="G178" s="186">
        <f t="shared" si="5"/>
        <v>40.5</v>
      </c>
      <c r="H178" s="136">
        <v>5314229</v>
      </c>
      <c r="I178" s="314" t="s">
        <v>85</v>
      </c>
      <c r="J178" s="136" t="s">
        <v>52</v>
      </c>
      <c r="K178" s="136" t="s">
        <v>53</v>
      </c>
      <c r="L178" s="136">
        <v>93980028</v>
      </c>
      <c r="M178" s="140"/>
    </row>
    <row r="179" spans="1:13" s="17" customFormat="1" ht="21.75" customHeight="1" x14ac:dyDescent="0.25">
      <c r="A179" s="235">
        <v>1799</v>
      </c>
      <c r="B179" s="296" t="s">
        <v>183</v>
      </c>
      <c r="C179" s="295">
        <v>145.6</v>
      </c>
      <c r="D179" s="149">
        <v>0.3</v>
      </c>
      <c r="E179" s="186">
        <f t="shared" si="4"/>
        <v>43.68</v>
      </c>
      <c r="F179" s="186"/>
      <c r="G179" s="186">
        <f t="shared" si="5"/>
        <v>43.68</v>
      </c>
      <c r="H179" s="136">
        <v>5219843</v>
      </c>
      <c r="I179" s="311" t="s">
        <v>184</v>
      </c>
      <c r="J179" s="136" t="s">
        <v>31</v>
      </c>
      <c r="K179" s="136" t="s">
        <v>32</v>
      </c>
      <c r="L179" s="136">
        <v>99066779</v>
      </c>
      <c r="M179" s="140"/>
    </row>
    <row r="180" spans="1:13" s="17" customFormat="1" ht="21.75" customHeight="1" x14ac:dyDescent="0.25">
      <c r="A180" s="235">
        <v>1800</v>
      </c>
      <c r="B180" s="296" t="s">
        <v>185</v>
      </c>
      <c r="C180" s="295">
        <v>112</v>
      </c>
      <c r="D180" s="149">
        <v>0.3</v>
      </c>
      <c r="E180" s="186">
        <f t="shared" si="4"/>
        <v>33.6</v>
      </c>
      <c r="F180" s="186"/>
      <c r="G180" s="186">
        <f t="shared" si="5"/>
        <v>33.6</v>
      </c>
      <c r="H180" s="136">
        <v>7293505</v>
      </c>
      <c r="I180" s="315" t="s">
        <v>186</v>
      </c>
      <c r="J180" s="136" t="s">
        <v>31</v>
      </c>
      <c r="K180" s="136" t="s">
        <v>32</v>
      </c>
      <c r="L180" s="136">
        <v>99189910</v>
      </c>
      <c r="M180" s="312"/>
    </row>
    <row r="181" spans="1:13" s="17" customFormat="1" ht="21.75" customHeight="1" x14ac:dyDescent="0.25">
      <c r="A181" s="235">
        <v>1801</v>
      </c>
      <c r="B181" s="296" t="s">
        <v>187</v>
      </c>
      <c r="C181" s="295">
        <v>182</v>
      </c>
      <c r="D181" s="149">
        <v>0.3</v>
      </c>
      <c r="E181" s="186">
        <f t="shared" si="4"/>
        <v>54.6</v>
      </c>
      <c r="F181" s="186"/>
      <c r="G181" s="186">
        <f t="shared" si="5"/>
        <v>54.6</v>
      </c>
      <c r="H181" s="136">
        <v>655141</v>
      </c>
      <c r="I181" s="311" t="s">
        <v>188</v>
      </c>
      <c r="J181" s="136" t="s">
        <v>155</v>
      </c>
      <c r="K181" s="136" t="s">
        <v>156</v>
      </c>
      <c r="L181" s="136">
        <v>92463267</v>
      </c>
      <c r="M181" s="140"/>
    </row>
    <row r="182" spans="1:13" s="17" customFormat="1" ht="21.75" customHeight="1" x14ac:dyDescent="0.25">
      <c r="A182" s="235">
        <v>1802</v>
      </c>
      <c r="B182" s="296" t="s">
        <v>465</v>
      </c>
      <c r="C182" s="295">
        <v>114.6</v>
      </c>
      <c r="D182" s="149">
        <v>0.3</v>
      </c>
      <c r="E182" s="186">
        <f t="shared" si="4"/>
        <v>34.379999999999995</v>
      </c>
      <c r="F182" s="186"/>
      <c r="G182" s="186">
        <f t="shared" si="5"/>
        <v>34.379999999999995</v>
      </c>
      <c r="H182" s="136">
        <v>14760225</v>
      </c>
      <c r="I182" s="315" t="s">
        <v>466</v>
      </c>
      <c r="J182" s="136" t="s">
        <v>31</v>
      </c>
      <c r="K182" s="136" t="s">
        <v>32</v>
      </c>
      <c r="L182" s="136">
        <v>92599597</v>
      </c>
      <c r="M182" s="140"/>
    </row>
    <row r="183" spans="1:13" s="17" customFormat="1" ht="21.75" customHeight="1" x14ac:dyDescent="0.25">
      <c r="A183" s="235">
        <v>1803</v>
      </c>
      <c r="B183" s="296" t="s">
        <v>467</v>
      </c>
      <c r="C183" s="295">
        <v>230.3</v>
      </c>
      <c r="D183" s="149">
        <v>0.3</v>
      </c>
      <c r="E183" s="186">
        <f t="shared" si="4"/>
        <v>69.09</v>
      </c>
      <c r="F183" s="186"/>
      <c r="G183" s="186">
        <f t="shared" si="5"/>
        <v>69.09</v>
      </c>
      <c r="H183" s="136">
        <v>5502798</v>
      </c>
      <c r="I183" s="314" t="s">
        <v>468</v>
      </c>
      <c r="J183" s="136" t="s">
        <v>52</v>
      </c>
      <c r="K183" s="136" t="s">
        <v>53</v>
      </c>
      <c r="L183" s="136">
        <v>99270001</v>
      </c>
      <c r="M183" s="312"/>
    </row>
    <row r="184" spans="1:13" s="17" customFormat="1" ht="21.75" customHeight="1" x14ac:dyDescent="0.25">
      <c r="A184" s="235">
        <v>1804</v>
      </c>
      <c r="B184" s="296" t="s">
        <v>469</v>
      </c>
      <c r="C184" s="295">
        <v>67</v>
      </c>
      <c r="D184" s="149">
        <v>0.3</v>
      </c>
      <c r="E184" s="186">
        <f t="shared" si="4"/>
        <v>20.099999999999998</v>
      </c>
      <c r="F184" s="186"/>
      <c r="G184" s="186">
        <f t="shared" si="5"/>
        <v>20.099999999999998</v>
      </c>
      <c r="H184" s="136">
        <v>19623766</v>
      </c>
      <c r="I184" s="314" t="s">
        <v>470</v>
      </c>
      <c r="J184" s="136" t="s">
        <v>52</v>
      </c>
      <c r="K184" s="136" t="s">
        <v>53</v>
      </c>
      <c r="L184" s="136">
        <v>90448221</v>
      </c>
      <c r="M184" s="140"/>
    </row>
    <row r="185" spans="1:13" s="17" customFormat="1" ht="21.75" customHeight="1" x14ac:dyDescent="0.25">
      <c r="A185" s="235">
        <v>1805</v>
      </c>
      <c r="B185" s="296" t="s">
        <v>471</v>
      </c>
      <c r="C185" s="295">
        <v>104.4</v>
      </c>
      <c r="D185" s="149">
        <v>0.3</v>
      </c>
      <c r="E185" s="186">
        <f t="shared" si="4"/>
        <v>31.32</v>
      </c>
      <c r="F185" s="186"/>
      <c r="G185" s="186">
        <f t="shared" si="5"/>
        <v>31.32</v>
      </c>
      <c r="H185" s="136">
        <v>1648586</v>
      </c>
      <c r="I185" s="314" t="s">
        <v>472</v>
      </c>
      <c r="J185" s="136" t="s">
        <v>31</v>
      </c>
      <c r="K185" s="136" t="s">
        <v>32</v>
      </c>
      <c r="L185" s="136">
        <v>96030388</v>
      </c>
      <c r="M185" s="140"/>
    </row>
    <row r="186" spans="1:13" s="17" customFormat="1" ht="21.75" customHeight="1" x14ac:dyDescent="0.25">
      <c r="A186" s="235">
        <v>1808</v>
      </c>
      <c r="B186" s="296" t="s">
        <v>86</v>
      </c>
      <c r="C186" s="295">
        <v>99</v>
      </c>
      <c r="D186" s="149">
        <v>0.3</v>
      </c>
      <c r="E186" s="186">
        <f t="shared" si="4"/>
        <v>29.7</v>
      </c>
      <c r="F186" s="186"/>
      <c r="G186" s="186">
        <f t="shared" si="5"/>
        <v>29.7</v>
      </c>
      <c r="H186" s="136">
        <v>611136</v>
      </c>
      <c r="I186" s="313" t="s">
        <v>87</v>
      </c>
      <c r="J186" s="136" t="s">
        <v>26</v>
      </c>
      <c r="K186" s="136" t="s">
        <v>27</v>
      </c>
      <c r="L186" s="136">
        <v>99582323</v>
      </c>
      <c r="M186" s="140"/>
    </row>
    <row r="187" spans="1:13" s="17" customFormat="1" ht="21.75" customHeight="1" x14ac:dyDescent="0.25">
      <c r="A187" s="235">
        <v>1809</v>
      </c>
      <c r="B187" s="296" t="s">
        <v>474</v>
      </c>
      <c r="C187" s="295">
        <v>71</v>
      </c>
      <c r="D187" s="149">
        <v>0.3</v>
      </c>
      <c r="E187" s="186">
        <f t="shared" si="4"/>
        <v>21.3</v>
      </c>
      <c r="F187" s="186"/>
      <c r="G187" s="186">
        <f t="shared" si="5"/>
        <v>21.3</v>
      </c>
      <c r="H187" s="136">
        <v>14957086</v>
      </c>
      <c r="I187" s="314" t="s">
        <v>475</v>
      </c>
      <c r="J187" s="136" t="s">
        <v>31</v>
      </c>
      <c r="K187" s="136" t="s">
        <v>32</v>
      </c>
      <c r="L187" s="136">
        <v>99805374</v>
      </c>
      <c r="M187" s="140"/>
    </row>
    <row r="188" spans="1:13" s="17" customFormat="1" ht="21.75" customHeight="1" x14ac:dyDescent="0.25">
      <c r="A188" s="235">
        <v>1811</v>
      </c>
      <c r="B188" s="296" t="s">
        <v>476</v>
      </c>
      <c r="C188" s="295">
        <v>146.5</v>
      </c>
      <c r="D188" s="149">
        <v>0.3</v>
      </c>
      <c r="E188" s="186">
        <f t="shared" si="4"/>
        <v>43.949999999999996</v>
      </c>
      <c r="F188" s="186"/>
      <c r="G188" s="186">
        <f t="shared" si="5"/>
        <v>43.949999999999996</v>
      </c>
      <c r="H188" s="136">
        <v>6384618</v>
      </c>
      <c r="I188" s="315" t="s">
        <v>477</v>
      </c>
      <c r="J188" s="136" t="s">
        <v>31</v>
      </c>
      <c r="K188" s="136" t="s">
        <v>32</v>
      </c>
      <c r="L188" s="136"/>
      <c r="M188" s="140"/>
    </row>
    <row r="189" spans="1:13" s="17" customFormat="1" ht="21.75" customHeight="1" x14ac:dyDescent="0.25">
      <c r="A189" s="235">
        <v>1812</v>
      </c>
      <c r="B189" s="296" t="s">
        <v>478</v>
      </c>
      <c r="C189" s="295">
        <v>115</v>
      </c>
      <c r="D189" s="149">
        <v>0.3</v>
      </c>
      <c r="E189" s="186">
        <f t="shared" si="4"/>
        <v>34.5</v>
      </c>
      <c r="F189" s="186"/>
      <c r="G189" s="186">
        <f t="shared" si="5"/>
        <v>34.5</v>
      </c>
      <c r="H189" s="136">
        <v>4748659</v>
      </c>
      <c r="I189" s="315" t="s">
        <v>479</v>
      </c>
      <c r="J189" s="136" t="s">
        <v>52</v>
      </c>
      <c r="K189" s="136" t="s">
        <v>53</v>
      </c>
      <c r="L189" s="136">
        <v>98170004</v>
      </c>
      <c r="M189" s="312"/>
    </row>
    <row r="190" spans="1:13" s="17" customFormat="1" ht="21.75" customHeight="1" x14ac:dyDescent="0.25">
      <c r="A190" s="235">
        <v>1813</v>
      </c>
      <c r="B190" s="296" t="s">
        <v>602</v>
      </c>
      <c r="C190" s="295">
        <v>60.9</v>
      </c>
      <c r="D190" s="149">
        <v>0.3</v>
      </c>
      <c r="E190" s="186">
        <f t="shared" si="4"/>
        <v>18.27</v>
      </c>
      <c r="F190" s="186"/>
      <c r="G190" s="186">
        <f t="shared" si="5"/>
        <v>18.27</v>
      </c>
      <c r="H190" s="136">
        <v>20230381</v>
      </c>
      <c r="I190" s="315" t="s">
        <v>603</v>
      </c>
      <c r="J190" s="136" t="s">
        <v>52</v>
      </c>
      <c r="K190" s="136" t="s">
        <v>53</v>
      </c>
      <c r="L190" s="136"/>
      <c r="M190" s="140"/>
    </row>
    <row r="191" spans="1:13" s="54" customFormat="1" ht="21.75" customHeight="1" x14ac:dyDescent="0.25">
      <c r="A191" s="235">
        <v>1816</v>
      </c>
      <c r="B191" s="296" t="s">
        <v>191</v>
      </c>
      <c r="C191" s="295">
        <v>105.6</v>
      </c>
      <c r="D191" s="149">
        <v>0.3</v>
      </c>
      <c r="E191" s="186">
        <f t="shared" si="4"/>
        <v>31.679999999999996</v>
      </c>
      <c r="F191" s="186"/>
      <c r="G191" s="186">
        <f t="shared" si="5"/>
        <v>31.679999999999996</v>
      </c>
      <c r="H191" s="136">
        <v>15694259</v>
      </c>
      <c r="I191" s="315" t="s">
        <v>192</v>
      </c>
      <c r="J191" s="136" t="s">
        <v>31</v>
      </c>
      <c r="K191" s="136" t="s">
        <v>32</v>
      </c>
      <c r="L191" s="136"/>
      <c r="M191" s="312"/>
    </row>
    <row r="192" spans="1:13" s="17" customFormat="1" ht="21.75" customHeight="1" x14ac:dyDescent="0.25">
      <c r="A192" s="235">
        <v>1817</v>
      </c>
      <c r="B192" s="296" t="s">
        <v>483</v>
      </c>
      <c r="C192" s="295">
        <v>449.3</v>
      </c>
      <c r="D192" s="149">
        <v>0.3</v>
      </c>
      <c r="E192" s="186">
        <f t="shared" si="4"/>
        <v>134.79</v>
      </c>
      <c r="F192" s="186"/>
      <c r="G192" s="186">
        <f t="shared" si="5"/>
        <v>134.79</v>
      </c>
      <c r="H192" s="136">
        <v>6492948</v>
      </c>
      <c r="I192" s="315" t="s">
        <v>484</v>
      </c>
      <c r="J192" s="136" t="s">
        <v>31</v>
      </c>
      <c r="K192" s="136" t="s">
        <v>32</v>
      </c>
      <c r="L192" s="136"/>
      <c r="M192" s="140"/>
    </row>
    <row r="193" spans="1:13" s="17" customFormat="1" ht="21.75" customHeight="1" x14ac:dyDescent="0.25">
      <c r="A193" s="235">
        <v>1818</v>
      </c>
      <c r="B193" s="296" t="s">
        <v>485</v>
      </c>
      <c r="C193" s="295">
        <v>138.9</v>
      </c>
      <c r="D193" s="149">
        <v>0.3</v>
      </c>
      <c r="E193" s="186">
        <f t="shared" si="4"/>
        <v>41.67</v>
      </c>
      <c r="F193" s="186"/>
      <c r="G193" s="186">
        <f t="shared" si="5"/>
        <v>41.67</v>
      </c>
      <c r="H193" s="136">
        <v>15677827</v>
      </c>
      <c r="I193" s="315" t="s">
        <v>486</v>
      </c>
      <c r="J193" s="136" t="s">
        <v>31</v>
      </c>
      <c r="K193" s="136" t="s">
        <v>32</v>
      </c>
      <c r="L193" s="136"/>
      <c r="M193" s="140"/>
    </row>
    <row r="194" spans="1:13" s="17" customFormat="1" ht="21.75" customHeight="1" x14ac:dyDescent="0.25">
      <c r="A194" s="235">
        <v>1819</v>
      </c>
      <c r="B194" s="296" t="s">
        <v>487</v>
      </c>
      <c r="C194" s="295">
        <v>134.1</v>
      </c>
      <c r="D194" s="149">
        <v>0.3</v>
      </c>
      <c r="E194" s="186">
        <f t="shared" si="4"/>
        <v>40.229999999999997</v>
      </c>
      <c r="F194" s="186"/>
      <c r="G194" s="186">
        <f t="shared" si="5"/>
        <v>40.229999999999997</v>
      </c>
      <c r="H194" s="136">
        <v>851375</v>
      </c>
      <c r="I194" s="315" t="s">
        <v>488</v>
      </c>
      <c r="J194" s="136" t="s">
        <v>52</v>
      </c>
      <c r="K194" s="136" t="s">
        <v>53</v>
      </c>
      <c r="L194" s="136">
        <v>92819432</v>
      </c>
      <c r="M194" s="312"/>
    </row>
    <row r="195" spans="1:13" s="17" customFormat="1" ht="21.75" customHeight="1" x14ac:dyDescent="0.25">
      <c r="A195" s="235">
        <v>1820</v>
      </c>
      <c r="B195" s="296" t="s">
        <v>489</v>
      </c>
      <c r="C195" s="295">
        <v>19.2</v>
      </c>
      <c r="D195" s="149">
        <v>0.3</v>
      </c>
      <c r="E195" s="186">
        <f t="shared" ref="E195:E225" si="6">C195*D195</f>
        <v>5.76</v>
      </c>
      <c r="F195" s="186"/>
      <c r="G195" s="186">
        <f t="shared" ref="G195:G225" si="7">E195-F195</f>
        <v>5.76</v>
      </c>
      <c r="H195" s="136">
        <v>7124544</v>
      </c>
      <c r="I195" s="311" t="s">
        <v>583</v>
      </c>
      <c r="J195" s="136" t="s">
        <v>52</v>
      </c>
      <c r="K195" s="136" t="s">
        <v>53</v>
      </c>
      <c r="L195" s="136"/>
      <c r="M195" s="140"/>
    </row>
    <row r="196" spans="1:13" s="17" customFormat="1" ht="21.75" customHeight="1" x14ac:dyDescent="0.25">
      <c r="A196" s="235">
        <v>1821</v>
      </c>
      <c r="B196" s="136" t="s">
        <v>491</v>
      </c>
      <c r="C196" s="295">
        <v>157</v>
      </c>
      <c r="D196" s="149">
        <v>0.3</v>
      </c>
      <c r="E196" s="186">
        <f t="shared" si="6"/>
        <v>47.1</v>
      </c>
      <c r="F196" s="186"/>
      <c r="G196" s="186">
        <f t="shared" si="7"/>
        <v>47.1</v>
      </c>
      <c r="H196" s="136">
        <v>2454202</v>
      </c>
      <c r="I196" s="311" t="s">
        <v>492</v>
      </c>
      <c r="J196" s="136" t="s">
        <v>155</v>
      </c>
      <c r="K196" s="136" t="s">
        <v>156</v>
      </c>
      <c r="L196" s="136"/>
      <c r="M196" s="140"/>
    </row>
    <row r="197" spans="1:13" s="17" customFormat="1" ht="21.75" customHeight="1" x14ac:dyDescent="0.25">
      <c r="A197" s="235">
        <v>1822</v>
      </c>
      <c r="B197" s="136" t="s">
        <v>193</v>
      </c>
      <c r="C197" s="295">
        <v>22.2</v>
      </c>
      <c r="D197" s="149">
        <v>0.3</v>
      </c>
      <c r="E197" s="186">
        <f t="shared" si="6"/>
        <v>6.6599999999999993</v>
      </c>
      <c r="F197" s="186"/>
      <c r="G197" s="186">
        <f t="shared" si="7"/>
        <v>6.6599999999999993</v>
      </c>
      <c r="H197" s="136">
        <v>22005737</v>
      </c>
      <c r="I197" s="311" t="s">
        <v>152</v>
      </c>
      <c r="J197" s="136" t="s">
        <v>31</v>
      </c>
      <c r="K197" s="136" t="s">
        <v>32</v>
      </c>
      <c r="L197" s="136"/>
      <c r="M197" s="140"/>
    </row>
    <row r="198" spans="1:13" s="17" customFormat="1" ht="21.75" customHeight="1" x14ac:dyDescent="0.25">
      <c r="A198" s="235">
        <v>1823</v>
      </c>
      <c r="B198" s="136" t="s">
        <v>493</v>
      </c>
      <c r="C198" s="295">
        <v>0</v>
      </c>
      <c r="D198" s="149">
        <v>0.3</v>
      </c>
      <c r="E198" s="186">
        <f t="shared" si="6"/>
        <v>0</v>
      </c>
      <c r="F198" s="186"/>
      <c r="G198" s="186">
        <f t="shared" si="7"/>
        <v>0</v>
      </c>
      <c r="H198" s="136">
        <v>25722393</v>
      </c>
      <c r="I198" s="311" t="s">
        <v>494</v>
      </c>
      <c r="J198" s="136" t="s">
        <v>31</v>
      </c>
      <c r="K198" s="136" t="s">
        <v>32</v>
      </c>
      <c r="L198" s="136"/>
      <c r="M198" s="140"/>
    </row>
    <row r="199" spans="1:13" s="17" customFormat="1" ht="21.75" customHeight="1" x14ac:dyDescent="0.25">
      <c r="A199" s="235">
        <v>1824</v>
      </c>
      <c r="B199" s="136" t="s">
        <v>195</v>
      </c>
      <c r="C199" s="295">
        <v>30.2</v>
      </c>
      <c r="D199" s="149">
        <v>0.3</v>
      </c>
      <c r="E199" s="186">
        <f t="shared" si="6"/>
        <v>9.0599999999999987</v>
      </c>
      <c r="F199" s="186"/>
      <c r="G199" s="186">
        <f t="shared" si="7"/>
        <v>9.0599999999999987</v>
      </c>
      <c r="H199" s="136">
        <v>766709</v>
      </c>
      <c r="I199" s="311" t="s">
        <v>196</v>
      </c>
      <c r="J199" s="136" t="s">
        <v>71</v>
      </c>
      <c r="K199" s="136" t="s">
        <v>72</v>
      </c>
      <c r="L199" s="136"/>
      <c r="M199" s="140"/>
    </row>
    <row r="200" spans="1:13" s="17" customFormat="1" ht="21.75" customHeight="1" x14ac:dyDescent="0.25">
      <c r="A200" s="235">
        <v>1825</v>
      </c>
      <c r="B200" s="136" t="s">
        <v>495</v>
      </c>
      <c r="C200" s="295">
        <v>111</v>
      </c>
      <c r="D200" s="149">
        <v>0.3</v>
      </c>
      <c r="E200" s="186">
        <f t="shared" si="6"/>
        <v>33.299999999999997</v>
      </c>
      <c r="F200" s="186"/>
      <c r="G200" s="186">
        <f t="shared" si="7"/>
        <v>33.299999999999997</v>
      </c>
      <c r="H200" s="136">
        <v>7293524</v>
      </c>
      <c r="I200" s="315" t="s">
        <v>496</v>
      </c>
      <c r="J200" s="136" t="s">
        <v>31</v>
      </c>
      <c r="K200" s="136" t="s">
        <v>32</v>
      </c>
      <c r="L200" s="136"/>
      <c r="M200" s="140"/>
    </row>
    <row r="201" spans="1:13" s="17" customFormat="1" ht="21.75" customHeight="1" x14ac:dyDescent="0.25">
      <c r="A201" s="235">
        <v>1826</v>
      </c>
      <c r="B201" s="632" t="s">
        <v>88</v>
      </c>
      <c r="C201" s="295">
        <v>94</v>
      </c>
      <c r="D201" s="149">
        <v>0.3</v>
      </c>
      <c r="E201" s="186">
        <f t="shared" si="6"/>
        <v>28.2</v>
      </c>
      <c r="F201" s="186"/>
      <c r="G201" s="186">
        <f t="shared" si="7"/>
        <v>28.2</v>
      </c>
      <c r="H201" s="600">
        <v>381215</v>
      </c>
      <c r="I201" s="631" t="s">
        <v>89</v>
      </c>
      <c r="J201" s="600" t="s">
        <v>90</v>
      </c>
      <c r="K201" s="630" t="s">
        <v>32</v>
      </c>
      <c r="L201" s="629">
        <v>95110746</v>
      </c>
      <c r="M201" s="140"/>
    </row>
    <row r="202" spans="1:13" s="17" customFormat="1" ht="21.75" customHeight="1" x14ac:dyDescent="0.25">
      <c r="A202" s="235">
        <v>1827</v>
      </c>
      <c r="B202" s="136" t="s">
        <v>497</v>
      </c>
      <c r="C202" s="295">
        <v>177</v>
      </c>
      <c r="D202" s="149">
        <v>0.3</v>
      </c>
      <c r="E202" s="186">
        <f t="shared" si="6"/>
        <v>53.1</v>
      </c>
      <c r="F202" s="186"/>
      <c r="G202" s="186">
        <f t="shared" si="7"/>
        <v>53.1</v>
      </c>
      <c r="H202" s="136">
        <v>24218909</v>
      </c>
      <c r="I202" s="311" t="s">
        <v>584</v>
      </c>
      <c r="J202" s="296" t="s">
        <v>90</v>
      </c>
      <c r="K202" s="311" t="s">
        <v>32</v>
      </c>
      <c r="L202" s="136"/>
      <c r="M202" s="312"/>
    </row>
    <row r="203" spans="1:13" s="17" customFormat="1" ht="21.75" customHeight="1" x14ac:dyDescent="0.25">
      <c r="A203" s="235">
        <v>1830</v>
      </c>
      <c r="B203" s="136" t="s">
        <v>499</v>
      </c>
      <c r="C203" s="295">
        <v>173.3</v>
      </c>
      <c r="D203" s="149">
        <v>0.3</v>
      </c>
      <c r="E203" s="186">
        <f t="shared" si="6"/>
        <v>51.99</v>
      </c>
      <c r="F203" s="186"/>
      <c r="G203" s="186">
        <f t="shared" si="7"/>
        <v>51.99</v>
      </c>
      <c r="H203" s="136">
        <v>22697535</v>
      </c>
      <c r="I203" s="311" t="s">
        <v>500</v>
      </c>
      <c r="J203" s="296" t="s">
        <v>90</v>
      </c>
      <c r="K203" s="311" t="s">
        <v>32</v>
      </c>
      <c r="L203" s="136"/>
      <c r="M203" s="140"/>
    </row>
    <row r="204" spans="1:13" s="17" customFormat="1" ht="21.75" customHeight="1" x14ac:dyDescent="0.25">
      <c r="A204" s="235">
        <v>1831</v>
      </c>
      <c r="B204" s="136" t="s">
        <v>697</v>
      </c>
      <c r="C204" s="295">
        <v>122</v>
      </c>
      <c r="D204" s="149">
        <v>0.3</v>
      </c>
      <c r="E204" s="186">
        <f t="shared" si="6"/>
        <v>36.6</v>
      </c>
      <c r="F204" s="186"/>
      <c r="G204" s="186">
        <f t="shared" si="7"/>
        <v>36.6</v>
      </c>
      <c r="H204" s="136">
        <v>7374738</v>
      </c>
      <c r="I204" s="311" t="s">
        <v>696</v>
      </c>
      <c r="J204" s="296" t="s">
        <v>90</v>
      </c>
      <c r="K204" s="311"/>
      <c r="L204" s="136">
        <v>92341240</v>
      </c>
      <c r="M204" s="140"/>
    </row>
    <row r="205" spans="1:13" s="17" customFormat="1" ht="21.75" customHeight="1" x14ac:dyDescent="0.25">
      <c r="A205" s="235">
        <v>2698</v>
      </c>
      <c r="B205" s="136" t="s">
        <v>695</v>
      </c>
      <c r="C205" s="295">
        <v>219.8</v>
      </c>
      <c r="D205" s="149">
        <v>0.3</v>
      </c>
      <c r="E205" s="186">
        <f t="shared" si="6"/>
        <v>65.94</v>
      </c>
      <c r="F205" s="186"/>
      <c r="G205" s="186">
        <f t="shared" si="7"/>
        <v>65.94</v>
      </c>
      <c r="H205" s="136"/>
      <c r="I205" s="311" t="s">
        <v>694</v>
      </c>
      <c r="J205" s="296" t="s">
        <v>90</v>
      </c>
      <c r="K205" s="311"/>
      <c r="L205" s="136"/>
      <c r="M205" s="140"/>
    </row>
    <row r="206" spans="1:13" s="17" customFormat="1" ht="21.75" customHeight="1" x14ac:dyDescent="0.25">
      <c r="A206" s="235">
        <v>3074</v>
      </c>
      <c r="B206" s="296" t="s">
        <v>501</v>
      </c>
      <c r="C206" s="295">
        <v>0</v>
      </c>
      <c r="D206" s="149">
        <v>0.3</v>
      </c>
      <c r="E206" s="186">
        <f t="shared" si="6"/>
        <v>0</v>
      </c>
      <c r="F206" s="186"/>
      <c r="G206" s="186">
        <f t="shared" si="7"/>
        <v>0</v>
      </c>
      <c r="H206" s="148">
        <v>6327112</v>
      </c>
      <c r="I206" s="311" t="s">
        <v>502</v>
      </c>
      <c r="J206" s="296" t="s">
        <v>90</v>
      </c>
      <c r="K206" s="311" t="s">
        <v>32</v>
      </c>
      <c r="L206" s="148">
        <v>92544491</v>
      </c>
      <c r="M206" s="312"/>
    </row>
    <row r="207" spans="1:13" s="17" customFormat="1" ht="21.75" customHeight="1" x14ac:dyDescent="0.25">
      <c r="A207" s="235">
        <v>3075</v>
      </c>
      <c r="B207" s="136" t="s">
        <v>503</v>
      </c>
      <c r="C207" s="295">
        <v>120.6</v>
      </c>
      <c r="D207" s="149">
        <v>0.3</v>
      </c>
      <c r="E207" s="186">
        <f t="shared" si="6"/>
        <v>36.18</v>
      </c>
      <c r="F207" s="186"/>
      <c r="G207" s="186">
        <f t="shared" si="7"/>
        <v>36.18</v>
      </c>
      <c r="H207" s="148">
        <v>6207551</v>
      </c>
      <c r="I207" s="315" t="s">
        <v>504</v>
      </c>
      <c r="J207" s="136" t="s">
        <v>31</v>
      </c>
      <c r="K207" s="136" t="s">
        <v>32</v>
      </c>
      <c r="L207" s="296">
        <v>92011889</v>
      </c>
      <c r="M207" s="140"/>
    </row>
    <row r="208" spans="1:13" ht="21.75" customHeight="1" x14ac:dyDescent="0.25">
      <c r="A208" s="235">
        <v>3250</v>
      </c>
      <c r="B208" s="136" t="s">
        <v>198</v>
      </c>
      <c r="C208" s="295">
        <v>174</v>
      </c>
      <c r="D208" s="149">
        <v>0.3</v>
      </c>
      <c r="E208" s="186">
        <f t="shared" si="6"/>
        <v>52.199999999999996</v>
      </c>
      <c r="F208" s="186"/>
      <c r="G208" s="186">
        <f t="shared" si="7"/>
        <v>52.199999999999996</v>
      </c>
      <c r="H208" s="139">
        <v>1357047</v>
      </c>
      <c r="I208" s="313" t="s">
        <v>199</v>
      </c>
      <c r="J208" s="136" t="s">
        <v>26</v>
      </c>
      <c r="K208" s="136" t="s">
        <v>27</v>
      </c>
      <c r="L208" s="136">
        <v>91177550</v>
      </c>
      <c r="M208" s="312"/>
    </row>
    <row r="209" spans="1:13" s="17" customFormat="1" ht="21.75" customHeight="1" x14ac:dyDescent="0.25">
      <c r="A209" s="235">
        <v>3317</v>
      </c>
      <c r="B209" s="136" t="s">
        <v>505</v>
      </c>
      <c r="C209" s="295">
        <v>160</v>
      </c>
      <c r="D209" s="149">
        <v>0.3</v>
      </c>
      <c r="E209" s="186">
        <f t="shared" si="6"/>
        <v>48</v>
      </c>
      <c r="F209" s="186"/>
      <c r="G209" s="186">
        <f t="shared" si="7"/>
        <v>48</v>
      </c>
      <c r="H209" s="139">
        <v>2366794</v>
      </c>
      <c r="I209" s="314" t="s">
        <v>506</v>
      </c>
      <c r="J209" s="136" t="s">
        <v>52</v>
      </c>
      <c r="K209" s="136" t="s">
        <v>53</v>
      </c>
      <c r="L209" s="136">
        <v>95138883</v>
      </c>
      <c r="M209" s="140"/>
    </row>
    <row r="210" spans="1:13" s="17" customFormat="1" ht="21.75" customHeight="1" x14ac:dyDescent="0.25">
      <c r="A210" s="235">
        <v>3323</v>
      </c>
      <c r="B210" s="136" t="s">
        <v>507</v>
      </c>
      <c r="C210" s="295">
        <v>157</v>
      </c>
      <c r="D210" s="149">
        <v>0.3</v>
      </c>
      <c r="E210" s="186">
        <f t="shared" si="6"/>
        <v>47.1</v>
      </c>
      <c r="F210" s="186"/>
      <c r="G210" s="186">
        <f t="shared" si="7"/>
        <v>47.1</v>
      </c>
      <c r="H210" s="139">
        <v>683613</v>
      </c>
      <c r="I210" s="313" t="s">
        <v>508</v>
      </c>
      <c r="J210" s="136" t="s">
        <v>31</v>
      </c>
      <c r="K210" s="136" t="s">
        <v>32</v>
      </c>
      <c r="L210" s="136">
        <v>92280327</v>
      </c>
      <c r="M210" s="140"/>
    </row>
    <row r="211" spans="1:13" s="17" customFormat="1" ht="21.75" customHeight="1" x14ac:dyDescent="0.25">
      <c r="A211" s="235">
        <v>3327</v>
      </c>
      <c r="B211" s="136" t="s">
        <v>509</v>
      </c>
      <c r="C211" s="295">
        <v>155.9</v>
      </c>
      <c r="D211" s="149">
        <v>0.3</v>
      </c>
      <c r="E211" s="186">
        <f t="shared" si="6"/>
        <v>46.77</v>
      </c>
      <c r="F211" s="186"/>
      <c r="G211" s="186">
        <f t="shared" si="7"/>
        <v>46.77</v>
      </c>
      <c r="H211" s="136">
        <v>4919647</v>
      </c>
      <c r="I211" s="311" t="s">
        <v>510</v>
      </c>
      <c r="J211" s="136" t="s">
        <v>52</v>
      </c>
      <c r="K211" s="136" t="s">
        <v>53</v>
      </c>
      <c r="L211" s="136">
        <v>99895505</v>
      </c>
      <c r="M211" s="139"/>
    </row>
    <row r="212" spans="1:13" s="17" customFormat="1" ht="21.75" customHeight="1" x14ac:dyDescent="0.25">
      <c r="A212" s="235">
        <v>3345</v>
      </c>
      <c r="B212" s="136" t="s">
        <v>511</v>
      </c>
      <c r="C212" s="295">
        <v>106.4</v>
      </c>
      <c r="D212" s="149">
        <v>0.3</v>
      </c>
      <c r="E212" s="186">
        <f t="shared" si="6"/>
        <v>31.92</v>
      </c>
      <c r="F212" s="186"/>
      <c r="G212" s="186">
        <f t="shared" si="7"/>
        <v>31.92</v>
      </c>
      <c r="H212" s="136">
        <v>6572395</v>
      </c>
      <c r="I212" s="311" t="s">
        <v>512</v>
      </c>
      <c r="J212" s="136" t="s">
        <v>31</v>
      </c>
      <c r="K212" s="136" t="s">
        <v>32</v>
      </c>
      <c r="L212" s="136">
        <v>99294765</v>
      </c>
      <c r="M212" s="139"/>
    </row>
    <row r="213" spans="1:13" s="17" customFormat="1" ht="21.75" customHeight="1" x14ac:dyDescent="0.25">
      <c r="A213" s="235">
        <v>3701</v>
      </c>
      <c r="B213" s="296" t="s">
        <v>513</v>
      </c>
      <c r="C213" s="295">
        <v>87.6</v>
      </c>
      <c r="D213" s="149">
        <v>0.3</v>
      </c>
      <c r="E213" s="186">
        <f t="shared" si="6"/>
        <v>26.279999999999998</v>
      </c>
      <c r="F213" s="186"/>
      <c r="G213" s="186">
        <f t="shared" si="7"/>
        <v>26.279999999999998</v>
      </c>
      <c r="H213" s="136">
        <v>5146416</v>
      </c>
      <c r="I213" s="311" t="s">
        <v>514</v>
      </c>
      <c r="J213" s="136" t="s">
        <v>31</v>
      </c>
      <c r="K213" s="136" t="s">
        <v>32</v>
      </c>
      <c r="L213" s="136">
        <v>99898838</v>
      </c>
      <c r="M213" s="140"/>
    </row>
    <row r="214" spans="1:13" s="17" customFormat="1" ht="21.75" customHeight="1" x14ac:dyDescent="0.25">
      <c r="A214" s="235">
        <v>3710</v>
      </c>
      <c r="B214" s="296" t="s">
        <v>515</v>
      </c>
      <c r="C214" s="295">
        <v>0</v>
      </c>
      <c r="D214" s="149">
        <v>0.3</v>
      </c>
      <c r="E214" s="186">
        <f t="shared" si="6"/>
        <v>0</v>
      </c>
      <c r="F214" s="186"/>
      <c r="G214" s="186">
        <f t="shared" si="7"/>
        <v>0</v>
      </c>
      <c r="H214" s="136">
        <v>22749678</v>
      </c>
      <c r="I214" s="544" t="s">
        <v>516</v>
      </c>
      <c r="J214" s="136" t="s">
        <v>31</v>
      </c>
      <c r="K214" s="136" t="s">
        <v>32</v>
      </c>
      <c r="L214" s="136">
        <v>92572087</v>
      </c>
      <c r="M214" s="312"/>
    </row>
    <row r="215" spans="1:13" s="17" customFormat="1" ht="21.75" customHeight="1" x14ac:dyDescent="0.25">
      <c r="A215" s="235">
        <v>3715</v>
      </c>
      <c r="B215" s="296" t="s">
        <v>517</v>
      </c>
      <c r="C215" s="295">
        <v>0</v>
      </c>
      <c r="D215" s="149">
        <v>0.3</v>
      </c>
      <c r="E215" s="186">
        <f t="shared" si="6"/>
        <v>0</v>
      </c>
      <c r="F215" s="186"/>
      <c r="G215" s="186">
        <f t="shared" si="7"/>
        <v>0</v>
      </c>
      <c r="H215" s="136">
        <v>6327183</v>
      </c>
      <c r="I215" s="311" t="s">
        <v>518</v>
      </c>
      <c r="J215" s="136" t="s">
        <v>31</v>
      </c>
      <c r="K215" s="136" t="s">
        <v>32</v>
      </c>
      <c r="L215" s="136">
        <v>92572087</v>
      </c>
      <c r="M215" s="312"/>
    </row>
    <row r="216" spans="1:13" s="17" customFormat="1" ht="21.75" customHeight="1" x14ac:dyDescent="0.25">
      <c r="A216" s="235">
        <v>3721</v>
      </c>
      <c r="B216" s="296" t="s">
        <v>519</v>
      </c>
      <c r="C216" s="295">
        <v>123</v>
      </c>
      <c r="D216" s="149">
        <v>0.3</v>
      </c>
      <c r="E216" s="186">
        <f t="shared" si="6"/>
        <v>36.9</v>
      </c>
      <c r="F216" s="186"/>
      <c r="G216" s="186">
        <f t="shared" si="7"/>
        <v>36.9</v>
      </c>
      <c r="H216" s="136">
        <v>5332235</v>
      </c>
      <c r="I216" s="146" t="s">
        <v>520</v>
      </c>
      <c r="J216" s="296" t="s">
        <v>90</v>
      </c>
      <c r="K216" s="146" t="s">
        <v>32</v>
      </c>
      <c r="L216" s="136">
        <v>95385443</v>
      </c>
      <c r="M216" s="140"/>
    </row>
    <row r="217" spans="1:13" s="17" customFormat="1" ht="21.75" customHeight="1" x14ac:dyDescent="0.25">
      <c r="A217" s="235">
        <v>3738</v>
      </c>
      <c r="B217" s="136" t="s">
        <v>521</v>
      </c>
      <c r="C217" s="295">
        <v>86.3</v>
      </c>
      <c r="D217" s="149">
        <v>0.3</v>
      </c>
      <c r="E217" s="186">
        <f t="shared" si="6"/>
        <v>25.889999999999997</v>
      </c>
      <c r="F217" s="186"/>
      <c r="G217" s="186">
        <f t="shared" si="7"/>
        <v>25.889999999999997</v>
      </c>
      <c r="H217" s="136">
        <v>730741</v>
      </c>
      <c r="I217" s="311" t="s">
        <v>522</v>
      </c>
      <c r="J217" s="136" t="s">
        <v>31</v>
      </c>
      <c r="K217" s="136" t="s">
        <v>32</v>
      </c>
      <c r="L217" s="136">
        <v>99710505</v>
      </c>
      <c r="M217" s="140"/>
    </row>
    <row r="218" spans="1:13" s="17" customFormat="1" ht="21.75" customHeight="1" x14ac:dyDescent="0.25">
      <c r="A218" s="235">
        <v>3763</v>
      </c>
      <c r="B218" s="136" t="s">
        <v>92</v>
      </c>
      <c r="C218" s="295">
        <v>69.5</v>
      </c>
      <c r="D218" s="149">
        <v>0.3</v>
      </c>
      <c r="E218" s="186">
        <f t="shared" si="6"/>
        <v>20.849999999999998</v>
      </c>
      <c r="F218" s="186"/>
      <c r="G218" s="186">
        <f t="shared" si="7"/>
        <v>20.849999999999998</v>
      </c>
      <c r="H218" s="136">
        <v>19189247</v>
      </c>
      <c r="I218" s="311" t="s">
        <v>93</v>
      </c>
      <c r="J218" s="136" t="s">
        <v>31</v>
      </c>
      <c r="K218" s="136" t="s">
        <v>32</v>
      </c>
      <c r="L218" s="136">
        <v>99846685</v>
      </c>
      <c r="M218" s="140"/>
    </row>
    <row r="219" spans="1:13" s="17" customFormat="1" ht="21.75" customHeight="1" x14ac:dyDescent="0.25">
      <c r="A219" s="235">
        <v>3781</v>
      </c>
      <c r="B219" s="136" t="s">
        <v>693</v>
      </c>
      <c r="C219" s="295">
        <v>167.2</v>
      </c>
      <c r="D219" s="149">
        <v>0.3</v>
      </c>
      <c r="E219" s="186">
        <f t="shared" si="6"/>
        <v>50.16</v>
      </c>
      <c r="F219" s="186"/>
      <c r="G219" s="186">
        <f t="shared" si="7"/>
        <v>50.16</v>
      </c>
      <c r="H219" s="136"/>
      <c r="I219" s="311">
        <v>6500151945</v>
      </c>
      <c r="J219" s="136" t="s">
        <v>692</v>
      </c>
      <c r="K219" s="136"/>
      <c r="L219" s="136">
        <v>95655550</v>
      </c>
      <c r="M219" s="140"/>
    </row>
    <row r="220" spans="1:13" s="17" customFormat="1" ht="21.75" customHeight="1" x14ac:dyDescent="0.25">
      <c r="A220" s="235">
        <v>3788</v>
      </c>
      <c r="B220" s="136" t="s">
        <v>523</v>
      </c>
      <c r="C220" s="295">
        <v>107</v>
      </c>
      <c r="D220" s="149">
        <v>0.3</v>
      </c>
      <c r="E220" s="186">
        <f t="shared" si="6"/>
        <v>32.1</v>
      </c>
      <c r="F220" s="186"/>
      <c r="G220" s="186">
        <f t="shared" si="7"/>
        <v>32.1</v>
      </c>
      <c r="H220" s="136">
        <v>5146627</v>
      </c>
      <c r="I220" s="311" t="s">
        <v>524</v>
      </c>
      <c r="J220" s="136" t="s">
        <v>31</v>
      </c>
      <c r="K220" s="136" t="s">
        <v>32</v>
      </c>
      <c r="L220" s="136">
        <v>92018800</v>
      </c>
      <c r="M220" s="140"/>
    </row>
    <row r="221" spans="1:13" s="17" customFormat="1" ht="21.75" customHeight="1" x14ac:dyDescent="0.25">
      <c r="A221" s="235">
        <v>3806</v>
      </c>
      <c r="B221" s="136" t="s">
        <v>525</v>
      </c>
      <c r="C221" s="295">
        <v>89.3</v>
      </c>
      <c r="D221" s="149">
        <v>0.3</v>
      </c>
      <c r="E221" s="186">
        <f t="shared" si="6"/>
        <v>26.79</v>
      </c>
      <c r="F221" s="186"/>
      <c r="G221" s="186">
        <f t="shared" si="7"/>
        <v>26.79</v>
      </c>
      <c r="H221" s="136">
        <v>14457167</v>
      </c>
      <c r="I221" s="313">
        <v>3158759994700</v>
      </c>
      <c r="J221" s="136" t="s">
        <v>71</v>
      </c>
      <c r="K221" s="136" t="s">
        <v>72</v>
      </c>
      <c r="L221" s="136">
        <v>91794400</v>
      </c>
      <c r="M221" s="140"/>
    </row>
    <row r="222" spans="1:13" s="17" customFormat="1" ht="21.75" customHeight="1" x14ac:dyDescent="0.25">
      <c r="A222" s="235">
        <v>3825</v>
      </c>
      <c r="B222" s="136" t="s">
        <v>526</v>
      </c>
      <c r="C222" s="295">
        <v>0</v>
      </c>
      <c r="D222" s="149">
        <v>0.3</v>
      </c>
      <c r="E222" s="186">
        <f t="shared" si="6"/>
        <v>0</v>
      </c>
      <c r="F222" s="186"/>
      <c r="G222" s="186">
        <f t="shared" si="7"/>
        <v>0</v>
      </c>
      <c r="H222" s="136">
        <v>6327337</v>
      </c>
      <c r="I222" s="544" t="s">
        <v>527</v>
      </c>
      <c r="J222" s="136" t="s">
        <v>31</v>
      </c>
      <c r="K222" s="136" t="s">
        <v>32</v>
      </c>
      <c r="L222" s="136">
        <v>98885755</v>
      </c>
      <c r="M222" s="312"/>
    </row>
    <row r="223" spans="1:13" s="17" customFormat="1" ht="21.75" customHeight="1" x14ac:dyDescent="0.25">
      <c r="A223" s="235">
        <v>3826</v>
      </c>
      <c r="B223" s="136" t="s">
        <v>200</v>
      </c>
      <c r="C223" s="295">
        <v>115.6</v>
      </c>
      <c r="D223" s="149">
        <v>0.3</v>
      </c>
      <c r="E223" s="186">
        <f t="shared" si="6"/>
        <v>34.68</v>
      </c>
      <c r="F223" s="186"/>
      <c r="G223" s="186">
        <f t="shared" si="7"/>
        <v>34.68</v>
      </c>
      <c r="H223" s="136">
        <v>4919671</v>
      </c>
      <c r="I223" s="311" t="s">
        <v>201</v>
      </c>
      <c r="J223" s="136" t="s">
        <v>31</v>
      </c>
      <c r="K223" s="136" t="s">
        <v>32</v>
      </c>
      <c r="L223" s="136">
        <v>92516644</v>
      </c>
      <c r="M223" s="312"/>
    </row>
    <row r="224" spans="1:13" s="17" customFormat="1" ht="21.75" customHeight="1" x14ac:dyDescent="0.25">
      <c r="A224" s="235">
        <v>3881</v>
      </c>
      <c r="B224" s="140" t="s">
        <v>529</v>
      </c>
      <c r="C224" s="295">
        <v>88.3</v>
      </c>
      <c r="D224" s="149">
        <v>0.3</v>
      </c>
      <c r="E224" s="186">
        <f t="shared" si="6"/>
        <v>26.49</v>
      </c>
      <c r="F224" s="186"/>
      <c r="G224" s="186">
        <f t="shared" si="7"/>
        <v>26.49</v>
      </c>
      <c r="H224" s="136">
        <v>5335138</v>
      </c>
      <c r="I224" s="311" t="s">
        <v>530</v>
      </c>
      <c r="J224" s="136" t="s">
        <v>31</v>
      </c>
      <c r="K224" s="136" t="s">
        <v>32</v>
      </c>
      <c r="L224" s="136">
        <v>92936035</v>
      </c>
      <c r="M224" s="140"/>
    </row>
    <row r="225" spans="1:13" s="17" customFormat="1" ht="21.75" customHeight="1" x14ac:dyDescent="0.25">
      <c r="A225" s="235">
        <v>3883</v>
      </c>
      <c r="B225" s="136" t="s">
        <v>531</v>
      </c>
      <c r="C225" s="295">
        <v>132.19999999999999</v>
      </c>
      <c r="D225" s="149">
        <v>0.3</v>
      </c>
      <c r="E225" s="186">
        <f t="shared" si="6"/>
        <v>39.659999999999997</v>
      </c>
      <c r="F225" s="186"/>
      <c r="G225" s="186">
        <f t="shared" si="7"/>
        <v>39.659999999999997</v>
      </c>
      <c r="H225" s="136">
        <v>18636502</v>
      </c>
      <c r="I225" s="311" t="s">
        <v>532</v>
      </c>
      <c r="J225" s="136" t="s">
        <v>90</v>
      </c>
      <c r="K225" s="136" t="s">
        <v>32</v>
      </c>
      <c r="L225" s="136" t="s">
        <v>32</v>
      </c>
      <c r="M225" s="140"/>
    </row>
    <row r="226" spans="1:13" ht="13.5" x14ac:dyDescent="0.25">
      <c r="A226" s="146"/>
      <c r="B226" s="140"/>
      <c r="C226" s="294">
        <f>SUM(C3:C225)</f>
        <v>28828.799999999988</v>
      </c>
      <c r="D226" s="149"/>
      <c r="E226" s="186">
        <f>SUM(E3:E225)</f>
        <v>8648.6400000000031</v>
      </c>
      <c r="F226" s="186">
        <f>SUM(F3:F225)</f>
        <v>0</v>
      </c>
      <c r="G226" s="186">
        <f>SUM(G3:G225)</f>
        <v>8648.6400000000031</v>
      </c>
      <c r="H226" s="140"/>
      <c r="I226" s="310"/>
      <c r="J226" s="140"/>
      <c r="K226" s="140"/>
      <c r="L226" s="140"/>
      <c r="M226" s="140"/>
    </row>
    <row r="227" spans="1:13" x14ac:dyDescent="0.25">
      <c r="A227" s="6"/>
      <c r="B227" s="290"/>
      <c r="C227" s="5"/>
      <c r="D227" s="64"/>
      <c r="E227" s="7"/>
      <c r="F227" s="7"/>
      <c r="G227" s="7"/>
      <c r="H227" s="7"/>
      <c r="I227" s="7"/>
      <c r="K227" s="6"/>
      <c r="M227" s="5"/>
    </row>
    <row r="228" spans="1:13" x14ac:dyDescent="0.25">
      <c r="A228" s="6"/>
      <c r="B228" s="290"/>
      <c r="C228" s="10"/>
      <c r="D228" s="10"/>
      <c r="E228" s="6"/>
      <c r="F228" s="6"/>
      <c r="G228" s="6"/>
      <c r="H228" s="107"/>
      <c r="I228" s="6"/>
      <c r="J228" s="7"/>
      <c r="K228" s="6"/>
    </row>
    <row r="229" spans="1:13" x14ac:dyDescent="0.25">
      <c r="L229" s="9"/>
      <c r="M229" s="9"/>
    </row>
    <row r="230" spans="1:13" x14ac:dyDescent="0.25">
      <c r="C230" s="290" t="s">
        <v>15</v>
      </c>
      <c r="E230" s="78"/>
      <c r="F230" s="78"/>
      <c r="G230" s="78"/>
    </row>
    <row r="231" spans="1:13" x14ac:dyDescent="0.25">
      <c r="I231" s="78"/>
    </row>
    <row r="232" spans="1:13" ht="21" x14ac:dyDescent="0.35">
      <c r="A232" s="66"/>
      <c r="B232" s="65"/>
      <c r="C232" s="293"/>
      <c r="D232" s="65"/>
      <c r="E232" s="4"/>
      <c r="F232" s="4"/>
      <c r="G232" s="4"/>
      <c r="H232" s="4"/>
      <c r="I232" s="4"/>
      <c r="J232" s="309"/>
      <c r="K232" s="68"/>
    </row>
    <row r="233" spans="1:13" ht="15.75" x14ac:dyDescent="0.25">
      <c r="A233" s="4"/>
      <c r="B233" s="4"/>
      <c r="C233" s="292"/>
      <c r="D233" s="4"/>
      <c r="E233" s="4"/>
      <c r="F233" s="4"/>
      <c r="G233" s="4"/>
      <c r="H233" s="4"/>
      <c r="I233" s="4"/>
      <c r="J233" s="4"/>
      <c r="K233" s="68"/>
    </row>
    <row r="234" spans="1:13" ht="15.75" x14ac:dyDescent="0.25">
      <c r="A234" s="70"/>
      <c r="B234" s="70"/>
      <c r="C234" s="291"/>
      <c r="D234" s="70"/>
      <c r="E234" s="70"/>
      <c r="F234" s="70"/>
      <c r="G234" s="70"/>
      <c r="H234" s="70"/>
      <c r="I234" s="308"/>
      <c r="J234" s="70"/>
      <c r="K234" s="72"/>
    </row>
    <row r="235" spans="1:13" ht="15.75" x14ac:dyDescent="0.25">
      <c r="A235" s="70"/>
      <c r="B235" s="70"/>
      <c r="C235" s="291"/>
      <c r="D235" s="70"/>
      <c r="E235" s="70"/>
      <c r="F235" s="70"/>
      <c r="G235" s="70"/>
      <c r="H235" s="70"/>
      <c r="I235" s="70"/>
      <c r="J235" s="70"/>
      <c r="K235" s="72"/>
    </row>
    <row r="236" spans="1:13" ht="15.75" x14ac:dyDescent="0.25">
      <c r="A236" s="70"/>
      <c r="B236" s="70"/>
      <c r="C236" s="291"/>
      <c r="D236" s="70"/>
      <c r="E236" s="70"/>
      <c r="F236" s="70"/>
      <c r="G236" s="70"/>
      <c r="H236" s="70"/>
      <c r="I236" s="70"/>
      <c r="J236" s="70"/>
      <c r="K236" s="72"/>
    </row>
  </sheetData>
  <conditionalFormatting sqref="A7">
    <cfRule type="duplicateValues" dxfId="10" priority="9"/>
  </conditionalFormatting>
  <conditionalFormatting sqref="A18:A19">
    <cfRule type="duplicateValues" dxfId="9" priority="11"/>
  </conditionalFormatting>
  <conditionalFormatting sqref="A32">
    <cfRule type="duplicateValues" dxfId="8" priority="1"/>
  </conditionalFormatting>
  <conditionalFormatting sqref="A33">
    <cfRule type="duplicateValues" dxfId="7" priority="8"/>
  </conditionalFormatting>
  <conditionalFormatting sqref="A38:A40">
    <cfRule type="duplicateValues" dxfId="6" priority="7"/>
  </conditionalFormatting>
  <conditionalFormatting sqref="A47">
    <cfRule type="duplicateValues" dxfId="5" priority="6"/>
  </conditionalFormatting>
  <conditionalFormatting sqref="A58:A60">
    <cfRule type="duplicateValues" dxfId="4" priority="5"/>
  </conditionalFormatting>
  <conditionalFormatting sqref="A62">
    <cfRule type="duplicateValues" dxfId="3" priority="4"/>
  </conditionalFormatting>
  <conditionalFormatting sqref="A77">
    <cfRule type="duplicateValues" dxfId="2" priority="3"/>
  </conditionalFormatting>
  <conditionalFormatting sqref="A78">
    <cfRule type="duplicateValues" dxfId="1" priority="2"/>
  </conditionalFormatting>
  <conditionalFormatting sqref="A207">
    <cfRule type="duplicateValues" dxfId="0" priority="10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2FCB-F9F1-4AFB-9DF0-93833A1C4C57}">
  <dimension ref="A6:O222"/>
  <sheetViews>
    <sheetView showGridLines="0" view="pageBreakPreview" zoomScale="106" zoomScaleNormal="100" zoomScaleSheetLayoutView="106" workbookViewId="0">
      <selection activeCell="B15" sqref="B15"/>
    </sheetView>
  </sheetViews>
  <sheetFormatPr defaultRowHeight="15" x14ac:dyDescent="0.25"/>
  <cols>
    <col min="1" max="1" width="24.5703125" customWidth="1"/>
    <col min="2" max="2" width="29.7109375" bestFit="1" customWidth="1"/>
    <col min="3" max="3" width="18.5703125" bestFit="1" customWidth="1"/>
    <col min="4" max="4" width="23.140625" bestFit="1" customWidth="1"/>
    <col min="5" max="5" width="26.42578125" bestFit="1" customWidth="1"/>
    <col min="6" max="6" width="8.5703125" bestFit="1" customWidth="1"/>
  </cols>
  <sheetData>
    <row r="6" spans="1:7" ht="18.75" x14ac:dyDescent="0.3">
      <c r="A6" s="657" t="s">
        <v>628</v>
      </c>
      <c r="B6" s="657"/>
      <c r="C6" s="657"/>
      <c r="D6" s="657"/>
      <c r="E6" s="657"/>
    </row>
    <row r="7" spans="1:7" ht="18.75" x14ac:dyDescent="0.3">
      <c r="A7" s="657" t="s">
        <v>629</v>
      </c>
      <c r="B7" s="657"/>
      <c r="C7" s="657"/>
      <c r="D7" s="657"/>
      <c r="E7" s="657"/>
    </row>
    <row r="8" spans="1:7" ht="18.75" x14ac:dyDescent="0.3">
      <c r="A8" s="657" t="s">
        <v>630</v>
      </c>
      <c r="B8" s="657"/>
      <c r="C8" s="657"/>
      <c r="D8" s="657"/>
      <c r="E8" s="657"/>
    </row>
    <row r="9" spans="1:7" ht="18.75" x14ac:dyDescent="0.3">
      <c r="A9" s="657" t="s">
        <v>631</v>
      </c>
      <c r="B9" s="657"/>
      <c r="C9" s="657"/>
      <c r="D9" s="657"/>
      <c r="E9" s="657"/>
    </row>
    <row r="10" spans="1:7" ht="18.75" x14ac:dyDescent="0.3">
      <c r="A10" s="657" t="s">
        <v>632</v>
      </c>
      <c r="B10" s="657"/>
      <c r="C10" s="657"/>
      <c r="D10" s="657"/>
      <c r="E10" s="657"/>
    </row>
    <row r="11" spans="1:7" ht="18.75" x14ac:dyDescent="0.3">
      <c r="A11" s="546"/>
      <c r="B11" s="546"/>
      <c r="C11" s="546"/>
      <c r="D11" s="546"/>
      <c r="E11" s="546"/>
    </row>
    <row r="12" spans="1:7" ht="18.75" x14ac:dyDescent="0.3">
      <c r="A12" s="657" t="s">
        <v>633</v>
      </c>
      <c r="B12" s="657"/>
      <c r="C12" s="657"/>
      <c r="D12" s="657"/>
      <c r="E12" s="657"/>
    </row>
    <row r="13" spans="1:7" x14ac:dyDescent="0.25">
      <c r="A13" s="547"/>
      <c r="B13" s="547"/>
      <c r="C13" s="547"/>
      <c r="D13" s="547"/>
      <c r="E13" s="547"/>
    </row>
    <row r="14" spans="1:7" ht="18.75" x14ac:dyDescent="0.3">
      <c r="A14" s="548" t="s">
        <v>3</v>
      </c>
      <c r="B14" s="549" t="str">
        <f>IFERROR(VLOOKUP(B15,#REF!, 2, FALSE), "")</f>
        <v/>
      </c>
      <c r="C14" s="549"/>
      <c r="D14" s="550" t="s">
        <v>634</v>
      </c>
      <c r="E14" s="551" t="s">
        <v>670</v>
      </c>
      <c r="F14" t="str">
        <f>IFERROR(IF(VLOOKUP(B15, 'center-April'!$B$3:$H$4, 5, FALSE) = VLOOKUP(B15, 'center-April'!$B$3:$H$4, 7, FALSE),
           VLOOKUP(B15, 'center-April'!$B$3:$F$4, 5, FALSE),
           VLOOKUP(B15, 'center-April'!$B$3:$H$4, 7, FALSE)), "")</f>
        <v/>
      </c>
      <c r="G14" s="552"/>
    </row>
    <row r="15" spans="1:7" ht="18.75" x14ac:dyDescent="0.3">
      <c r="A15" s="548" t="s">
        <v>2</v>
      </c>
      <c r="B15" s="553">
        <v>1123</v>
      </c>
      <c r="C15" s="4"/>
      <c r="D15" s="550" t="s">
        <v>635</v>
      </c>
      <c r="E15" s="554">
        <f ca="1">TODAY()</f>
        <v>46033</v>
      </c>
      <c r="F15" t="str">
        <f>IFERROR(IF(VLOOKUP(B15, '05-25'!$B$3:$H$26, 5, FALSE) = VLOOKUP(B15, '05-25'!$B$3:$H$26, 7, FALSE),
           VLOOKUP(B15, '05-25'!$B$3:$F$26, 5, FALSE),
           VLOOKUP(B15, '05-25'!$B$3:$H$26, 7, FALSE)), "")</f>
        <v/>
      </c>
      <c r="G15" s="552"/>
    </row>
    <row r="16" spans="1:7" ht="18.75" x14ac:dyDescent="0.3">
      <c r="A16" s="548" t="s">
        <v>636</v>
      </c>
      <c r="B16" s="555" t="str">
        <f>IFERROR(VLOOKUP(B15,#REF!,8,FALSE),"")</f>
        <v/>
      </c>
      <c r="C16" s="4"/>
      <c r="D16" s="4"/>
      <c r="E16" s="4"/>
      <c r="F16" t="str">
        <f>IFERROR(VLOOKUP(B15, 'center-06-24'!$B$3:$H$48, 7, FALSE), "")</f>
        <v/>
      </c>
      <c r="G16" s="552"/>
    </row>
    <row r="17" spans="1:15" ht="18.75" x14ac:dyDescent="0.3">
      <c r="A17" s="548"/>
      <c r="B17" s="555"/>
      <c r="C17" s="4"/>
      <c r="D17" s="4"/>
      <c r="E17" s="4"/>
      <c r="F17" t="str">
        <f>IFERROR(VLOOKUP(B16, 'center-06-24'!$B$3:$H$48, 7, FALSE), "")</f>
        <v/>
      </c>
      <c r="G17" s="552"/>
    </row>
    <row r="18" spans="1:15" ht="28.15" customHeight="1" x14ac:dyDescent="0.25">
      <c r="A18" s="556" t="s">
        <v>637</v>
      </c>
      <c r="B18" s="557" t="s">
        <v>638</v>
      </c>
      <c r="C18" s="557" t="s">
        <v>639</v>
      </c>
      <c r="D18" s="557" t="s">
        <v>640</v>
      </c>
      <c r="E18" s="557" t="s">
        <v>641</v>
      </c>
      <c r="F18" t="str">
        <f>IFERROR(VLOOKUP(B17, 'center-06-24'!$B$3:$H$48, 7, FALSE), "")</f>
        <v/>
      </c>
      <c r="G18" s="552"/>
    </row>
    <row r="19" spans="1:15" ht="37.5" x14ac:dyDescent="0.3">
      <c r="A19" s="558" t="s">
        <v>642</v>
      </c>
      <c r="B19" s="559">
        <v>50</v>
      </c>
      <c r="C19" s="560">
        <v>6.25</v>
      </c>
      <c r="D19" s="561">
        <v>0</v>
      </c>
      <c r="E19" s="560">
        <f t="shared" ref="E19:E25" si="0">C19*D19</f>
        <v>0</v>
      </c>
      <c r="F19" t="str">
        <f>IFERROR(VLOOKUP(B15,#REF!, 7, FALSE), "")</f>
        <v/>
      </c>
      <c r="G19" s="552">
        <v>1</v>
      </c>
      <c r="H19" t="str">
        <f>IFERROR(VLOOKUP(B15,#REF!,3,FALSE),"")</f>
        <v/>
      </c>
      <c r="K19" t="s">
        <v>643</v>
      </c>
    </row>
    <row r="20" spans="1:15" ht="37.5" x14ac:dyDescent="0.3">
      <c r="A20" s="558" t="s">
        <v>642</v>
      </c>
      <c r="B20" s="559">
        <v>40</v>
      </c>
      <c r="C20" s="560">
        <v>4.8499999999999996</v>
      </c>
      <c r="D20" s="561">
        <v>0</v>
      </c>
      <c r="E20" s="560">
        <f t="shared" si="0"/>
        <v>0</v>
      </c>
      <c r="F20" t="str">
        <f>IFERROR(VLOOKUP(B15,#REF!, 7, FALSE), "")</f>
        <v/>
      </c>
      <c r="G20" s="562">
        <v>2</v>
      </c>
      <c r="H20" t="str">
        <f>IFERROR(VLOOKUP(B15,#REF!,3,FALSE),"")</f>
        <v/>
      </c>
    </row>
    <row r="21" spans="1:15" ht="37.5" x14ac:dyDescent="0.3">
      <c r="A21" s="558" t="s">
        <v>644</v>
      </c>
      <c r="B21" s="559">
        <v>40</v>
      </c>
      <c r="C21" s="560">
        <v>4.75</v>
      </c>
      <c r="D21" s="561">
        <v>0</v>
      </c>
      <c r="E21" s="560">
        <f t="shared" si="0"/>
        <v>0</v>
      </c>
      <c r="F21" t="str">
        <f>IFERROR(VLOOKUP(B15,#REF!, 7, FALSE), "")</f>
        <v/>
      </c>
      <c r="G21" s="562">
        <v>3</v>
      </c>
      <c r="H21" t="str">
        <f>IFERROR(VLOOKUP(B15,#REF!,3,FALSE),"")</f>
        <v/>
      </c>
    </row>
    <row r="22" spans="1:15" ht="37.5" x14ac:dyDescent="0.3">
      <c r="A22" s="558" t="s">
        <v>645</v>
      </c>
      <c r="B22" s="559">
        <v>50</v>
      </c>
      <c r="C22" s="560">
        <v>6.85</v>
      </c>
      <c r="D22" s="561">
        <v>0</v>
      </c>
      <c r="E22" s="560">
        <f t="shared" si="0"/>
        <v>0</v>
      </c>
      <c r="F22" t="str">
        <f>IFERROR(VLOOKUP(B15,#REF!, 7, FALSE), "")</f>
        <v/>
      </c>
      <c r="G22" s="552">
        <v>4</v>
      </c>
      <c r="H22" t="str">
        <f>IFERROR(VLOOKUP(B15,#REF!, 3,FALSE),"")</f>
        <v/>
      </c>
    </row>
    <row r="23" spans="1:15" ht="37.5" x14ac:dyDescent="0.3">
      <c r="A23" s="558" t="s">
        <v>646</v>
      </c>
      <c r="B23" s="559">
        <v>40</v>
      </c>
      <c r="C23" s="560">
        <v>5.35</v>
      </c>
      <c r="D23" s="561">
        <v>0</v>
      </c>
      <c r="E23" s="560">
        <f t="shared" si="0"/>
        <v>0</v>
      </c>
      <c r="O23" t="s">
        <v>647</v>
      </c>
    </row>
    <row r="24" spans="1:15" ht="37.5" x14ac:dyDescent="0.3">
      <c r="A24" s="558" t="s">
        <v>648</v>
      </c>
      <c r="B24" s="559">
        <v>45</v>
      </c>
      <c r="C24" s="560">
        <v>4.1500000000000004</v>
      </c>
      <c r="D24" s="561">
        <v>0</v>
      </c>
      <c r="E24" s="560">
        <f t="shared" si="0"/>
        <v>0</v>
      </c>
      <c r="F24" s="73">
        <f>SUM(F16:F22)</f>
        <v>0</v>
      </c>
      <c r="G24" s="563" t="s">
        <v>649</v>
      </c>
    </row>
    <row r="25" spans="1:15" ht="56.25" x14ac:dyDescent="0.3">
      <c r="A25" s="558" t="s">
        <v>650</v>
      </c>
      <c r="B25" s="559">
        <v>50</v>
      </c>
      <c r="C25" s="560">
        <v>7.25</v>
      </c>
      <c r="D25" s="561">
        <v>0</v>
      </c>
      <c r="E25" s="560">
        <f t="shared" si="0"/>
        <v>0</v>
      </c>
      <c r="F25" s="564">
        <v>3</v>
      </c>
      <c r="G25" s="565" t="s">
        <v>651</v>
      </c>
      <c r="H25" s="566"/>
    </row>
    <row r="26" spans="1:15" ht="27.75" customHeight="1" x14ac:dyDescent="0.35">
      <c r="A26" s="567" t="s">
        <v>652</v>
      </c>
      <c r="B26" s="568"/>
      <c r="C26" s="568"/>
      <c r="D26" s="569"/>
      <c r="E26" s="570">
        <f>SUM(E19:E25)</f>
        <v>0</v>
      </c>
      <c r="F26" t="e">
        <f>IF(TRIM(F25)="1",
VLOOKUP(B15,#REF!,7,FALSE)-E26,
IF(TRIM(F25)="2",
VLOOKUP(B15,#REF!,7,FALSE)-E26,
IF(TRIM(F25)="1,2",
VLOOKUP(B15,#REF!,7,FALSE)+VLOOKUP(B15,#REF!,7,FALSE)-E26,
IF(TRIM(F25)="1,2,3",
VLOOKUP(B15,#REF!,7,FALSE)+VLOOKUP(B15,#REF!,7,FALSE)+VLOOKUP(B15,#REF!,7,FALSE)-E26,
IF(TRIM(F25)="2,3",
VLOOKUP(B15,#REF!,7,FALSE)+VLOOKUP(B15,#REF!,7,FALSE)-E26,
IF(TRIM(F25)="3",
VLOOKUP(B15,#REF!,7,FALSE)-E26,
""))))))</f>
        <v>#REF!</v>
      </c>
      <c r="G26" s="565" t="s">
        <v>585</v>
      </c>
      <c r="H26" s="566"/>
      <c r="I26" s="566"/>
    </row>
    <row r="27" spans="1:15" x14ac:dyDescent="0.25">
      <c r="F27" s="571"/>
    </row>
    <row r="28" spans="1:15" x14ac:dyDescent="0.25">
      <c r="F28" s="571"/>
      <c r="H28" s="566"/>
    </row>
    <row r="29" spans="1:15" ht="18.75" x14ac:dyDescent="0.3">
      <c r="D29" s="546"/>
      <c r="E29" s="546"/>
      <c r="F29" s="571"/>
      <c r="H29" s="566"/>
      <c r="I29" s="566"/>
    </row>
    <row r="30" spans="1:15" ht="21" x14ac:dyDescent="0.3">
      <c r="A30" s="572"/>
      <c r="B30" s="546"/>
      <c r="C30" s="546"/>
      <c r="D30" s="656"/>
      <c r="E30" s="656"/>
      <c r="F30" s="571"/>
    </row>
    <row r="31" spans="1:15" ht="21" x14ac:dyDescent="0.3">
      <c r="A31" s="573" t="s">
        <v>653</v>
      </c>
      <c r="B31" s="546"/>
      <c r="C31" s="546"/>
      <c r="D31" s="546"/>
      <c r="E31" s="546"/>
      <c r="F31" s="571"/>
      <c r="J31" s="155" t="s">
        <v>15</v>
      </c>
    </row>
    <row r="32" spans="1:15" ht="18.75" x14ac:dyDescent="0.3">
      <c r="A32" s="546"/>
      <c r="B32" s="546"/>
      <c r="C32" s="546"/>
      <c r="D32" s="657"/>
      <c r="E32" s="657"/>
      <c r="F32" s="571"/>
    </row>
    <row r="33" spans="1:10" ht="18.75" x14ac:dyDescent="0.3">
      <c r="A33" s="545" t="s">
        <v>654</v>
      </c>
      <c r="B33" s="546"/>
      <c r="C33" s="546"/>
      <c r="D33" s="546"/>
      <c r="E33" s="546"/>
      <c r="F33" s="571"/>
    </row>
    <row r="34" spans="1:10" ht="18.75" x14ac:dyDescent="0.3">
      <c r="A34" s="546"/>
      <c r="B34" s="546"/>
      <c r="C34" s="546"/>
      <c r="F34" s="571"/>
    </row>
    <row r="35" spans="1:10" x14ac:dyDescent="0.25">
      <c r="A35" s="73" t="s">
        <v>15</v>
      </c>
    </row>
    <row r="36" spans="1:10" ht="18.75" x14ac:dyDescent="0.3">
      <c r="D36" s="545"/>
      <c r="E36" s="545"/>
    </row>
    <row r="37" spans="1:10" ht="18.75" x14ac:dyDescent="0.3">
      <c r="A37" s="657" t="s">
        <v>655</v>
      </c>
      <c r="B37" s="657"/>
      <c r="C37" s="657"/>
      <c r="D37" s="657"/>
      <c r="E37" s="657"/>
      <c r="J37" s="155" t="s">
        <v>606</v>
      </c>
    </row>
    <row r="38" spans="1:10" ht="15.75" x14ac:dyDescent="0.25">
      <c r="A38" s="658" t="s">
        <v>656</v>
      </c>
      <c r="B38" s="658"/>
      <c r="C38" s="658"/>
      <c r="D38" s="658"/>
      <c r="E38" s="658"/>
    </row>
    <row r="48" spans="1:10" x14ac:dyDescent="0.25">
      <c r="J48" s="155" t="s">
        <v>618</v>
      </c>
    </row>
    <row r="58" spans="10:10" x14ac:dyDescent="0.25">
      <c r="J58" s="155" t="s">
        <v>606</v>
      </c>
    </row>
    <row r="73" spans="10:10" x14ac:dyDescent="0.25">
      <c r="J73" s="155" t="s">
        <v>606</v>
      </c>
    </row>
    <row r="82" spans="10:10" x14ac:dyDescent="0.25">
      <c r="J82" s="299" t="s">
        <v>627</v>
      </c>
    </row>
    <row r="86" spans="10:10" x14ac:dyDescent="0.25">
      <c r="J86" s="155" t="s">
        <v>618</v>
      </c>
    </row>
    <row r="87" spans="10:10" x14ac:dyDescent="0.25">
      <c r="J87" s="155" t="s">
        <v>606</v>
      </c>
    </row>
    <row r="110" spans="10:10" x14ac:dyDescent="0.25">
      <c r="J110" s="318" t="s">
        <v>606</v>
      </c>
    </row>
    <row r="124" spans="10:10" x14ac:dyDescent="0.25">
      <c r="J124" s="318" t="s">
        <v>627</v>
      </c>
    </row>
    <row r="150" spans="10:10" x14ac:dyDescent="0.25">
      <c r="J150" s="201" t="s">
        <v>657</v>
      </c>
    </row>
    <row r="163" spans="10:10" x14ac:dyDescent="0.25">
      <c r="J163" s="201" t="s">
        <v>627</v>
      </c>
    </row>
    <row r="176" spans="10:10" x14ac:dyDescent="0.25">
      <c r="J176" s="201" t="s">
        <v>606</v>
      </c>
    </row>
    <row r="201" spans="10:10" x14ac:dyDescent="0.25">
      <c r="J201" s="201" t="s">
        <v>618</v>
      </c>
    </row>
    <row r="212" spans="10:10" x14ac:dyDescent="0.25">
      <c r="J212" s="201" t="s">
        <v>657</v>
      </c>
    </row>
    <row r="222" spans="10:10" x14ac:dyDescent="0.25">
      <c r="J222" s="201" t="s">
        <v>618</v>
      </c>
    </row>
  </sheetData>
  <mergeCells count="10">
    <mergeCell ref="D30:E30"/>
    <mergeCell ref="D32:E32"/>
    <mergeCell ref="A37:E37"/>
    <mergeCell ref="A38:E38"/>
    <mergeCell ref="A6:E6"/>
    <mergeCell ref="A7:E7"/>
    <mergeCell ref="A8:E8"/>
    <mergeCell ref="A9:E9"/>
    <mergeCell ref="A10:E10"/>
    <mergeCell ref="A12:E12"/>
  </mergeCells>
  <pageMargins left="0.7" right="0.7" top="0.75" bottom="0.75" header="0.3" footer="0.3"/>
  <pageSetup scale="7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151B-BEDC-4D71-A51D-7F71CB851F95}">
  <dimension ref="A6:G49"/>
  <sheetViews>
    <sheetView showGridLines="0" view="pageBreakPreview" topLeftCell="A11" zoomScale="112" zoomScaleNormal="100" zoomScaleSheetLayoutView="112" workbookViewId="0">
      <selection activeCell="B15" sqref="B15"/>
    </sheetView>
  </sheetViews>
  <sheetFormatPr defaultRowHeight="15" x14ac:dyDescent="0.25"/>
  <cols>
    <col min="1" max="1" width="16.140625" customWidth="1"/>
    <col min="2" max="2" width="32" customWidth="1"/>
    <col min="3" max="3" width="38.42578125" customWidth="1"/>
    <col min="4" max="4" width="24.42578125" bestFit="1" customWidth="1"/>
  </cols>
  <sheetData>
    <row r="6" spans="1:4" ht="18.75" x14ac:dyDescent="0.3">
      <c r="A6" s="657" t="s">
        <v>628</v>
      </c>
      <c r="B6" s="657"/>
      <c r="C6" s="657"/>
      <c r="D6" s="657"/>
    </row>
    <row r="7" spans="1:4" ht="18.75" x14ac:dyDescent="0.3">
      <c r="A7" s="657" t="s">
        <v>629</v>
      </c>
      <c r="B7" s="657"/>
      <c r="C7" s="657"/>
      <c r="D7" s="657"/>
    </row>
    <row r="8" spans="1:4" ht="18.75" x14ac:dyDescent="0.3">
      <c r="A8" s="657" t="s">
        <v>630</v>
      </c>
      <c r="B8" s="657"/>
      <c r="C8" s="657"/>
      <c r="D8" s="657"/>
    </row>
    <row r="9" spans="1:4" ht="18.75" x14ac:dyDescent="0.3">
      <c r="A9" s="657" t="s">
        <v>631</v>
      </c>
      <c r="B9" s="657"/>
      <c r="C9" s="657"/>
      <c r="D9" s="657"/>
    </row>
    <row r="10" spans="1:4" ht="18.75" x14ac:dyDescent="0.3">
      <c r="A10" s="657" t="s">
        <v>632</v>
      </c>
      <c r="B10" s="657"/>
      <c r="C10" s="657"/>
      <c r="D10" s="657"/>
    </row>
    <row r="11" spans="1:4" ht="18.75" x14ac:dyDescent="0.3">
      <c r="A11" s="546"/>
      <c r="B11" s="546"/>
      <c r="C11" s="546"/>
      <c r="D11" s="546"/>
    </row>
    <row r="12" spans="1:4" ht="21" x14ac:dyDescent="0.45">
      <c r="A12" s="661" t="s">
        <v>633</v>
      </c>
      <c r="B12" s="657"/>
      <c r="C12" s="657"/>
      <c r="D12" s="657"/>
    </row>
    <row r="13" spans="1:4" x14ac:dyDescent="0.25">
      <c r="A13" s="547"/>
      <c r="B13" s="547"/>
      <c r="C13" s="547"/>
      <c r="D13" s="547"/>
    </row>
    <row r="14" spans="1:4" ht="18.75" x14ac:dyDescent="0.3">
      <c r="A14" s="548" t="s">
        <v>3</v>
      </c>
      <c r="B14" s="574" t="str">
        <f>'Purcahse Request'!B14</f>
        <v/>
      </c>
      <c r="C14" s="575" t="s">
        <v>634</v>
      </c>
      <c r="D14" s="576" t="str">
        <f>'Purcahse Request'!E14</f>
        <v>AMDC/G025-754</v>
      </c>
    </row>
    <row r="15" spans="1:4" ht="18.75" x14ac:dyDescent="0.3">
      <c r="A15" s="548" t="s">
        <v>2</v>
      </c>
      <c r="B15" s="555">
        <f>'Purcahse Request'!B15</f>
        <v>1123</v>
      </c>
      <c r="C15" s="577" t="s">
        <v>658</v>
      </c>
      <c r="D15" s="578">
        <f ca="1">'Purcahse Request'!E15</f>
        <v>46033</v>
      </c>
    </row>
    <row r="16" spans="1:4" ht="18.75" x14ac:dyDescent="0.3">
      <c r="A16" s="548" t="s">
        <v>636</v>
      </c>
      <c r="B16" s="555" t="str">
        <f>'Purcahse Request'!B16</f>
        <v/>
      </c>
      <c r="C16" s="4"/>
    </row>
    <row r="17" spans="1:7" ht="18.75" x14ac:dyDescent="0.3">
      <c r="A17" s="548" t="s">
        <v>659</v>
      </c>
      <c r="B17" s="555"/>
      <c r="C17" s="4"/>
    </row>
    <row r="18" spans="1:7" ht="22.5" x14ac:dyDescent="0.25">
      <c r="A18" s="556" t="s">
        <v>660</v>
      </c>
      <c r="B18" s="556" t="s">
        <v>637</v>
      </c>
      <c r="C18" s="557" t="s">
        <v>638</v>
      </c>
      <c r="D18" s="557" t="s">
        <v>640</v>
      </c>
    </row>
    <row r="19" spans="1:7" ht="37.5" x14ac:dyDescent="0.3">
      <c r="A19" s="579">
        <v>1</v>
      </c>
      <c r="B19" s="558" t="s">
        <v>642</v>
      </c>
      <c r="C19" s="559">
        <v>50</v>
      </c>
      <c r="D19" s="580">
        <f>'Purcahse Request'!D19</f>
        <v>0</v>
      </c>
      <c r="G19" s="581"/>
    </row>
    <row r="20" spans="1:7" ht="37.5" x14ac:dyDescent="0.3">
      <c r="A20" s="579">
        <v>2</v>
      </c>
      <c r="B20" s="558" t="s">
        <v>642</v>
      </c>
      <c r="C20" s="559">
        <v>40</v>
      </c>
      <c r="D20" s="580">
        <f>'Purcahse Request'!D20</f>
        <v>0</v>
      </c>
      <c r="G20" t="s">
        <v>358</v>
      </c>
    </row>
    <row r="21" spans="1:7" ht="37.5" x14ac:dyDescent="0.3">
      <c r="A21" s="579">
        <v>3</v>
      </c>
      <c r="B21" s="558" t="s">
        <v>644</v>
      </c>
      <c r="C21" s="559">
        <v>40</v>
      </c>
      <c r="D21" s="580">
        <f>'Purcahse Request'!D21</f>
        <v>0</v>
      </c>
    </row>
    <row r="22" spans="1:7" ht="37.5" x14ac:dyDescent="0.3">
      <c r="A22" s="579">
        <v>4</v>
      </c>
      <c r="B22" s="558" t="s">
        <v>645</v>
      </c>
      <c r="C22" s="559">
        <v>50</v>
      </c>
      <c r="D22" s="580">
        <f>'Purcahse Request'!D22</f>
        <v>0</v>
      </c>
    </row>
    <row r="23" spans="1:7" ht="37.5" x14ac:dyDescent="0.3">
      <c r="A23" s="579">
        <v>5</v>
      </c>
      <c r="B23" s="558" t="s">
        <v>646</v>
      </c>
      <c r="C23" s="559">
        <v>40</v>
      </c>
      <c r="D23" s="580">
        <f>'Purcahse Request'!D23</f>
        <v>0</v>
      </c>
    </row>
    <row r="24" spans="1:7" ht="48" customHeight="1" x14ac:dyDescent="0.3">
      <c r="A24" s="579">
        <v>6</v>
      </c>
      <c r="B24" s="558" t="s">
        <v>648</v>
      </c>
      <c r="C24" s="559">
        <v>45</v>
      </c>
      <c r="D24" s="580">
        <f>'Purcahse Request'!D24</f>
        <v>0</v>
      </c>
      <c r="G24" s="582"/>
    </row>
    <row r="25" spans="1:7" ht="37.5" x14ac:dyDescent="0.3">
      <c r="A25" s="579">
        <v>7</v>
      </c>
      <c r="B25" s="558" t="s">
        <v>650</v>
      </c>
      <c r="C25" s="559">
        <v>50</v>
      </c>
      <c r="D25" s="580">
        <f>'Purcahse Request'!D25</f>
        <v>0</v>
      </c>
    </row>
    <row r="27" spans="1:7" ht="20.25" x14ac:dyDescent="0.3">
      <c r="A27" s="662"/>
      <c r="B27" s="662"/>
      <c r="C27" s="662"/>
      <c r="D27" s="662"/>
    </row>
    <row r="28" spans="1:7" ht="18.75" x14ac:dyDescent="0.3">
      <c r="A28" s="583"/>
      <c r="B28" s="584"/>
      <c r="C28" s="584"/>
      <c r="D28" s="584"/>
    </row>
    <row r="29" spans="1:7" ht="18.75" x14ac:dyDescent="0.3">
      <c r="A29" s="583" t="s">
        <v>661</v>
      </c>
      <c r="B29" s="584"/>
      <c r="C29" s="584"/>
      <c r="D29" s="584" t="s">
        <v>662</v>
      </c>
    </row>
    <row r="30" spans="1:7" ht="33.75" customHeight="1" x14ac:dyDescent="0.25">
      <c r="A30" s="663" t="s">
        <v>663</v>
      </c>
      <c r="B30" s="663"/>
      <c r="C30" s="660" t="s">
        <v>664</v>
      </c>
      <c r="D30" s="660"/>
    </row>
    <row r="31" spans="1:7" ht="36" customHeight="1" x14ac:dyDescent="0.25">
      <c r="A31" s="664" t="s">
        <v>665</v>
      </c>
      <c r="B31" s="664"/>
      <c r="C31" s="665" t="s">
        <v>666</v>
      </c>
      <c r="D31" s="665"/>
    </row>
    <row r="32" spans="1:7" x14ac:dyDescent="0.25">
      <c r="A32" s="659"/>
      <c r="B32" s="659"/>
      <c r="C32" s="660"/>
      <c r="D32" s="660"/>
    </row>
    <row r="35" spans="1:4" x14ac:dyDescent="0.25">
      <c r="A35" s="585"/>
    </row>
    <row r="36" spans="1:4" ht="18.75" x14ac:dyDescent="0.25">
      <c r="A36" s="586" t="s">
        <v>667</v>
      </c>
    </row>
    <row r="37" spans="1:4" ht="18.75" x14ac:dyDescent="0.25">
      <c r="A37" s="587" t="s">
        <v>668</v>
      </c>
      <c r="C37" s="588" t="s">
        <v>15</v>
      </c>
      <c r="D37" t="s">
        <v>15</v>
      </c>
    </row>
    <row r="39" spans="1:4" x14ac:dyDescent="0.25">
      <c r="D39" t="s">
        <v>15</v>
      </c>
    </row>
    <row r="45" spans="1:4" x14ac:dyDescent="0.25">
      <c r="A45" s="585"/>
    </row>
    <row r="46" spans="1:4" ht="18.75" x14ac:dyDescent="0.25">
      <c r="A46" s="586"/>
    </row>
    <row r="47" spans="1:4" ht="18.75" x14ac:dyDescent="0.25">
      <c r="A47" s="587"/>
      <c r="C47" s="588"/>
    </row>
    <row r="49" spans="4:4" x14ac:dyDescent="0.25">
      <c r="D49" t="s">
        <v>15</v>
      </c>
    </row>
  </sheetData>
  <mergeCells count="13">
    <mergeCell ref="A32:B32"/>
    <mergeCell ref="C32:D32"/>
    <mergeCell ref="A6:D6"/>
    <mergeCell ref="A7:D7"/>
    <mergeCell ref="A8:D8"/>
    <mergeCell ref="A9:D9"/>
    <mergeCell ref="A10:D10"/>
    <mergeCell ref="A12:D12"/>
    <mergeCell ref="A27:D27"/>
    <mergeCell ref="A30:B30"/>
    <mergeCell ref="C30:D30"/>
    <mergeCell ref="A31:B31"/>
    <mergeCell ref="C31:D31"/>
  </mergeCells>
  <pageMargins left="0.7" right="0.7" top="0.75" bottom="0.75" header="0.3" footer="0.3"/>
  <pageSetup paperSize="9" scale="7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3F77-8557-4DEE-B3A3-E01F68F8EEE5}">
  <dimension ref="A2:E9"/>
  <sheetViews>
    <sheetView workbookViewId="0">
      <selection activeCell="C11" sqref="C11"/>
    </sheetView>
  </sheetViews>
  <sheetFormatPr defaultRowHeight="15" x14ac:dyDescent="0.25"/>
  <cols>
    <col min="1" max="1" width="22" bestFit="1" customWidth="1"/>
    <col min="2" max="2" width="17" bestFit="1" customWidth="1"/>
    <col min="3" max="3" width="26" bestFit="1" customWidth="1"/>
    <col min="4" max="4" width="10.5703125" bestFit="1" customWidth="1"/>
    <col min="5" max="5" width="23.85546875" bestFit="1" customWidth="1"/>
  </cols>
  <sheetData>
    <row r="2" spans="1:5" ht="26.25" x14ac:dyDescent="0.4">
      <c r="A2" s="666" t="s">
        <v>586</v>
      </c>
      <c r="B2" s="666"/>
      <c r="C2" s="666"/>
      <c r="D2" s="666"/>
      <c r="E2" s="666"/>
    </row>
    <row r="3" spans="1:5" ht="24" x14ac:dyDescent="0.4">
      <c r="A3" s="1" t="s">
        <v>587</v>
      </c>
      <c r="B3" s="1" t="s">
        <v>588</v>
      </c>
      <c r="C3" s="1" t="s">
        <v>589</v>
      </c>
      <c r="D3" s="1" t="s">
        <v>590</v>
      </c>
      <c r="E3" s="1" t="s">
        <v>591</v>
      </c>
    </row>
    <row r="4" spans="1:5" ht="24" x14ac:dyDescent="0.4">
      <c r="A4" s="1" t="s">
        <v>592</v>
      </c>
      <c r="B4" s="1">
        <v>50</v>
      </c>
      <c r="C4" s="3">
        <v>6.45</v>
      </c>
      <c r="D4" s="2">
        <v>0.4</v>
      </c>
      <c r="E4" s="2">
        <v>6.05</v>
      </c>
    </row>
    <row r="5" spans="1:5" ht="24" x14ac:dyDescent="0.4">
      <c r="A5" s="1" t="s">
        <v>592</v>
      </c>
      <c r="B5" s="1">
        <v>40</v>
      </c>
      <c r="C5" s="3">
        <v>5.16</v>
      </c>
      <c r="D5" s="2">
        <v>0.4</v>
      </c>
      <c r="E5" s="2">
        <v>4.76</v>
      </c>
    </row>
    <row r="6" spans="1:5" ht="24" x14ac:dyDescent="0.4">
      <c r="A6" s="1" t="s">
        <v>593</v>
      </c>
      <c r="B6" s="1">
        <v>40</v>
      </c>
      <c r="C6" s="3">
        <v>5</v>
      </c>
      <c r="D6" s="2">
        <v>0.4</v>
      </c>
      <c r="E6" s="2">
        <v>4.5999999999999996</v>
      </c>
    </row>
    <row r="7" spans="1:5" ht="24" x14ac:dyDescent="0.4">
      <c r="A7" s="1" t="s">
        <v>594</v>
      </c>
      <c r="B7" s="1">
        <v>50</v>
      </c>
      <c r="C7" s="3">
        <v>7.1</v>
      </c>
      <c r="D7" s="2">
        <v>0.5</v>
      </c>
      <c r="E7" s="2">
        <v>6.6</v>
      </c>
    </row>
    <row r="8" spans="1:5" ht="24" x14ac:dyDescent="0.4">
      <c r="A8" s="1" t="s">
        <v>594</v>
      </c>
      <c r="B8" s="1">
        <v>40</v>
      </c>
      <c r="C8" s="3">
        <v>5.7</v>
      </c>
      <c r="D8" s="2">
        <v>0.5</v>
      </c>
      <c r="E8" s="2">
        <v>5.2</v>
      </c>
    </row>
    <row r="9" spans="1:5" ht="24" x14ac:dyDescent="0.4">
      <c r="A9" s="1" t="s">
        <v>595</v>
      </c>
      <c r="B9" s="1">
        <v>50</v>
      </c>
      <c r="C9" s="3">
        <v>7.6</v>
      </c>
      <c r="D9" s="2">
        <v>0.5</v>
      </c>
      <c r="E9" s="2">
        <v>7.1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13</vt:i4>
      </vt:variant>
    </vt:vector>
  </HeadingPairs>
  <TitlesOfParts>
    <vt:vector size="30" baseType="lpstr">
      <vt:lpstr>center-April</vt:lpstr>
      <vt:lpstr>05-25</vt:lpstr>
      <vt:lpstr>center-06-24</vt:lpstr>
      <vt:lpstr>center-July</vt:lpstr>
      <vt:lpstr>center-Aug</vt:lpstr>
      <vt:lpstr>center-Sept</vt:lpstr>
      <vt:lpstr>Center-oct</vt:lpstr>
      <vt:lpstr>Center-Nov</vt:lpstr>
      <vt:lpstr>center-dec</vt:lpstr>
      <vt:lpstr>Aug 25</vt:lpstr>
      <vt:lpstr>SEP-25</vt:lpstr>
      <vt:lpstr>oct25</vt:lpstr>
      <vt:lpstr>nov-25</vt:lpstr>
      <vt:lpstr>Dec-25</vt:lpstr>
      <vt:lpstr>Purcahse Request</vt:lpstr>
      <vt:lpstr>Farmer Document</vt:lpstr>
      <vt:lpstr>ONLD price</vt:lpstr>
      <vt:lpstr>'Aug 25'!Print_Area</vt:lpstr>
      <vt:lpstr>'center-06-24'!Print_Area</vt:lpstr>
      <vt:lpstr>'center-April'!Print_Area</vt:lpstr>
      <vt:lpstr>'center-Aug'!Print_Area</vt:lpstr>
      <vt:lpstr>'center-dec'!Print_Area</vt:lpstr>
      <vt:lpstr>'center-July'!Print_Area</vt:lpstr>
      <vt:lpstr>'Center-Nov'!Print_Area</vt:lpstr>
      <vt:lpstr>'Center-oct'!Print_Area</vt:lpstr>
      <vt:lpstr>'center-Sept'!Print_Area</vt:lpstr>
      <vt:lpstr>'Farmer Document'!Print_Area</vt:lpstr>
      <vt:lpstr>'oct25'!Print_Area</vt:lpstr>
      <vt:lpstr>'Purcahse Request'!Print_Area</vt:lpstr>
      <vt:lpstr>'SEP-25'!Print_Area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Morroj dairy co</dc:creator>
  <cp:keywords/>
  <dc:description/>
  <cp:lastModifiedBy>YASIR KASHOOB</cp:lastModifiedBy>
  <cp:revision/>
  <cp:lastPrinted>2026-01-04T06:05:21Z</cp:lastPrinted>
  <dcterms:created xsi:type="dcterms:W3CDTF">2024-07-24T14:41:30Z</dcterms:created>
  <dcterms:modified xsi:type="dcterms:W3CDTF">2026-01-11T05:46:24Z</dcterms:modified>
  <cp:category/>
  <cp:contentStatus/>
</cp:coreProperties>
</file>